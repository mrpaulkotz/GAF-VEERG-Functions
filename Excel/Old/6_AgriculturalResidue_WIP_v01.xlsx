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11E3562-0D8E-4B77-BE8E-DA2E955EBF44}" xr6:coauthVersionLast="47" xr6:coauthVersionMax="47" xr10:uidLastSave="{00000000-0000-0000-0000-000000000000}"/>
  <bookViews>
    <workbookView xWindow="1380" yWindow="1275" windowWidth="33915" windowHeight="17775" firstSheet="4" activeTab="8"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4.1.1-2 Residue burning" sheetId="114" r:id="rId10"/>
    <sheet name="Constants - Ag Residue" sheetId="110" r:id="rId11"/>
    <sheet name="Constants - Common" sheetId="121" r:id="rId12"/>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c","dimensionless","Constant";"R_BGc","below ground-residue to above ground residue ratio for crop c","dimensionless","Constant";"F_c","fraction of crop residue that is burnt for crop c","dimensionless","Input";"FFOD_c","fraction of the crop residue that is removed for crop c","dimensionless","Constant";"DM_c","dry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c","dimensionless","Constant";"R_BGc","below ground-residue to above ground residue ratio for crop c","dimensionless","Constant";"F_c","fraction of crop residue that is burnt for crop c","dimensionless","Input";"FFOD_c","fraction of the crop residue that is removed for crop c","dimensionless","Calculated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generated","dimensionless","Input";"M_B","mass of each bale","kg","Input";"P_c","annual production of crop c","kg","Input";"R_AGc","residue to crop ratio for crop c","dimensionless","Input";"c","Crop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c","dimensionless","Constant";"EF_CH4","emission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burning","dimensionless","Constant";"DM_c","dry matter content of crop type c","kg dry weight/kg crop residue","Constant";"Z_c","burning efficiency (ratio of fuel burnt to fuel load) of crop type c","dimensionless","Constant";"F_c","fraction of the annual production of crop type c that is burnt","dimensionless","Constant";"c","Crop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ir","dimensionless","Constant";"FracLEACH","fraction of N that is lost through leaching and runoff","dimensionless","Constant";"z","Location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crop","dimensionless","Constant";"NC_BGp","N content of below-ground pasture crop residue","kg N/kg DM","Constant";"FFOD_p","fraction of pasture yield that is removed","dimensionless","Constant";"p","Pasture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crop","dimensionless","Constant";"NC_BGp","N content of below-ground pasture crop residue","kg N/kg DM","Constant";"FFOD_p","fraction of pasture yield that is removed","dimensionless","Constant";"p","Pasture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9" i="113" l="1"/>
  <c r="J37" i="113"/>
  <c r="J15" i="113"/>
  <c r="H25" i="113"/>
  <c r="H24" i="113"/>
  <c r="E30" i="15"/>
  <c r="E33" i="15"/>
  <c r="E32" i="15"/>
  <c r="E31" i="15"/>
  <c r="I59" i="114"/>
  <c r="I36" i="114"/>
  <c r="J38" i="113"/>
  <c r="J35" i="74"/>
  <c r="R73" i="69"/>
  <c r="I38" i="69"/>
  <c r="H65" i="114"/>
  <c r="H42" i="114"/>
  <c r="Q51" i="113"/>
  <c r="G51" i="113"/>
  <c r="Q43" i="74"/>
  <c r="G43" i="74"/>
  <c r="P80" i="69"/>
  <c r="G45" i="69"/>
  <c r="I22"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c r="D141" i="121" a="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a="1"/>
  <c r="D82" i="121" s="1"/>
  <c r="D81" i="121" a="1"/>
  <c r="D81" i="121" s="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a="1"/>
  <c r="D58" i="121" s="1"/>
  <c r="D57" i="121" a="1"/>
  <c r="D57" i="121" s="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A20" i="110"/>
  <c r="A19" i="110"/>
  <c r="A16" i="110"/>
  <c r="A15" i="110"/>
  <c r="A14" i="110"/>
  <c r="A13" i="110"/>
  <c r="A10" i="110"/>
  <c r="A9" i="110"/>
  <c r="A8" i="110"/>
  <c r="A5" i="110"/>
  <c r="A4" i="110"/>
  <c r="A3" i="110"/>
  <c r="A20" i="114"/>
  <c r="A19" i="114"/>
  <c r="A16" i="114"/>
  <c r="A15" i="114"/>
  <c r="A14" i="114"/>
  <c r="A13" i="114"/>
  <c r="A10" i="114"/>
  <c r="A9" i="114"/>
  <c r="A8" i="114"/>
  <c r="A5" i="114"/>
  <c r="A4" i="114"/>
  <c r="A3" i="114"/>
  <c r="A20" i="113"/>
  <c r="A19" i="113"/>
  <c r="A16" i="113"/>
  <c r="A15" i="113"/>
  <c r="A14" i="113"/>
  <c r="A13" i="113"/>
  <c r="A10" i="113"/>
  <c r="A9" i="113"/>
  <c r="A8" i="113"/>
  <c r="A5" i="113"/>
  <c r="A4" i="113"/>
  <c r="A3" i="113"/>
  <c r="A20" i="74"/>
  <c r="A19" i="74"/>
  <c r="A16" i="74"/>
  <c r="A15" i="74"/>
  <c r="A14" i="74"/>
  <c r="A13" i="74"/>
  <c r="A10" i="74"/>
  <c r="A9" i="74"/>
  <c r="A8" i="74"/>
  <c r="A5" i="74"/>
  <c r="A4" i="74"/>
  <c r="A3" i="74"/>
  <c r="A20" i="69"/>
  <c r="A19" i="69"/>
  <c r="A16" i="69"/>
  <c r="A15" i="69"/>
  <c r="A14" i="69"/>
  <c r="A13" i="69"/>
  <c r="A10" i="69"/>
  <c r="A9" i="69"/>
  <c r="A8" i="69"/>
  <c r="A5" i="69"/>
  <c r="A4" i="69"/>
  <c r="A3" i="69"/>
  <c r="A20" i="120"/>
  <c r="A19" i="120"/>
  <c r="A16" i="120"/>
  <c r="A15" i="120"/>
  <c r="A14" i="120"/>
  <c r="A13" i="120"/>
  <c r="A10" i="120"/>
  <c r="A9" i="120"/>
  <c r="A8" i="120"/>
  <c r="A5" i="120"/>
  <c r="A4" i="120"/>
  <c r="A3" i="120"/>
  <c r="A20" i="70"/>
  <c r="A19" i="70"/>
  <c r="A16" i="70"/>
  <c r="A15" i="70"/>
  <c r="A14" i="70"/>
  <c r="A13" i="70"/>
  <c r="A10" i="70"/>
  <c r="A9" i="70"/>
  <c r="A8" i="70"/>
  <c r="A5" i="70"/>
  <c r="A4" i="70"/>
  <c r="A3" i="70"/>
  <c r="A20" i="15"/>
  <c r="A19" i="15"/>
  <c r="A16" i="15"/>
  <c r="A15" i="15"/>
  <c r="A14" i="15"/>
  <c r="A13" i="15"/>
  <c r="A10" i="15"/>
  <c r="A9" i="15"/>
  <c r="A8" i="15"/>
  <c r="A5" i="15"/>
  <c r="A4" i="15"/>
  <c r="A3" i="15"/>
  <c r="A20" i="13"/>
  <c r="A19" i="13"/>
  <c r="A16" i="13"/>
  <c r="A15" i="13"/>
  <c r="A14" i="13"/>
  <c r="A13" i="13"/>
  <c r="A10" i="13"/>
  <c r="A9" i="13"/>
  <c r="A8" i="13"/>
  <c r="A5" i="13"/>
  <c r="A4" i="13"/>
  <c r="A3" i="13"/>
  <c r="A19" i="118"/>
  <c r="A16" i="118"/>
  <c r="A15" i="118"/>
  <c r="A14" i="118"/>
  <c r="A13" i="118"/>
  <c r="A10" i="118"/>
  <c r="A9" i="118"/>
  <c r="H51" i="121" l="1"/>
  <c r="H48" i="121"/>
  <c r="H53" i="121"/>
  <c r="H50" i="121"/>
  <c r="H49" i="121"/>
  <c r="H54" i="121"/>
  <c r="H52" i="121"/>
  <c r="F17" i="70"/>
  <c r="D26" i="70"/>
  <c r="D25" i="70"/>
  <c r="D24" i="70"/>
  <c r="D17" i="70"/>
  <c r="F22" i="70"/>
  <c r="D26" i="114" l="1" a="1"/>
  <c r="D26" i="114" s="1"/>
  <c r="D49" i="114" a="1"/>
  <c r="D49" i="114" s="1"/>
  <c r="I60" i="114"/>
  <c r="I37" i="114"/>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I18" i="114"/>
  <c r="I19" i="114"/>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G25" i="113"/>
  <c r="G24" i="113"/>
  <c r="F25" i="113"/>
  <c r="F24" i="113"/>
  <c r="J40" i="113"/>
  <c r="J36" i="113" a="1"/>
  <c r="J36" i="113" s="1"/>
  <c r="J19" i="113" a="1"/>
  <c r="J19" i="113" s="1"/>
  <c r="J16" i="113" a="1"/>
  <c r="J16" i="113" s="1"/>
  <c r="J14" i="113" a="1"/>
  <c r="J14" i="113" s="1"/>
  <c r="J13" i="113" a="1"/>
  <c r="J13" i="113" s="1"/>
  <c r="J18" i="113"/>
  <c r="J17" i="113"/>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I39" i="69"/>
  <c r="J36" i="74"/>
  <c r="J19" i="74"/>
  <c r="A47" i="69"/>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7" i="113" a="1"/>
  <c r="E27" i="114" a="1"/>
  <c r="E30" i="113" a="1"/>
  <c r="E7" i="114" a="1"/>
  <c r="E50" i="114" a="1"/>
  <c r="P48" i="113" l="1"/>
  <c r="I57" i="114" a="1"/>
  <c r="I57" i="114" s="1"/>
  <c r="I35" i="114" a="1"/>
  <c r="I35" i="114" s="1"/>
  <c r="I15" i="114" a="1"/>
  <c r="I15" i="114" s="1"/>
  <c r="I34" i="114" a="1"/>
  <c r="I34" i="114" s="1"/>
  <c r="I17" i="114" a="1"/>
  <c r="I17" i="114" s="1"/>
  <c r="I16" i="114" a="1"/>
  <c r="I16" i="114" s="1"/>
  <c r="E27" i="114"/>
  <c r="E7" i="114"/>
  <c r="E50"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J13" i="74"/>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48" i="69" a="1"/>
  <c r="P48" i="69" s="1"/>
  <c r="M48" i="69" a="1"/>
  <c r="M48" i="69" s="1"/>
  <c r="I16" i="69"/>
  <c r="I13" i="69"/>
  <c r="O82" i="69" a="1"/>
  <c r="O82" i="69" s="1"/>
  <c r="M79" i="69" a="1"/>
  <c r="M79" i="69" s="1"/>
  <c r="P71" i="69" a="1"/>
  <c r="P71" i="69" s="1"/>
  <c r="M71" i="69" a="1"/>
  <c r="M71" i="69" s="1"/>
  <c r="N69" i="69" a="1"/>
  <c r="N69" i="69" s="1"/>
  <c r="N68" i="69" a="1"/>
  <c r="N68" i="69" s="1"/>
  <c r="M64" i="69" a="1"/>
  <c r="M64" i="69" s="1"/>
  <c r="M63" i="69" a="1"/>
  <c r="M63" i="69" s="1"/>
  <c r="N46" i="69" a="1"/>
  <c r="N46" i="69" s="1"/>
  <c r="N45" i="69" a="1"/>
  <c r="N45" i="69" s="1"/>
  <c r="M41" i="69" a="1"/>
  <c r="M41" i="69" s="1"/>
  <c r="M40" i="69" a="1"/>
  <c r="M40" i="69" s="1"/>
  <c r="E45" i="110" a="1"/>
  <c r="E45" i="110" s="1"/>
  <c r="D45" i="110" a="1"/>
  <c r="D45" i="110" s="1"/>
  <c r="E44" i="110" a="1"/>
  <c r="E44" i="110" s="1"/>
  <c r="D44" i="110" a="1"/>
  <c r="D44" i="110" s="1"/>
  <c r="D41" i="110" a="1"/>
  <c r="D41" i="110" s="1"/>
  <c r="D40" i="110" a="1"/>
  <c r="D40" i="110" s="1"/>
  <c r="M25" i="69" a="1"/>
  <c r="M25" i="69" s="1"/>
  <c r="G36" i="69" a="1"/>
  <c r="G36" i="69" s="1"/>
  <c r="G13" i="69" a="1"/>
  <c r="G13" i="69" s="1"/>
  <c r="Q33" i="69" a="1"/>
  <c r="Q33" i="69" s="1"/>
  <c r="S34" i="69"/>
  <c r="Q16" i="69"/>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21" i="69"/>
  <c r="I15" i="69" s="1" a="1"/>
  <c r="I15" i="69" s="1"/>
  <c r="F47" i="69" a="1"/>
  <c r="F47" i="69" s="1"/>
  <c r="D44" i="69" a="1"/>
  <c r="D44" i="69" s="1"/>
  <c r="D30" i="70"/>
  <c r="E22" i="70"/>
  <c r="I13" i="114" s="1"/>
  <c r="E27" i="74" a="1"/>
  <c r="N8" i="69" a="1"/>
  <c r="N65" i="69" a="1"/>
  <c r="N42" i="69" a="1"/>
  <c r="E7" i="74" a="1"/>
  <c r="E30" i="69" a="1"/>
  <c r="E7" i="69" a="1"/>
  <c r="O27" i="74" a="1"/>
  <c r="J16" i="74" l="1" a="1"/>
  <c r="J16" i="74" s="1"/>
  <c r="E19" i="120"/>
  <c r="J17" i="74" a="1"/>
  <c r="J17" i="74" s="1"/>
  <c r="J18" i="74" a="1"/>
  <c r="J18" i="74" s="1"/>
  <c r="Q17" i="69"/>
  <c r="O27" i="74"/>
  <c r="J14" i="74" a="1"/>
  <c r="J14" i="74" s="1"/>
  <c r="J15" i="74" a="1"/>
  <c r="J15" i="74" s="1"/>
  <c r="E18" i="70" a="1"/>
  <c r="E18" i="70" s="1"/>
  <c r="E27" i="74"/>
  <c r="E7" i="74"/>
  <c r="O77" i="69"/>
  <c r="O59" i="69"/>
  <c r="N65" i="69"/>
  <c r="N42" i="69"/>
  <c r="I19" i="69" a="1"/>
  <c r="I19" i="69" s="1"/>
  <c r="I18" i="69" a="1"/>
  <c r="I18" i="69" s="1"/>
  <c r="I20" i="69" a="1"/>
  <c r="I20" i="69" s="1"/>
  <c r="E30" i="69"/>
  <c r="N8" i="69"/>
  <c r="E7" i="69"/>
  <c r="T14" i="74" l="1"/>
  <c r="O21" i="74" s="1" a="1"/>
  <c r="O21" i="74" s="1"/>
  <c r="E20" i="120"/>
  <c r="E19" i="70"/>
  <c r="E20" i="70" s="1"/>
  <c r="I14" i="114"/>
  <c r="E21" i="114" s="1" a="1"/>
  <c r="E21" i="114" s="1"/>
  <c r="E21" i="74" a="1"/>
  <c r="E21" i="74" s="1"/>
  <c r="E25" i="113" s="1"/>
  <c r="Q18" i="69"/>
  <c r="I14" i="69"/>
  <c r="E30" i="70"/>
  <c r="E44" i="70" s="1"/>
  <c r="T33" i="74" l="1"/>
  <c r="O25" i="113"/>
  <c r="I33" i="114"/>
  <c r="I56" i="114"/>
  <c r="J33" i="74"/>
  <c r="E36" i="70"/>
  <c r="E35" i="70" s="1"/>
  <c r="Q15" i="69" s="1"/>
  <c r="N21" i="69" s="1" a="1"/>
  <c r="N21" i="69" s="1"/>
  <c r="S33" i="69" s="1"/>
  <c r="N36" i="69" s="1" a="1"/>
  <c r="N36" i="69" s="1"/>
  <c r="R52" i="69" s="1"/>
  <c r="N59" i="69" s="1" a="1"/>
  <c r="N59" i="69" s="1"/>
  <c r="E40" i="70"/>
  <c r="R71" i="69" l="1"/>
  <c r="O24" i="113"/>
  <c r="E46" i="70"/>
  <c r="A20" i="118"/>
  <c r="A8" i="118"/>
  <c r="A5" i="118"/>
  <c r="A4" i="118"/>
  <c r="A3" i="118"/>
  <c r="A67" i="114" l="1"/>
  <c r="A46" i="114"/>
  <c r="A44" i="70"/>
  <c r="A83" i="69"/>
  <c r="A76" i="74"/>
  <c r="A45" i="74"/>
  <c r="A34" i="113"/>
  <c r="A55" i="113"/>
  <c r="I17" i="69" l="1" a="1"/>
  <c r="I17" i="69" s="1"/>
  <c r="E24" i="69" s="1" a="1"/>
  <c r="E24" i="69" s="1"/>
  <c r="E24" i="113" s="1"/>
  <c r="S24" i="113" a="1"/>
  <c r="S24" i="113" s="1"/>
  <c r="N45" i="113" s="1"/>
  <c r="E62" i="114" a="1"/>
  <c r="E62" i="114" s="1"/>
  <c r="I24" i="113" l="1" a="1"/>
  <c r="I24" i="113" s="1"/>
  <c r="D45" i="113" s="1"/>
  <c r="H64" i="114"/>
  <c r="E67" i="114" s="1" a="1"/>
  <c r="E67" i="114" s="1"/>
  <c r="H13" i="13" s="1"/>
  <c r="I13" i="13" s="1"/>
  <c r="E13" i="13"/>
  <c r="F13" i="13" s="1"/>
  <c r="E39" i="114" a="1"/>
  <c r="E39" i="114" s="1"/>
  <c r="I36" i="69"/>
  <c r="I25" i="113" a="1"/>
  <c r="I25" i="113" s="1"/>
  <c r="D46" i="113" s="1"/>
  <c r="S25" i="113" a="1"/>
  <c r="S25" i="113" s="1"/>
  <c r="N46" i="113" s="1"/>
  <c r="E45" i="113" l="1" a="1"/>
  <c r="E45" i="113" s="1"/>
  <c r="O46" i="113" a="1"/>
  <c r="O46" i="113" s="1"/>
  <c r="O45" i="113" a="1"/>
  <c r="O45" i="113" s="1"/>
  <c r="E46" i="113" a="1"/>
  <c r="E46" i="113" s="1"/>
  <c r="H41" i="114"/>
  <c r="E44" i="114" s="1" a="1"/>
  <c r="E44" i="114" s="1"/>
  <c r="H12" i="13" s="1"/>
  <c r="I12" i="13" s="1"/>
  <c r="E12" i="13"/>
  <c r="F12" i="13" s="1"/>
  <c r="E29" i="15"/>
  <c r="J37" i="74" s="1"/>
  <c r="J34" i="74" s="1" a="1"/>
  <c r="J34" i="74" s="1"/>
  <c r="O48" i="113" l="1"/>
  <c r="Q50" i="113" s="1"/>
  <c r="O53" i="113" s="1" a="1"/>
  <c r="O53" i="113" s="1"/>
  <c r="I11" i="13" s="1"/>
  <c r="E48" i="113"/>
  <c r="E11" i="13" s="1"/>
  <c r="O40" i="74" a="1"/>
  <c r="O40" i="74" s="1"/>
  <c r="E40" i="74" a="1"/>
  <c r="E40" i="74" s="1"/>
  <c r="F11" i="13"/>
  <c r="I40" i="69"/>
  <c r="I37" i="69" s="1" a="1"/>
  <c r="I37" i="69" s="1"/>
  <c r="E42" i="69" s="1" a="1"/>
  <c r="E42" i="69" s="1"/>
  <c r="R75" i="69"/>
  <c r="R72" i="69" s="1" a="1"/>
  <c r="R72" i="69" s="1"/>
  <c r="N77" i="69" s="1" a="1"/>
  <c r="N77" i="69" s="1"/>
  <c r="E13" i="15"/>
  <c r="G50" i="113" l="1"/>
  <c r="E53" i="113" s="1" a="1"/>
  <c r="E53" i="113" s="1"/>
  <c r="H11" i="13" s="1"/>
  <c r="G42" i="74"/>
  <c r="E45" i="74" s="1" a="1"/>
  <c r="E45" i="74" s="1"/>
  <c r="H10" i="13" s="1"/>
  <c r="E10" i="13"/>
  <c r="Q42" i="74"/>
  <c r="O45" i="74" s="1" a="1"/>
  <c r="O45" i="74" s="1"/>
  <c r="I10" i="13" s="1"/>
  <c r="F10" i="13"/>
  <c r="G44" i="69"/>
  <c r="E47" i="69" s="1" a="1"/>
  <c r="E47" i="69" s="1"/>
  <c r="H9" i="13" s="1"/>
  <c r="E9" i="13"/>
  <c r="P79" i="69"/>
  <c r="N82" i="69" s="1" a="1"/>
  <c r="N82" i="69" s="1"/>
  <c r="I9" i="13" s="1"/>
  <c r="F9" i="13"/>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<sst xmlns="http://schemas.openxmlformats.org/spreadsheetml/2006/main" count="385" uniqueCount="233">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</sst>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2" fillId="0" borderId="0"/>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41"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2" fillId="0" borderId="0" xfId="69"/>
    <xf numFmtId="9" fontId="2" fillId="0" borderId="2" xfId="17">
      <alignment horizontal="center" vertical="center"/>
    </xf>
    <xf numFmtId="170" fontId="8" fillId="4" borderId="0" xfId="10" applyNumberFormat="1">
      <alignment horizontal="center" vertical="center"/>
    </xf>
    <xf numFmtId="0" fontId="63"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4" fillId="4" borderId="1" xfId="0" applyFont="1" applyFill="1" applyBorder="1"/>
    <xf numFmtId="0" fontId="66" fillId="4" borderId="1" xfId="0" applyFont="1" applyFill="1" applyBorder="1"/>
    <xf numFmtId="171" fontId="8" fillId="4" borderId="0" xfId="10"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29">
      <calculatedColumnFormula array="1">Common_InputFunctions.Utility_DisplayArrayInTable(Agresidue_SourceData.CropFractionRemoved_Data(), Table76[[#Headers],[Crop type c]], 0)</calculatedColumnFormula>
    </tableColumn>
    <tableColumn id="3" xr3:uid="{BB1819D3-B175-4610-A8F6-4C85437820E5}" name="Fraction removed" dataDxfId="28">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27">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26">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25" dataCellStyle="Content bold">
  <autoFilter ref="D43:E45" xr:uid="{2270AB6D-D03A-4D71-95C0-00BA6BB02732}">
    <filterColumn colId="0" hiddenButton="1"/>
    <filterColumn colId="1" hiddenButton="1"/>
  </autoFilter>
  <tableColumns count="2">
    <tableColumn id="1" xr3:uid="{C1F5DE5C-442A-47C8-B53B-A669D141AC48}" name="Climate zone type i" dataDxfId="24"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23"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22"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21"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20"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19"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18"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17"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16"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15"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14"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13">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4D72AE-1099-4C8E-B641-BABDB7A9E75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BD4618D-D005-4A02-A2F6-CE2429A7BCC5}" name="State/Territory">
      <calculatedColumnFormula array="1">Common_InputFunctions.Utility_DisplayArrayInTable(Common_SourceData.Common_SourceData_AustralianStatesTerritories_Data(),Table_AustralianStates[[#Headers],[State/Territory]],0)</calculatedColumnFormula>
    </tableColumn>
    <tableColumn id="2" xr3:uid="{C3B51FC6-18B6-479A-A1A1-D9A47B3F8AFD}" name="Common Name">
      <calculatedColumnFormula array="1">Common_InputFunctions.Utility_DisplayArrayInTable(Common_SourceData.Common_SourceData_AustralianStatesTerritories_Data(),Table_AustralianStates[[#Headers],[State/Territory]],0)</calculatedColumnFormula>
    </tableColumn>
    <tableColumn id="3" xr3:uid="{72368A62-93DB-4CD4-BE4B-B0A39D41D21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2EA1FBF-5F2C-425D-ABE6-8499619D4751}" name="Table_WASA4Areas" displayName="Table_WASA4Areas" ref="D20:D30" totalsRowShown="0">
  <autoFilter ref="D20:D30" xr:uid="{5FA81339-C6C8-4D36-BEEA-6C4AEDD9E676}">
    <filterColumn colId="0" hiddenButton="1"/>
  </autoFilter>
  <tableColumns count="1">
    <tableColumn id="1" xr3:uid="{CA89749D-BBFC-4AB9-8AF1-258E8CDA4E8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C6FF0F-21B3-458C-ADE6-0EEA76A61635}" name="Table_GWPData" displayName="Table_GWPData" ref="D36:E43" totalsRowShown="0">
  <autoFilter ref="D36:E43" xr:uid="{B8E87A66-3E41-4AD3-925D-01EE21B43D7A}">
    <filterColumn colId="0" hiddenButton="1"/>
    <filterColumn colId="1" hiddenButton="1"/>
  </autoFilter>
  <tableColumns count="2">
    <tableColumn id="1" xr3:uid="{ECDE723F-7415-4863-97D8-444684B43DAE}" name="Gas">
      <calculatedColumnFormula array="1">Common_InputFunctions.Utility_DisplayArrayInTable(Common_SourceData.Common_SourceData_GWP_Data(), Table_GWPData[[#Headers],[Gas]], 0)</calculatedColumnFormula>
    </tableColumn>
    <tableColumn id="2" xr3:uid="{415CD21A-4663-4A39-9858-FD148308E98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59F33D9-E420-40F0-9DDD-3D19C17F934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200F383-3EDB-4A28-AC76-DAF0AB3D90CE}" name="Gas">
      <calculatedColumnFormula array="1">Common_InputFunctions.Utility_DisplayArrayInTable(Common_SourceData.Common_SourceData_ConvertGasElementalToMolecular_Data(),Table_GasToMolecularConversionFactor[[#Headers],[Gas]], 0)</calculatedColumnFormula>
    </tableColumn>
    <tableColumn id="5" xr3:uid="{31FE8040-4D42-4E90-81DE-959B7221D1D0}" name="Conversion factor">
      <calculatedColumnFormula array="1">Common_InputFunctions.Utility_DisplayArrayInTable(Common_SourceData.Common_SourceData_ConvertGasElementalToMolecular_Data(),Table_GasToMolecularConversionFactor[[#Headers],[Gas]], 0)</calculatedColumnFormula>
    </tableColumn>
    <tableColumn id="2" xr3:uid="{D258343C-F9A4-4549-A33F-D5753CAF2E0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E30A0F0-1A64-4EDC-886E-C68A4A45747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FAECF81-54BF-40CB-ADA7-8AA192DD81C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C0FC57-8662-4A1B-A7B6-C15D341AF50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3310468-F448-4840-9D23-7B97A9273DF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C46D09-4C51-41CF-8F33-248F2C492D25}" name="MA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3" xr3:uid="{1E21332D-3F16-4953-B495-58AFDCA6D1DF}" name="MAP"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4" xr3:uid="{B629E4D9-DC24-4749-9E65-6B58F288E43C}" name="Frost days per year"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5" xr3:uid="{6CAEBBC0-3FCE-4A74-8E50-D10374C179C2}" name="Elevation"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6" xr3:uid="{76E89EC3-AEDA-49AD-89A6-558AB4BAB6C7}" name="MAP:PE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7" xr3:uid="{35BAB4F7-B76C-487E-BCDA-E5BDA004ACC2}" name="Min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8" xr3:uid="{089CEAA9-034D-4699-AFA3-3DE691E42224}" name="Max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9" xr3:uid="{4B404478-0A87-4483-A768-ED15A9F50EA7}" name="Min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0" xr3:uid="{D72CFE6A-3F99-4ABF-AC24-DF7E7DFFFB65}" name="Max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1" xr3:uid="{7666A2F5-089E-4DCF-B288-845256D5841E}" name="Min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5" xr3:uid="{27C7F345-B498-45B4-9401-F70B3BF17347}" name="Max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2" xr3:uid="{8BB50D35-7FE0-4BC4-92F1-E024BE78CE58}" name="Min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6" xr3:uid="{B414653C-D8A1-4744-BA64-8E2E7D1A8D0D}" name="Max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3" xr3:uid="{A1F7AC64-95FB-405D-B3B5-C83532730531}" name="Min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7" xr3:uid="{2655FBEB-CC8B-4994-84B4-3BADD0EA3036}" name="Max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E19E1BF-F52E-489A-86BC-8BF92E0DE8C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7E12FDC-1357-41EF-88F6-94D4F72FE5F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201C564-907C-44C0-9F24-656FA52A3CFD}" name="Wet or Dry Zone" totalsRowDxfId="5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F2755B-90F2-45A5-B269-EC98523EF0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3B335BF-1D4B-47A5-8591-96D89DA20A3C}" name="Temperature Zone">
      <calculatedColumnFormula array="1">Common_InputFunctions.Utility_DisplayArrayInTable(Common_SourceData.Common_SourceData_TemperatureZones_Data(),Table_SourceData_TemperatureZones[[#Headers],[Temperature Zone]],0)</calculatedColumnFormula>
    </tableColumn>
    <tableColumn id="2" xr3:uid="{03CEC008-9990-4C41-9129-925EDA4285E1}" name="MAT">
      <calculatedColumnFormula array="1">Common_InputFunctions.Utility_DisplayArrayInTable(Common_SourceData.Common_SourceData_TemperatureZones_Data(),Table_SourceData_TemperatureZones[[#Headers],[Temperature Zone]],0)</calculatedColumnFormula>
    </tableColumn>
    <tableColumn id="3" xr3:uid="{0C8F4AD7-8ACF-46EB-B427-042CAFBCF1C7}" name="Min MAT">
      <calculatedColumnFormula array="1">Common_InputFunctions.Utility_DisplayArrayInTable(Common_SourceData.Common_SourceData_TemperatureZones_Data(),Table_SourceData_TemperatureZones[[#Headers],[Temperature Zone]],0)</calculatedColumnFormula>
    </tableColumn>
    <tableColumn id="4" xr3:uid="{101CA768-2CBD-42E0-B528-1A3B30C9CCC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FF9849B-A998-4EF0-A50E-86CBA16E27B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7C73D22-7C15-4E26-856C-5A31F1CDEA25}" name="Rainfall Zone">
      <calculatedColumnFormula array="1">Common_InputFunctions.Utility_DisplayArrayInTable(Common_SourceData.Common_SourceData_RainfallZones_Data(),Table_SourceData_RainfallZones[[#Headers],[Rainfall Zone]],0)</calculatedColumnFormula>
    </tableColumn>
    <tableColumn id="2" xr3:uid="{3F465077-C442-4A02-B331-2C854377A9D2}" name="Annual rainfall">
      <calculatedColumnFormula array="1">Common_InputFunctions.Utility_DisplayArrayInTable(Common_SourceData.Common_SourceData_RainfallZones_Data(),Table_SourceData_RainfallZones[[#Headers],[Rainfall Zone]],0)</calculatedColumnFormula>
    </tableColumn>
    <tableColumn id="3" xr3:uid="{2D36C837-7BC4-4E34-80F1-776B7B7A7F9B}" name="Min rainfall">
      <calculatedColumnFormula array="1">Common_InputFunctions.Utility_DisplayArrayInTable(Common_SourceData.Common_SourceData_RainfallZones_Data(),Table_SourceData_RainfallZones[[#Headers],[Rainfall Zone]],0)</calculatedColumnFormula>
    </tableColumn>
    <tableColumn id="4" xr3:uid="{F7951BB1-7431-45BD-9900-5B1CD70C9F6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6D7FD53-E498-4A76-913E-A27C0349D72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6D03D3-EFCA-49DC-979E-10F92839AFFE}" name="Leaching Zone">
      <calculatedColumnFormula array="1">Common_InputFunctions.Utility_DisplayArrayInTable(Common_SourceData.Common_SourceData_LeachingZones_Data(), Table_SourceData_LeachingZones[[#Headers],[Leaching Zone]], 0)</calculatedColumnFormula>
    </tableColumn>
    <tableColumn id="2" xr3:uid="{63A395B6-6F3A-4FFE-8C25-5E738F14530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FB19A60-83D7-464A-BD92-D6BE719F1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BFDB36-1A35-4EB3-A8E7-D51F51DA348A}" name="Data source">
      <calculatedColumnFormula array="1">Common_InputFunctions.Utility_DisplayArrayInTable(Common_SourceData.Common_SourceData_DataScores_Scope3_Data(), Table_SourceData_DataScores_Scope3[[#Headers],[Data source]], 0)</calculatedColumnFormula>
    </tableColumn>
    <tableColumn id="2" xr3:uid="{780F2395-0E08-4B4F-BA36-CF11FF99576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C638743-BCFD-4588-A641-2D5C7D5295AB}" name="Table_SourceData_FracWET" displayName="Table_SourceData_FracWET" ref="D134:E136" totalsRowShown="0">
  <autoFilter ref="D134:E136" xr:uid="{308E99BE-FE1F-47A4-B2CA-97217277C4E9}">
    <filterColumn colId="0" hiddenButton="1"/>
    <filterColumn colId="1" hiddenButton="1"/>
  </autoFilter>
  <tableColumns count="2">
    <tableColumn id="1" xr3:uid="{3C2642A0-4935-40A4-8F80-249D8A40B2A9}" name="Is in leaching zone">
      <calculatedColumnFormula array="1">Common_InputFunctions.Utility_DisplayArrayInTable(Common_SourceData.Common_SourceData_FracWET_Data(),Table_SourceData_FracWET[[#Headers],[Is in leaching zone]],0)</calculatedColumnFormula>
    </tableColumn>
    <tableColumn id="2" xr3:uid="{2F972032-EFA9-4859-9F16-971F82F3C3C6}" name="FracWET" dataDxfId="4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2B8564-66AD-43BD-8C6E-E74AF15DFA0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CF75D29-4FE8-433B-8EA3-3AE18BAB2AB7}" name="Production system j">
      <calculatedColumnFormula array="1">Common_InputFunctions.Utility_DisplayArrayInTable(Common_SourceData.Common_SourceData_EFN2O_Data(), Table_SourceData_Common_EFN2O[[#Headers],[Production system j]], 0)</calculatedColumnFormula>
    </tableColumn>
    <tableColumn id="2" xr3:uid="{1F852024-C3AD-49B6-AB69-261AF781072B}" name="EFN2O">
      <calculatedColumnFormula array="1">Common_InputFunctions.Utility_DisplayArrayInTable(Common_SourceData.Common_SourceData_EFN2O_Data(), Table_SourceData_Common_EFN2O[[#Headers],[Production system j]], 0)</calculatedColumnFormula>
    </tableColumn>
    <tableColumn id="3" xr3:uid="{0C2F7CFF-F5D7-4CE9-A33D-DC1DCCDB9C7E}" name="Production system only">
      <calculatedColumnFormula array="1">Common_InputFunctions.Utility_DisplayArrayInTable(Common_SourceData.Common_SourceData_EFN2O_Data(), Table_SourceData_Common_EFN2O[[#Headers],[Production system j]], 0)</calculatedColumnFormula>
    </tableColumn>
    <tableColumn id="4" xr3:uid="{8D42A163-EFB7-4E92-A731-E48ACCAB7033}" name="Irrigation method">
      <calculatedColumnFormula array="1">Common_InputFunctions.Utility_DisplayArrayInTable(Common_SourceData.Common_SourceData_EFN2O_Data(), Table_SourceData_Common_EFN2O[[#Headers],[Production system j]], 0)</calculatedColumnFormula>
    </tableColumn>
    <tableColumn id="5" xr3:uid="{CAD996CB-3835-441F-AF99-65BDC4F27AE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919364D-6F84-47AC-8AB0-5857A8DC38D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49258DB-F75A-4EBF-A710-C1EE31702734}" name="Irrigation type i">
      <calculatedColumnFormula array="1">Common_InputFunctions.Utility_DisplayArrayInTable(Common_SourceData.Common_SourceData_FracWETIrrigation_Data(), Table_SourceData_FracWETIrrigation[[#Headers],[Irrigation type i]], 0)</calculatedColumnFormula>
    </tableColumn>
    <tableColumn id="2" xr3:uid="{E4D2C662-73D0-493D-9A77-742997AECD72}" name="FracWET" dataDxfId="4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617F714-4AFE-42E1-BB7E-AEFD3DA892D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0E23C0C-7F94-405E-BA69-DAD756D69E9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E7A1DE-267A-4501-8460-07C0CFD86784}" name="EFPRP" dataDxfId="4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2408AA1-FDD9-4143-8547-AEFE25FA553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C58677-C24E-4A1A-9943-E32A7FB69CD9}" name="Month">
      <calculatedColumnFormula array="1">Common_InputFunctions.Utility_DisplayArrayInTable(Common_SourceData.Common_SourceData_MonthsToSeasons_Data(), Table_SourceData_Common_MonthToSeason[[#Headers],[Month]], 0)</calculatedColumnFormula>
    </tableColumn>
    <tableColumn id="2" xr3:uid="{7C17C79F-B92B-4F4E-812D-890C3C9AA38E}"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6AAF74B-B363-45CB-AEBB-9F11A90BAD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7CDCD6-6BF2-4E5A-A0A9-7259BA45FB4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E2B460F-2624-4E7A-8AAA-A1779016EAC5}" name="MAT (ºC)"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B106A7A-85AA-4F96-830D-63834D821408}" name="Anaerobic lagoon"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2D4A9-7CC5-434C-A675-156EB6086CA4}" name="Digester / covered lagoon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A49349-06A2-4345-902E-28C88A40D531}" name="Liquid system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596AE0-CC62-4479-B272-940E5AA09BF0}" name="Daily spread"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85369AC-6A82-4BDC-90AA-C60E87C77CA7}" name="Composting (passive windrow)"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B80A7C-7F3C-4931-9AE6-3C8BFF3A05B4}" name="Solid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FD34F53-6808-4FC9-B9A5-9401C92930D5}" name="Pit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11B1892-68A0-4B35-8D20-E6F1E1FF2995}" name="Deep litter"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1E4B652-05BA-4B95-BBD0-B2ED6710EFEE}" name="Poultry manure with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5C810F0-F22C-436F-B67A-E2329FE70BDA}" name="Poultry manure without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B43A27B-E03C-4D32-B16A-E99AFF2E9922}" name="Direct process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EEC5D6-7562-45BF-9E4A-EE23DCC9F847}" name="Direct applicati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CD90574-4E9A-4F11-BD63-2F82E6A7B5E1}" name="Pasture range and paddock"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B7CC60A-C865-4625-B625-11B296B903CB}" name="MAT ra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8C2D788-C74A-4ACA-A75F-066F3F185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9275F03-E5C8-45B4-AEB4-E9E9F5B8209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363D1E-AA92-454E-9052-564634AB074D}" name="EFNi &amp; EFN2Oi" dataDxfId="3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26" t="s">
        <v>127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row>
    <row r="2" spans="1:42"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8"/>
    </row>
    <row r="3" spans="1:42" ht="20.100000000000001" customHeight="1" x14ac:dyDescent="0.25">
      <c r="A3" s="17" t="str">
        <f>HYPERLINK("#'Home'!A1", "Home")</f>
        <v>Home</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row>
    <row r="4" spans="1:42" ht="20.100000000000001" customHeight="1" x14ac:dyDescent="0.25">
      <c r="A4" s="107" t="str">
        <f>HYPERLINK("#'Overview'!A1", "Overview")</f>
        <v>Overview</v>
      </c>
    </row>
    <row r="5" spans="1:42" ht="20.100000000000001" customHeight="1" x14ac:dyDescent="0.25">
      <c r="A5" s="17" t="str">
        <f>HYPERLINK("#'Results'!A1", "Results")</f>
        <v>Results</v>
      </c>
      <c r="D5" s="104" t="s">
        <v>125</v>
      </c>
      <c r="E5" s="85"/>
      <c r="F5" s="85"/>
      <c r="G5" s="85"/>
      <c r="H5" s="85"/>
      <c r="I5" s="85"/>
      <c r="J5" s="85"/>
      <c r="K5" s="85"/>
      <c r="L5" s="85"/>
      <c r="M5" s="85"/>
      <c r="N5" s="85"/>
      <c r="O5" s="81"/>
    </row>
    <row r="6" spans="1:42" ht="20.100000000000001" customHeight="1" x14ac:dyDescent="0.25">
      <c r="A6" s="16"/>
      <c r="D6" s="130" t="s">
        <v>126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Crop'!A1", "Crop")</f>
        <v>Crop</v>
      </c>
    </row>
    <row r="10" spans="1:42" ht="20.100000000000001" customHeight="1" x14ac:dyDescent="0.25">
      <c r="A10" s="17" t="str">
        <f>HYPERLINK("#'Input - Pasture'!A1", "Pasture")</f>
        <v>Pasture</v>
      </c>
    </row>
    <row r="11" spans="1:42" ht="20.100000000000001" customHeight="1" x14ac:dyDescent="0.25"/>
    <row r="12" spans="1:42" ht="20.100000000000001" customHeight="1" x14ac:dyDescent="0.25">
      <c r="A12" s="19" t="s">
        <v>69</v>
      </c>
    </row>
    <row r="13" spans="1:42" ht="20.100000000000001" customHeight="1" x14ac:dyDescent="0.25">
      <c r="A13" s="17" t="str">
        <f>HYPERLINK("#'6.1.1.1-2 Crop residue N2O'!A1", "6.1.1.1-2 Crop residue N2O")</f>
        <v>6.1.1.1-2 Crop residue N2O</v>
      </c>
    </row>
    <row r="14" spans="1:42" ht="20.100000000000001" customHeight="1" x14ac:dyDescent="0.25">
      <c r="A14" s="17" t="str">
        <f>HYPERLINK("#'6.2.1.1-2 Pasture residue N2O'!A1", "6.2.1.1-2 Pasture residue N2O")</f>
        <v>6.2.1.1-2 Pasture residue N2O</v>
      </c>
    </row>
    <row r="15" spans="1:42" ht="20.100000000000001" customHeight="1" x14ac:dyDescent="0.25">
      <c r="A15" s="17" t="str">
        <f>HYPERLINK("#'6.3.1.1-2 Leaching and runoff'!A1", "6.3.1.1-2 Leaching and runoff")</f>
        <v>6.3.1.1-2 Leaching and runoff</v>
      </c>
    </row>
    <row r="16" spans="1:42" ht="20.100000000000001" customHeight="1" x14ac:dyDescent="0.25">
      <c r="A16" s="17" t="str">
        <f>HYPERLINK("#'6.4.1.1-2 Residue burning'!A1", "6.4.1.1-2 Residue burning")</f>
        <v>6.4.1.1-2 Residue burning</v>
      </c>
    </row>
    <row r="17" spans="1:1" ht="20.100000000000001" customHeight="1" x14ac:dyDescent="0.25">
      <c r="A17" s="17"/>
    </row>
    <row r="18" spans="1:1" ht="20.100000000000001" customHeight="1" x14ac:dyDescent="0.25">
      <c r="A18" s="18" t="s">
        <v>2</v>
      </c>
    </row>
    <row r="19" spans="1:1" ht="20.100000000000001" customHeight="1" x14ac:dyDescent="0.25">
      <c r="A19" s="17" t="str">
        <f>HYPERLINK("#'Constants - Ag Residue'!A1", "Constants - Ag Residue")</f>
        <v>Constants - Ag Residue</v>
      </c>
    </row>
    <row r="20" spans="1:1" ht="20.100000000000001" customHeight="1" x14ac:dyDescent="0.25">
      <c r="A20" s="17"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17" sqref="E17"/>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2" t="e" vm="1">
        <v>#VALUE!</v>
      </c>
      <c r="C1" s="126" t="s">
        <v>128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88" t="s">
        <v>122</v>
      </c>
      <c r="E6" s="83"/>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82</v>
      </c>
      <c r="E8" s="102" t="s">
        <v>94</v>
      </c>
      <c r="F8" s="102" t="s">
        <v>95</v>
      </c>
      <c r="G8" s="102" t="s">
        <v>88</v>
      </c>
      <c r="H8" s="102" t="s">
        <v>96</v>
      </c>
      <c r="I8" s="102" t="s">
        <v>97</v>
      </c>
      <c r="J8" s="102" t="s">
        <v>89</v>
      </c>
      <c r="K8" s="22"/>
    </row>
    <row r="9" spans="1:11" ht="20.100000000000001" customHeight="1" x14ac:dyDescent="0.25">
      <c r="A9" s="17" t="str">
        <f>HYPERLINK("#'Input - Crop'!A1", "Crop")</f>
        <v>Crop</v>
      </c>
      <c r="C9" s="22"/>
      <c r="D9" s="1" t="s">
        <v>217</v>
      </c>
      <c r="E9" s="125">
        <f>'6.1.1.1-2 Crop residue N2O'!E42</f>
        <v>6.6792000000000012E-4</v>
      </c>
      <c r="F9" s="125">
        <f>'6.1.1.1-2 Crop residue N2O'!N77</f>
        <v>6.6792000000000012E-4</v>
      </c>
      <c r="G9" s="52" t="s">
        <v>100</v>
      </c>
      <c r="H9" s="100">
        <f>'6.1.1.1-2 Crop residue N2O'!E47</f>
        <v>0.17699880000000004</v>
      </c>
      <c r="I9" s="100">
        <f>'6.1.1.1-2 Crop residue N2O'!N82</f>
        <v>0.17699880000000004</v>
      </c>
      <c r="J9" s="52" t="s">
        <v>92</v>
      </c>
      <c r="K9" s="22"/>
    </row>
    <row r="10" spans="1:11" ht="20.100000000000001" customHeight="1" x14ac:dyDescent="0.25">
      <c r="A10" s="17" t="str">
        <f>HYPERLINK("#'Input - Pasture'!A1", "Pasture")</f>
        <v>Pasture</v>
      </c>
      <c r="C10" s="22"/>
      <c r="D10" s="1" t="s">
        <v>218</v>
      </c>
      <c r="E10" s="144">
        <f>'6.2.1.1-2 Pasture residue N2O'!E40</f>
        <v>5.8320428571428569E-7</v>
      </c>
      <c r="F10" s="144">
        <f>'6.2.1.1-2 Pasture residue N2O'!O40</f>
        <v>5.8320428571428569E-7</v>
      </c>
      <c r="G10" s="52" t="s">
        <v>100</v>
      </c>
      <c r="H10" s="100">
        <f>'6.2.1.1-2 Pasture residue N2O'!E45</f>
        <v>1.545491357142857E-4</v>
      </c>
      <c r="I10" s="100">
        <f>'6.2.1.1-2 Pasture residue N2O'!O45</f>
        <v>1.545491357142857E-4</v>
      </c>
      <c r="J10" s="52" t="s">
        <v>92</v>
      </c>
      <c r="K10" s="22"/>
    </row>
    <row r="11" spans="1:11" ht="20.100000000000001" customHeight="1" x14ac:dyDescent="0.25">
      <c r="C11" s="22"/>
      <c r="D11" s="1" t="s">
        <v>219</v>
      </c>
      <c r="E11" s="125">
        <f>'6.3.1.1-2 Leaching and runoff'!E48</f>
        <v>3.5296969186285711E-4</v>
      </c>
      <c r="F11" s="125">
        <f>'6.3.1.1-2 Leaching and runoff'!O48</f>
        <v>3.5296969186285711E-4</v>
      </c>
      <c r="G11" s="52" t="s">
        <v>100</v>
      </c>
      <c r="H11" s="100">
        <f>'6.3.1.1-2 Leaching and runoff'!E53</f>
        <v>9.3536968343657129E-2</v>
      </c>
      <c r="I11" s="100">
        <f>'6.3.1.1-2 Leaching and runoff'!O53</f>
        <v>9.3536968343657129E-2</v>
      </c>
      <c r="J11" s="52" t="s">
        <v>92</v>
      </c>
      <c r="K11" s="22"/>
    </row>
    <row r="12" spans="1:11" ht="20.100000000000001" customHeight="1" x14ac:dyDescent="0.25">
      <c r="A12" s="19" t="s">
        <v>69</v>
      </c>
      <c r="C12" s="22"/>
      <c r="D12" s="1" t="s">
        <v>220</v>
      </c>
      <c r="E12" s="125">
        <f>'6.4.1.1-2 Residue burning'!E39</f>
        <v>1.276930285714286E-4</v>
      </c>
      <c r="F12" s="125">
        <f>E12</f>
        <v>1.276930285714286E-4</v>
      </c>
      <c r="G12" s="52" t="s">
        <v>100</v>
      </c>
      <c r="H12" s="100">
        <f>'6.4.1.1-2 Residue burning'!E44</f>
        <v>3.3838652571428582E-2</v>
      </c>
      <c r="I12" s="100">
        <f>H12</f>
        <v>3.3838652571428582E-2</v>
      </c>
      <c r="J12" s="52" t="s">
        <v>92</v>
      </c>
      <c r="K12" s="22"/>
    </row>
    <row r="13" spans="1:11" ht="20.100000000000001" customHeight="1" x14ac:dyDescent="0.25">
      <c r="A13" s="17" t="str">
        <f>HYPERLINK("#'6.1.1.1-2 Crop residue N2O'!A1", "6.1.1.1-2 Crop residue N2O")</f>
        <v>6.1.1.1-2 Crop residue N2O</v>
      </c>
      <c r="C13" s="22"/>
      <c r="D13" s="1" t="s">
        <v>220</v>
      </c>
      <c r="E13" s="125">
        <f>'6.4.1.1-2 Residue burning'!E62</f>
        <v>3.3264000000000002E-3</v>
      </c>
      <c r="F13" s="125">
        <f>E13</f>
        <v>3.3264000000000002E-3</v>
      </c>
      <c r="G13" s="52" t="s">
        <v>221</v>
      </c>
      <c r="H13" s="100">
        <f>'6.4.1.1-2 Residue burning'!E67</f>
        <v>9.3139200000000005E-2</v>
      </c>
      <c r="I13" s="100">
        <f>H13</f>
        <v>9.3139200000000005E-2</v>
      </c>
      <c r="J13" s="52" t="s">
        <v>92</v>
      </c>
      <c r="K13" s="22"/>
    </row>
    <row r="14" spans="1:11" ht="20.100000000000001" customHeight="1" x14ac:dyDescent="0.3">
      <c r="A14" s="17" t="str">
        <f>HYPERLINK("#'6.2.1.1-2 Pasture residue N2O'!A1", "6.2.1.1-2 Pasture residue N2O")</f>
        <v>6.2.1.1-2 Pasture residue N2O</v>
      </c>
      <c r="C14" s="22"/>
      <c r="D14" s="29" t="s">
        <v>87</v>
      </c>
      <c r="E14" s="23"/>
      <c r="F14" s="23"/>
      <c r="G14" s="29"/>
      <c r="H14" s="101">
        <f>SUM(H9:H13)</f>
        <v>0.39766817005080002</v>
      </c>
      <c r="I14" s="101">
        <f>SUM(I9:I13)</f>
        <v>0.39766817005080002</v>
      </c>
      <c r="J14" s="97" t="s">
        <v>92</v>
      </c>
      <c r="K14" s="22"/>
    </row>
    <row r="15" spans="1:11" ht="20.100000000000001" customHeight="1" x14ac:dyDescent="0.25">
      <c r="A15" s="17" t="str">
        <f>HYPERLINK("#'6.3.1.1-2 Leaching and runoff'!A1", "6.3.1.1-2 Leaching and runoff")</f>
        <v>6.3.1.1-2 Leaching and runoff</v>
      </c>
      <c r="C15" s="22"/>
      <c r="D15" s="1"/>
      <c r="E15" s="1"/>
      <c r="F15" s="1"/>
      <c r="G15" s="1"/>
      <c r="H15" s="1"/>
      <c r="I15" s="1"/>
      <c r="J15" s="1"/>
      <c r="K15" s="22"/>
    </row>
    <row r="16" spans="1:11" ht="20.100000000000001" customHeight="1" x14ac:dyDescent="0.25">
      <c r="A16" s="17" t="str">
        <f>HYPERLINK("#'6.4.1.1-2 Residue burning'!A1", "6.4.1.1-2 Residue burning")</f>
        <v>6.4.1.1-2 Residue burning</v>
      </c>
      <c r="C16" s="22"/>
      <c r="D16" s="98"/>
      <c r="E16" s="98"/>
      <c r="F16" s="98"/>
      <c r="G16" s="98"/>
      <c r="H16" s="98"/>
      <c r="I16" s="98"/>
      <c r="J16" s="98"/>
      <c r="K16" s="22"/>
    </row>
    <row r="17" spans="1:11" ht="20.100000000000001" customHeight="1" x14ac:dyDescent="0.25">
      <c r="A17" s="17"/>
      <c r="C17" s="22"/>
      <c r="D17" s="98"/>
      <c r="E17" s="1"/>
      <c r="F17" s="1"/>
      <c r="G17" s="1"/>
      <c r="H17" s="1"/>
      <c r="I17" s="1"/>
      <c r="J17" s="22"/>
      <c r="K17" s="22"/>
    </row>
    <row r="18" spans="1:11" ht="20.100000000000001" customHeight="1" x14ac:dyDescent="0.25">
      <c r="A18" s="18" t="s">
        <v>2</v>
      </c>
      <c r="C18" s="22"/>
      <c r="D18" s="105"/>
      <c r="E18" s="1"/>
      <c r="F18" s="1"/>
      <c r="G18" s="1"/>
      <c r="H18" s="1"/>
      <c r="I18" s="1"/>
      <c r="J18" s="22"/>
      <c r="K18" s="22"/>
    </row>
    <row r="19" spans="1:11" ht="20.100000000000001" customHeight="1" x14ac:dyDescent="0.25">
      <c r="A19" s="17" t="str">
        <f>HYPERLINK("#'Constants - Ag Residue'!A1", "Constants - Ag Residue")</f>
        <v>Constants - Ag Residue</v>
      </c>
      <c r="C19" s="22"/>
      <c r="D19" s="1"/>
      <c r="E19" s="1"/>
      <c r="F19" s="1"/>
      <c r="G19" s="1"/>
      <c r="H19" s="1"/>
      <c r="I19" s="1"/>
      <c r="J19" s="22"/>
      <c r="K19" s="22"/>
    </row>
    <row r="20" spans="1:11" ht="20.100000000000001" customHeight="1" x14ac:dyDescent="0.25">
      <c r="A20" s="17" t="str">
        <f>HYPERLINK("#'Constants - Common'!A1", "Constants - Common")</f>
        <v>Constants - Common</v>
      </c>
      <c r="C20" s="22"/>
      <c r="D20" s="1"/>
      <c r="E20" s="1"/>
      <c r="F20" s="1"/>
      <c r="G20" s="1"/>
      <c r="H20" s="1"/>
      <c r="I20" s="1"/>
      <c r="J20" s="22"/>
      <c r="K20" s="22"/>
    </row>
    <row r="21" spans="1:11" ht="20.100000000000001" customHeight="1" x14ac:dyDescent="0.25">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6" t="str">
        <f>HYPERLINK("#'Input - Site'!A1", "Site")</f>
        <v>Site</v>
      </c>
      <c r="D8" s="10" t="s">
        <v>67</v>
      </c>
      <c r="E8" s="33" t="s">
        <v>68</v>
      </c>
    </row>
    <row r="9" spans="1:24" ht="20.100000000000001" customHeight="1" x14ac:dyDescent="0.25">
      <c r="A9" s="17" t="str">
        <f>HYPERLINK("#'Input - Crop'!A1", "Crop")</f>
        <v>Crop</v>
      </c>
      <c r="N9" s="42"/>
    </row>
    <row r="10" spans="1:24" ht="20.100000000000001" customHeight="1" x14ac:dyDescent="0.25">
      <c r="A10" s="17" t="str">
        <f>HYPERLINK("#'Input - Pasture'!A1", "Pasture")</f>
        <v>Pasture</v>
      </c>
      <c r="D10" s="88" t="s">
        <v>71</v>
      </c>
      <c r="E10" s="86"/>
      <c r="F10" s="89"/>
      <c r="G10" s="83"/>
      <c r="N10" s="42"/>
    </row>
    <row r="11" spans="1:24" ht="20.100000000000001" customHeight="1" x14ac:dyDescent="0.25">
      <c r="A11"/>
      <c r="N11" s="43"/>
    </row>
    <row r="12" spans="1:24" ht="20.100000000000001" customHeight="1" x14ac:dyDescent="0.25">
      <c r="A12" s="19" t="s">
        <v>69</v>
      </c>
      <c r="D12" s="10" t="s">
        <v>77</v>
      </c>
      <c r="E12" s="60">
        <v>45292</v>
      </c>
      <c r="F12" s="2" t="s">
        <v>65</v>
      </c>
    </row>
    <row r="13" spans="1:24" ht="20.100000000000001" customHeight="1" x14ac:dyDescent="0.25">
      <c r="A13" s="17" t="str">
        <f>HYPERLINK("#'6.1.1.1-2 Crop residue N2O'!A1", "6.1.1.1-2 Crop residue N2O")</f>
        <v>6.1.1.1-2 Crop residue N2O</v>
      </c>
      <c r="D13" s="10" t="s">
        <v>78</v>
      </c>
      <c r="E13" s="64">
        <f>DATE(YEAR(E12)+1,MONTH(E12),DAY(E12))-1</f>
        <v>45657</v>
      </c>
      <c r="F13" s="2" t="s">
        <v>15</v>
      </c>
      <c r="N13" s="38"/>
      <c r="O13" s="38"/>
    </row>
    <row r="14" spans="1:24" ht="20.100000000000001" customHeight="1" x14ac:dyDescent="0.25">
      <c r="A14" s="17" t="str">
        <f>HYPERLINK("#'6.2.1.1-2 Pasture residue N2O'!A1", "6.2.1.1-2 Pasture residue N2O")</f>
        <v>6.2.1.1-2 Pasture residue N2O</v>
      </c>
      <c r="N14" s="38"/>
      <c r="O14" s="38"/>
    </row>
    <row r="15" spans="1:24" ht="20.100000000000001" customHeight="1" x14ac:dyDescent="0.25">
      <c r="A15" s="17" t="str">
        <f>HYPERLINK("#'6.3.1.1-2 Leaching and runoff'!A1", "6.3.1.1-2 Leaching and runoff")</f>
        <v>6.3.1.1-2 Leaching and runoff</v>
      </c>
      <c r="N15" s="38"/>
      <c r="O15" s="38"/>
    </row>
    <row r="16" spans="1:24" ht="20.100000000000001" customHeight="1" x14ac:dyDescent="0.25">
      <c r="A16" s="17" t="str">
        <f>HYPERLINK("#'6.4.1.1-2 Residue burning'!A1", "6.4.1.1-2 Residue burning")</f>
        <v>6.4.1.1-2 Residue burning</v>
      </c>
      <c r="D16" s="6" t="s">
        <v>12</v>
      </c>
      <c r="N16" s="38"/>
      <c r="O16" s="38"/>
    </row>
    <row r="17" spans="1:25" ht="20.100000000000001" customHeight="1" x14ac:dyDescent="0.25">
      <c r="A17" s="17"/>
    </row>
    <row r="18" spans="1:25" ht="20.100000000000001" customHeight="1" x14ac:dyDescent="0.25">
      <c r="A18" s="18" t="s">
        <v>2</v>
      </c>
      <c r="D18" s="90" t="s">
        <v>14</v>
      </c>
      <c r="E18" s="85"/>
      <c r="F18" s="85"/>
      <c r="G18" s="81"/>
    </row>
    <row r="19" spans="1:25" ht="20.100000000000001" customHeight="1" x14ac:dyDescent="0.25">
      <c r="A19" s="17" t="str">
        <f>HYPERLINK("#'Constants - Ag Residue'!A1", "Constants - Ag Residue")</f>
        <v>Constants - Ag Residue</v>
      </c>
      <c r="D19" s="87" t="s">
        <v>66</v>
      </c>
      <c r="E19" s="84"/>
      <c r="F19" s="84"/>
      <c r="G19" s="82"/>
      <c r="N19" s="40"/>
    </row>
    <row r="20" spans="1:25" ht="20.100000000000001" customHeight="1" x14ac:dyDescent="0.25">
      <c r="A20" s="17" t="str">
        <f>HYPERLINK("#'Constants - Common'!A1", "Constants - Common")</f>
        <v>Constants - Common</v>
      </c>
      <c r="D20" s="1"/>
      <c r="E20" s="31"/>
      <c r="F20" s="2"/>
      <c r="N20" s="41"/>
    </row>
    <row r="21" spans="1:25" ht="20.100000000000001" customHeight="1" x14ac:dyDescent="0.25">
      <c r="A21"/>
      <c r="D21" s="1" t="s">
        <v>6</v>
      </c>
      <c r="E21" s="39" t="s">
        <v>99</v>
      </c>
      <c r="F21" s="2" t="s">
        <v>9</v>
      </c>
    </row>
    <row r="22" spans="1:25" ht="20.100000000000001" customHeight="1" x14ac:dyDescent="0.25">
      <c r="A22"/>
      <c r="D22" s="1" t="s">
        <v>21</v>
      </c>
      <c r="E22" s="39" t="s">
        <v>30</v>
      </c>
      <c r="F22" s="2" t="s">
        <v>9</v>
      </c>
      <c r="G22" s="1"/>
    </row>
    <row r="23" spans="1:25" ht="20.100000000000001" customHeight="1" x14ac:dyDescent="0.25">
      <c r="A23"/>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zoomScale="85" zoomScaleNormal="85" workbookViewId="0">
      <selection activeCell="G16" sqref="G16"/>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2" customFormat="1" ht="30" customHeight="1" x14ac:dyDescent="0.35">
      <c r="A1" s="62" t="e" vm="1">
        <v>#VALUE!</v>
      </c>
      <c r="C1" s="62" t="s">
        <v>130</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131</v>
      </c>
    </row>
    <row r="6" spans="1:8" ht="20.100000000000001" customHeight="1" x14ac:dyDescent="0.25">
      <c r="A6" s="16"/>
    </row>
    <row r="7" spans="1:8" ht="20.100000000000001" customHeight="1" x14ac:dyDescent="0.25">
      <c r="A7" s="20" t="s">
        <v>1</v>
      </c>
      <c r="D7" s="88" t="s">
        <v>132</v>
      </c>
      <c r="E7" s="89"/>
      <c r="F7" s="89"/>
      <c r="G7" s="83"/>
    </row>
    <row r="8" spans="1:8" ht="20.100000000000001" customHeight="1" x14ac:dyDescent="0.25">
      <c r="A8" s="17" t="str">
        <f>HYPERLINK("#'Input - Site'!A1", "Site")</f>
        <v>Site</v>
      </c>
    </row>
    <row r="9" spans="1:8" ht="20.100000000000001" customHeight="1" x14ac:dyDescent="0.25">
      <c r="A9" s="106" t="str">
        <f>HYPERLINK("#'Input - Crop'!A1", "Crop")</f>
        <v>Crop</v>
      </c>
      <c r="D9" s="1" t="s">
        <v>110</v>
      </c>
      <c r="E9" s="39" t="s">
        <v>133</v>
      </c>
      <c r="F9" s="2" t="s">
        <v>134</v>
      </c>
    </row>
    <row r="10" spans="1:8" ht="20.100000000000001" customHeight="1" x14ac:dyDescent="0.25">
      <c r="A10" s="17" t="str">
        <f>HYPERLINK("#'Input - Pasture'!A1", "Pasture")</f>
        <v>Pasture</v>
      </c>
      <c r="D10" s="1" t="s">
        <v>135</v>
      </c>
      <c r="E10" s="39" t="s">
        <v>174</v>
      </c>
      <c r="F10" s="2" t="s">
        <v>134</v>
      </c>
    </row>
    <row r="11" spans="1:8" ht="20.100000000000001" customHeight="1" x14ac:dyDescent="0.25">
      <c r="D11" s="10" t="s">
        <v>86</v>
      </c>
      <c r="E11" s="39" t="s">
        <v>108</v>
      </c>
      <c r="F11" s="2" t="s">
        <v>134</v>
      </c>
    </row>
    <row r="12" spans="1:8" ht="20.100000000000001" customHeight="1" x14ac:dyDescent="0.25">
      <c r="A12" s="19" t="s">
        <v>69</v>
      </c>
    </row>
    <row r="13" spans="1:8" ht="20.100000000000001" customHeight="1" x14ac:dyDescent="0.25">
      <c r="A13" s="17" t="str">
        <f>HYPERLINK("#'6.1.1.1-2 Crop residue N2O'!A1", "6.1.1.1-2 Crop residue N2O")</f>
        <v>6.1.1.1-2 Crop residue N2O</v>
      </c>
      <c r="D13" s="1" t="s">
        <v>111</v>
      </c>
      <c r="E13" s="133">
        <v>1000</v>
      </c>
      <c r="F13" s="2" t="s">
        <v>136</v>
      </c>
    </row>
    <row r="14" spans="1:8" ht="20.100000000000001" customHeight="1" x14ac:dyDescent="0.25">
      <c r="A14" s="17" t="str">
        <f>HYPERLINK("#'6.2.1.1-2 Pasture residue N2O'!A1", "6.2.1.1-2 Pasture residue N2O")</f>
        <v>6.2.1.1-2 Pasture residue N2O</v>
      </c>
    </row>
    <row r="15" spans="1:8" ht="20.100000000000001" customHeight="1" x14ac:dyDescent="0.25">
      <c r="A15" s="17" t="str">
        <f>HYPERLINK("#'6.3.1.1-2 Leaching and runoff'!A1", "6.3.1.1-2 Leaching and runoff")</f>
        <v>6.3.1.1-2 Leaching and runoff</v>
      </c>
      <c r="D15" s="6" t="s">
        <v>137</v>
      </c>
    </row>
    <row r="16" spans="1:8" ht="20.100000000000001" customHeight="1" x14ac:dyDescent="0.25">
      <c r="A16" s="17" t="str">
        <f>HYPERLINK("#'6.4.1.1-2 Residue burning'!A1", "6.4.1.1-2 Residue burning")</f>
        <v>6.4.1.1-2 Residue burning</v>
      </c>
    </row>
    <row r="17" spans="1:6" ht="20.100000000000001" customHeight="1" x14ac:dyDescent="0.25">
      <c r="A17" s="17"/>
      <c r="D17" s="1" t="str">
        <f>E10 &amp; " " &amp; _xlfn.XLOOKUP(E10,Table_SourceData_CropPurposeAndYields[Purpose], Table_SourceData_CropPurposeAndYields[harvest term]) &amp; " per hectare¹"</f>
        <v>Cash grain crop yield per hectare¹</v>
      </c>
      <c r="E17" s="114">
        <v>10</v>
      </c>
      <c r="F17" s="2" t="str">
        <f>"Tonnes " &amp; _xlfn.XLOOKUP(E10, Table_SourceData_CropPurposeAndYields[Purpose], Table_SourceData_CropPurposeAndYields[Per hectare unit], FALSE) &amp; " per hectare"</f>
        <v>Tonnes grain per hectare</v>
      </c>
    </row>
    <row r="18" spans="1:6" ht="20.100000000000001" customHeight="1" x14ac:dyDescent="0.25">
      <c r="A18" s="18" t="s">
        <v>2</v>
      </c>
      <c r="D18" s="1" t="s">
        <v>231</v>
      </c>
      <c r="E18" s="50" cm="1">
        <f t="array" ref="E18">_xlfn.IFS(E10="Cash grain crop", Common_InputFunctions.Utility_LookupValueInTableNumber(E9, Table_SourceData_CropAttributes[Crop type],Table_SourceData_CropAttributes[Residue: Crop ratio]), E10="Cash crop for hay/silage", 0, E10="Cover crop", 1)</f>
        <v>1.5</v>
      </c>
    </row>
    <row r="19" spans="1:6" ht="20.100000000000001" customHeight="1" x14ac:dyDescent="0.25">
      <c r="A19" s="17" t="str">
        <f>HYPERLINK("#'Constants - Ag Residue'!A1", "Constants - Ag Residue")</f>
        <v>Constants - Ag Residue</v>
      </c>
      <c r="D19" s="1" t="s">
        <v>140</v>
      </c>
      <c r="E19" s="50">
        <f>E17*E18</f>
        <v>15</v>
      </c>
      <c r="F19" s="2" t="s">
        <v>139</v>
      </c>
    </row>
    <row r="20" spans="1:6" ht="20.100000000000001" customHeight="1" x14ac:dyDescent="0.25">
      <c r="A20" s="17" t="str">
        <f>HYPERLINK("#'Constants - Common'!A1", "Constants - Common")</f>
        <v>Constants - Common</v>
      </c>
      <c r="D20" s="1" t="s">
        <v>138</v>
      </c>
      <c r="E20" s="50">
        <f>E17+E19</f>
        <v>25</v>
      </c>
      <c r="F20" s="2" t="s">
        <v>139</v>
      </c>
    </row>
    <row r="21" spans="1:6" ht="20.100000000000001" customHeight="1" x14ac:dyDescent="0.25"/>
    <row r="22" spans="1:6" ht="20.100000000000001" customHeight="1" x14ac:dyDescent="0.25">
      <c r="D22" s="51" t="s">
        <v>232</v>
      </c>
      <c r="E22" s="50">
        <f>E17*E13</f>
        <v>10000</v>
      </c>
      <c r="F22" s="2" t="str">
        <f>"Tonnes " &amp; _xlfn.XLOOKUP(E10, Table_SourceData_CropPurposeAndYields[Purpose], Table_SourceData_CropPurposeAndYields[Harvest uit], FALSE)</f>
        <v>Tonnes grain</v>
      </c>
    </row>
    <row r="23" spans="1:6" ht="20.100000000000001" customHeight="1" x14ac:dyDescent="0.25"/>
    <row r="24" spans="1:6" ht="20.100000000000001" customHeight="1" x14ac:dyDescent="0.25">
      <c r="D24" s="98" t="str">
        <f>"¹ " &amp; _xlfn.XLOOKUP(E10, Table_SourceData_CropPurposeAndYields[Purpose],Table_SourceData_CropPurposeAndYields[Yield note])</f>
        <v>¹ Yield is the grain harvested from the plant</v>
      </c>
    </row>
    <row r="25" spans="1:6" ht="20.100000000000001" customHeight="1" x14ac:dyDescent="0.25">
      <c r="D25" s="98" t="str">
        <f>"² " &amp; _xlfn.XLOOKUP(E10, Table_SourceData_CropPurposeAndYields[Purpose],Table_SourceData_CropPurposeAndYields[Residue crop ratio note])</f>
        <v>² Residue to crop ratio is provided from default values</v>
      </c>
    </row>
    <row r="26" spans="1:6" ht="20.100000000000001" customHeight="1" x14ac:dyDescent="0.25">
      <c r="D26" s="98" t="str">
        <f>"³ " &amp; _xlfn.XLOOKUP(E10,Table_SourceData_CropPurposeAndYields[Purpose],Table_SourceData_CropPurposeAndYields[Total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141</v>
      </c>
    </row>
    <row r="29" spans="1:6" ht="20.100000000000001" customHeight="1" x14ac:dyDescent="0.25">
      <c r="A29" s="17"/>
    </row>
    <row r="30" spans="1:6" ht="20.100000000000001" customHeight="1" x14ac:dyDescent="0.25">
      <c r="A30" s="17"/>
      <c r="D30" s="1" t="str">
        <f>"Residue after " &amp; VLOOKUP(E10,'Constants - Ag Residue'!D8:G10, 4, FALSE)</f>
        <v>Residue after harvest</v>
      </c>
      <c r="E30" s="50">
        <f>E19*E13</f>
        <v>15000</v>
      </c>
      <c r="F30" s="2" t="s">
        <v>142</v>
      </c>
    </row>
    <row r="31" spans="1:6" ht="20.100000000000001" customHeight="1" x14ac:dyDescent="0.25">
      <c r="A31" s="61"/>
    </row>
    <row r="32" spans="1:6" ht="20.100000000000001" customHeight="1" x14ac:dyDescent="0.25">
      <c r="A32" s="61"/>
      <c r="D32" s="46" t="s">
        <v>143</v>
      </c>
    </row>
    <row r="33" spans="1:8" ht="20.100000000000001" customHeight="1" x14ac:dyDescent="0.25">
      <c r="A33" s="17"/>
      <c r="D33" s="1" t="s">
        <v>144</v>
      </c>
      <c r="E33" s="124">
        <v>0.1</v>
      </c>
      <c r="F33" s="2" t="s">
        <v>145</v>
      </c>
    </row>
    <row r="34" spans="1:8" ht="20.100000000000001" customHeight="1" x14ac:dyDescent="0.25">
      <c r="D34" s="1" t="s">
        <v>146</v>
      </c>
      <c r="E34" s="114">
        <v>60</v>
      </c>
      <c r="F34" s="2" t="s">
        <v>147</v>
      </c>
    </row>
    <row r="35" spans="1:8" ht="20.100000000000001" customHeight="1" x14ac:dyDescent="0.25">
      <c r="D35" s="51" t="s">
        <v>148</v>
      </c>
      <c r="E35" s="135">
        <f>IFERROR((E36*10^3)/E34, 0)</f>
        <v>25000</v>
      </c>
      <c r="F35" s="2" t="s">
        <v>149</v>
      </c>
    </row>
    <row r="36" spans="1:8" ht="20.100000000000001" customHeight="1" x14ac:dyDescent="0.25">
      <c r="D36" s="51" t="s">
        <v>150</v>
      </c>
      <c r="E36" s="50">
        <f>E30*E33</f>
        <v>1500</v>
      </c>
      <c r="F36" s="2" t="s">
        <v>142</v>
      </c>
    </row>
    <row r="37" spans="1:8" ht="20.100000000000001" customHeight="1" x14ac:dyDescent="0.25">
      <c r="C37" s="112"/>
    </row>
    <row r="38" spans="1:8" ht="20.100000000000001" customHeight="1" x14ac:dyDescent="0.25">
      <c r="C38" s="112"/>
      <c r="D38" s="46" t="s">
        <v>151</v>
      </c>
    </row>
    <row r="39" spans="1:8" ht="20.100000000000001" customHeight="1" x14ac:dyDescent="0.25">
      <c r="A39" s="17"/>
      <c r="D39" s="1" t="s">
        <v>152</v>
      </c>
      <c r="E39" s="124">
        <v>0.01</v>
      </c>
      <c r="F39" s="2" t="s">
        <v>145</v>
      </c>
    </row>
    <row r="40" spans="1:8" s="113" customFormat="1" ht="20.100000000000001" customHeight="1" x14ac:dyDescent="0.25">
      <c r="C40" s="1"/>
      <c r="D40" s="1" t="s">
        <v>153</v>
      </c>
      <c r="E40" s="50">
        <f>E30*E39</f>
        <v>150</v>
      </c>
      <c r="F40" s="2" t="s">
        <v>142</v>
      </c>
      <c r="G40" s="1"/>
      <c r="H40" s="1"/>
    </row>
    <row r="41" spans="1:8" s="113" customFormat="1" ht="20.100000000000001" customHeight="1" x14ac:dyDescent="0.25">
      <c r="A41" s="115"/>
      <c r="C41" s="1"/>
      <c r="D41" s="1"/>
      <c r="E41" s="1"/>
      <c r="F41" s="1"/>
      <c r="G41" s="1"/>
      <c r="H41" s="1"/>
    </row>
    <row r="42" spans="1:8" ht="20.100000000000001" customHeight="1" x14ac:dyDescent="0.25">
      <c r="D42" s="46" t="s">
        <v>154</v>
      </c>
    </row>
    <row r="43" spans="1:8" ht="20.100000000000001" customHeight="1" x14ac:dyDescent="0.25">
      <c r="D43" s="1" t="s">
        <v>155</v>
      </c>
      <c r="E43" s="124">
        <v>0.3</v>
      </c>
      <c r="F43" s="2" t="s">
        <v>145</v>
      </c>
    </row>
    <row r="44" spans="1:8" ht="20.100000000000001" customHeight="1" x14ac:dyDescent="0.25">
      <c r="A44" s="123" t="str">
        <f>HYPERLINK("#A1", "▲ Back to top")</f>
        <v>▲ Back to top</v>
      </c>
      <c r="D44" s="1" t="s">
        <v>156</v>
      </c>
      <c r="E44" s="50">
        <f>E30*E43</f>
        <v>4500</v>
      </c>
      <c r="F44" s="2" t="s">
        <v>142</v>
      </c>
    </row>
    <row r="45" spans="1:8" ht="20.100000000000001" customHeight="1" x14ac:dyDescent="0.25"/>
    <row r="46" spans="1:8" ht="20.100000000000001" customHeight="1" x14ac:dyDescent="0.25">
      <c r="D46" s="1" t="s">
        <v>157</v>
      </c>
      <c r="E46" s="50">
        <f>E30-E36-E40-E44</f>
        <v>8850</v>
      </c>
      <c r="F46" s="2" t="s">
        <v>142</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8"/>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workbookViewId="0">
      <selection activeCell="E10" sqref="E10"/>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197</v>
      </c>
      <c r="D1" s="62"/>
      <c r="E1" s="62"/>
      <c r="F1" s="62"/>
      <c r="G1" s="62"/>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131</v>
      </c>
    </row>
    <row r="6" spans="1:7" ht="20.100000000000001" customHeight="1" x14ac:dyDescent="0.25">
      <c r="A6" s="16"/>
    </row>
    <row r="7" spans="1:7" ht="20.100000000000001" customHeight="1" x14ac:dyDescent="0.25">
      <c r="A7" s="20" t="s">
        <v>1</v>
      </c>
      <c r="D7" s="21" t="s">
        <v>132</v>
      </c>
      <c r="E7" s="21"/>
      <c r="F7" s="21"/>
    </row>
    <row r="8" spans="1:7" ht="20.100000000000001" customHeight="1" x14ac:dyDescent="0.25">
      <c r="A8" s="17" t="str">
        <f>HYPERLINK("#'Input - Site'!A1", "Site")</f>
        <v>Site</v>
      </c>
    </row>
    <row r="9" spans="1:7" ht="20.100000000000001" customHeight="1" x14ac:dyDescent="0.25">
      <c r="A9" s="17" t="str">
        <f>HYPERLINK("#'Input - Crop'!A1", "Crop")</f>
        <v>Crop</v>
      </c>
      <c r="D9" s="1" t="s">
        <v>181</v>
      </c>
      <c r="E9" s="39" t="s">
        <v>222</v>
      </c>
      <c r="F9" s="2" t="s">
        <v>196</v>
      </c>
    </row>
    <row r="10" spans="1:7" ht="20.100000000000001" customHeight="1" x14ac:dyDescent="0.25">
      <c r="A10" s="106" t="str">
        <f>HYPERLINK("#'Input - Pasture'!A1", "Pasture")</f>
        <v>Pasture</v>
      </c>
      <c r="D10" s="1" t="s">
        <v>86</v>
      </c>
      <c r="E10" s="39" t="s">
        <v>226</v>
      </c>
      <c r="F10" s="2" t="s">
        <v>196</v>
      </c>
    </row>
    <row r="11" spans="1:7" ht="20.100000000000001" customHeight="1" x14ac:dyDescent="0.25"/>
    <row r="12" spans="1:7" ht="20.100000000000001" customHeight="1" x14ac:dyDescent="0.25">
      <c r="A12" s="19" t="s">
        <v>69</v>
      </c>
      <c r="D12" s="1" t="s">
        <v>189</v>
      </c>
      <c r="E12" s="114">
        <v>1000</v>
      </c>
      <c r="F12" s="2" t="s">
        <v>136</v>
      </c>
    </row>
    <row r="13" spans="1:7" ht="20.100000000000001" customHeight="1" x14ac:dyDescent="0.25">
      <c r="A13" s="17" t="str">
        <f>HYPERLINK("#'6.1.1.1-2 Crop residue N2O'!A1", "6.1.1.1-2 Crop residue N2O")</f>
        <v>6.1.1.1-2 Crop residue N2O</v>
      </c>
    </row>
    <row r="14" spans="1:7" ht="20.100000000000001" customHeight="1" x14ac:dyDescent="0.25">
      <c r="A14" s="17" t="str">
        <f>HYPERLINK("#'6.2.1.1-2 Pasture residue N2O'!A1", "6.2.1.1-2 Pasture residue N2O")</f>
        <v>6.2.1.1-2 Pasture residue N2O</v>
      </c>
      <c r="D14" s="6" t="s">
        <v>137</v>
      </c>
    </row>
    <row r="15" spans="1:7" ht="20.100000000000001" customHeight="1" x14ac:dyDescent="0.25">
      <c r="A15" s="17" t="str">
        <f>HYPERLINK("#'6.3.1.1-2 Leaching and runoff'!A1", "6.3.1.1-2 Leaching and runoff")</f>
        <v>6.3.1.1-2 Leaching and runoff</v>
      </c>
    </row>
    <row r="16" spans="1:7" ht="20.100000000000001" customHeight="1" x14ac:dyDescent="0.25">
      <c r="A16" s="17" t="str">
        <f>HYPERLINK("#'6.4.1.1-2 Residue burning'!A1", "6.4.1.1-2 Residue burning")</f>
        <v>6.4.1.1-2 Residue burning</v>
      </c>
      <c r="D16" s="134" t="s">
        <v>190</v>
      </c>
      <c r="E16" s="85"/>
      <c r="F16" s="81"/>
    </row>
    <row r="17" spans="1:6" ht="20.100000000000001" customHeight="1" x14ac:dyDescent="0.25">
      <c r="A17" s="17"/>
      <c r="D17" s="87" t="s">
        <v>191</v>
      </c>
      <c r="E17" s="84"/>
      <c r="F17" s="82"/>
    </row>
    <row r="18" spans="1:6" ht="20.100000000000001" customHeight="1" x14ac:dyDescent="0.25">
      <c r="A18" s="18" t="s">
        <v>2</v>
      </c>
    </row>
    <row r="19" spans="1:6" ht="20.100000000000001" customHeight="1" x14ac:dyDescent="0.25">
      <c r="A19" s="17" t="str">
        <f>HYPERLINK("#'Constants - Ag Residue'!A1", "Constants - Ag Residue")</f>
        <v>Constants - Ag Residue</v>
      </c>
      <c r="D19" s="1" t="s">
        <v>192</v>
      </c>
      <c r="E19" s="114">
        <f>_xlfn.XLOOKUP(E9, Table_SourceData_PastureAttributes[Pasture type],Table_SourceData_PastureAttributes[Average Yield (t DM ha) Yp])</f>
        <v>8.34</v>
      </c>
      <c r="F19" s="2" t="s">
        <v>193</v>
      </c>
    </row>
    <row r="20" spans="1:6" ht="20.100000000000001" customHeight="1" x14ac:dyDescent="0.25">
      <c r="A20" s="17" t="str">
        <f>HYPERLINK("#'Constants - Common'!A1", "Constants - Common")</f>
        <v>Constants - Common</v>
      </c>
      <c r="D20" s="1" t="s">
        <v>194</v>
      </c>
      <c r="E20" s="50">
        <f>E12*E19</f>
        <v>8340</v>
      </c>
      <c r="F20" s="2" t="s">
        <v>142</v>
      </c>
    </row>
    <row r="21" spans="1:6" ht="20.100000000000001" customHeight="1" x14ac:dyDescent="0.25"/>
    <row r="22" spans="1:6" ht="20.100000000000001" customHeight="1" x14ac:dyDescent="0.25"/>
    <row r="23" spans="1:6" ht="20.100000000000001" customHeight="1" x14ac:dyDescent="0.25">
      <c r="D23" s="6" t="s">
        <v>141</v>
      </c>
    </row>
    <row r="24" spans="1:6" ht="20.100000000000001" customHeight="1" x14ac:dyDescent="0.25"/>
    <row r="25" spans="1:6" ht="20.100000000000001" customHeight="1" x14ac:dyDescent="0.25">
      <c r="D25" s="1" t="s">
        <v>195</v>
      </c>
      <c r="E25" s="114">
        <v>500</v>
      </c>
      <c r="F25" s="2" t="s">
        <v>136</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129</v>
      </c>
      <c r="K1"/>
    </row>
    <row r="2" spans="1:20" s="9" customFormat="1" ht="20.100000000000001" customHeight="1" x14ac:dyDescent="0.25">
      <c r="K2"/>
    </row>
    <row r="3" spans="1:20" ht="20.100000000000001" customHeight="1" x14ac:dyDescent="0.25">
      <c r="A3" s="17" t="str">
        <f>HYPERLINK("#'Home'!A1", "Home")</f>
        <v>Home</v>
      </c>
      <c r="C3" s="4"/>
      <c r="D3" s="4" t="s">
        <v>80</v>
      </c>
      <c r="E3" s="4"/>
      <c r="F3" s="4"/>
      <c r="G3" s="4"/>
      <c r="H3" s="4"/>
      <c r="I3" s="4"/>
      <c r="J3" s="4"/>
      <c r="L3" s="4"/>
      <c r="M3" s="4" t="s">
        <v>81</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2"/>
      <c r="F5" s="22"/>
      <c r="G5" s="22"/>
      <c r="H5" s="22"/>
      <c r="L5" s="22"/>
      <c r="M5" s="6" t="str" cm="1">
        <f t="array" ref="M5">AgResidue_Equations_CropResidue.VEERG_6_1_1_2__1__FractionOfCropResidueRemovedBaled_Title()</f>
        <v>Fraction of crop residue that is removed for crop c, calculated where residues are baled</v>
      </c>
      <c r="N5" s="22"/>
      <c r="O5" s="22"/>
      <c r="P5" s="22"/>
      <c r="Q5" s="22"/>
    </row>
    <row r="6" spans="1:20" ht="20.100000000000001" customHeight="1" x14ac:dyDescent="0.25">
      <c r="A6" s="16"/>
      <c r="D6" s="5" t="str" cm="1">
        <f t="array" ref="D6">AgResidue_Equations_CropResidue.VEERG_6_1_1_1__2__MassOfNitrogenInCropResidues_Source()</f>
        <v>VEERG 2026: 6.1.1.1, Equation (2)</v>
      </c>
      <c r="E6" s="22"/>
      <c r="F6" s="22"/>
      <c r="G6" s="22"/>
      <c r="H6" s="22"/>
      <c r="J6" s="22"/>
      <c r="L6" s="22"/>
      <c r="M6" s="5" t="str" cm="1">
        <f t="array" ref="M6">AgResidue_Equations_CropResidue.VEERG_6_1_1_2__1__FractionOfCropResidueRemovedBaled_Source()</f>
        <v>VEERG 2026: 6.1.1.2, Equation (1)</v>
      </c>
      <c r="N6" s="22"/>
      <c r="O6" s="22"/>
      <c r="P6" s="22"/>
      <c r="Q6" s="22"/>
    </row>
    <row r="7" spans="1:20" ht="20.100000000000001" customHeight="1" x14ac:dyDescent="0.25">
      <c r="A7" s="20" t="s">
        <v>1</v>
      </c>
      <c r="D7" s="13" t="s">
        <v>22</v>
      </c>
      <c r="E7" s="13" t="str" cm="1">
        <f t="array" aca="1" ref="E7" ca="1">Common_InputFunctions.Utility_DisplayFunctionName(E24)</f>
        <v>=AgResidue_Equations_CropResidue.VEERG_6_1_1_1__2__MassOfNitrogenInCropResidues</v>
      </c>
      <c r="F7" s="22"/>
      <c r="G7" s="22"/>
      <c r="H7" s="22"/>
      <c r="J7" s="22"/>
      <c r="L7" s="22"/>
      <c r="M7" s="53" t="str" cm="1">
        <f t="array" ref="M7">"⚠️" &amp; AgResidue_Equations_CropResidue.VEERG_6_1_1_2__1__FractionOfCropResidueRemovedBaled_Variation()</f>
        <v>⚠️VARIATION FROM SOURCE: Added 'baled' to variable subscript</v>
      </c>
      <c r="N7" s="22"/>
      <c r="O7" s="22"/>
      <c r="P7" s="22"/>
      <c r="Q7" s="22"/>
    </row>
    <row r="8" spans="1:20" ht="20.100000000000001" customHeight="1" x14ac:dyDescent="0.25">
      <c r="A8" s="17" t="str">
        <f>HYPERLINK("#'Input - Site'!A1", "Site")</f>
        <v>Site</v>
      </c>
      <c r="F8" s="22"/>
      <c r="G8" s="22"/>
      <c r="H8" s="22"/>
      <c r="J8" s="22"/>
      <c r="L8" s="22"/>
      <c r="M8" s="13" t="s">
        <v>22</v>
      </c>
      <c r="N8" s="13" t="str" cm="1">
        <f t="array" aca="1" ref="N8" ca="1">Common_InputFunctions.Utility_DisplayFunctionName(N21)</f>
        <v>=AgResidue_Equations_CropResidue.VEERG_6_1_1_2__1__FractionOfCropResidueRemovedBaled</v>
      </c>
      <c r="O8" s="22"/>
      <c r="P8" s="22"/>
      <c r="Q8" s="22"/>
    </row>
    <row r="9" spans="1:20" ht="20.100000000000001" customHeight="1" x14ac:dyDescent="0.25">
      <c r="A9" s="17" t="str">
        <f>HYPERLINK("#'Input - Crop'!A1", "Crop")</f>
        <v>Crop</v>
      </c>
      <c r="D9" s="22"/>
      <c r="E9" s="22"/>
      <c r="F9" s="22"/>
      <c r="G9" s="22"/>
      <c r="H9" s="22"/>
      <c r="J9" s="22"/>
      <c r="L9" s="22"/>
      <c r="M9" s="22"/>
      <c r="N9" s="22"/>
      <c r="O9" s="22"/>
      <c r="P9" s="22"/>
      <c r="Q9" s="22"/>
    </row>
    <row r="10" spans="1:20" ht="20.100000000000001" customHeight="1" x14ac:dyDescent="0.25">
      <c r="A10" s="17" t="str">
        <f>HYPERLINK("#'Input - Pasture'!A1", "Pasture")</f>
        <v>Pasture</v>
      </c>
      <c r="D10" s="51" t="s">
        <v>25</v>
      </c>
      <c r="E10" s="1" t="str" cm="1">
        <f t="array" ref="E10">AgResidue_Equations_CropResidue.VEERG_6_1_1_1__2__MassOfNitrogenInCropResidues_Variable()</f>
        <v>M_c</v>
      </c>
      <c r="F10" s="22"/>
      <c r="G10" s="22"/>
      <c r="H10" s="22"/>
      <c r="J10" s="22"/>
      <c r="L10" s="22"/>
      <c r="M10" s="22"/>
      <c r="N10" s="22"/>
      <c r="O10" s="22"/>
      <c r="P10" s="22"/>
      <c r="Q10" s="22"/>
    </row>
    <row r="11" spans="1:20" ht="20.100000000000001" customHeight="1" x14ac:dyDescent="0.25">
      <c r="D11" s="51" t="s">
        <v>16</v>
      </c>
      <c r="E11" s="52" t="str" cm="1">
        <f t="array" ref="E11">AgResidue_Equations_CropResidue.VEERG_6_1_1_1__2__MassOfNitrogenInCropResidues_Unit()</f>
        <v>kg N</v>
      </c>
      <c r="F11" s="22"/>
      <c r="G11" s="22"/>
      <c r="H11" s="22"/>
      <c r="J11" s="22"/>
      <c r="L11" s="22"/>
      <c r="M11" s="22"/>
      <c r="N11" s="22"/>
      <c r="O11" s="22"/>
      <c r="P11" s="22"/>
      <c r="Q11" s="22"/>
    </row>
    <row r="12" spans="1:20" ht="20.100000000000001" customHeight="1" x14ac:dyDescent="0.25">
      <c r="A12" s="19" t="s">
        <v>69</v>
      </c>
      <c r="D12" s="22"/>
      <c r="E12" s="22"/>
      <c r="F12" s="22"/>
      <c r="G12" s="22"/>
      <c r="J12" s="22"/>
      <c r="L12" s="22"/>
      <c r="M12" s="51" t="s">
        <v>25</v>
      </c>
      <c r="N12" s="1" t="str" cm="1">
        <f t="array" ref="N12">AgResidue_Equations_CropResidue.VEERG_6_1_1_2__1__FractionOfCropResidueRemovedBaled_Variable()</f>
        <v>FFOD_cbaled</v>
      </c>
      <c r="O12" s="22"/>
      <c r="P12" s="22"/>
      <c r="Q12" s="22"/>
    </row>
    <row r="13" spans="1:20" ht="20.100000000000001" customHeight="1" x14ac:dyDescent="0.25">
      <c r="A13" s="131" t="str">
        <f>HYPERLINK("#'6.1.1.1-2 Crop residue N2O'!A1", "6.1.1.1-2 Crop residue N2O")</f>
        <v>6.1.1.1-2 Crop residue N2O</v>
      </c>
      <c r="D13" s="117" t="str" cm="1">
        <f t="array" ref="D13:E22">_xlfn.CHOOSECOLS(AgResidue_Equations_CropResidue.VEERG_6_1_1_1__2__MassOfNitrogenInCropResidues_Arguments(), 1, 2)</f>
        <v>P_c</v>
      </c>
      <c r="E13" s="121" t="str">
        <v>annual production of crop c</v>
      </c>
      <c r="F13" s="120"/>
      <c r="G13" s="117" t="str" cm="1">
        <f t="array" ref="G13:H22">_xlfn.CHOOSECOLS(AgResidue_Equations_CropResidue.VEERG_6_1_1_1__2__MassOfNitrogenInCropResidues_Arguments(), 3,4)</f>
        <v>kg</v>
      </c>
      <c r="H13" s="111" t="str">
        <v>Input</v>
      </c>
      <c r="I13" s="117">
        <f>'Input - Crop'!$E$17*10^3</f>
        <v>10000</v>
      </c>
      <c r="J13" s="22"/>
      <c r="L13" s="22"/>
      <c r="M13" s="51" t="s">
        <v>16</v>
      </c>
      <c r="N13" s="52" t="str" cm="1">
        <f t="array" ref="N13">AgResidue_Equations_CropResidue.VEERG_6_1_1_2__1__FractionOfCropResidueRemovedBaled_Unit()</f>
        <v>dimensionless</v>
      </c>
      <c r="O13" s="22"/>
      <c r="P13" s="22"/>
      <c r="Q13" s="22"/>
    </row>
    <row r="14" spans="1:20" ht="20.100000000000001" customHeight="1" x14ac:dyDescent="0.25">
      <c r="A14" s="17" t="str">
        <f>HYPERLINK("#'6.2.1.1-2 Pasture residue N2O'!A1", "6.2.1.1-2 Pasture residue N2O")</f>
        <v>6.2.1.1-2 Pasture residue N2O</v>
      </c>
      <c r="D14" s="117" t="str">
        <v>R_AGc</v>
      </c>
      <c r="E14" s="121" t="str">
        <v>residue to crop ratio for crop c</v>
      </c>
      <c r="F14" s="120"/>
      <c r="G14" s="117" t="str">
        <v>dimensionless</v>
      </c>
      <c r="H14" s="110" t="str">
        <v>Constant</v>
      </c>
      <c r="I14" s="117">
        <f>'Input - Crop'!$E$18</f>
        <v>1.5</v>
      </c>
      <c r="J14" s="22"/>
      <c r="L14" s="22"/>
      <c r="M14" s="22"/>
      <c r="N14" s="22"/>
      <c r="O14" s="22"/>
      <c r="P14" s="22"/>
    </row>
    <row r="15" spans="1:20" ht="20.100000000000001" customHeight="1" x14ac:dyDescent="0.25">
      <c r="A15" s="17" t="str">
        <f>HYPERLINK("#'6.3.1.1-2 Leaching and runoff'!A1", "6.3.1.1-2 Leaching and runoff")</f>
        <v>6.3.1.1-2 Leaching and runoff</v>
      </c>
      <c r="D15" s="117" t="str">
        <v>R_BGc</v>
      </c>
      <c r="E15" s="121" t="str">
        <v>below ground-residue to above ground residue ratio for crop c</v>
      </c>
      <c r="F15" s="120"/>
      <c r="G15" s="117" t="str">
        <v>dimensionless</v>
      </c>
      <c r="H15" s="110" t="str">
        <v>Constant</v>
      </c>
      <c r="I15" s="117" cm="1">
        <f t="array" ref="I15">Common_InputFunctions.Utility_LookupValueInTableNumber($I$21,Table_SourceData_CropAttributes[Crop type],Table_SourceData_CropAttributes[Below-ground: above-ground residue ratio])</f>
        <v>0.28999999999999998</v>
      </c>
      <c r="L15" s="22"/>
      <c r="M15" s="117" t="str" cm="1">
        <f t="array" ref="M15:N19">_xlfn.CHOOSECOLS(AgResidue_Equations_CropResidue.VEERG_6_1_1_2__1__FractionOfCropResidueRemovedBaled_Arguments(), 1, 2)</f>
        <v>B</v>
      </c>
      <c r="N15" s="117" t="str">
        <v>number of bales generated</v>
      </c>
      <c r="O15" s="117" t="str" cm="1">
        <f t="array" ref="O15:P19">_xlfn.CHOOSECOLS(AgResidue_Equations_CropResidue.VEERG_6_1_1_2__1__FractionOfCropResidueRemovedBaled_Arguments(), 3,4)</f>
        <v>dimensionless</v>
      </c>
      <c r="P15" s="111" t="str">
        <v>Input</v>
      </c>
      <c r="Q15" s="139">
        <f>'Input - Crop'!$E$35</f>
        <v>25000</v>
      </c>
    </row>
    <row r="16" spans="1:20" ht="20.100000000000001" customHeight="1" x14ac:dyDescent="0.25">
      <c r="A16" s="17" t="str">
        <f>HYPERLINK("#'6.4.1.1-2 Residue burning'!A1", "6.4.1.1-2 Residue burning")</f>
        <v>6.4.1.1-2 Residue burning</v>
      </c>
      <c r="D16" s="117" t="str">
        <v>F_c</v>
      </c>
      <c r="E16" s="121" t="str">
        <v>fraction of crop residue that is burnt for crop c</v>
      </c>
      <c r="F16" s="120"/>
      <c r="G16" s="117" t="str">
        <v>dimensionless</v>
      </c>
      <c r="H16" s="111" t="str">
        <v>Input</v>
      </c>
      <c r="I16" s="117">
        <f>'Input - Crop'!$E$43</f>
        <v>0.3</v>
      </c>
      <c r="L16" s="22"/>
      <c r="M16" s="117" t="str">
        <v>M_B</v>
      </c>
      <c r="N16" s="117" t="str">
        <v>mass of each bale</v>
      </c>
      <c r="O16" s="117" t="str">
        <v>kg</v>
      </c>
      <c r="P16" s="111" t="str">
        <v>Input</v>
      </c>
      <c r="Q16" s="117">
        <f>'Input - Crop'!$E$34</f>
        <v>60</v>
      </c>
    </row>
    <row r="17" spans="1:17" ht="20.100000000000001" customHeight="1" x14ac:dyDescent="0.25">
      <c r="A17" s="17"/>
      <c r="D17" s="117" t="str">
        <v>FFOD_c</v>
      </c>
      <c r="E17" s="121" t="str">
        <v>fraction of the crop residue that is removed for crop c</v>
      </c>
      <c r="F17" s="120"/>
      <c r="G17" s="117" t="str">
        <v>dimensionless</v>
      </c>
      <c r="H17" s="110" t="str">
        <v>Constant</v>
      </c>
      <c r="I17" s="117" cm="1">
        <f t="array" ref="I17">IF(ISNUMBER(_xlfn.XLOOKUP(1, (Table77[Crop type c]=$I$21)*(Table77[State]=$I$22),Table77[Fraction removed])), _xlfn.XLOOKUP(1, (Table77[Crop type c]=$I$21)*(Table77[State]=$I$22),Table77[Fraction removed]), 0)</f>
        <v>0.11</v>
      </c>
      <c r="L17" s="22"/>
      <c r="M17" s="117" t="str">
        <v>P_c</v>
      </c>
      <c r="N17" s="117" t="str">
        <v>annual production of crop c</v>
      </c>
      <c r="O17" s="117" t="str">
        <v>kg</v>
      </c>
      <c r="P17" s="111" t="str">
        <v>Input</v>
      </c>
      <c r="Q17" s="117">
        <f>'Input - Crop'!$E$22*10^3</f>
        <v>10000000</v>
      </c>
    </row>
    <row r="18" spans="1:17" ht="20.100000000000001" customHeight="1" x14ac:dyDescent="0.25">
      <c r="A18" s="18" t="s">
        <v>2</v>
      </c>
      <c r="D18" s="117" t="str">
        <v>DM_c</v>
      </c>
      <c r="E18" s="121" t="str">
        <v>dry matter content of crop c</v>
      </c>
      <c r="F18" s="120"/>
      <c r="G18" s="117" t="str">
        <v>kg dry weight/kg crop residue</v>
      </c>
      <c r="H18" s="110" t="str">
        <v>Constant</v>
      </c>
      <c r="I18" s="117" cm="1">
        <f t="array" ref="I18">Common_InputFunctions.Utility_LookupValueInTableNumber($I$21,Table_SourceData_CropAttributes[Crop type],Table_SourceData_CropAttributes[Dry matter content])</f>
        <v>0.88</v>
      </c>
      <c r="L18" s="22"/>
      <c r="M18" s="117" t="str">
        <v>R_AGc</v>
      </c>
      <c r="N18" s="117" t="str">
        <v>residue to crop ratio for crop c</v>
      </c>
      <c r="O18" s="117" t="str">
        <v>dimensionless</v>
      </c>
      <c r="P18" s="111" t="str">
        <v>Input</v>
      </c>
      <c r="Q18" s="117">
        <f>'Input - Crop'!$E$18</f>
        <v>1.5</v>
      </c>
    </row>
    <row r="19" spans="1:17" ht="20.100000000000001" customHeight="1" x14ac:dyDescent="0.25">
      <c r="A19" s="17" t="str">
        <f>HYPERLINK("#'Constants - Ag Residue'!A1", "Constants - Ag Residue")</f>
        <v>Constants - Ag Residue</v>
      </c>
      <c r="D19" s="117" t="str">
        <v>NC_AGc</v>
      </c>
      <c r="E19" s="121" t="str">
        <v>nitrogen content of above-ground crop residue of crop c</v>
      </c>
      <c r="F19" s="120"/>
      <c r="G19" s="117" t="str">
        <v>kg N/kg DM</v>
      </c>
      <c r="H19" s="110" t="str">
        <v>Constant</v>
      </c>
      <c r="I19" s="117" cm="1">
        <f t="array" ref="I19">Common_InputFunctions.Utility_LookupValueInTableNumber($I$21,Table_SourceData_CropAttributes[Crop type],Table_SourceData_CropAttributes[N content above-ground])</f>
        <v>6.0000000000000001E-3</v>
      </c>
      <c r="L19" s="22"/>
      <c r="M19" s="117" t="str">
        <v>c</v>
      </c>
      <c r="N19" s="117" t="str">
        <v>Crop type</v>
      </c>
      <c r="O19" s="117" t="str">
        <v/>
      </c>
      <c r="P19" s="111" t="str">
        <v>Input</v>
      </c>
      <c r="Q19" s="117" t="s">
        <v>133</v>
      </c>
    </row>
    <row r="20" spans="1:17" ht="20.100000000000001" customHeight="1" x14ac:dyDescent="0.25">
      <c r="A20" s="17" t="str">
        <f>HYPERLINK("#'Constants - Common'!A1", "Constants - Common")</f>
        <v>Constants - Common</v>
      </c>
      <c r="D20" s="117" t="str">
        <v>NC_BGc</v>
      </c>
      <c r="E20" s="121" t="str">
        <v>nitrogen content of below-ground crop residue of crop c</v>
      </c>
      <c r="F20" s="120"/>
      <c r="G20" s="117" t="str">
        <v>kg N/kg DM</v>
      </c>
      <c r="H20" s="110" t="str">
        <v>Constant</v>
      </c>
      <c r="I20" s="117" cm="1">
        <f t="array" ref="I20">Common_InputFunctions.Utility_LookupValueInTableNumber($I$21,Table_SourceData_CropAttributes[Crop type],Table_SourceData_CropAttributes[N content below-ground])</f>
        <v>0.01</v>
      </c>
      <c r="L20" s="22"/>
      <c r="M20" s="22"/>
      <c r="N20" s="22"/>
      <c r="O20" s="22"/>
      <c r="P20" s="22"/>
      <c r="Q20" s="22"/>
    </row>
    <row r="21" spans="1:17" ht="20.100000000000001" customHeight="1" x14ac:dyDescent="0.25">
      <c r="D21" s="117" t="str">
        <v>c</v>
      </c>
      <c r="E21" s="121" t="str">
        <v>Crop type</v>
      </c>
      <c r="F21" s="120"/>
      <c r="G21" s="117" t="str">
        <v/>
      </c>
      <c r="H21" s="111" t="str">
        <v>Input</v>
      </c>
      <c r="I21" s="117" t="str">
        <f>'Input - Crop'!$E$9</f>
        <v>Wheat</v>
      </c>
      <c r="L21" s="22"/>
      <c r="M21" s="118" t="s">
        <v>175</v>
      </c>
      <c r="N21" s="44" cm="1">
        <f t="array" ref="N21">AgResidue_Equations_CropResidue.VEERG_6_1_1_2__1__FractionOfCropResidueRemovedBaled(Q15,Q16,Q17,Q18)</f>
        <v>0.1</v>
      </c>
    </row>
    <row r="22" spans="1:17" ht="20.100000000000001" customHeight="1" x14ac:dyDescent="0.25">
      <c r="D22" s="117" t="str">
        <v>State</v>
      </c>
      <c r="E22" s="121" t="str">
        <v>State or territory</v>
      </c>
      <c r="F22" s="120"/>
      <c r="G22" s="117" t="str">
        <v/>
      </c>
      <c r="H22" s="111" t="str">
        <v>Input</v>
      </c>
      <c r="I22" s="117" t="str">
        <f>Common_InputFunctions.Utility_ConvertStateCommonNameToAbbreviation('Input - Site'!$E$21,Table_AustralianStates[Common Name],Table_AustralianStates[Abbreviation])</f>
        <v>WA</v>
      </c>
      <c r="L22" s="22"/>
      <c r="M22" s="22"/>
      <c r="N22" s="22"/>
      <c r="O22" s="22"/>
      <c r="P22" s="22"/>
      <c r="Q22" s="22"/>
    </row>
    <row r="23" spans="1:17" ht="20.100000000000001" customHeight="1" x14ac:dyDescent="0.25">
      <c r="D23" s="22"/>
      <c r="E23" s="22"/>
      <c r="F23" s="22"/>
      <c r="G23" s="22"/>
      <c r="H23" s="22"/>
      <c r="L23" s="22"/>
      <c r="M23" s="22"/>
      <c r="N23" s="22"/>
      <c r="O23" s="22"/>
      <c r="P23" s="22"/>
      <c r="Q23" s="22"/>
    </row>
    <row r="24" spans="1:17" ht="20.100000000000001" customHeight="1" x14ac:dyDescent="0.25">
      <c r="D24" s="118" t="s">
        <v>177</v>
      </c>
      <c r="E24" s="138" cm="1">
        <f t="array" ref="E24">AgResidue_Equations_CropResidue.VEERG_6_1_1_1__2__MassOfNitrogenInCropResidues(I13,I14,I16,I17,I18,I19,I15,I20)</f>
        <v>85.00800000000001</v>
      </c>
      <c r="F24" s="119" t="str">
        <f>$E$11</f>
        <v>kg N</v>
      </c>
      <c r="L24" s="22"/>
      <c r="M24" s="6" t="str" cm="1">
        <f t="array" ref="M24">AgResidue_Equations_CropResidue.VEERG_6_1_1_2__1a__FractionOfCropResidueRemoved_Title()</f>
        <v>Fraction of crop residue that is removed for crop c</v>
      </c>
      <c r="N24" s="22"/>
      <c r="O24" s="22"/>
      <c r="P24" s="22"/>
      <c r="Q24" s="22"/>
    </row>
    <row r="25" spans="1:17" ht="20.100000000000001" customHeight="1" x14ac:dyDescent="0.25">
      <c r="D25" s="51"/>
      <c r="E25" s="22"/>
      <c r="F25" s="22"/>
      <c r="G25" s="22"/>
      <c r="H25" s="22"/>
      <c r="L25" s="22"/>
      <c r="M25" s="6" t="str" cm="1">
        <f t="array" ref="M25">AgResidue_Equations_CropResidue.VEERG_6_1_1_2__1a__FractionOfCropResidueRemoved_Source()</f>
        <v/>
      </c>
      <c r="N25" s="22"/>
      <c r="O25" s="22"/>
      <c r="P25" s="22"/>
      <c r="Q25" s="22"/>
    </row>
    <row r="26" spans="1:17" ht="20.100000000000001" customHeight="1" x14ac:dyDescent="0.25">
      <c r="D26" s="22"/>
      <c r="E26" s="22"/>
      <c r="F26" s="22"/>
      <c r="G26" s="22"/>
      <c r="H26" s="22"/>
      <c r="L26" s="22"/>
      <c r="M26" s="53" t="str" cm="1">
        <f t="array" ref="M26">"⚠️" &amp; AgResidue_Equations_CropResidue.VEERG_6_1_1_2__1a__FractionOfCropResidueRemoved_Variation()</f>
        <v>⚠️VARIATION FROM SOURCE: Added this equation to accommodate user-defined residue removal other than baling.</v>
      </c>
      <c r="N26" s="22"/>
      <c r="O26" s="22"/>
      <c r="P26" s="22"/>
      <c r="Q26" s="22"/>
    </row>
    <row r="27" spans="1:17" ht="20.100000000000001" customHeight="1" x14ac:dyDescent="0.25">
      <c r="D27" s="137"/>
      <c r="E27" s="137"/>
      <c r="F27" s="137"/>
      <c r="G27" s="137"/>
      <c r="H27" s="137"/>
      <c r="I27" s="137"/>
      <c r="L27" s="22"/>
      <c r="M27" s="22"/>
      <c r="N27" s="22"/>
      <c r="O27" s="22"/>
      <c r="P27" s="22"/>
      <c r="Q27" s="22"/>
    </row>
    <row r="28" spans="1: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2"/>
      <c r="F28" s="22"/>
      <c r="G28" s="22"/>
      <c r="H28" s="22"/>
      <c r="J28" s="22"/>
      <c r="L28" s="22"/>
      <c r="M28" s="22"/>
      <c r="N28" s="22"/>
      <c r="O28" s="22"/>
      <c r="P28" s="22"/>
      <c r="Q28" s="22"/>
    </row>
    <row r="29" spans="1:17" ht="20.100000000000001" customHeight="1" x14ac:dyDescent="0.25">
      <c r="D29" s="5" t="str" cm="1">
        <f t="array" ref="D29">AgResidue_Equations_CropResidue.VEERG_6_1_1_1__1__NitrousOxideEmissionsFromCropResidues_Source()</f>
        <v>VEERG 2026: 6.1.1.1, Equation (1)</v>
      </c>
      <c r="E29" s="22"/>
      <c r="F29" s="22"/>
      <c r="G29" s="22"/>
      <c r="H29" s="22"/>
      <c r="J29" s="22"/>
      <c r="L29" s="22"/>
      <c r="M29" s="22"/>
      <c r="N29" s="22"/>
      <c r="O29" s="22"/>
      <c r="P29" s="53"/>
      <c r="Q29" s="22"/>
    </row>
    <row r="30" spans="1:17" ht="20.100000000000001" customHeight="1" x14ac:dyDescent="0.25">
      <c r="D30" s="13" t="s">
        <v>22</v>
      </c>
      <c r="E30" s="13" t="str" cm="1">
        <f t="array" aca="1" ref="E30" ca="1">Common_InputFunctions.Utility_DisplayFunctionName(E42)</f>
        <v>=AgResidue_Equations_CropResidue.VEERG_6_1_1_1__1__NitrousOxideEmissionsFromCropResidues</v>
      </c>
      <c r="F30" s="22"/>
      <c r="G30" s="22"/>
      <c r="H30" s="22"/>
      <c r="L30" s="22"/>
      <c r="M30" s="51" t="s">
        <v>25</v>
      </c>
      <c r="N30" s="1" t="str" cm="1">
        <f t="array" ref="N30">AgResidue_Equations_CropResidue.VEERG_6_1_1_2__1a__FractionOfCropResidueRemoved_Variable()</f>
        <v>FFOD_c</v>
      </c>
      <c r="O30" s="22"/>
      <c r="P30" s="22"/>
      <c r="Q30" s="22"/>
    </row>
    <row r="31" spans="1:17" ht="20.100000000000001" customHeight="1" x14ac:dyDescent="0.25">
      <c r="F31" s="22"/>
      <c r="G31" s="22"/>
      <c r="H31" s="22"/>
      <c r="J31" s="22"/>
      <c r="L31" s="22"/>
      <c r="M31" s="51" t="s">
        <v>16</v>
      </c>
      <c r="N31" s="52" t="str" cm="1">
        <f t="array" ref="N31">AgResidue_Equations_CropResidue.VEERG_6_1_1_2__1a__FractionOfCropResidueRemoved_Unit()</f>
        <v>dimensionless</v>
      </c>
      <c r="O31" s="22"/>
      <c r="P31" s="22"/>
      <c r="Q31" s="22"/>
    </row>
    <row r="32" spans="1:17" ht="20.100000000000001" customHeight="1" x14ac:dyDescent="0.25">
      <c r="D32" s="22"/>
      <c r="E32" s="22"/>
      <c r="F32" s="22"/>
      <c r="G32" s="22"/>
      <c r="H32" s="22"/>
      <c r="J32" s="22"/>
      <c r="M32" s="22"/>
      <c r="N32" s="22"/>
      <c r="O32" s="22"/>
      <c r="P32" s="22"/>
      <c r="Q32" s="22"/>
    </row>
    <row r="33" spans="1:20" ht="20.100000000000001" customHeight="1" x14ac:dyDescent="0.25">
      <c r="D33" s="51" t="s">
        <v>25</v>
      </c>
      <c r="E33" s="1" t="str" cm="1">
        <f t="array" ref="E33">AgResidue_Equations_CropResidue.VEERG_6_1_1_1__1__NitrousOxideEmissionsFromCropResidues_Variable()</f>
        <v>E</v>
      </c>
      <c r="F33" s="22"/>
      <c r="G33" s="22"/>
      <c r="H33" s="22"/>
      <c r="J33" s="22"/>
      <c r="M33" s="117" t="str" cm="1">
        <f t="array" ref="M33:N34">_xlfn.CHOOSECOLS(AgResidue_Equations_CropResidue.VEERG_6_1_1_2__1a__FractionOfCropResidueRemoved_Arguments(), 1, 2)</f>
        <v>FFOD_cbaled</v>
      </c>
      <c r="N33" s="117" t="str">
        <v>Fraction of crop residue that is removed for crop c, calculated where residues are baled</v>
      </c>
      <c r="O33" s="117"/>
      <c r="P33" s="117"/>
      <c r="Q33" s="117" t="str" cm="1">
        <f t="array" ref="Q33:R34">_xlfn.CHOOSECOLS(AgResidue_Equations_CropResidue.VEERG_6_1_1_2__1a__FractionOfCropResidueRemoved_Arguments(), 3,4)</f>
        <v>fraction</v>
      </c>
      <c r="R33" s="110" t="str">
        <v>Calculated from 6.1.1.2, (1)</v>
      </c>
      <c r="S33" s="117">
        <f>$N$21</f>
        <v>0.1</v>
      </c>
    </row>
    <row r="34" spans="1:20" ht="20.100000000000001" customHeight="1" x14ac:dyDescent="0.25">
      <c r="D34" s="51" t="s">
        <v>16</v>
      </c>
      <c r="E34" s="52" t="str" cm="1">
        <f t="array" ref="E34">AgResidue_Equations_CropResidue.VEERG_6_1_1_1__1__NitrousOxideEmissionsFromCropResidues_Unit()</f>
        <v>t N2O</v>
      </c>
      <c r="F34" s="22"/>
      <c r="G34" s="22"/>
      <c r="H34" s="22"/>
      <c r="J34" s="22"/>
      <c r="M34" s="117" t="str">
        <v>FFOD_cother</v>
      </c>
      <c r="N34" s="117" t="str">
        <v>Fraction of crop residue that is removed for crop c, calculated where residues are removed by other means</v>
      </c>
      <c r="O34" s="117"/>
      <c r="P34" s="117"/>
      <c r="Q34" s="117" t="str">
        <v>fraction</v>
      </c>
      <c r="R34" s="111" t="str">
        <v>Input</v>
      </c>
      <c r="S34" s="117">
        <f>'Input - Crop'!$E$39</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7" t="str" cm="1">
        <f t="array" ref="D36:E40">_xlfn.CHOOSECOLS(AgResidue_Equations_CropResidue.VEERG_6_1_1_1__1__NitrousOxideEmissionsFromCropResidues_Arguments(), 1, 2)</f>
        <v>M_c</v>
      </c>
      <c r="E36" s="121" t="str">
        <v>mass of nitrogen in crop c residues returned to the soil</v>
      </c>
      <c r="F36" s="120"/>
      <c r="G36" s="117" t="str" cm="1">
        <f t="array" ref="G36:H40">_xlfn.CHOOSECOLS(AgResidue_Equations_CropResidue.VEERG_6_1_1_1__1__NitrousOxideEmissionsFromCropResidues_Arguments(), 3,4)</f>
        <v>kg N</v>
      </c>
      <c r="H36" s="110" t="str">
        <v>Calculated from 6.1.1.1 (2)</v>
      </c>
      <c r="I36" s="117">
        <f>E24</f>
        <v>85.00800000000001</v>
      </c>
      <c r="J36" s="22"/>
      <c r="M36" s="118" t="s">
        <v>176</v>
      </c>
      <c r="N36" s="44" cm="1">
        <f t="array" ref="N36">AgResidue_Equations_CropResidue.VEERG_6_1_1_2__1a__FractionOfCropResidueRemoved($S$33,$S$34)</f>
        <v>0.11</v>
      </c>
    </row>
    <row r="37" spans="1:20" ht="20.100000000000001" customHeight="1" x14ac:dyDescent="0.25">
      <c r="A37" s="123"/>
      <c r="D37" s="117" t="str">
        <v>EF_Ni</v>
      </c>
      <c r="E37" s="121" t="str">
        <v>emission factor for crop residues returned to the soil</v>
      </c>
      <c r="F37" s="120"/>
      <c r="G37" s="117" t="str">
        <v>kg N2O-N/kg N</v>
      </c>
      <c r="H37" s="110" t="str">
        <v>Constant</v>
      </c>
      <c r="I37" s="117"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7" t="str">
        <v>C_N2O</v>
      </c>
      <c r="E38" s="121" t="str">
        <v>factor to convert elemental mass of nitrous oxide to molecular mass</v>
      </c>
      <c r="F38" s="120"/>
      <c r="G38" s="117" t="str">
        <v>dimensionless</v>
      </c>
      <c r="H38" s="110" t="str">
        <v>Constant</v>
      </c>
      <c r="I38" s="117">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7" t="str">
        <v>c</v>
      </c>
      <c r="E39" s="121" t="str">
        <v>Crop type</v>
      </c>
      <c r="F39" s="120"/>
      <c r="G39" s="117" t="str">
        <v/>
      </c>
      <c r="H39" s="111" t="str">
        <v>Input</v>
      </c>
      <c r="I39" s="117" t="str">
        <f>'Input - Crop'!$E$9</f>
        <v>Wheat</v>
      </c>
      <c r="J39" s="22"/>
      <c r="L39" s="44"/>
      <c r="M39" s="44"/>
      <c r="N39" s="44"/>
      <c r="O39" s="44"/>
      <c r="P39" s="44"/>
      <c r="Q39" s="44"/>
      <c r="R39" s="44"/>
      <c r="S39" s="44"/>
      <c r="T39" s="44"/>
    </row>
    <row r="40" spans="1:20" ht="20.100000000000001" customHeight="1" x14ac:dyDescent="0.25">
      <c r="D40" s="117" t="str">
        <v>i</v>
      </c>
      <c r="E40" s="121" t="str">
        <v>Wet or dry climate zone</v>
      </c>
      <c r="F40" s="120"/>
      <c r="G40" s="117" t="str">
        <v/>
      </c>
      <c r="H40" s="111" t="str">
        <v>Input</v>
      </c>
      <c r="I40" s="117" t="str">
        <f>'Input - Site'!$E$32</f>
        <v>Dry climate zone</v>
      </c>
      <c r="M40" s="6" t="str" cm="1">
        <f t="array" ref="M40">AgResidue_Equations_CropResidue.VEERG_6_1_1_1__2__MassOfNitrogenInCropResidues_Title()</f>
        <v>Mass of nitrogen in crop residues returned to the soil</v>
      </c>
      <c r="N40" s="22"/>
      <c r="O40" s="22"/>
      <c r="P40" s="22"/>
      <c r="Q40" s="22"/>
    </row>
    <row r="41" spans="1:20" ht="20.100000000000001" customHeight="1" x14ac:dyDescent="0.25">
      <c r="D41" s="22"/>
      <c r="E41" s="22"/>
      <c r="F41" s="22"/>
      <c r="G41" s="22"/>
      <c r="H41" s="22"/>
      <c r="L41" s="22"/>
      <c r="M41" s="5" t="str" cm="1">
        <f t="array" ref="M41">AgResidue_Equations_CropResidue.VEERG_6_1_1_1__2__MassOfNitrogenInCropResidues_Source()</f>
        <v>VEERG 2026: 6.1.1.1, Equation (2)</v>
      </c>
      <c r="N41" s="22"/>
      <c r="O41" s="22"/>
      <c r="P41" s="22"/>
      <c r="Q41" s="22"/>
    </row>
    <row r="42" spans="1:20" ht="20.100000000000001" customHeight="1" x14ac:dyDescent="0.25">
      <c r="D42" s="93" t="s">
        <v>109</v>
      </c>
      <c r="E42" s="94" cm="1">
        <f t="array" ref="E42">AgResidue_Equations_CropResidue.VEERG_6_1_1_1__1__NitrousOxideEmissionsFromCropResidues(I36,I37,I38)</f>
        <v>6.6792000000000012E-4</v>
      </c>
      <c r="F42" s="95" t="str">
        <f>$E$34</f>
        <v>t N2O</v>
      </c>
      <c r="H42" s="22"/>
      <c r="L42" s="22"/>
      <c r="M42" s="13" t="s">
        <v>22</v>
      </c>
      <c r="N42" s="13" t="str" cm="1">
        <f t="array" aca="1" ref="N42" ca="1">Common_InputFunctions.Utility_DisplayFunctionName(N59)</f>
        <v>=AgResidue_Equations_CropResidue.VEERG_6_1_1_1__2__MassOfNitrogenInCropResidues</v>
      </c>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6.6792000000000012E-4</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25</v>
      </c>
      <c r="N45" s="1" t="str" cm="1">
        <f t="array" ref="N45">AgResidue_Equations_CropResidue.VEERG_6_1_1_1__2__MassOfNitrogenInCropResidues_Variable()</f>
        <v>M_c</v>
      </c>
      <c r="O45" s="22"/>
      <c r="P45" s="22"/>
      <c r="Q45" s="22"/>
    </row>
    <row r="46" spans="1:20" ht="20.100000000000001" customHeight="1" x14ac:dyDescent="0.25">
      <c r="H46" s="22"/>
      <c r="J46" s="22"/>
      <c r="L46" s="22"/>
      <c r="M46" s="51" t="s">
        <v>16</v>
      </c>
      <c r="N46" s="52" t="str" cm="1">
        <f t="array" ref="N46">AgResidue_Equations_CropResidue.VEERG_6_1_1_1__2__MassOfNitrogenInCropResidues_Unit()</f>
        <v>kg N</v>
      </c>
      <c r="O46" s="22"/>
      <c r="P46" s="22"/>
      <c r="Q46" s="22"/>
    </row>
    <row r="47" spans="1:20" ht="20.100000000000001" customHeight="1" x14ac:dyDescent="0.25">
      <c r="A47" s="123" t="str">
        <f>HYPERLINK("#A1", "▲ Back to top")</f>
        <v>▲ Back to top</v>
      </c>
      <c r="D47" s="44" t="s">
        <v>79</v>
      </c>
      <c r="E47" s="44" cm="1">
        <f t="array" ref="E47">Common_Equations.Common_ConvertN2OToCO2e(G44,G45)</f>
        <v>0.17699880000000004</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7" t="str" cm="1">
        <f t="array" ref="M48:N57">_xlfn.CHOOSECOLS(AgResidue_Equations_CropResidue.VEERG_6_1_1_1__2__MassOfNitrogenInCropResidues_Arguments_Method2(), 1, 2)</f>
        <v>P_c</v>
      </c>
      <c r="N48" s="121" t="str">
        <v>annual production of crop c</v>
      </c>
      <c r="O48" s="120"/>
      <c r="P48" s="117" t="str" cm="1">
        <f t="array" ref="P48:Q57">_xlfn.CHOOSECOLS(AgResidue_Equations_CropResidue.VEERG_6_1_1_1__2__MassOfNitrogenInCropResidues_Arguments_Method2(), 3,4)</f>
        <v>kg</v>
      </c>
      <c r="Q48" s="111" t="str">
        <v>Input</v>
      </c>
      <c r="R48" s="117"/>
    </row>
    <row r="49" spans="10:20" ht="20.100000000000001" customHeight="1" x14ac:dyDescent="0.25">
      <c r="J49" s="22"/>
      <c r="M49" s="117" t="str">
        <v>R_AGc</v>
      </c>
      <c r="N49" s="121" t="str">
        <v>residue to crop ratio for crop c</v>
      </c>
      <c r="O49" s="120"/>
      <c r="P49" s="117" t="str">
        <v>dimensionless</v>
      </c>
      <c r="Q49" s="110" t="str">
        <v>Constant</v>
      </c>
      <c r="R49" s="117"/>
    </row>
    <row r="50" spans="10:20" ht="20.100000000000001" customHeight="1" x14ac:dyDescent="0.25">
      <c r="J50" s="22"/>
      <c r="M50" s="117" t="str">
        <v>R_BGc</v>
      </c>
      <c r="N50" s="121" t="str">
        <v>below ground-residue to above ground residue ratio for crop c</v>
      </c>
      <c r="O50" s="120"/>
      <c r="P50" s="117" t="str">
        <v>dimensionless</v>
      </c>
      <c r="Q50" s="110" t="str">
        <v>Constant</v>
      </c>
      <c r="R50" s="117"/>
    </row>
    <row r="51" spans="10:20" ht="20.100000000000001" customHeight="1" x14ac:dyDescent="0.25">
      <c r="J51" s="22"/>
      <c r="M51" s="117" t="str">
        <v>F_c</v>
      </c>
      <c r="N51" s="121" t="str">
        <v>fraction of crop residue that is burnt for crop c</v>
      </c>
      <c r="O51" s="120"/>
      <c r="P51" s="117" t="str">
        <v>dimensionless</v>
      </c>
      <c r="Q51" s="111" t="str">
        <v>Input</v>
      </c>
      <c r="R51" s="117"/>
    </row>
    <row r="52" spans="10:20" ht="20.100000000000001" customHeight="1" x14ac:dyDescent="0.25">
      <c r="J52" s="22"/>
      <c r="M52" s="117" t="str">
        <v>FFOD_c</v>
      </c>
      <c r="N52" s="121" t="str">
        <v>fraction of the crop residue that is removed for crop c</v>
      </c>
      <c r="O52" s="120"/>
      <c r="P52" s="117" t="str">
        <v>dimensionless</v>
      </c>
      <c r="Q52" s="110" t="str">
        <v>Calculated from 6.1.1.2 (1)</v>
      </c>
      <c r="R52" s="117">
        <f>N36</f>
        <v>0.11</v>
      </c>
    </row>
    <row r="53" spans="10:20" ht="20.100000000000001" customHeight="1" x14ac:dyDescent="0.25">
      <c r="M53" s="117" t="str">
        <v>DM_c</v>
      </c>
      <c r="N53" s="121" t="str">
        <v>dry matter content of crop c</v>
      </c>
      <c r="O53" s="120"/>
      <c r="P53" s="117" t="str">
        <v>kg dry weight/kg crop residue</v>
      </c>
      <c r="Q53" s="110" t="str">
        <v>Constant</v>
      </c>
      <c r="R53" s="117"/>
    </row>
    <row r="54" spans="10:20" ht="20.100000000000001" customHeight="1" x14ac:dyDescent="0.25">
      <c r="M54" s="117" t="str">
        <v>NC_AGc</v>
      </c>
      <c r="N54" s="121" t="str">
        <v>nitrogen content of above-ground crop residue of crop c</v>
      </c>
      <c r="O54" s="120"/>
      <c r="P54" s="117" t="str">
        <v>kg N/kg DM</v>
      </c>
      <c r="Q54" s="110" t="str">
        <v>Constant</v>
      </c>
      <c r="R54" s="117"/>
    </row>
    <row r="55" spans="10:20" ht="20.100000000000001" customHeight="1" x14ac:dyDescent="0.25">
      <c r="M55" s="117" t="str">
        <v>NC_BGc</v>
      </c>
      <c r="N55" s="121" t="str">
        <v>nitrogen content of below-ground crop residue of crop c</v>
      </c>
      <c r="O55" s="120"/>
      <c r="P55" s="117" t="str">
        <v>kg N/kg DM</v>
      </c>
      <c r="Q55" s="110" t="str">
        <v>Constant</v>
      </c>
      <c r="R55" s="117"/>
    </row>
    <row r="56" spans="10:20" ht="20.100000000000001" customHeight="1" x14ac:dyDescent="0.25">
      <c r="M56" s="117" t="str">
        <v>c</v>
      </c>
      <c r="N56" s="121" t="str">
        <v>Crop type</v>
      </c>
      <c r="O56" s="120"/>
      <c r="P56" s="117" t="str">
        <v/>
      </c>
      <c r="Q56" s="111" t="str">
        <v>Input</v>
      </c>
      <c r="R56" s="117"/>
    </row>
    <row r="57" spans="10:20" ht="20.100000000000001" customHeight="1" x14ac:dyDescent="0.25">
      <c r="M57" s="117" t="str">
        <v>State</v>
      </c>
      <c r="N57" s="121" t="str">
        <v>State or territory</v>
      </c>
      <c r="O57" s="120"/>
      <c r="P57" s="117" t="str">
        <v/>
      </c>
      <c r="Q57" s="111" t="str">
        <v>Input</v>
      </c>
      <c r="R57" s="117"/>
    </row>
    <row r="58" spans="10:20" ht="20.100000000000001" customHeight="1" x14ac:dyDescent="0.25">
      <c r="M58" s="22"/>
      <c r="N58" s="22"/>
      <c r="O58" s="22"/>
      <c r="P58" s="22"/>
      <c r="Q58" s="22"/>
    </row>
    <row r="59" spans="10:20" ht="20.100000000000001" customHeight="1" x14ac:dyDescent="0.25">
      <c r="M59" s="118" t="s">
        <v>177</v>
      </c>
      <c r="N59" s="138" cm="1">
        <f t="array" ref="N59">AgResidue_Equations_CropResidue.VEERG_6_1_1_1__2__MassOfNitrogenInCropResidues(I13,I14,I16,R52,I18,I19,I15,I20)</f>
        <v>85.00800000000001</v>
      </c>
      <c r="O59" s="119"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37"/>
      <c r="M62" s="137"/>
      <c r="N62" s="137"/>
      <c r="O62" s="137"/>
      <c r="P62" s="137"/>
      <c r="Q62" s="137"/>
      <c r="R62" s="137"/>
      <c r="S62" s="137"/>
      <c r="T62" s="137"/>
    </row>
    <row r="63" spans="10:20" ht="20.100000000000001" customHeight="1" x14ac:dyDescent="0.25">
      <c r="L63" s="22"/>
      <c r="M63" s="6" t="str" cm="1">
        <f t="array" ref="M63">AgResidue_Equations_CropResidue.VEERG_6_1_1_1__1__NitrousOxideEmissionsFromCropResidues_Title()</f>
        <v>Nitrous oxide emissions from the return of crop residues across all crops c to the soil</v>
      </c>
      <c r="N63" s="22"/>
      <c r="O63" s="22"/>
      <c r="P63" s="22"/>
      <c r="Q63" s="22"/>
    </row>
    <row r="64" spans="10:20" ht="20.100000000000001" customHeight="1" x14ac:dyDescent="0.25">
      <c r="M64" s="5" t="str" cm="1">
        <f t="array" ref="M64">AgResidue_Equations_CropResidue.VEERG_6_1_1_1__1__NitrousOxideEmissionsFromCropResidues_Source()</f>
        <v>VEERG 2026: 6.1.1.1, Equation (1)</v>
      </c>
      <c r="N64" s="22"/>
      <c r="O64" s="22"/>
      <c r="P64" s="22"/>
      <c r="Q64" s="22"/>
    </row>
    <row r="65" spans="12:18" ht="20.100000000000001" customHeight="1" x14ac:dyDescent="0.25">
      <c r="L65" s="22"/>
      <c r="M65" s="13" t="s">
        <v>22</v>
      </c>
      <c r="N65" s="13" t="str" cm="1">
        <f t="array" aca="1" ref="N65" ca="1">Common_InputFunctions.Utility_DisplayFunctionName(N77)</f>
        <v>=AgResidue_Equations_CropResidue.VEERG_6_1_1_1__1__NitrousOxideEmissionsFromCropResidues</v>
      </c>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25</v>
      </c>
      <c r="N68" s="1" t="str" cm="1">
        <f t="array" ref="N68">AgResidue_Equations_CropResidue.VEERG_6_1_1_1__1__NitrousOxideEmissionsFromCropResidues_Variable()</f>
        <v>E</v>
      </c>
      <c r="O68" s="22"/>
      <c r="P68" s="22"/>
      <c r="Q68" s="22"/>
    </row>
    <row r="69" spans="12:18" ht="20.100000000000001" customHeight="1" x14ac:dyDescent="0.25">
      <c r="L69" s="22"/>
      <c r="M69" s="51" t="s">
        <v>16</v>
      </c>
      <c r="N69" s="52" t="str" cm="1">
        <f t="array" ref="N69">AgResidue_Equations_CropResidue.VEERG_6_1_1_1__1__NitrousOxideEmissionsFromCropResidues_Unit()</f>
        <v>t N2O</v>
      </c>
      <c r="O69" s="22"/>
      <c r="P69" s="22"/>
      <c r="Q69" s="22"/>
    </row>
    <row r="70" spans="12:18" ht="20.100000000000001" customHeight="1" x14ac:dyDescent="0.25">
      <c r="L70" s="22"/>
      <c r="M70" s="22"/>
      <c r="N70" s="22"/>
      <c r="O70" s="22"/>
      <c r="P70" s="22"/>
      <c r="Q70" s="22"/>
    </row>
    <row r="71" spans="12:18" ht="20.100000000000001" customHeight="1" x14ac:dyDescent="0.25">
      <c r="L71" s="22"/>
      <c r="M71" s="117" t="str" cm="1">
        <f t="array" ref="M71:N75">_xlfn.CHOOSECOLS(AgResidue_Equations_CropResidue.VEERG_6_1_1_1__1__NitrousOxideEmissionsFromCropResidues_Arguments(), 1, 2)</f>
        <v>M_c</v>
      </c>
      <c r="N71" s="121" t="str">
        <v>mass of nitrogen in crop c residues returned to the soil</v>
      </c>
      <c r="O71" s="120"/>
      <c r="P71" s="117" t="str" cm="1">
        <f t="array" ref="P71:Q75">_xlfn.CHOOSECOLS(AgResidue_Equations_CropResidue.VEERG_6_1_1_1__1__NitrousOxideEmissionsFromCropResidues_Arguments(), 3,4)</f>
        <v>kg N</v>
      </c>
      <c r="Q71" s="110" t="str">
        <v>Calculated from 6.1.1.1 (2)</v>
      </c>
      <c r="R71" s="117">
        <f>N59</f>
        <v>85.00800000000001</v>
      </c>
    </row>
    <row r="72" spans="12:18" ht="20.100000000000001" customHeight="1" x14ac:dyDescent="0.25">
      <c r="L72" s="22"/>
      <c r="M72" s="117" t="str">
        <v>EF_Ni</v>
      </c>
      <c r="N72" s="121" t="str">
        <v>emission factor for crop residues returned to the soil</v>
      </c>
      <c r="O72" s="120"/>
      <c r="P72" s="117" t="str">
        <v>kg N2O-N/kg N</v>
      </c>
      <c r="Q72" s="110" t="str">
        <v>Constant</v>
      </c>
      <c r="R72" s="117"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7" t="str">
        <v>C_N2O</v>
      </c>
      <c r="N73" s="121" t="str">
        <v>factor to convert elemental mass of nitrous oxide to molecular mass</v>
      </c>
      <c r="O73" s="120"/>
      <c r="P73" s="117" t="str">
        <v>dimensionless</v>
      </c>
      <c r="Q73" s="110" t="str">
        <v>Constant</v>
      </c>
      <c r="R73" s="117">
        <f>Common_InputFunctions.Utility_LookupValueInTableNumber("N2O",Table_GasToMolecularConversionFactor[Gas],Table_GasToMolecularConversionFactor[Conversion factor combined])</f>
        <v>1.5714285714285714</v>
      </c>
    </row>
    <row r="74" spans="12:18" ht="20.100000000000001" customHeight="1" x14ac:dyDescent="0.25">
      <c r="L74" s="22"/>
      <c r="M74" s="117" t="str">
        <v>c</v>
      </c>
      <c r="N74" s="121" t="str">
        <v>Crop type</v>
      </c>
      <c r="O74" s="120"/>
      <c r="P74" s="117" t="str">
        <v/>
      </c>
      <c r="Q74" s="111" t="str">
        <v>Input</v>
      </c>
      <c r="R74" s="117" t="s">
        <v>133</v>
      </c>
    </row>
    <row r="75" spans="12:18" ht="20.100000000000001" customHeight="1" x14ac:dyDescent="0.25">
      <c r="L75" s="22"/>
      <c r="M75" s="117" t="str">
        <v>i</v>
      </c>
      <c r="N75" s="121" t="str">
        <v>Wet or dry climate zone</v>
      </c>
      <c r="O75" s="120"/>
      <c r="P75" s="117" t="str">
        <v/>
      </c>
      <c r="Q75" s="111" t="str">
        <v>Input</v>
      </c>
      <c r="R75" s="117" t="str">
        <f>'Input - Site'!$E$32</f>
        <v>Dry climate zone</v>
      </c>
    </row>
    <row r="76" spans="12:18" ht="20.100000000000001" customHeight="1" x14ac:dyDescent="0.25">
      <c r="L76" s="22"/>
      <c r="M76" s="22"/>
      <c r="N76" s="22"/>
      <c r="O76" s="22"/>
      <c r="P76" s="22"/>
      <c r="Q76" s="22"/>
    </row>
    <row r="77" spans="12:18" ht="20.100000000000001" customHeight="1" x14ac:dyDescent="0.25">
      <c r="L77" s="22"/>
      <c r="M77" s="93" t="s">
        <v>109</v>
      </c>
      <c r="N77" s="94" cm="1">
        <f t="array" ref="N77">AgResidue_Equations_CropResidue.VEERG_6_1_1_1__1__NitrousOxideEmissionsFromCropResidues(R71,R72,R73)</f>
        <v>6.6792000000000012E-4</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6.6792000000000012E-4</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79</v>
      </c>
      <c r="N82" s="44" cm="1">
        <f t="array" ref="N82">Common_Equations.Common_ConvertN2OToCO2e(P79,P80)</f>
        <v>0.17699880000000004</v>
      </c>
      <c r="O82" s="97" t="str" cm="1">
        <f t="array" ref="O82">Common_Equations.Common_ConvertN2OToCO2e_Unit()</f>
        <v>t CO2e</v>
      </c>
      <c r="Q82" s="22"/>
    </row>
    <row r="83" spans="1:18" ht="20.100000000000001" customHeight="1" x14ac:dyDescent="0.25">
      <c r="A83" s="123"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zoomScaleNormal="100"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M3" s="4"/>
      <c r="N3" s="4" t="s">
        <v>81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A6" s="16"/>
      <c r="D6" s="5" t="str" cm="1">
        <f t="array" ref="D6">AgResidue_Equations_PastureResidue.VEERG_6_2_1_1__2__MassOfNitrogenInPastureResidues_Source()</f>
        <v>VEERG 2026: 6.2.1.1, Equation (2)</v>
      </c>
    </row>
    <row r="7" spans="1:21" ht="20.100000000000001" customHeight="1" x14ac:dyDescent="0.25">
      <c r="A7" s="20" t="s">
        <v>1</v>
      </c>
      <c r="D7" s="13" t="s">
        <v>22</v>
      </c>
      <c r="E7" s="13" t="str" cm="1">
        <f t="array" aca="1" ref="E7" ca="1">Common_InputFunctions.Utility_DisplayFunctionName(E21)</f>
        <v>=AgResidue_Equations_PastureResidue.VEERG_6_2_1_1__2__MassOfNitrogenInPastureResidues</v>
      </c>
    </row>
    <row r="8" spans="1:21" ht="20.100000000000001" customHeight="1" x14ac:dyDescent="0.25">
      <c r="A8" s="17" t="str">
        <f>HYPERLINK("#'Input - Site'!A1", "Site")</f>
        <v>Site</v>
      </c>
    </row>
    <row r="9" spans="1:21" ht="20.100000000000001" customHeight="1" x14ac:dyDescent="0.25">
      <c r="A9" s="17" t="str">
        <f>HYPERLINK("#'Input - Crop'!A1", "Crop")</f>
        <v>Crop</v>
      </c>
    </row>
    <row r="10" spans="1:21" ht="20.100000000000001" customHeight="1" x14ac:dyDescent="0.25">
      <c r="A10" s="17" t="str">
        <f>HYPERLINK("#'Input - Pasture'!A1", "Pasture")</f>
        <v>Pasture</v>
      </c>
      <c r="D10" s="3" t="s">
        <v>25</v>
      </c>
      <c r="E10" s="1" t="str" cm="1">
        <f t="array" ref="E10">AgResidue_Equations_PastureResidue.VEERG_6_2_1_1__2__MassOfNitrogenInPastureResidues_Variable()</f>
        <v>Mp</v>
      </c>
    </row>
    <row r="11" spans="1:21" ht="20.100000000000001" customHeight="1" x14ac:dyDescent="0.25">
      <c r="D11" s="3" t="s">
        <v>16</v>
      </c>
      <c r="E11" s="52" t="str" cm="1">
        <f t="array" ref="E11">AgResidue_Equations_PastureResidue.VEERG_6_2_1_1__2__MassOfNitrogenInPastureResidues_Unit()</f>
        <v>kg N</v>
      </c>
    </row>
    <row r="12" spans="1:21" ht="20.100000000000001" customHeight="1" x14ac:dyDescent="0.25">
      <c r="A12" s="19" t="s">
        <v>69</v>
      </c>
    </row>
    <row r="13" spans="1:21" ht="20.100000000000001" customHeight="1" x14ac:dyDescent="0.25">
      <c r="A13" s="17" t="str">
        <f>HYPERLINK("#'6.1.1.1-2 Crop residue N2O'!A1", "6.1.1.1-2 Crop residue N2O")</f>
        <v>6.1.1.1-2 Crop residue N2O</v>
      </c>
      <c r="D13" s="117" t="str" cm="1">
        <f t="array" ref="D13:E19">_xlfn.CHOOSECOLS(AgResidue_Equations_PastureResidue.VEERG_6_2_1_1__2__MassOfNitrogenInPastureResidues_Arguments(), 1, 2)</f>
        <v>A_p</v>
      </c>
      <c r="E13" s="121" t="str">
        <v>area of pasture renewed or removed</v>
      </c>
      <c r="F13" s="122"/>
      <c r="G13" s="120"/>
      <c r="H13" s="117" t="str" cm="1">
        <f t="array" ref="H13:I19">_xlfn.CHOOSECOLS(AgResidue_Equations_PastureResidue.VEERG_6_2_1_1__2__MassOfNitrogenInPastureResidues_Arguments(), 3,4)</f>
        <v>ha</v>
      </c>
      <c r="I13" s="111" t="str">
        <v>Input</v>
      </c>
      <c r="J13" s="117">
        <f>'Input - Pasture'!$E$25</f>
        <v>500</v>
      </c>
      <c r="N13" s="117" t="str" cm="1">
        <f t="array" ref="N13:O19">_xlfn.CHOOSECOLS(AgResidue_Equations_PastureResidue.VEERG_6_2_1_1__2__MassOfNitrogenInPastureResidues_Arguments_Method2(), 1, 2)</f>
        <v>A_p</v>
      </c>
      <c r="O13" s="121" t="str">
        <v>area of pasture renewed or removed</v>
      </c>
      <c r="P13" s="122"/>
      <c r="Q13" s="120"/>
      <c r="R13" s="117" t="str" cm="1">
        <f t="array" ref="R13:S19">_xlfn.CHOOSECOLS(AgResidue_Equations_PastureResidue.VEERG_6_2_1_1__2__MassOfNitrogenInPastureResidues_Arguments_Method2(), 3,4)</f>
        <v>ha</v>
      </c>
      <c r="S13" s="111" t="str">
        <v>Input</v>
      </c>
      <c r="T13" s="117"/>
    </row>
    <row r="14" spans="1:21" ht="20.100000000000001" customHeight="1" x14ac:dyDescent="0.25">
      <c r="A14" s="131" t="str">
        <f>HYPERLINK("#'6.2.1.1-2 Pasture residue N2O'!A1", "6.2.1.1-2 Pasture residue N2O")</f>
        <v>6.2.1.1-2 Pasture residue N2O</v>
      </c>
      <c r="D14" s="117" t="str">
        <v>Y_p</v>
      </c>
      <c r="E14" s="121" t="str">
        <v>average yield of pasture crop</v>
      </c>
      <c r="F14" s="122"/>
      <c r="G14" s="120"/>
      <c r="H14" s="117" t="str">
        <v>t DM/ha</v>
      </c>
      <c r="I14" s="110" t="str">
        <v>Constant</v>
      </c>
      <c r="J14" s="117" cm="1">
        <f t="array" ref="J14">Common_InputFunctions.Utility_LookupValueInTableNumber($J$19,Table_SourceData_PastureAttributes[Pasture type],Table_SourceData_PastureAttributes[Average Yield (t DM ha) Yp])</f>
        <v>8.34</v>
      </c>
      <c r="N14" s="117" t="str">
        <v>Y_p</v>
      </c>
      <c r="O14" s="121" t="str">
        <v>average yield of pasture crop</v>
      </c>
      <c r="P14" s="122"/>
      <c r="Q14" s="120"/>
      <c r="R14" s="117" t="str">
        <v>t DM/ha</v>
      </c>
      <c r="S14" s="111" t="str">
        <v>Input</v>
      </c>
      <c r="T14" s="117">
        <f>'Input - Pasture'!$E$19</f>
        <v>8.34</v>
      </c>
    </row>
    <row r="15" spans="1:21" ht="20.100000000000001" customHeight="1" x14ac:dyDescent="0.25">
      <c r="A15" s="17" t="str">
        <f>HYPERLINK("#'6.3.1.1-2 Leaching and runoff'!A1", "6.3.1.1-2 Leaching and runoff")</f>
        <v>6.3.1.1-2 Leaching and runoff</v>
      </c>
      <c r="D15" s="117" t="str">
        <v>NC_AGp</v>
      </c>
      <c r="E15" s="121" t="str">
        <v>N content of above-ground pasture residue</v>
      </c>
      <c r="F15" s="122"/>
      <c r="G15" s="120"/>
      <c r="H15" s="117" t="str">
        <v>kg N/kg DM</v>
      </c>
      <c r="I15" s="110" t="str">
        <v>Constant</v>
      </c>
      <c r="J15" s="117" cm="1">
        <f t="array" ref="J15">Common_InputFunctions.Utility_LookupValueInTableNumber($J$19,Table_SourceData_PastureAttributes[Pasture type],Table_SourceData_PastureAttributes[N content Above-ground NCAGp])</f>
        <v>2.5000000000000001E-2</v>
      </c>
      <c r="N15" s="117" t="str">
        <v>NC_AGp</v>
      </c>
      <c r="O15" s="121" t="str">
        <v>N content of above-ground pasture residue</v>
      </c>
      <c r="P15" s="122"/>
      <c r="Q15" s="120"/>
      <c r="R15" s="117" t="str">
        <v>kg N/kg DM</v>
      </c>
      <c r="S15" s="110" t="str">
        <v>Constant</v>
      </c>
      <c r="T15" s="117"/>
    </row>
    <row r="16" spans="1:21" ht="20.100000000000001" customHeight="1" x14ac:dyDescent="0.25">
      <c r="A16" s="17" t="str">
        <f>HYPERLINK("#'6.4.1.1-2 Residue burning'!A1", "6.4.1.1-2 Residue burning")</f>
        <v>6.4.1.1-2 Residue burning</v>
      </c>
      <c r="D16" s="117" t="str">
        <v>R_BGp</v>
      </c>
      <c r="E16" s="121" t="str">
        <v>below-ground residue to above-ground residue ratio for pasture crop</v>
      </c>
      <c r="F16" s="122"/>
      <c r="G16" s="120"/>
      <c r="H16" s="117" t="str">
        <v>dimensionless</v>
      </c>
      <c r="I16" s="110" t="str">
        <v>Constant</v>
      </c>
      <c r="J16" s="117" cm="1">
        <f t="array" ref="J16">Common_InputFunctions.Utility_LookupValueInTableNumber($J$19,Table_SourceData_PastureAttributes[Pasture type],Table_SourceData_PastureAttributes[Below-ground: above-ground residue ratio RBGp])</f>
        <v>0.8</v>
      </c>
      <c r="N16" s="117" t="str">
        <v>R_BGp</v>
      </c>
      <c r="O16" s="121" t="str">
        <v>below-ground residue to above-ground residue ratio for pasture crop</v>
      </c>
      <c r="P16" s="122"/>
      <c r="Q16" s="120"/>
      <c r="R16" s="117" t="str">
        <v>dimensionless</v>
      </c>
      <c r="S16" s="110" t="str">
        <v>Constant</v>
      </c>
      <c r="T16" s="117"/>
    </row>
    <row r="17" spans="1:21" ht="20.100000000000001" customHeight="1" x14ac:dyDescent="0.25">
      <c r="A17" s="17"/>
      <c r="D17" s="117" t="str">
        <v>NC_BGp</v>
      </c>
      <c r="E17" s="121" t="str">
        <v>N content of below-ground pasture crop residue</v>
      </c>
      <c r="F17" s="122"/>
      <c r="G17" s="120"/>
      <c r="H17" s="117" t="str">
        <v>kg N/kg DM</v>
      </c>
      <c r="I17" s="110" t="str">
        <v>Constant</v>
      </c>
      <c r="J17" s="117" cm="1">
        <f t="array" ref="J17">Common_InputFunctions.Utility_LookupValueInTableNumber($J$19,Table_SourceData_PastureAttributes[Pasture type],Table_SourceData_PastureAttributes[N content Below-ground NCBGp])</f>
        <v>1.6E-2</v>
      </c>
      <c r="N17" s="117" t="str">
        <v>NC_BGp</v>
      </c>
      <c r="O17" s="121" t="str">
        <v>N content of below-ground pasture crop residue</v>
      </c>
      <c r="P17" s="122"/>
      <c r="Q17" s="120"/>
      <c r="R17" s="117" t="str">
        <v>kg N/kg DM</v>
      </c>
      <c r="S17" s="110" t="str">
        <v>Constant</v>
      </c>
      <c r="T17" s="117"/>
    </row>
    <row r="18" spans="1:21" ht="20.100000000000001" customHeight="1" x14ac:dyDescent="0.25">
      <c r="A18" s="18" t="s">
        <v>2</v>
      </c>
      <c r="D18" s="117" t="str">
        <v>FFOD_p</v>
      </c>
      <c r="E18" s="121" t="str">
        <v>fraction of pasture yield that is removed</v>
      </c>
      <c r="F18" s="122"/>
      <c r="G18" s="120"/>
      <c r="H18" s="117" t="str">
        <v>dimensionless</v>
      </c>
      <c r="I18" s="110" t="str">
        <v>Constant</v>
      </c>
      <c r="J18" s="117" cm="1">
        <f t="array" ref="J18">Common_InputFunctions.Utility_LookupValueInTableNumber($J$19,Table_SourceData_PastureAttributes[Pasture type],Table_SourceData_PastureAttributes[Fraction of pasture yield that is removed FFODp])</f>
        <v>0.8</v>
      </c>
      <c r="N18" s="117" t="str">
        <v>FFOD_p</v>
      </c>
      <c r="O18" s="121" t="str">
        <v>fraction of pasture yield that is removed</v>
      </c>
      <c r="P18" s="122"/>
      <c r="Q18" s="120"/>
      <c r="R18" s="117" t="str">
        <v>dimensionless</v>
      </c>
      <c r="S18" s="110" t="str">
        <v>Constant</v>
      </c>
      <c r="T18" s="117"/>
    </row>
    <row r="19" spans="1:21" ht="20.100000000000001" customHeight="1" x14ac:dyDescent="0.25">
      <c r="A19" s="17" t="str">
        <f>HYPERLINK("#'Constants - Ag Residue'!A1", "Constants - Ag Residue")</f>
        <v>Constants - Ag Residue</v>
      </c>
      <c r="D19" s="117" t="str">
        <v>p</v>
      </c>
      <c r="E19" s="121" t="str">
        <v>Pasture type</v>
      </c>
      <c r="F19" s="122"/>
      <c r="G19" s="120"/>
      <c r="H19" s="117" t="str">
        <v/>
      </c>
      <c r="I19" s="111" t="str">
        <v>Input</v>
      </c>
      <c r="J19" s="117" t="str">
        <f>'Input - Pasture'!$E$9</f>
        <v>Grass clover mixture</v>
      </c>
      <c r="N19" s="117" t="str">
        <v>p</v>
      </c>
      <c r="O19" s="121" t="str">
        <v>Pasture type</v>
      </c>
      <c r="P19" s="122"/>
      <c r="Q19" s="120"/>
      <c r="R19" s="117" t="str">
        <v/>
      </c>
      <c r="S19" s="111" t="str">
        <v>Input</v>
      </c>
      <c r="T19" s="117"/>
    </row>
    <row r="20" spans="1:21" ht="20.100000000000001" customHeight="1" x14ac:dyDescent="0.25">
      <c r="A20" s="17" t="str">
        <f>HYPERLINK("#'Constants - Common'!A1", "Constants - Common")</f>
        <v>Constants - Common</v>
      </c>
    </row>
    <row r="21" spans="1:21" ht="20.100000000000001" customHeight="1" x14ac:dyDescent="0.25">
      <c r="D21" s="118" t="s">
        <v>187</v>
      </c>
      <c r="E21" s="44" cm="1">
        <f t="array" ref="E21">AgResidue_Equations_PastureResidue.VEERG_6_2_1_1__2__MassOfNitrogenInPastureResidues(J13,J14,J18,J15,J16,J17)</f>
        <v>7.4226E-2</v>
      </c>
      <c r="F21" s="97" t="str" cm="1">
        <f t="array" ref="F21">AgResidue_Equations_PastureResidue.VEERG_6_2_1_1__2__MassOfNitrogenInPastureResidues_Unit()</f>
        <v>kg N</v>
      </c>
      <c r="N21" s="118" t="s">
        <v>187</v>
      </c>
      <c r="O21" s="44" cm="1">
        <f t="array" ref="O21">AgResidue_Equations_PastureResidue.VEERG_6_2_1_1__2__MassOfNitrogenInPastureResidues(J13,T14,J18,J15,J16,J17)</f>
        <v>7.4226E-2</v>
      </c>
      <c r="P21" s="97" t="str" cm="1">
        <f t="array" ref="P21">AgResidue_Equations_PastureResidue.VEERG_6_2_1_1__2__MassOfNitrogenInPastureResidues_Unit()</f>
        <v>kg N</v>
      </c>
    </row>
    <row r="22" spans="1:21" ht="20.100000000000001" customHeight="1" x14ac:dyDescent="0.25"/>
    <row r="23" spans="1:21" ht="20.100000000000001" customHeight="1" x14ac:dyDescent="0.25"/>
    <row r="24" spans="1:21" ht="20.100000000000001" customHeight="1" x14ac:dyDescent="0.25">
      <c r="C24" s="44"/>
      <c r="D24" s="44"/>
      <c r="E24" s="44"/>
      <c r="F24" s="44"/>
      <c r="G24" s="44"/>
      <c r="H24" s="44"/>
      <c r="I24" s="44"/>
      <c r="J24" s="44"/>
      <c r="K24" s="44"/>
      <c r="M24" s="44"/>
      <c r="N24" s="44"/>
      <c r="O24" s="44"/>
      <c r="P24" s="44"/>
      <c r="Q24" s="44"/>
      <c r="R24" s="44"/>
      <c r="S24" s="44"/>
      <c r="T24" s="44"/>
      <c r="U24" s="44"/>
    </row>
    <row r="25" spans="1:21" ht="20.100000000000001" customHeight="1" x14ac:dyDescent="0.25">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22</v>
      </c>
      <c r="E27" s="13" t="str" cm="1">
        <f t="array" aca="1" ref="E27" ca="1">Common_InputFunctions.Utility_DisplayFunctionName(E40)</f>
        <v>=AgResidue_Equations_PastureResidue.VEERG_6_2_1_1__1__NitrousOxideEmissionsFromPastureResidues</v>
      </c>
      <c r="N27" s="13" t="s">
        <v>22</v>
      </c>
      <c r="O27" s="13" t="str" cm="1">
        <f t="array" aca="1" ref="O27" ca="1">Common_InputFunctions.Utility_DisplayFunctionName(O40)</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25</v>
      </c>
      <c r="E30" s="1" t="str" cm="1">
        <f t="array" ref="E30">AgResidue_Equations_PastureResidue.VEERG_6_2_1_1__1__NitrousOxideEmissionsFromPastureResidues_Variable()</f>
        <v>EN2O</v>
      </c>
      <c r="N30" s="3" t="s">
        <v>25</v>
      </c>
      <c r="O30" s="1" t="str" cm="1">
        <f t="array" ref="O30">AgResidue_Equations_PastureResidue.VEERG_6_2_1_1__1__NitrousOxideEmissionsFromPastureResidues_Variable()</f>
        <v>EN2O</v>
      </c>
    </row>
    <row r="31" spans="1:21" ht="20.100000000000001" customHeight="1" x14ac:dyDescent="0.25">
      <c r="D31" s="3" t="s">
        <v>16</v>
      </c>
      <c r="E31" s="52" t="str" cm="1">
        <f t="array" ref="E31">AgResidue_Equations_PastureResidue.VEERG_6_2_1_1__1__NitrousOxideEmissionsFromPastureResidues_Unit()</f>
        <v>t N2O</v>
      </c>
      <c r="N31" s="3" t="s">
        <v>16</v>
      </c>
      <c r="O31" s="52" t="str" cm="1">
        <f t="array" ref="O31">AgResidue_Equations_PastureResidue.VEERG_6_2_1_1__1__NitrousOxideEmissionsFromPastureResidues_Unit()</f>
        <v>t N2O</v>
      </c>
    </row>
    <row r="32" spans="1:21" ht="20.100000000000001" customHeight="1" x14ac:dyDescent="0.25"/>
    <row r="33" spans="1:20" ht="20.100000000000001" customHeight="1" x14ac:dyDescent="0.25">
      <c r="D33" s="117" t="str" cm="1">
        <f t="array" ref="D33:E37">_xlfn.CHOOSECOLS(AgResidue_Equations_PastureResidue.VEERG_6_2_1_1__1__NitrousOxideEmissionsFromPastureResidues_Arguments(), 1, 2)</f>
        <v>M_p</v>
      </c>
      <c r="E33" s="121" t="str">
        <v>mass of nitrogen in pasture p residues returned to the soil</v>
      </c>
      <c r="F33" s="122"/>
      <c r="G33" s="120"/>
      <c r="H33" s="117" t="str" cm="1">
        <f t="array" ref="H33:I37">_xlfn.CHOOSECOLS(AgResidue_Equations_PastureResidue.VEERG_6_2_1_1__1__NitrousOxideEmissionsFromPastureResidues_Arguments(), 3,4)</f>
        <v>kg N</v>
      </c>
      <c r="I33" s="110" t="str">
        <v>Calculated from 6.2.1.1 (2)</v>
      </c>
      <c r="J33" s="117">
        <f>$E$21</f>
        <v>7.4226E-2</v>
      </c>
      <c r="N33" s="117" t="str" cm="1">
        <f t="array" ref="N33:O37">_xlfn.CHOOSECOLS(AgResidue_Equations_PastureResidue.VEERG_6_2_1_1__1__NitrousOxideEmissionsFromPastureResidues_Arguments(), 1, 2)</f>
        <v>M_p</v>
      </c>
      <c r="O33" s="121" t="str">
        <v>mass of nitrogen in pasture p residues returned to the soil</v>
      </c>
      <c r="P33" s="122"/>
      <c r="Q33" s="120"/>
      <c r="R33" s="117" t="str" cm="1">
        <f t="array" ref="R33:S37">_xlfn.CHOOSECOLS(AgResidue_Equations_PastureResidue.VEERG_6_2_1_1__1__NitrousOxideEmissionsFromPastureResidues_Arguments(), 3,4)</f>
        <v>kg N</v>
      </c>
      <c r="S33" s="110" t="str">
        <v>Calculated from 6.2.1.1 (2)</v>
      </c>
      <c r="T33" s="117">
        <f>$O$21</f>
        <v>7.4226E-2</v>
      </c>
    </row>
    <row r="34" spans="1:20" ht="20.100000000000001" customHeight="1" x14ac:dyDescent="0.25">
      <c r="D34" s="117" t="str">
        <v>EF_Ni</v>
      </c>
      <c r="E34" s="121" t="str">
        <v>emission factor for crop residues returned to the soil in climate zone i</v>
      </c>
      <c r="F34" s="122"/>
      <c r="G34" s="120"/>
      <c r="H34" s="117" t="str">
        <v>kg N2O-N/kg N</v>
      </c>
      <c r="I34" s="110" t="str">
        <v>Constant</v>
      </c>
      <c r="J34" s="117" cm="1">
        <f t="array" ref="J34">Common_InputFunctions.Utility_LookupValueInTableNumber(J37,Table_SourceData_N2OEFOrganicFert[Climate zone type i],Table_SourceData_N2OEFOrganicFert[EF i N2O])</f>
        <v>5.0000000000000001E-3</v>
      </c>
      <c r="N34" s="117" t="str">
        <v>EF_Ni</v>
      </c>
      <c r="O34" s="121" t="str">
        <v>emission factor for crop residues returned to the soil in climate zone i</v>
      </c>
      <c r="P34" s="122"/>
      <c r="Q34" s="120"/>
      <c r="R34" s="117" t="str">
        <v>kg N2O-N/kg N</v>
      </c>
      <c r="S34" s="110" t="str">
        <v>Constant</v>
      </c>
      <c r="T34" s="117"/>
    </row>
    <row r="35" spans="1:20" ht="20.100000000000001" customHeight="1" x14ac:dyDescent="0.25">
      <c r="D35" s="117" t="str">
        <v>C_N2O</v>
      </c>
      <c r="E35" s="121" t="str">
        <v>factor to convert elemental mass of nitrous oxide to molecular mass</v>
      </c>
      <c r="F35" s="122"/>
      <c r="G35" s="120"/>
      <c r="H35" s="117" t="str">
        <v>dimensionless</v>
      </c>
      <c r="I35" s="110" t="str">
        <v>Constant</v>
      </c>
      <c r="J35" s="117">
        <f>Common_InputFunctions.Utility_LookupValueInTableNumber("N2O",Table_GasToMolecularConversionFactor[Gas],Table_GasToMolecularConversionFactor[Conversion factor combined])</f>
        <v>1.5714285714285714</v>
      </c>
      <c r="N35" s="117" t="str">
        <v>C_N2O</v>
      </c>
      <c r="O35" s="121" t="str">
        <v>factor to convert elemental mass of nitrous oxide to molecular mass</v>
      </c>
      <c r="P35" s="122"/>
      <c r="Q35" s="120"/>
      <c r="R35" s="117" t="str">
        <v>dimensionless</v>
      </c>
      <c r="S35" s="110" t="str">
        <v>Constant</v>
      </c>
      <c r="T35" s="117"/>
    </row>
    <row r="36" spans="1:20" ht="20.100000000000001" customHeight="1" x14ac:dyDescent="0.25">
      <c r="D36" s="117" t="str">
        <v>p</v>
      </c>
      <c r="E36" s="121" t="str">
        <v>Pasture type</v>
      </c>
      <c r="F36" s="122"/>
      <c r="G36" s="120"/>
      <c r="H36" s="117" t="str">
        <v/>
      </c>
      <c r="I36" s="111" t="str">
        <v>Input</v>
      </c>
      <c r="J36" s="117" t="str">
        <f>'Input - Pasture'!$E$9</f>
        <v>Grass clover mixture</v>
      </c>
      <c r="N36" s="117" t="str">
        <v>p</v>
      </c>
      <c r="O36" s="121" t="str">
        <v>Pasture type</v>
      </c>
      <c r="P36" s="122"/>
      <c r="Q36" s="120"/>
      <c r="R36" s="117" t="str">
        <v/>
      </c>
      <c r="S36" s="111" t="str">
        <v>Input</v>
      </c>
      <c r="T36" s="117"/>
    </row>
    <row r="37" spans="1:20" ht="20.100000000000001" customHeight="1" x14ac:dyDescent="0.25">
      <c r="D37" s="117" t="str">
        <v>i</v>
      </c>
      <c r="E37" s="121" t="str">
        <v>Wet or dry climate zone</v>
      </c>
      <c r="F37" s="122"/>
      <c r="G37" s="120"/>
      <c r="H37" s="117" t="str">
        <v/>
      </c>
      <c r="I37" s="111" t="str">
        <v>Input</v>
      </c>
      <c r="J37" s="117" t="str">
        <f>'Input - Site'!$E$32</f>
        <v>Dry climate zone</v>
      </c>
      <c r="N37" s="117" t="str">
        <v>i</v>
      </c>
      <c r="O37" s="121" t="str">
        <v>Wet or dry climate zone</v>
      </c>
      <c r="P37" s="122"/>
      <c r="Q37" s="120"/>
      <c r="R37" s="117" t="str">
        <v/>
      </c>
      <c r="S37" s="111" t="str">
        <v>Input</v>
      </c>
      <c r="T37" s="117"/>
    </row>
    <row r="38" spans="1:20" ht="20.100000000000001" customHeight="1" x14ac:dyDescent="0.25"/>
    <row r="39" spans="1:20" ht="20.100000000000001" customHeight="1" x14ac:dyDescent="0.25"/>
    <row r="40" spans="1:20" ht="20.100000000000001" customHeight="1" x14ac:dyDescent="0.25">
      <c r="D40" s="93" t="s">
        <v>109</v>
      </c>
      <c r="E40" s="94" cm="1">
        <f t="array" ref="E40">AgResidue_Equations_PastureResidue.VEERG_6_2_1_1__1__NitrousOxideEmissionsFromPastureResidues(J33,J34,J35)</f>
        <v>5.8320428571428569E-7</v>
      </c>
      <c r="F40" s="95" t="str" cm="1">
        <f t="array" ref="F40">AgResidue_Equations_PastureResidue.VEERG_6_2_1_1__1__NitrousOxideEmissionsFromPastureResidues_Unit()</f>
        <v>t N2O</v>
      </c>
      <c r="N40" s="93" t="s">
        <v>109</v>
      </c>
      <c r="O40" s="94" cm="1">
        <f t="array" ref="O40">AgResidue_Equations_PastureResidue.VEERG_6_2_1_1__1__NitrousOxideEmissionsFromPastureResidues(T33,J34,J35)</f>
        <v>5.8320428571428569E-7</v>
      </c>
      <c r="P40" s="95" t="str" cm="1">
        <f t="array" ref="P40">AgResidue_Equations_PastureResidue.VEERG_6_2_1_1__1__NitrousOxideEmissionsFromPastureResidues_Unit()</f>
        <v>t N2O</v>
      </c>
    </row>
    <row r="41" spans="1:20" ht="20.100000000000001" customHeight="1" x14ac:dyDescent="0.25"/>
    <row r="42" spans="1:20" ht="20.100000000000001" customHeight="1" x14ac:dyDescent="0.25">
      <c r="D42" s="54" t="str" cm="1">
        <f t="array" ref="D42:E43">Common_Equations.Common_ConvertN2OToCO2e_Arguments()</f>
        <v>EN2O</v>
      </c>
      <c r="E42" s="55" t="str">
        <v>Nitrous oxide emissions (t N2O)</v>
      </c>
      <c r="F42" s="56"/>
      <c r="G42" s="54">
        <f>E40</f>
        <v>5.8320428571428569E-7</v>
      </c>
      <c r="N42" s="54" t="str" cm="1">
        <f t="array" ref="N42:O43">Common_Equations.Common_ConvertN2OToCO2e_Arguments()</f>
        <v>EN2O</v>
      </c>
      <c r="O42" s="55" t="str">
        <v>Nitrous oxide emissions (t N2O)</v>
      </c>
      <c r="P42" s="56"/>
      <c r="Q42" s="54">
        <f>O40</f>
        <v>5.8320428571428569E-7</v>
      </c>
    </row>
    <row r="43" spans="1:20" ht="20.100000000000001" customHeight="1" x14ac:dyDescent="0.25">
      <c r="D43" s="54" t="str">
        <v>GWPN2O</v>
      </c>
      <c r="E43" s="55" t="str">
        <v>Global warming potential for nitrous oxide (t CO2-e / t N2O)</v>
      </c>
      <c r="F43" s="56"/>
      <c r="G43" s="50">
        <f>Common_InputFunctions.Utility_LookupValueInTableNumber("N2O",Table_GWPData[Gas],Table_GWPData[CO2-e factor])</f>
        <v>265</v>
      </c>
      <c r="N43" s="54" t="str">
        <v>GWPN2O</v>
      </c>
      <c r="O43" s="55" t="str">
        <v>Global warming potential for nitrous oxide (t CO2-e / t N2O)</v>
      </c>
      <c r="P43" s="56"/>
      <c r="Q43" s="50">
        <f>Common_InputFunctions.Utility_LookupValueInTableNumber("N2O",Table_GWPData[Gas],Table_GWPData[CO2-e factor])</f>
        <v>265</v>
      </c>
    </row>
    <row r="44" spans="1:20" ht="20.100000000000001" customHeight="1" x14ac:dyDescent="0.25"/>
    <row r="45" spans="1:20" ht="20.100000000000001" customHeight="1" x14ac:dyDescent="0.25">
      <c r="A45" s="123" t="str">
        <f>HYPERLINK("#A1", "▲ Back to top")</f>
        <v>▲ Back to top</v>
      </c>
      <c r="D45" s="1" t="s">
        <v>188</v>
      </c>
      <c r="E45" s="1" cm="1">
        <f t="array" ref="E45">Common_Equations.Common_ConvertN2OToCO2e(G42,G43)</f>
        <v>1.545491357142857E-4</v>
      </c>
      <c r="F45" s="52" t="str" cm="1">
        <f t="array" ref="F45">Common_Equations.Common_ConvertN2OToCO2e_Unit()</f>
        <v>t CO2e</v>
      </c>
      <c r="N45" s="1" t="s">
        <v>188</v>
      </c>
      <c r="O45" s="1" cm="1">
        <f t="array" ref="O45">Common_Equations.Common_ConvertN2OToCO2e(Q42,Q43)</f>
        <v>1.545491357142857E-4</v>
      </c>
      <c r="P45" s="52"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3"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abSelected="1" topLeftCell="A23" workbookViewId="0">
      <selection activeCell="J40" sqref="J4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198</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dimensionless</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dimensionless</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'Input - Crop'!$E$9</f>
        <v>Wheat</v>
      </c>
      <c r="K17" s="22"/>
    </row>
    <row r="18" spans="1:20" ht="20.100000000000001" customHeight="1" x14ac:dyDescent="0.25">
      <c r="A18" s="18" t="s">
        <v>2</v>
      </c>
      <c r="C18" s="22"/>
      <c r="D18" s="117" t="str">
        <v>p</v>
      </c>
      <c r="E18" s="121" t="str">
        <v>Pasture residue type</v>
      </c>
      <c r="F18" s="122"/>
      <c r="G18" s="120"/>
      <c r="H18" s="117" t="str">
        <v/>
      </c>
      <c r="I18" s="111" t="str">
        <v>Input</v>
      </c>
      <c r="J18" s="117" t="str">
        <f>'Input - Pasture'!$E$9</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208</v>
      </c>
      <c r="O21" s="22"/>
      <c r="P21" s="22"/>
      <c r="Q21" s="22"/>
      <c r="R21" s="22"/>
      <c r="S21" s="22"/>
    </row>
    <row r="22" spans="1:20" ht="20.100000000000001" customHeight="1" x14ac:dyDescent="0.25">
      <c r="C22" s="22"/>
      <c r="D22" s="91" t="s">
        <v>209</v>
      </c>
      <c r="E22" s="22"/>
      <c r="F22" s="22"/>
      <c r="G22" s="22"/>
      <c r="H22" s="22"/>
      <c r="I22" s="22"/>
      <c r="J22" s="22"/>
      <c r="K22" s="22"/>
      <c r="N22" s="91" t="s">
        <v>209</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f>'6.1.1.1-2 Crop residue N2O'!$E$24</f>
        <v>85.00800000000001</v>
      </c>
      <c r="F24" s="50" t="str">
        <f>'Input - Crop'!$E$11</f>
        <v>Sprinkler irrigation</v>
      </c>
      <c r="G24" s="50" t="str">
        <f>'Input - Site'!E$23</f>
        <v>NO - Not in leaching zone</v>
      </c>
      <c r="H24" s="50">
        <f>CommonCropping_InputFunctions.CommonCropping_GetFracWET(G24,F24,#REF!,#REF!, Table_SourceData_FracWETIrrigation[Irrigation type i],Table_SourceData_FracWETIrrigation[FracWET])</f>
        <v>1</v>
      </c>
      <c r="I24" s="50" cm="1">
        <f t="array" ref="I24">AgResidue_Equations_Leaching.VEERG_6_3_1_1__2__MassOfNitrogenLostThroughLeachingAndRunoff(E24,H24,$J$15)</f>
        <v>20.40192</v>
      </c>
      <c r="N24" s="50"/>
      <c r="O24" s="50">
        <f>'6.1.1.1-2 Crop residue N2O'!$N$59</f>
        <v>85.00800000000001</v>
      </c>
      <c r="P24" s="50"/>
      <c r="Q24" s="50"/>
      <c r="R24" s="50"/>
      <c r="S24" s="50" cm="1">
        <f t="array" ref="S24">AgResidue_Equations_Leaching.VEERG_6_3_1_1__2__MassOfNitrogenLostThroughLeachingAndRunoff(O24,H24,$J$15)</f>
        <v>20.40192</v>
      </c>
    </row>
    <row r="25" spans="1:20" ht="20.100000000000001" customHeight="1" x14ac:dyDescent="0.25">
      <c r="D25" s="50" t="s">
        <v>201</v>
      </c>
      <c r="E25" s="50">
        <f>'6.2.1.1-2 Pasture residue N2O'!$E$21</f>
        <v>7.4226E-2</v>
      </c>
      <c r="F25" s="50" t="str">
        <f>'Input - Pasture'!$E$10</f>
        <v>Surface irrigation</v>
      </c>
      <c r="G25" s="50" t="str">
        <f>'Input - Site'!E$23</f>
        <v>NO - Not in leaching zone</v>
      </c>
      <c r="H25" s="50">
        <f>CommonCropping_InputFunctions.CommonCropping_GetFracWET(G25,F25,#REF!,#REF!,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'Input - Crop'!E9</f>
        <v>Wheat</v>
      </c>
      <c r="K39" s="22"/>
    </row>
    <row r="40" spans="1:17" ht="20.100000000000001" customHeight="1" x14ac:dyDescent="0.25">
      <c r="C40" s="22"/>
      <c r="D40" s="117" t="str">
        <v>p</v>
      </c>
      <c r="E40" s="121" t="str">
        <v>Pasture residue type</v>
      </c>
      <c r="F40" s="122"/>
      <c r="G40" s="120"/>
      <c r="H40" s="117" t="str">
        <v/>
      </c>
      <c r="I40" s="111" t="str">
        <v>Input</v>
      </c>
      <c r="J40" s="117" t="str">
        <f>'Input - Pasture'!$E$9</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f>I24</f>
        <v>20.40192</v>
      </c>
      <c r="E45" s="50" cm="1">
        <f t="array" ref="E45">AgResidue_Equations_Leaching.VEERG_6_3_1_1__1__LeachingAndRunoffEmissionsCropAndPastureResidue(D45,$J$37,$J$38)</f>
        <v>3.5266175999999999E-4</v>
      </c>
      <c r="F45" s="22"/>
      <c r="G45" s="22"/>
      <c r="H45" s="22"/>
      <c r="I45" s="22"/>
      <c r="J45" s="22"/>
      <c r="K45" s="22"/>
      <c r="N45" s="50">
        <f>S24</f>
        <v>20.40192</v>
      </c>
      <c r="O45" s="50" cm="1">
        <f t="array" ref="O45">AgResidue_Equations_Leaching.VEERG_6_3_1_1__1__LeachingAndRunoffEmissionsCropAndPastureResidue(N45,$J$37,$J$38)</f>
        <v>3.5266175999999999E-4</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3.5296969186285711E-4</v>
      </c>
      <c r="F48" s="95" t="str">
        <f>$E$34</f>
        <v>t N2O</v>
      </c>
      <c r="G48" s="22"/>
      <c r="H48" s="22"/>
      <c r="I48" s="22"/>
      <c r="J48" s="22"/>
      <c r="K48" s="22"/>
      <c r="N48" s="142" t="s">
        <v>199</v>
      </c>
      <c r="O48" s="143">
        <f>SUM(O45:O46)</f>
        <v>3.5296969186285711E-4</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3.5296969186285711E-4</v>
      </c>
      <c r="N50" s="54" t="str" cm="1">
        <f t="array" ref="N50:O51">Common_Equations.Common_ConvertN2OToCO2e_Arguments()</f>
        <v>EN2O</v>
      </c>
      <c r="O50" s="55" t="str">
        <v>Nitrous oxide emissions (t N2O)</v>
      </c>
      <c r="P50" s="96"/>
      <c r="Q50" s="50">
        <f>O48</f>
        <v>3.5296969186285711E-4</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9.3536968343657129E-2</v>
      </c>
      <c r="F53" s="97" t="str" cm="1">
        <f t="array" ref="F53">Common_Equations.Common_ConvertN2OToCO2e_Unit()</f>
        <v>t CO2e</v>
      </c>
      <c r="I53" s="22"/>
      <c r="N53" s="44" t="s">
        <v>79</v>
      </c>
      <c r="O53" s="44" cm="1">
        <f t="array" ref="O53">Common_Equations.Common_ConvertN2OToCO2e(Q50,Q51)</f>
        <v>9.3536968343657129E-2</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212</v>
      </c>
    </row>
    <row r="2" spans="1:19" s="9" customFormat="1" ht="20.100000000000001" customHeight="1" x14ac:dyDescent="0.25">
      <c r="A2"/>
    </row>
    <row r="3" spans="1:19" ht="20.100000000000001" customHeight="1" x14ac:dyDescent="0.25">
      <c r="A3" s="17" t="str">
        <f>HYPERLINK("#'Home'!A1", "Home")</f>
        <v>Home</v>
      </c>
      <c r="C3" s="4"/>
      <c r="D3" s="4" t="s">
        <v>80</v>
      </c>
      <c r="E3" s="4"/>
      <c r="F3" s="4"/>
      <c r="G3" s="4"/>
      <c r="H3" s="4"/>
      <c r="I3" s="4"/>
      <c r="J3" s="4"/>
      <c r="L3" s="4"/>
      <c r="M3" s="4" t="s">
        <v>81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A6" s="16"/>
      <c r="D6" s="5" t="str" cm="1">
        <f t="array" ref="D6">AgResidue_Equations_FieldBurning.VEERG_6_4_1_1__3__MassOfCropResidueBurnt_Source()</f>
        <v>VEERG 2026: 6.4.1.1, Equation (3)</v>
      </c>
    </row>
    <row r="7" spans="1:19" ht="20.100000000000001" customHeight="1" x14ac:dyDescent="0.25">
      <c r="A7" s="20" t="s">
        <v>1</v>
      </c>
      <c r="D7" s="13" t="s">
        <v>22</v>
      </c>
      <c r="E7" s="13" t="str" cm="1">
        <f t="array" aca="1" ref="E7" ca="1">Common_InputFunctions.Utility_DisplayFunctionName(E21)</f>
        <v>=AgResidue_Equations_FieldBurning.VEERG_6_4_1_1__3__MassOfCropResidueBurnt</v>
      </c>
    </row>
    <row r="8" spans="1:19" ht="20.100000000000001" customHeight="1" x14ac:dyDescent="0.25">
      <c r="A8" s="17" t="str">
        <f>HYPERLINK("#'Input - Site'!A1", "Site")</f>
        <v>Site</v>
      </c>
    </row>
    <row r="9" spans="1:19" ht="20.100000000000001" customHeight="1" x14ac:dyDescent="0.25">
      <c r="A9" s="17" t="str">
        <f>HYPERLINK("#'Input - Crop'!A1", "Crop")</f>
        <v>Crop</v>
      </c>
    </row>
    <row r="10" spans="1:19" ht="20.100000000000001" customHeight="1" x14ac:dyDescent="0.25">
      <c r="A10" s="17" t="str">
        <f>HYPERLINK("#'Input - Pasture'!A1", "Pasture")</f>
        <v>Pasture</v>
      </c>
      <c r="D10" s="51" t="s">
        <v>25</v>
      </c>
      <c r="E10" s="1" t="str" cm="1">
        <f t="array" ref="E10">AgResidue_Equations_FieldBurning.VEERG_6_4_1_1__3__MassOfCropResidueBurnt_Variable()</f>
        <v>M_burnc</v>
      </c>
    </row>
    <row r="11" spans="1:19" ht="20.100000000000001" customHeight="1" x14ac:dyDescent="0.25">
      <c r="D11" s="51" t="s">
        <v>16</v>
      </c>
      <c r="E11" s="52" t="str" cm="1">
        <f t="array" ref="E11">AgResidue_Equations_FieldBurning.VEERG_6_4_1_1__3__MassOfCropResidueBurnt_Unit()</f>
        <v>kg</v>
      </c>
    </row>
    <row r="12" spans="1:19" ht="20.100000000000001" customHeight="1" x14ac:dyDescent="0.25">
      <c r="A12" s="19" t="s">
        <v>69</v>
      </c>
    </row>
    <row r="13" spans="1:19" ht="20.100000000000001" customHeight="1" x14ac:dyDescent="0.25">
      <c r="A13" s="17" t="str">
        <f>HYPERLINK("#'6.1.1.1-2 Crop residue N2O'!A1", "6.1.1.1-2 Crop residue N2O")</f>
        <v>6.1.1.1-2 Crop residue N2O</v>
      </c>
      <c r="D13" s="117" t="str" cm="1">
        <f t="array" ref="D13:E19">_xlfn.CHOOSECOLS(AgResidue_Equations_FieldBurning.VEERG_6_4_1_1__3__MassOfCropResidueBurnt_Arguments(), 1, 2)</f>
        <v>P_c</v>
      </c>
      <c r="E13" s="121" t="str">
        <v>annual production of crop type c</v>
      </c>
      <c r="F13" s="120"/>
      <c r="G13" s="117" t="str" cm="1">
        <f t="array" ref="G13:H19">_xlfn.CHOOSECOLS(AgResidue_Equations_FieldBurning.VEERG_6_4_1_1__3__MassOfCropResidueBurnt_Arguments(), 3,4)</f>
        <v>kg</v>
      </c>
      <c r="H13" s="111" t="str">
        <v>Input</v>
      </c>
      <c r="I13" s="117">
        <f>'Input - Crop'!$E$22</f>
        <v>10000</v>
      </c>
    </row>
    <row r="14" spans="1:19" ht="20.100000000000001" customHeight="1" x14ac:dyDescent="0.25">
      <c r="A14" s="17" t="str">
        <f>HYPERLINK("#'6.2.1.1-2 Pasture residue N2O'!A1", "6.2.1.1-2 Pasture residue N2O")</f>
        <v>6.2.1.1-2 Pasture residue N2O</v>
      </c>
      <c r="D14" s="117" t="str">
        <v>R_AGc</v>
      </c>
      <c r="E14" s="121" t="str">
        <v>residue to crop ratio of crop type c</v>
      </c>
      <c r="F14" s="120"/>
      <c r="G14" s="117" t="str">
        <v>kg crop residue/kg crop</v>
      </c>
      <c r="H14" s="110" t="str">
        <v>Constant</v>
      </c>
      <c r="I14" s="117">
        <f>'Input - Crop'!$E$18</f>
        <v>1.5</v>
      </c>
    </row>
    <row r="15" spans="1:19" ht="20.100000000000001" customHeight="1" x14ac:dyDescent="0.25">
      <c r="A15" s="17" t="str">
        <f>HYPERLINK("#'6.3.1.1-2 Leaching and runoff'!A1", "6.3.1.1-2 Leaching and runoff")</f>
        <v>6.3.1.1-2 Leaching and runoff</v>
      </c>
      <c r="D15" s="117" t="str">
        <v>S_c</v>
      </c>
      <c r="E15" s="121" t="str">
        <v>fraction of residues of crop type c remaining at burning</v>
      </c>
      <c r="F15" s="120"/>
      <c r="G15" s="117" t="str">
        <v>dimensionless</v>
      </c>
      <c r="H15" s="110" t="str">
        <v>Constant</v>
      </c>
      <c r="I15" s="117"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31" t="str">
        <f>HYPERLINK("#'6.4.1.1-2 Residue burning'!A1", "6.4.1.1-2 Residue burning")</f>
        <v>6.4.1.1-2 Residue burning</v>
      </c>
      <c r="D16" s="117" t="str">
        <v>DM_c</v>
      </c>
      <c r="E16" s="121" t="str">
        <v>dry matter content of crop type c</v>
      </c>
      <c r="F16" s="120"/>
      <c r="G16" s="117" t="str">
        <v>kg dry weight/kg crop residue</v>
      </c>
      <c r="H16" s="110" t="str">
        <v>Constant</v>
      </c>
      <c r="I16" s="117" cm="1">
        <f t="array" ref="I16">Common_InputFunctions.Utility_LookupValueInTableNumber($I$19,Table_SourceData_CropAttributes[Crop type],Table_SourceData_CropAttributes[Dry matter content])</f>
        <v>0.88</v>
      </c>
    </row>
    <row r="17" spans="1:10" ht="20.100000000000001" customHeight="1" x14ac:dyDescent="0.25">
      <c r="A17" s="17"/>
      <c r="D17" s="117" t="str">
        <v>Z_c</v>
      </c>
      <c r="E17" s="121" t="str">
        <v>burning efficiency (ratio of fuel burnt to fuel load) of crop type c</v>
      </c>
      <c r="F17" s="120"/>
      <c r="G17" s="117" t="str">
        <v>dimensionless</v>
      </c>
      <c r="H17" s="110" t="str">
        <v>Constant</v>
      </c>
      <c r="I17" s="117" cm="1">
        <f t="array" ref="I17">Common_InputFunctions.Utility_LookupValueInTableNumber($I$19,Table_SourceData_CropAttributes[Crop type],Table_SourceData_CropAttributes[Fraction burnt])</f>
        <v>0.9</v>
      </c>
    </row>
    <row r="18" spans="1:10" ht="20.100000000000001" customHeight="1" x14ac:dyDescent="0.25">
      <c r="A18" s="18" t="s">
        <v>2</v>
      </c>
      <c r="D18" s="117" t="str">
        <v>F_c</v>
      </c>
      <c r="E18" s="121" t="str">
        <v>fraction of the annual production of crop type c that is burnt</v>
      </c>
      <c r="F18" s="120"/>
      <c r="G18" s="117" t="str">
        <v>dimensionless</v>
      </c>
      <c r="H18" s="110" t="str">
        <v>Constant</v>
      </c>
      <c r="I18" s="117">
        <f>'Input - Crop'!$E$43</f>
        <v>0.3</v>
      </c>
    </row>
    <row r="19" spans="1:10" ht="20.100000000000001" customHeight="1" x14ac:dyDescent="0.25">
      <c r="A19" s="17" t="str">
        <f>HYPERLINK("#'Constants - Ag Residue'!A1", "Constants - Ag Residue")</f>
        <v>Constants - Ag Residue</v>
      </c>
      <c r="D19" s="117" t="str">
        <v>c</v>
      </c>
      <c r="E19" s="121" t="str">
        <v>Crop type</v>
      </c>
      <c r="F19" s="120"/>
      <c r="G19" s="117" t="str">
        <v/>
      </c>
      <c r="H19" s="111" t="str">
        <v>Input</v>
      </c>
      <c r="I19" s="117" t="str">
        <f>'Input - Crop'!$E$9</f>
        <v>Wheat</v>
      </c>
    </row>
    <row r="20" spans="1:10" ht="20.100000000000001" customHeight="1" x14ac:dyDescent="0.25">
      <c r="A20" s="17" t="str">
        <f>HYPERLINK("#'Constants - Common'!A1", "Constants - Common")</f>
        <v>Constants - Common</v>
      </c>
    </row>
    <row r="21" spans="1:10" ht="20.100000000000001" customHeight="1" x14ac:dyDescent="0.25">
      <c r="D21" s="118" t="s">
        <v>213</v>
      </c>
      <c r="E21" s="44" cm="1">
        <f t="array" ref="E21">AgResidue_Equations_FieldBurning.VEERG_6_4_1_1__3__MassOfCropResidueBurnt(I13,I14,I15,I16,I17,I18)</f>
        <v>1782</v>
      </c>
      <c r="F21" s="97" t="str" cm="1">
        <f t="array" ref="F21">AgResidue_Equations_FieldBurning.VEERG_6_4_1_1__3__MassOfCropResidueBurnt_Unit()</f>
        <v>kg</v>
      </c>
    </row>
    <row r="22" spans="1:10" ht="20.100000000000001" customHeight="1" x14ac:dyDescent="0.25"/>
    <row r="23" spans="1:10" ht="20.100000000000001" customHeight="1" x14ac:dyDescent="0.25"/>
    <row r="24" spans="1:10" ht="20.100000000000001" customHeight="1" x14ac:dyDescent="0.25">
      <c r="C24" s="44"/>
      <c r="D24" s="44"/>
      <c r="E24" s="44"/>
      <c r="F24" s="44"/>
      <c r="G24" s="44"/>
      <c r="H24" s="44"/>
      <c r="I24" s="44"/>
      <c r="J24" s="44"/>
    </row>
    <row r="25" spans="1:10" ht="20.100000000000001" customHeight="1" x14ac:dyDescent="0.25">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22</v>
      </c>
      <c r="E27" s="13" t="str" cm="1">
        <f t="array" aca="1" ref="E27" ca="1">Common_InputFunctions.Utility_DisplayFunctionName(E39)</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1" t="s">
        <v>25</v>
      </c>
      <c r="E30" s="1" t="str" cm="1">
        <f t="array" ref="E30">AgResidue_Equations_FieldBurning.VEERG_6_4_1_1__2__NitrousOxideEmissionsFromBurningOfCropResidues_Variable()</f>
        <v>EN2O</v>
      </c>
    </row>
    <row r="31" spans="1:10" ht="20.100000000000001" customHeight="1" x14ac:dyDescent="0.25">
      <c r="D31" s="51" t="s">
        <v>16</v>
      </c>
      <c r="E31" s="52" t="str" cm="1">
        <f t="array" ref="E31">AgResidue_Equations_FieldBurning.VEERG_6_4_1_1__2__NitrousOxideEmissionsFromBurningOfCropResidues_Unit()</f>
        <v>t N2O</v>
      </c>
    </row>
    <row r="32" spans="1:10" ht="20.100000000000001" customHeight="1" x14ac:dyDescent="0.25"/>
    <row r="33" spans="1:10" ht="20.100000000000001" customHeight="1" x14ac:dyDescent="0.25">
      <c r="D33" s="117" t="str" cm="1">
        <f t="array" ref="D33:E37">_xlfn.CHOOSECOLS(AgResidue_Equations_FieldBurning.VEERG_6_4_1_1__2__NitrousOxideEmissionsFromBurningOfCropResidues_Arguments(), 1, 2)</f>
        <v>M_burnc</v>
      </c>
      <c r="E33" s="121" t="str">
        <v>mass of residue burnt for crop type c</v>
      </c>
      <c r="F33" s="120"/>
      <c r="G33" s="117" t="str" cm="1">
        <f t="array" ref="G33:H37">_xlfn.CHOOSECOLS(AgResidue_Equations_FieldBurning.VEERG_6_4_1_1__2__NitrousOxideEmissionsFromBurningOfCropResidues_Arguments(), 3,4)</f>
        <v>kg</v>
      </c>
      <c r="H33" s="110" t="str">
        <v>Calculated from 6.4.1.1 (3)</v>
      </c>
      <c r="I33" s="117">
        <f>$E$21</f>
        <v>1782</v>
      </c>
    </row>
    <row r="34" spans="1:10" ht="20.100000000000001" customHeight="1" x14ac:dyDescent="0.25">
      <c r="D34" s="117" t="str">
        <v>NC_AGc</v>
      </c>
      <c r="E34" s="121" t="str">
        <v>nitrogen content in the above-ground residue of crop type c</v>
      </c>
      <c r="F34" s="120"/>
      <c r="G34" s="117" t="str">
        <v>kg N/kg DM</v>
      </c>
      <c r="H34" s="110" t="str">
        <v>Constant</v>
      </c>
      <c r="I34" s="117" cm="1">
        <f t="array" ref="I34">Common_InputFunctions.Utility_LookupValueInTableNumber($I$37,Table_SourceData_CropAttributes[Crop type],Table_SourceData_CropAttributes[N content above-ground])</f>
        <v>6.0000000000000001E-3</v>
      </c>
    </row>
    <row r="35" spans="1:10" ht="20.100000000000001" customHeight="1" x14ac:dyDescent="0.25">
      <c r="D35" s="117" t="str">
        <v>EF_N2O</v>
      </c>
      <c r="E35" s="121" t="str">
        <v>emission factor for nitrous oxide from burning of crop residues</v>
      </c>
      <c r="F35" s="120"/>
      <c r="G35" s="117" t="str">
        <v>kg N2O/kg N2O burnt</v>
      </c>
      <c r="H35" s="110" t="str">
        <v>Constant</v>
      </c>
      <c r="I35" s="117"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D36" s="117" t="str">
        <v>C_N2O</v>
      </c>
      <c r="E36" s="121" t="str">
        <v>factor to convert elemental mass of nitrous oxide to molecular mass</v>
      </c>
      <c r="F36" s="120"/>
      <c r="G36" s="117" t="str">
        <v>dimensionless</v>
      </c>
      <c r="H36" s="110" t="str">
        <v>Constant</v>
      </c>
      <c r="I36" s="117">
        <f>Common_InputFunctions.Utility_LookupValueInTableNumber("N2O",Table_GasToMolecularConversionFactor[Gas],Table_GasToMolecularConversionFactor[Conversion factor combined])</f>
        <v>1.5714285714285714</v>
      </c>
    </row>
    <row r="37" spans="1:10" ht="20.100000000000001" customHeight="1" x14ac:dyDescent="0.25">
      <c r="D37" s="117" t="str">
        <v>c</v>
      </c>
      <c r="E37" s="121" t="str">
        <v>Crop type</v>
      </c>
      <c r="F37" s="120"/>
      <c r="G37" s="117" t="str">
        <v/>
      </c>
      <c r="H37" s="111" t="str">
        <v>Input</v>
      </c>
      <c r="I37" s="117" t="str">
        <f>'Input - Crop'!$E$9</f>
        <v>Wheat</v>
      </c>
    </row>
    <row r="38" spans="1:10" ht="20.100000000000001" customHeight="1" x14ac:dyDescent="0.25"/>
    <row r="39" spans="1:10" ht="20.100000000000001" customHeight="1" x14ac:dyDescent="0.25">
      <c r="D39" s="93" t="s">
        <v>109</v>
      </c>
      <c r="E39" s="94" cm="1">
        <f t="array" ref="E39">AgResidue_Equations_FieldBurning.VEERG_6_4_1_1__2__NitrousOxideEmissionsFromBurningOfCropResidues(I33,I34,I35,I36)</f>
        <v>1.276930285714286E-4</v>
      </c>
      <c r="F39" s="95" t="str" cm="1">
        <f t="array" ref="F39">AgResidue_Equations_FieldBurning.VEERG_6_4_1_1__2__NitrousOxideEmissionsFromBurningOfCropResidues_Unit()</f>
        <v>t N2O</v>
      </c>
    </row>
    <row r="40" spans="1:10" ht="20.100000000000001" customHeight="1" x14ac:dyDescent="0.25"/>
    <row r="41" spans="1:10" ht="20.100000000000001" customHeight="1" x14ac:dyDescent="0.25">
      <c r="D41" s="54" t="str" cm="1">
        <f t="array" ref="D41:E42">Common_Equations.Common_ConvertN2OToCO2e_Arguments()</f>
        <v>EN2O</v>
      </c>
      <c r="E41" s="55" t="str">
        <v>Nitrous oxide emissions (t N2O)</v>
      </c>
      <c r="F41" s="96"/>
      <c r="G41" s="140"/>
      <c r="H41" s="50">
        <f>E39</f>
        <v>1.276930285714286E-4</v>
      </c>
    </row>
    <row r="42" spans="1:10" ht="20.100000000000001" customHeight="1" x14ac:dyDescent="0.25">
      <c r="D42" s="54" t="str">
        <v>GWPN2O</v>
      </c>
      <c r="E42" s="55" t="str">
        <v>Global warming potential for nitrous oxide (t CO2-e / t N2O)</v>
      </c>
      <c r="F42" s="96"/>
      <c r="G42" s="140"/>
      <c r="H42" s="50">
        <f>Common_InputFunctions.Utility_LookupValueInTableNumber("N2O",Table_GWPData[Gas],Table_GWPData[CO2-e factor])</f>
        <v>265</v>
      </c>
    </row>
    <row r="43" spans="1:10" ht="20.100000000000001" customHeight="1" x14ac:dyDescent="0.25">
      <c r="H43" s="22"/>
    </row>
    <row r="44" spans="1:10" ht="20.100000000000001" customHeight="1" x14ac:dyDescent="0.25">
      <c r="D44" s="44" t="s">
        <v>79</v>
      </c>
      <c r="E44" s="44" cm="1">
        <f t="array" ref="E44">Common_Equations.Common_ConvertN2OToCO2e(H41,H42)</f>
        <v>3.3838652571428582E-2</v>
      </c>
      <c r="F44" s="97" t="str" cm="1">
        <f t="array" ref="F44">Common_Equations.Common_ConvertN2OToCO2e_Unit()</f>
        <v>t CO2e</v>
      </c>
      <c r="H44" s="22"/>
    </row>
    <row r="45" spans="1:10" ht="20.100000000000001" customHeight="1" x14ac:dyDescent="0.25"/>
    <row r="46" spans="1:10" ht="20.100000000000001" customHeight="1" x14ac:dyDescent="0.25">
      <c r="A46" s="123" t="str">
        <f>HYPERLINK("#A1", "▲ Back to top")</f>
        <v>▲ Back to top</v>
      </c>
    </row>
    <row r="47" spans="1:10" ht="20.100000000000001" customHeight="1" x14ac:dyDescent="0.25">
      <c r="C47" s="44"/>
      <c r="D47" s="44"/>
      <c r="E47" s="44"/>
      <c r="F47" s="44"/>
      <c r="G47" s="44"/>
      <c r="H47" s="44"/>
      <c r="I47" s="44"/>
      <c r="J47" s="44"/>
    </row>
    <row r="48" spans="1: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22</v>
      </c>
      <c r="E50" s="13" t="str" cm="1">
        <f t="array" aca="1" ref="E50" ca="1">Common_InputFunctions.Utility_DisplayFunctionName(E62)</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1" t="s">
        <v>25</v>
      </c>
      <c r="E53" s="1" t="str" cm="1">
        <f t="array" ref="E53">AgResidue_Equations_FieldBurning.VEERG_6_4_1_1__1__MethaneEmissionsFromBurningOfCropResidues_Variable()</f>
        <v>ECH4</v>
      </c>
      <c r="F53" s="5"/>
    </row>
    <row r="54" spans="4:9" ht="20.100000000000001" customHeight="1" x14ac:dyDescent="0.25">
      <c r="D54" s="51" t="s">
        <v>16</v>
      </c>
      <c r="E54" s="52"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7" t="str" cm="1">
        <f t="array" ref="D56:E60">_xlfn.CHOOSECOLS(AgResidue_Equations_FieldBurning.VEERG_6_4_1_1__1__MethaneEmissionsFromBurningOfCropResidues_Arguments(), 1,2)</f>
        <v>M_burnc</v>
      </c>
      <c r="E56" s="121" t="str">
        <v>mass of residue burnt for crop type c</v>
      </c>
      <c r="F56" s="120"/>
      <c r="G56" s="117" t="str" cm="1">
        <f t="array" ref="G56:H60">_xlfn.CHOOSECOLS(AgResidue_Equations_FieldBurning.VEERG_6_4_1_1__1__MethaneEmissionsFromBurningOfCropResidues_Arguments(), 3,4)</f>
        <v>kg</v>
      </c>
      <c r="H56" s="110" t="str">
        <v>Calculated from 6.4.1.1 (3)</v>
      </c>
      <c r="I56" s="117">
        <f>$E$21</f>
        <v>1782</v>
      </c>
    </row>
    <row r="57" spans="4:9" ht="20.100000000000001" customHeight="1" x14ac:dyDescent="0.25">
      <c r="D57" s="117" t="str">
        <v>CC_c</v>
      </c>
      <c r="E57" s="121" t="str">
        <v>carbon mass fraction in the residues of crop type c</v>
      </c>
      <c r="F57" s="120"/>
      <c r="G57" s="117" t="str">
        <v>dimensionless</v>
      </c>
      <c r="H57" s="110" t="str">
        <v>Constant</v>
      </c>
      <c r="I57" s="117" cm="1">
        <f t="array" ref="I57">Common_InputFunctions.Utility_LookupValueInTableNumber($I$60,Table_SourceData_CropAttributes[Crop type],Table_SourceData_CropAttributes[Carbon fraction in dry matter])</f>
        <v>0.4</v>
      </c>
    </row>
    <row r="58" spans="4:9" ht="20.100000000000001" customHeight="1" x14ac:dyDescent="0.25">
      <c r="D58" s="117" t="str">
        <v>EF_CH4</v>
      </c>
      <c r="E58" s="121" t="str">
        <v>emission factor for methane from burning of crop residues</v>
      </c>
      <c r="F58" s="120"/>
      <c r="G58" s="117" t="str">
        <v>kg CH4 / kg CH4 burnt</v>
      </c>
      <c r="H58" s="110" t="str">
        <v>Constant</v>
      </c>
      <c r="I58" s="117"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7" t="str">
        <v>C_CH4</v>
      </c>
      <c r="E59" s="121" t="str">
        <v>factor to convert elemental mass of methane to molecular mass</v>
      </c>
      <c r="F59" s="120"/>
      <c r="G59" s="117" t="str">
        <v>dimensionless</v>
      </c>
      <c r="H59" s="110" t="str">
        <v>Constant</v>
      </c>
      <c r="I59" s="117">
        <f>Common_InputFunctions.Utility_LookupValueInTableNumber("CH4",Table_GasToMolecularConversionFactor[Gas],Table_GasToMolecularConversionFactor[Conversion factor combined])</f>
        <v>1.3333333333333333</v>
      </c>
    </row>
    <row r="60" spans="4:9" ht="20.100000000000001" customHeight="1" x14ac:dyDescent="0.25">
      <c r="D60" s="117" t="str">
        <v>c</v>
      </c>
      <c r="E60" s="121" t="str">
        <v>Crop type</v>
      </c>
      <c r="F60" s="120"/>
      <c r="G60" s="117" t="str">
        <v/>
      </c>
      <c r="H60" s="111" t="str">
        <v>Input</v>
      </c>
      <c r="I60" s="117" t="str">
        <f>'Input - Crop'!$E$9</f>
        <v>Wheat</v>
      </c>
    </row>
    <row r="61" spans="4:9" ht="20.100000000000001" customHeight="1" x14ac:dyDescent="0.25"/>
    <row r="62" spans="4:9" ht="20.100000000000001" customHeight="1" x14ac:dyDescent="0.25">
      <c r="D62" s="93" t="s">
        <v>109</v>
      </c>
      <c r="E62" s="94" cm="1">
        <f t="array" ref="E62">AgResidue_Equations_FieldBurning.VEERG_6_4_1_1__1__MethaneEmissionsFromBurningOfCropResidues(I56,I57,I58,I59)</f>
        <v>3.3264000000000002E-3</v>
      </c>
      <c r="F62" s="95"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4" t="str" cm="1">
        <f t="array" ref="D64:E65">Common_Equations.Common_ConvertCH4ToCO2e_Arguments()</f>
        <v>ECH4</v>
      </c>
      <c r="E64" s="55" t="str">
        <v>Methane emissions (t CH4)</v>
      </c>
      <c r="F64" s="96"/>
      <c r="G64" s="140"/>
      <c r="H64" s="50">
        <f>E62</f>
        <v>3.3264000000000002E-3</v>
      </c>
    </row>
    <row r="65" spans="1:8" ht="20.100000000000001" customHeight="1" x14ac:dyDescent="0.25">
      <c r="D65" s="54" t="str">
        <v>GWPCH4</v>
      </c>
      <c r="E65" s="55" t="str">
        <v>Global warming potential for methane (t CO2-e / t CH4)</v>
      </c>
      <c r="F65" s="96"/>
      <c r="G65" s="140"/>
      <c r="H65" s="50">
        <f>Common_InputFunctions.Utility_LookupValueInTableNumber("CH4",Table_GWPData[Gas],Table_GWPData[CO2-e factor])</f>
        <v>28</v>
      </c>
    </row>
    <row r="66" spans="1:8" ht="20.100000000000001" customHeight="1" x14ac:dyDescent="0.25">
      <c r="H66" s="22"/>
    </row>
    <row r="67" spans="1:8" ht="20.100000000000001" customHeight="1" x14ac:dyDescent="0.25">
      <c r="A67" s="123" t="str">
        <f>HYPERLINK("#A1", "▲ Back to top")</f>
        <v>▲ Back to top</v>
      </c>
      <c r="D67" s="44" t="s">
        <v>79</v>
      </c>
      <c r="E67" s="44" cm="1">
        <f t="array" ref="E67">Common_Equations.Common_ConvertCH4ToCO2e(H64,H65)</f>
        <v>9.3139200000000005E-2</v>
      </c>
      <c r="F67" s="97" t="str" cm="1">
        <f t="array" ref="F67">Common_Equations.Common_ConvertCH4ToCO2e_Unit()</f>
        <v>t CO2e</v>
      </c>
      <c r="H67" s="22"/>
    </row>
    <row r="68" spans="1:8" ht="20.100000000000001" customHeight="1" x14ac:dyDescent="0.25"/>
    <row r="69" spans="1:8" ht="20.100000000000001" customHeight="1" x14ac:dyDescent="0.25"/>
    <row r="70" spans="1:8" ht="20.100000000000001" customHeight="1" x14ac:dyDescent="0.25"/>
    <row r="71" spans="1:8" ht="20.100000000000001" customHeight="1" x14ac:dyDescent="0.25"/>
    <row r="72" spans="1:8" ht="20.100000000000001" customHeight="1" x14ac:dyDescent="0.25"/>
    <row r="73" spans="1:8" ht="20.100000000000001" customHeight="1" x14ac:dyDescent="0.25"/>
    <row r="74" spans="1:8" ht="20.100000000000001" customHeight="1" x14ac:dyDescent="0.25"/>
    <row r="75" spans="1:8" ht="20.100000000000001" customHeight="1" x14ac:dyDescent="0.25"/>
    <row r="76" spans="1:8" ht="20.100000000000001" customHeight="1" x14ac:dyDescent="0.25"/>
    <row r="77" spans="1:8" ht="20.100000000000001" customHeight="1" x14ac:dyDescent="0.25"/>
    <row r="78" spans="1:8" ht="20.100000000000001" customHeight="1" x14ac:dyDescent="0.25"/>
    <row r="79" spans="1:8" ht="20.100000000000001" customHeight="1" x14ac:dyDescent="0.25"/>
    <row r="80" spans="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 zoomScaleNormal="100" workbookViewId="0">
      <selection activeCell="D6" sqref="D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158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c r="A6" s="16"/>
    </row>
    <row r="7" spans="1:35" ht="20.100000000000001" customHeight="1" x14ac:dyDescent="0.25">
      <c r="A7" s="20" t="s">
        <v>1</v>
      </c>
      <c r="D7" s="136" t="s">
        <v>169</v>
      </c>
      <c r="E7" s="136" t="s">
        <v>170</v>
      </c>
      <c r="F7" s="136" t="s">
        <v>171</v>
      </c>
      <c r="G7" s="136" t="s">
        <v>172</v>
      </c>
      <c r="H7" s="136" t="s">
        <v>173</v>
      </c>
      <c r="I7" s="136" t="s">
        <v>228</v>
      </c>
      <c r="J7" s="136" t="s">
        <v>229</v>
      </c>
      <c r="K7" s="136" t="s">
        <v>230</v>
      </c>
      <c r="AG7" s="1"/>
      <c r="AH7" s="1"/>
      <c r="AI7" s="1"/>
    </row>
    <row r="8" spans="1:35" ht="20.100000000000001" customHeight="1" x14ac:dyDescent="0.25">
      <c r="A8" s="17" t="str">
        <f>HYPERLINK("#'Input - Site'!A1", "Site")</f>
        <v>Site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Crop'!A1", "Crop")</f>
        <v>Crop</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Pasture'!A1", "Pasture")</f>
        <v>Pasture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row r="12" spans="1:35" ht="20.100000000000001" customHeight="1" x14ac:dyDescent="0.25">
      <c r="A12" s="19" t="s">
        <v>69</v>
      </c>
    </row>
    <row r="13" spans="1:35" ht="20.100000000000001" customHeight="1" x14ac:dyDescent="0.25">
      <c r="A13" s="17" t="str">
        <f>HYPERLINK("#'6.1.1.1-2 Crop residue N2O'!A1", "6.1.1.1-2 Crop residue N2O")</f>
        <v>6.1.1.1-2 Crop residue N2O</v>
      </c>
    </row>
    <row r="14" spans="1:35" ht="20.100000000000001" customHeight="1" x14ac:dyDescent="0.25">
      <c r="A14" s="17" t="str">
        <f>HYPERLINK("#'6.2.1.1-2 Pasture residue N2O'!A1", "6.2.1.1-2 Pasture residue N2O")</f>
        <v>6.2.1.1-2 Pasture residue N2O</v>
      </c>
    </row>
    <row r="15" spans="1:35" ht="20.100000000000001" customHeight="1" x14ac:dyDescent="0.25">
      <c r="A15" s="17" t="str">
        <f>HYPERLINK("#'6.3.1.1-2 Leaching and runoff'!A1", "6.3.1.1-2 Leaching and runoff")</f>
        <v>6.3.1.1-2 Leaching and runoff</v>
      </c>
      <c r="D15" s="6" t="str" cm="1">
        <f t="array" ref="D15">Agresidue_SourceData.CropAttributes_Title()</f>
        <v>Table A.2.1.1: Crop attributes</v>
      </c>
      <c r="E15" s="22"/>
      <c r="F15" s="22"/>
      <c r="G15" s="22"/>
      <c r="H15" s="22"/>
      <c r="I15" s="22"/>
      <c r="J15" s="22"/>
      <c r="K15" s="22"/>
      <c r="L15" s="22"/>
    </row>
    <row r="16" spans="1:35" ht="20.100000000000001" customHeight="1" x14ac:dyDescent="0.25">
      <c r="A16" s="17" t="str">
        <f>HYPERLINK("#'6.4.1.1-2 Residue burning'!A1", "6.4.1.1-2 Residue burning")</f>
        <v>6.4.1.1-2 Residue burning</v>
      </c>
      <c r="D16" s="5" t="str" cm="1">
        <f t="array" ref="D16">Agresidue_SourceData.CropAttributes_Source()</f>
        <v>VEERG 2026: Table A.2.1.1: Crop attributes</v>
      </c>
      <c r="E16" s="22"/>
      <c r="F16" s="22"/>
      <c r="G16" s="22"/>
      <c r="H16" s="22"/>
      <c r="I16" s="22"/>
      <c r="J16" s="22"/>
      <c r="K16" s="22"/>
      <c r="L16" s="22"/>
    </row>
    <row r="17" spans="1:14" ht="20.100000000000001" customHeight="1" x14ac:dyDescent="0.25">
      <c r="A17" s="17"/>
      <c r="D17" s="53" t="str" cm="1">
        <f t="array" ref="D17">"⚠️" &amp; Agresidue_SourceData.CropAttributes_Variation()</f>
        <v>⚠️VARIATION FROM SOURCE: 'N/A' values passed as zero for calculations.</v>
      </c>
      <c r="E17" s="22"/>
      <c r="F17" s="22"/>
      <c r="G17" s="22"/>
      <c r="H17" s="22"/>
      <c r="I17" s="22"/>
      <c r="J17" s="22"/>
      <c r="K17" s="22"/>
      <c r="L17" s="22"/>
    </row>
    <row r="18" spans="1:14" ht="20.100000000000001" customHeight="1" x14ac:dyDescent="0.25">
      <c r="A18" s="18" t="s">
        <v>2</v>
      </c>
      <c r="D18" s="22"/>
      <c r="E18" s="22"/>
      <c r="F18" s="22"/>
      <c r="G18" s="22"/>
      <c r="H18" s="22"/>
      <c r="I18" s="22"/>
      <c r="J18" s="22"/>
      <c r="K18" s="22"/>
      <c r="L18" s="22"/>
    </row>
    <row r="19" spans="1:14" ht="20.100000000000001" customHeight="1" x14ac:dyDescent="0.25">
      <c r="A19" s="132" t="str">
        <f>HYPERLINK("#'Constants - Ag Residue'!A1", "Constants - Ag Residue")</f>
        <v>Constants - Ag Residue</v>
      </c>
      <c r="D19" t="s">
        <v>110</v>
      </c>
      <c r="E19" t="s">
        <v>159</v>
      </c>
      <c r="F19" t="s">
        <v>160</v>
      </c>
      <c r="G19" t="s">
        <v>161</v>
      </c>
      <c r="H19" t="s">
        <v>162</v>
      </c>
      <c r="I19" t="s">
        <v>163</v>
      </c>
      <c r="J19" t="s">
        <v>164</v>
      </c>
      <c r="K19" t="s">
        <v>165</v>
      </c>
      <c r="L19" t="s">
        <v>166</v>
      </c>
      <c r="N19" s="6" t="s">
        <v>223</v>
      </c>
    </row>
    <row r="20" spans="1:14" ht="20.100000000000001" customHeight="1" x14ac:dyDescent="0.25">
      <c r="A20" s="17" t="str">
        <f>HYPERLINK("#'Constants - Common'!A1", "Constants - Common")</f>
        <v>Constants - Common</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7" t="s">
        <v>86</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7" t="s">
        <v>224</v>
      </c>
    </row>
    <row r="23" spans="1:14" ht="20.100000000000001" customHeight="1" x14ac:dyDescent="0.25">
      <c r="A23" s="17"/>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7" t="s">
        <v>225</v>
      </c>
    </row>
    <row r="24" spans="1:14" ht="20.100000000000001" customHeight="1" x14ac:dyDescent="0.25">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108</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226</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227</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2"/>
      <c r="E38" s="22"/>
      <c r="F38" s="22"/>
      <c r="G38" s="22"/>
      <c r="H38" s="22"/>
      <c r="I38" s="22"/>
      <c r="J38" s="22"/>
      <c r="K38" s="22"/>
      <c r="L38" s="22"/>
    </row>
    <row r="39" spans="4:13" ht="20.100000000000001" customHeight="1" x14ac:dyDescent="0.25">
      <c r="D39" s="22"/>
      <c r="E39" s="22"/>
      <c r="F39" s="22"/>
      <c r="G39" s="22"/>
      <c r="H39" s="22"/>
      <c r="I39" s="22"/>
      <c r="J39" s="22"/>
      <c r="K39" s="22"/>
      <c r="L39" s="22"/>
    </row>
    <row r="40" spans="4:13" ht="20.100000000000001" customHeight="1" x14ac:dyDescent="0.25">
      <c r="D40" s="6" t="str" cm="1">
        <f t="array" ref="D40">Agresidue_SourceData.N2OEFOrganicFertiliser_Title()</f>
        <v>Emission factor for organic fertiliser and crop residues returned to the soil</v>
      </c>
      <c r="E40" s="3"/>
      <c r="F40" s="3"/>
      <c r="G40" s="22"/>
      <c r="H40" s="22"/>
      <c r="I40" s="22"/>
      <c r="J40" s="22"/>
      <c r="K40" s="22"/>
      <c r="L40" s="22"/>
    </row>
    <row r="41" spans="4:13" ht="20.100000000000001" customHeight="1" x14ac:dyDescent="0.25">
      <c r="D41" s="5" t="str" cm="1">
        <f t="array" ref="D41">Agresidue_SourceData.N2OEFOrganicFertiliser_Source()</f>
        <v>VEERG 2026: Table A.2.1.4</v>
      </c>
      <c r="E41" s="3"/>
      <c r="F41" s="3"/>
      <c r="G41" s="22"/>
      <c r="H41" s="22"/>
      <c r="I41" s="22"/>
      <c r="J41" s="22"/>
      <c r="K41" s="22"/>
      <c r="L41" s="22"/>
    </row>
    <row r="42" spans="4:13" ht="20.100000000000001" customHeight="1" x14ac:dyDescent="0.25">
      <c r="D42" s="5"/>
      <c r="E42" s="3"/>
      <c r="F42" s="3"/>
      <c r="H42" s="22"/>
      <c r="I42" s="22"/>
      <c r="M42" s="3"/>
    </row>
    <row r="43" spans="4:13" ht="20.100000000000001" customHeight="1" x14ac:dyDescent="0.25">
      <c r="D43" s="108" t="s">
        <v>178</v>
      </c>
      <c r="E43" s="108" t="s">
        <v>179</v>
      </c>
      <c r="F43" s="3"/>
      <c r="H43" s="22"/>
      <c r="I43" s="22"/>
      <c r="M43" s="3"/>
    </row>
    <row r="44" spans="4:13" ht="20.100000000000001" customHeight="1" x14ac:dyDescent="0.25">
      <c r="D44" s="36" t="str" cm="1">
        <f t="array" ref="D44">Common_InputFunctions.Utility_DisplayArrayInTable(Agresidue_SourceData.N2OEFOrganicFertiliser_Data(), Table_SourceData_N2OEFOrganicFert[[#Headers],[Climate zone type i]], 0)</f>
        <v>Wet climate zone</v>
      </c>
      <c r="E44" s="36" cm="1">
        <f t="array" ref="E44">Common_InputFunctions.Utility_DisplayArrayInTable(Agresidue_SourceData.N2OEFOrganicFertiliser_Data(), Table_SourceData_N2OEFOrganicFert[[#Headers],[Climate zone type i]], 0)</f>
        <v>6.0000000000000001E-3</v>
      </c>
      <c r="F44" s="3"/>
      <c r="H44" s="22"/>
      <c r="I44" s="22"/>
      <c r="M44" s="3"/>
    </row>
    <row r="45" spans="4:13" ht="20.100000000000001" customHeight="1" x14ac:dyDescent="0.25">
      <c r="D45" s="36" t="str" cm="1">
        <f t="array" ref="D45">Common_InputFunctions.Utility_DisplayArrayInTable(Agresidue_SourceData.N2OEFOrganicFertiliser_Data(), Table_SourceData_N2OEFOrganicFert[[#Headers],[Climate zone type i]], 0)</f>
        <v>Dry climate zone</v>
      </c>
      <c r="E45" s="36" cm="1">
        <f t="array" ref="E45">Common_InputFunctions.Utility_DisplayArrayInTable(Agresidue_SourceData.N2OEFOrganicFertiliser_Data(), Table_SourceData_N2OEFOrganicFert[[#Headers],[Climate zone type i]], 0)</f>
        <v>5.0000000000000001E-3</v>
      </c>
      <c r="F45" s="3"/>
      <c r="H45" s="22"/>
      <c r="I45" s="22"/>
      <c r="M45" s="3"/>
    </row>
    <row r="46" spans="4:13" ht="20.100000000000001" customHeight="1" x14ac:dyDescent="0.25">
      <c r="H46" s="22"/>
      <c r="I46" s="22"/>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2"/>
      <c r="L48" s="22"/>
    </row>
    <row r="49" spans="4:12" ht="20.100000000000001" customHeight="1" x14ac:dyDescent="0.25">
      <c r="D49" s="5" t="str" cm="1">
        <f t="array" ref="D49">Agresidue_SourceData.PastureAttributes_Source()</f>
        <v>VEERG 2026: Table A.2.1.3: Pasture attributes</v>
      </c>
      <c r="K49" s="22"/>
      <c r="L49" s="22"/>
    </row>
    <row r="50" spans="4:12" ht="20.100000000000001" customHeight="1" x14ac:dyDescent="0.25">
      <c r="K50" s="22"/>
      <c r="L50" s="22"/>
    </row>
    <row r="51" spans="4:12" ht="20.100000000000001" customHeight="1" x14ac:dyDescent="0.25">
      <c r="D51" s="37" t="s">
        <v>181</v>
      </c>
      <c r="E51" s="37" t="s">
        <v>182</v>
      </c>
      <c r="F51" s="37" t="s">
        <v>183</v>
      </c>
      <c r="G51" s="37" t="s">
        <v>184</v>
      </c>
      <c r="H51" s="37" t="s">
        <v>185</v>
      </c>
      <c r="I51" s="37" t="s">
        <v>186</v>
      </c>
      <c r="K51" s="22"/>
      <c r="L51" s="22"/>
    </row>
    <row r="52" spans="4:12" ht="20.100000000000001" customHeight="1" x14ac:dyDescent="0.25">
      <c r="D52" s="37" t="str" cm="1">
        <f t="array" ref="D52">Common_InputFunctions.Utility_DisplayArrayInTable(Agresidue_SourceData.PastureAttributes_Data(), Table_SourceData_PastureAttributes[[#Headers],[Pasture type]], 0)</f>
        <v>Annual grass</v>
      </c>
      <c r="E52" s="37" cm="1">
        <f t="array" ref="E52">Common_InputFunctions.Utility_DisplayArrayInTable(Agresidue_SourceData.PastureAttributes_Data(), Table_SourceData_PastureAttributes[[#Headers],[Pasture type]], 0)</f>
        <v>4.41</v>
      </c>
      <c r="F52" s="37" cm="1">
        <f t="array" ref="F52">Common_InputFunctions.Utility_DisplayArrayInTable(Agresidue_SourceData.PastureAttributes_Data(), Table_SourceData_PastureAttributes[[#Headers],[Pasture type]], 0)</f>
        <v>0.4</v>
      </c>
      <c r="G52" s="37" cm="1">
        <f t="array" ref="G52">Common_InputFunctions.Utility_DisplayArrayInTable(Agresidue_SourceData.PastureAttributes_Data(), Table_SourceData_PastureAttributes[[#Headers],[Pasture type]], 0)</f>
        <v>1.4999999999999999E-2</v>
      </c>
      <c r="H52" s="37" cm="1">
        <f t="array" ref="H52">Common_InputFunctions.Utility_DisplayArrayInTable(Agresidue_SourceData.PastureAttributes_Data(), Table_SourceData_PastureAttributes[[#Headers],[Pasture type]], 0)</f>
        <v>1.2E-2</v>
      </c>
      <c r="I52" s="37" cm="1">
        <f t="array" ref="I52">Common_InputFunctions.Utility_DisplayArrayInTable(Agresidue_SourceData.PastureAttributes_Data(), Table_SourceData_PastureAttributes[[#Headers],[Pasture type]], 0)</f>
        <v>0.8</v>
      </c>
      <c r="L52" s="22"/>
    </row>
    <row r="53" spans="4:12" ht="20.100000000000001" customHeight="1" x14ac:dyDescent="0.25">
      <c r="D53" s="37" t="str" cm="1">
        <f t="array" ref="D53">Common_InputFunctions.Utility_DisplayArrayInTable(Agresidue_SourceData.PastureAttributes_Data(), Table_SourceData_PastureAttributes[[#Headers],[Pasture type]], 0)</f>
        <v>Grass clover mixture</v>
      </c>
      <c r="E53" s="37" cm="1">
        <f t="array" ref="E53">Common_InputFunctions.Utility_DisplayArrayInTable(Agresidue_SourceData.PastureAttributes_Data(), Table_SourceData_PastureAttributes[[#Headers],[Pasture type]], 0)</f>
        <v>8.34</v>
      </c>
      <c r="F53" s="37" cm="1">
        <f t="array" ref="F53">Common_InputFunctions.Utility_DisplayArrayInTable(Agresidue_SourceData.PastureAttributes_Data(), Table_SourceData_PastureAttributes[[#Headers],[Pasture type]], 0)</f>
        <v>0.8</v>
      </c>
      <c r="G53" s="37" cm="1">
        <f t="array" ref="G53">Common_InputFunctions.Utility_DisplayArrayInTable(Agresidue_SourceData.PastureAttributes_Data(), Table_SourceData_PastureAttributes[[#Headers],[Pasture type]], 0)</f>
        <v>2.5000000000000001E-2</v>
      </c>
      <c r="H53" s="37" cm="1">
        <f t="array" ref="H53">Common_InputFunctions.Utility_DisplayArrayInTable(Agresidue_SourceData.PastureAttributes_Data(), Table_SourceData_PastureAttributes[[#Headers],[Pasture type]], 0)</f>
        <v>1.6E-2</v>
      </c>
      <c r="I53" s="37" cm="1">
        <f t="array" ref="I53">Common_InputFunctions.Utility_DisplayArrayInTable(Agresidue_SourceData.PastureAttributes_Data(), Table_SourceData_PastureAttributes[[#Headers],[Pasture type]], 0)</f>
        <v>0.8</v>
      </c>
      <c r="L53" s="22"/>
    </row>
    <row r="54" spans="4:12" ht="20.100000000000001" customHeight="1" x14ac:dyDescent="0.25">
      <c r="D54" s="37" t="str" cm="1">
        <f t="array" ref="D54">Common_InputFunctions.Utility_DisplayArrayInTable(Agresidue_SourceData.PastureAttributes_Data(), Table_SourceData_PastureAttributes[[#Headers],[Pasture type]], 0)</f>
        <v>Lucerne</v>
      </c>
      <c r="E54" s="37" cm="1">
        <f t="array" ref="E54">Common_InputFunctions.Utility_DisplayArrayInTable(Agresidue_SourceData.PastureAttributes_Data(), Table_SourceData_PastureAttributes[[#Headers],[Pasture type]], 0)</f>
        <v>8.6199999999999992</v>
      </c>
      <c r="F54" s="37" cm="1">
        <f t="array" ref="F54">Common_InputFunctions.Utility_DisplayArrayInTable(Agresidue_SourceData.PastureAttributes_Data(), Table_SourceData_PastureAttributes[[#Headers],[Pasture type]], 0)</f>
        <v>0.4</v>
      </c>
      <c r="G54" s="37" cm="1">
        <f t="array" ref="G54">Common_InputFunctions.Utility_DisplayArrayInTable(Agresidue_SourceData.PastureAttributes_Data(), Table_SourceData_PastureAttributes[[#Headers],[Pasture type]], 0)</f>
        <v>2.7E-2</v>
      </c>
      <c r="H54" s="37" cm="1">
        <f t="array" ref="H54">Common_InputFunctions.Utility_DisplayArrayInTable(Agresidue_SourceData.PastureAttributes_Data(), Table_SourceData_PastureAttributes[[#Headers],[Pasture type]], 0)</f>
        <v>1.9E-2</v>
      </c>
      <c r="I54" s="37" cm="1">
        <f t="array" ref="I54">Common_InputFunctions.Utility_DisplayArrayInTable(Agresidue_SourceData.PastureAttributes_Data(), Table_SourceData_PastureAttributes[[#Headers],[Pasture type]], 0)</f>
        <v>0.8</v>
      </c>
    </row>
    <row r="55" spans="4:12" ht="20.100000000000001" customHeight="1" x14ac:dyDescent="0.25">
      <c r="D55" s="37" t="str" cm="1">
        <f t="array" ref="D55">Common_InputFunctions.Utility_DisplayArrayInTable(Agresidue_SourceData.PastureAttributes_Data(), Table_SourceData_PastureAttributes[[#Headers],[Pasture type]], 0)</f>
        <v>Other legume</v>
      </c>
      <c r="E55" s="37" cm="1">
        <f t="array" ref="E55">Common_InputFunctions.Utility_DisplayArrayInTable(Agresidue_SourceData.PastureAttributes_Data(), Table_SourceData_PastureAttributes[[#Headers],[Pasture type]], 0)</f>
        <v>5.62</v>
      </c>
      <c r="F55" s="37" cm="1">
        <f t="array" ref="F55">Common_InputFunctions.Utility_DisplayArrayInTable(Agresidue_SourceData.PastureAttributes_Data(), Table_SourceData_PastureAttributes[[#Headers],[Pasture type]], 0)</f>
        <v>0.4</v>
      </c>
      <c r="G55" s="37" cm="1">
        <f t="array" ref="G55">Common_InputFunctions.Utility_DisplayArrayInTable(Agresidue_SourceData.PastureAttributes_Data(), Table_SourceData_PastureAttributes[[#Headers],[Pasture type]], 0)</f>
        <v>2.7E-2</v>
      </c>
      <c r="H55" s="37" cm="1">
        <f t="array" ref="H55">Common_InputFunctions.Utility_DisplayArrayInTable(Agresidue_SourceData.PastureAttributes_Data(), Table_SourceData_PastureAttributes[[#Headers],[Pasture type]], 0)</f>
        <v>2.1999999999999999E-2</v>
      </c>
      <c r="I55" s="37" cm="1">
        <f t="array" ref="I55">Common_InputFunctions.Utility_DisplayArrayInTable(Agresidue_SourceData.PastureAttributes_Data(), Table_SourceData_PastureAttributes[[#Headers],[Pasture type]], 0)</f>
        <v>0.8</v>
      </c>
    </row>
    <row r="56" spans="4:12" ht="20.100000000000001" customHeight="1" x14ac:dyDescent="0.25">
      <c r="D56" s="37" t="str" cm="1">
        <f t="array" ref="D56">Common_InputFunctions.Utility_DisplayArrayInTable(Agresidue_SourceData.PastureAttributes_Data(), Table_SourceData_PastureAttributes[[#Headers],[Pasture type]], 0)</f>
        <v>Perennial pasture</v>
      </c>
      <c r="E56" s="37" cm="1">
        <f t="array" ref="E56">Common_InputFunctions.Utility_DisplayArrayInTable(Agresidue_SourceData.PastureAttributes_Data(), Table_SourceData_PastureAttributes[[#Headers],[Pasture type]], 0)</f>
        <v>8.35</v>
      </c>
      <c r="F56" s="37" cm="1">
        <f t="array" ref="F56">Common_InputFunctions.Utility_DisplayArrayInTable(Agresidue_SourceData.PastureAttributes_Data(), Table_SourceData_PastureAttributes[[#Headers],[Pasture type]], 0)</f>
        <v>0.8</v>
      </c>
      <c r="G56" s="37" cm="1">
        <f t="array" ref="G56">Common_InputFunctions.Utility_DisplayArrayInTable(Agresidue_SourceData.PastureAttributes_Data(), Table_SourceData_PastureAttributes[[#Headers],[Pasture type]], 0)</f>
        <v>1.4999999999999999E-2</v>
      </c>
      <c r="H56" s="37" cm="1">
        <f t="array" ref="H56">Common_InputFunctions.Utility_DisplayArrayInTable(Agresidue_SourceData.PastureAttributes_Data(), Table_SourceData_PastureAttributes[[#Headers],[Pasture type]], 0)</f>
        <v>1.2E-2</v>
      </c>
      <c r="I56" s="37" cm="1">
        <f t="array" ref="I56">Common_InputFunctions.Utility_DisplayArrayInTable(Agresidue_SourceData.PastureAttributes_Data(), Table_SourceData_PastureAttributes[[#Headers],[Pasture type]], 0)</f>
        <v>0.8</v>
      </c>
    </row>
    <row r="57" spans="4:12" ht="20.100000000000001" customHeight="1" x14ac:dyDescent="0.25">
      <c r="H57" s="22"/>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7" t="s">
        <v>214</v>
      </c>
      <c r="E62" s="37" t="s">
        <v>215</v>
      </c>
      <c r="F62" s="37" t="s">
        <v>216</v>
      </c>
    </row>
    <row r="63" spans="4:12" ht="20.100000000000001" customHeight="1" x14ac:dyDescent="0.25">
      <c r="D63" s="37" t="str" cm="1">
        <f t="array" ref="D63">Common_InputFunctions.Utility_DisplayArrayInTable(AgResidues_SourceData.BurningOfAgriculturalResiduesEFs_Data(), Table_SourceData_BurningResidueEFs[[#Headers],[Gas species]], 0)</f>
        <v>CH4</v>
      </c>
      <c r="E63" s="37" cm="1">
        <f t="array" ref="E63">Common_InputFunctions.Utility_DisplayArrayInTable(AgResidues_SourceData.BurningOfAgriculturalResiduesEFs_Data(), Table_SourceData_BurningResidueEFs[[#Headers],[Gas species]], 0)</f>
        <v>3.5000000000000001E-3</v>
      </c>
      <c r="F63" s="37" t="str" cm="1">
        <f t="array" ref="F63">Common_InputFunctions.Utility_DisplayArrayInTable(AgResidues_SourceData.BurningOfAgriculturalResiduesEFs_Data(), Table_SourceData_BurningResidueEFs[[#Headers],[Gas species]], 0)</f>
        <v>16/12</v>
      </c>
      <c r="K63" s="22"/>
      <c r="L63" s="22"/>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7" cm="1">
        <f t="array" ref="E64">Common_InputFunctions.Utility_DisplayArrayInTable(AgResidues_SourceData.BurningOfAgriculturalResiduesEFs_Data(), Table_SourceData_BurningResidueEFs[[#Headers],[Gas species]], 0)</f>
        <v>7.6E-3</v>
      </c>
      <c r="F64" s="37" t="str" cm="1">
        <f t="array" ref="F64">Common_InputFunctions.Utility_DisplayArrayInTable(AgResidues_SourceData.BurningOfAgriculturalResiduesEFs_Data(), Table_SourceData_BurningResidueEFs[[#Headers],[Gas species]], 0)</f>
        <v>44/28</v>
      </c>
      <c r="K64" s="22"/>
      <c r="L64" s="22"/>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7" cm="1">
        <f t="array" ref="E65">Common_InputFunctions.Utility_DisplayArrayInTable(AgResidues_SourceData.BurningOfAgriculturalResiduesEFs_Data(), Table_SourceData_BurningResidueEFs[[#Headers],[Gas species]], 0)</f>
        <v>0.21</v>
      </c>
      <c r="F65" s="37" t="str" cm="1">
        <f t="array" ref="F65">Common_InputFunctions.Utility_DisplayArrayInTable(AgResidues_SourceData.BurningOfAgriculturalResiduesEFs_Data(), Table_SourceData_BurningResidueEFs[[#Headers],[Gas species]], 0)</f>
        <v>46/14</v>
      </c>
      <c r="K65" s="22"/>
      <c r="L65" s="22"/>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7" cm="1">
        <f t="array" ref="E66">Common_InputFunctions.Utility_DisplayArrayInTable(AgResidues_SourceData.BurningOfAgriculturalResiduesEFs_Data(), Table_SourceData_BurningResidueEFs[[#Headers],[Gas species]], 0)</f>
        <v>7.8E-2</v>
      </c>
      <c r="F66" s="37" t="str" cm="1">
        <f t="array" ref="F66">Common_InputFunctions.Utility_DisplayArrayInTable(AgResidues_SourceData.BurningOfAgriculturalResiduesEFs_Data(), Table_SourceData_BurningResidueEFs[[#Headers],[Gas species]], 0)</f>
        <v>28/12</v>
      </c>
      <c r="K66" s="22"/>
      <c r="L66" s="22"/>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7" cm="1">
        <f t="array" ref="E67">Common_InputFunctions.Utility_DisplayArrayInTable(AgResidues_SourceData.BurningOfAgriculturalResiduesEFs_Data(), Table_SourceData_BurningResidueEFs[[#Headers],[Gas species]], 0)</f>
        <v>9.1000000000000004E-3</v>
      </c>
      <c r="F67" s="37" t="str" cm="1">
        <f t="array" ref="F67">Common_InputFunctions.Utility_DisplayArrayInTable(AgResidues_SourceData.BurningOfAgriculturalResiduesEFs_Data(), Table_SourceData_BurningResidueEFs[[#Headers],[Gas species]], 0)</f>
        <v>14/12</v>
      </c>
      <c r="K67" s="22"/>
      <c r="L67" s="22"/>
    </row>
    <row r="68" spans="4:12" ht="20.100000000000001" customHeight="1" x14ac:dyDescent="0.25">
      <c r="K68" s="22"/>
      <c r="L68" s="22"/>
    </row>
    <row r="69" spans="4:12" ht="20.100000000000001" customHeight="1" x14ac:dyDescent="0.25">
      <c r="K69" s="22"/>
      <c r="L69" s="22"/>
    </row>
    <row r="70" spans="4:12" ht="20.100000000000001" customHeight="1" x14ac:dyDescent="0.25">
      <c r="D70" s="6" t="str" cm="1">
        <f t="array" ref="D70">Agresidue_SourceData.CropFractionRemoved_Title()</f>
        <v>Table A.2.1.2: Crop attributes - Fraction removed (FFODc)</v>
      </c>
      <c r="E70" s="22"/>
      <c r="F70" s="22"/>
      <c r="G70" s="22"/>
      <c r="K70" s="22"/>
      <c r="L70" s="22"/>
    </row>
    <row r="71" spans="4:12" ht="20.100000000000001" customHeight="1" x14ac:dyDescent="0.25">
      <c r="D71" s="5" t="str" cm="1">
        <f t="array" ref="D71">Agresidue_SourceData.CropFractionRemoved_Source()</f>
        <v>VEERG 2026: Table A.2.1.2: Crop attributes - Fraction removed (FFODc)</v>
      </c>
      <c r="E71" s="22"/>
      <c r="F71" s="22"/>
      <c r="G71" s="22"/>
      <c r="K71" s="22"/>
      <c r="L71" s="22"/>
    </row>
    <row r="72" spans="4:12" ht="20.100000000000001" customHeight="1" x14ac:dyDescent="0.25">
      <c r="D72" s="22"/>
      <c r="E72" s="22"/>
      <c r="F72" s="22"/>
      <c r="G72" s="22"/>
      <c r="K72" s="22"/>
      <c r="L72" s="22"/>
    </row>
    <row r="73" spans="4:12" ht="20.100000000000001" customHeight="1" x14ac:dyDescent="0.25">
      <c r="D73" t="s">
        <v>167</v>
      </c>
      <c r="E73" t="s">
        <v>6</v>
      </c>
      <c r="F73" t="s">
        <v>168</v>
      </c>
      <c r="G73" s="22"/>
      <c r="K73" s="22"/>
      <c r="L73" s="22"/>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2"/>
      <c r="K74" s="22"/>
      <c r="L74" s="22"/>
    </row>
    <row r="75" spans="4:12" ht="20.100000000000001" customHeight="1" x14ac:dyDescent="0.25">
      <c r="D75" s="22"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2"/>
      <c r="H75" s="22"/>
      <c r="K75" s="22"/>
      <c r="L75" s="22"/>
    </row>
    <row r="76" spans="4:12" ht="20.100000000000001" customHeight="1" x14ac:dyDescent="0.25">
      <c r="D76" s="22"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2"/>
      <c r="H76" s="22"/>
      <c r="K76" s="22"/>
      <c r="L76" s="22"/>
    </row>
    <row r="77" spans="4:12" ht="20.100000000000001" customHeight="1" x14ac:dyDescent="0.25">
      <c r="D77" s="22"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2"/>
      <c r="H77" s="22"/>
      <c r="I77" s="22"/>
      <c r="J77" s="22"/>
      <c r="K77" s="22"/>
      <c r="L77" s="22"/>
    </row>
    <row r="78" spans="4:12" ht="20.100000000000001" customHeight="1" x14ac:dyDescent="0.25">
      <c r="D78" s="22"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2"/>
      <c r="H78" s="22"/>
      <c r="I78" s="22"/>
      <c r="J78" s="22"/>
      <c r="K78" s="22"/>
      <c r="L78" s="22"/>
    </row>
    <row r="79" spans="4:12" ht="20.100000000000001" customHeight="1" x14ac:dyDescent="0.25">
      <c r="D79" s="22"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2"/>
      <c r="H79" s="22"/>
      <c r="I79" s="22"/>
      <c r="J79" s="22"/>
      <c r="K79" s="22"/>
      <c r="L79" s="22"/>
    </row>
    <row r="80" spans="4:12" ht="20.100000000000001" customHeight="1" x14ac:dyDescent="0.25">
      <c r="D80" s="22"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2"/>
      <c r="H80" s="22"/>
      <c r="I80" s="22"/>
      <c r="J80" s="22"/>
      <c r="K80" s="22"/>
      <c r="L80" s="22"/>
    </row>
    <row r="81" spans="4:12" ht="20.100000000000001" customHeight="1" x14ac:dyDescent="0.25">
      <c r="D81" s="22"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2"/>
      <c r="H81" s="22"/>
      <c r="I81" s="22"/>
      <c r="J81" s="22"/>
      <c r="K81" s="22"/>
      <c r="L81" s="22"/>
    </row>
    <row r="82" spans="4:12" ht="20.100000000000001" customHeight="1" x14ac:dyDescent="0.25">
      <c r="D82" s="22"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2"/>
      <c r="H82" s="22"/>
      <c r="I82" s="22"/>
      <c r="J82" s="22"/>
      <c r="K82" s="22"/>
      <c r="L82" s="22"/>
    </row>
    <row r="83" spans="4:12" ht="20.100000000000001" customHeight="1" x14ac:dyDescent="0.25">
      <c r="D83" s="22"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2"/>
      <c r="H83" s="22"/>
      <c r="I83" s="22"/>
      <c r="J83" s="22"/>
      <c r="K83" s="22"/>
      <c r="L83" s="22"/>
    </row>
    <row r="84" spans="4:12" ht="20.100000000000001" customHeight="1" x14ac:dyDescent="0.25">
      <c r="D84" s="22"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2"/>
      <c r="H84" s="22"/>
      <c r="I84" s="22"/>
      <c r="J84" s="22"/>
      <c r="K84" s="22"/>
      <c r="L84" s="22"/>
    </row>
    <row r="85" spans="4:12" ht="20.100000000000001" customHeight="1" x14ac:dyDescent="0.25">
      <c r="D85" s="22"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2"/>
      <c r="H85" s="22"/>
      <c r="I85" s="22"/>
      <c r="J85" s="22"/>
      <c r="K85" s="22"/>
      <c r="L85" s="22"/>
    </row>
    <row r="86" spans="4:12" ht="20.100000000000001" customHeight="1" x14ac:dyDescent="0.25">
      <c r="D86" s="22"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2"/>
      <c r="H86" s="22"/>
      <c r="I86" s="22"/>
      <c r="J86" s="22"/>
      <c r="K86" s="22"/>
      <c r="L86" s="22"/>
    </row>
    <row r="87" spans="4:12" ht="20.100000000000001" customHeight="1" x14ac:dyDescent="0.25">
      <c r="D87" s="22"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2"/>
      <c r="H87" s="22"/>
      <c r="I87" s="22"/>
      <c r="J87" s="22"/>
      <c r="K87" s="22"/>
      <c r="L87" s="22"/>
    </row>
    <row r="88" spans="4:12" ht="20.100000000000001" customHeight="1" x14ac:dyDescent="0.25">
      <c r="D88" s="22"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2"/>
      <c r="H88" s="22"/>
      <c r="I88" s="22"/>
      <c r="J88" s="22"/>
      <c r="K88" s="22"/>
      <c r="L88" s="22"/>
    </row>
    <row r="89" spans="4:12" ht="20.100000000000001" customHeight="1" x14ac:dyDescent="0.25">
      <c r="D89" s="22"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2"/>
      <c r="H89" s="22"/>
      <c r="I89" s="22"/>
      <c r="J89" s="22"/>
      <c r="K89" s="22"/>
      <c r="L89" s="22"/>
    </row>
    <row r="90" spans="4:12" ht="20.100000000000001" customHeight="1" x14ac:dyDescent="0.25">
      <c r="D90" s="22"/>
      <c r="E90" s="22"/>
      <c r="F90" s="22"/>
      <c r="G90" s="22"/>
      <c r="H90" s="22"/>
      <c r="I90" s="22"/>
      <c r="J90" s="22"/>
      <c r="K90" s="22"/>
      <c r="L90" s="22"/>
    </row>
    <row r="91" spans="4:12" ht="20.100000000000001" customHeight="1" x14ac:dyDescent="0.25">
      <c r="D91" s="53" t="str" cm="1">
        <f t="array" ref="D91">"⚠️" &amp; Agresidue_SourceData.CropFractionRemoved_Variation()</f>
        <v>⚠️VARIATION OF SOURCE DATA: Split 'All other crop types' into individual crop types for each state. Listed all states for Sugar Cane, with 'N/A' for states where it is not grown.</v>
      </c>
      <c r="E91" s="22"/>
      <c r="F91" s="22"/>
      <c r="G91" s="22"/>
      <c r="H91" s="22"/>
      <c r="I91" s="22"/>
      <c r="J91" s="22"/>
      <c r="K91" s="22"/>
      <c r="L91" s="22"/>
    </row>
    <row r="92" spans="4:12" ht="20.100000000000001" customHeight="1" x14ac:dyDescent="0.25">
      <c r="D92" t="s">
        <v>167</v>
      </c>
      <c r="E92" t="s">
        <v>6</v>
      </c>
      <c r="F92" t="s">
        <v>168</v>
      </c>
      <c r="G92" s="22"/>
      <c r="H92" s="22"/>
      <c r="I92" s="22"/>
      <c r="J92" s="22"/>
      <c r="K92" s="22"/>
      <c r="L92" s="22"/>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2"/>
      <c r="H93" s="22"/>
      <c r="I93" s="22"/>
      <c r="J93" s="22"/>
      <c r="K93" s="22"/>
      <c r="L93" s="22"/>
    </row>
    <row r="94" spans="4:12" ht="20.100000000000001" customHeight="1" x14ac:dyDescent="0.25">
      <c r="D94" s="22"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2"/>
      <c r="H94" s="22"/>
      <c r="I94" s="22"/>
      <c r="J94" s="22"/>
      <c r="K94" s="22"/>
      <c r="L94" s="22"/>
    </row>
    <row r="95" spans="4:12" ht="20.100000000000001" customHeight="1" x14ac:dyDescent="0.25">
      <c r="D95" s="22"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2"/>
      <c r="H95" s="22"/>
      <c r="I95" s="22"/>
      <c r="J95" s="22"/>
      <c r="K95" s="22"/>
      <c r="L95" s="22"/>
    </row>
    <row r="96" spans="4:12" ht="20.100000000000001" customHeight="1" x14ac:dyDescent="0.25">
      <c r="D96" s="22"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2"/>
      <c r="H96" s="22"/>
      <c r="I96" s="22"/>
      <c r="J96" s="22"/>
      <c r="K96" s="22"/>
      <c r="L96" s="22"/>
    </row>
    <row r="97" spans="4:12" ht="20.100000000000001" customHeight="1" x14ac:dyDescent="0.25">
      <c r="D97" s="22"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2"/>
      <c r="H97" s="22"/>
      <c r="I97" s="22"/>
      <c r="J97" s="22"/>
      <c r="K97" s="22"/>
      <c r="L97" s="22"/>
    </row>
    <row r="98" spans="4:12" ht="20.100000000000001" customHeight="1" x14ac:dyDescent="0.25">
      <c r="D98" s="22"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2"/>
      <c r="H98" s="22"/>
      <c r="I98" s="22"/>
      <c r="J98" s="22"/>
      <c r="K98" s="22"/>
      <c r="L98" s="22"/>
    </row>
    <row r="99" spans="4:12" ht="20.100000000000001" customHeight="1" x14ac:dyDescent="0.25">
      <c r="D99" s="22"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2"/>
      <c r="H99" s="22"/>
      <c r="I99" s="22"/>
      <c r="J99" s="22"/>
      <c r="K99" s="22"/>
      <c r="L99" s="22"/>
    </row>
    <row r="100" spans="4:12" ht="20.100000000000001" customHeight="1" x14ac:dyDescent="0.25">
      <c r="D100" s="22"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2"/>
      <c r="H100" s="22"/>
      <c r="I100" s="22"/>
      <c r="J100" s="22"/>
      <c r="K100" s="22"/>
      <c r="L100" s="22"/>
    </row>
    <row r="101" spans="4:12" ht="20.100000000000001" customHeight="1" x14ac:dyDescent="0.25">
      <c r="D101" s="22"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2"/>
      <c r="H101" s="22"/>
      <c r="I101" s="22"/>
      <c r="J101" s="22"/>
      <c r="K101" s="22"/>
      <c r="L101" s="22"/>
    </row>
    <row r="102" spans="4:12" ht="20.100000000000001" customHeight="1" x14ac:dyDescent="0.25">
      <c r="D102" s="22"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2"/>
      <c r="H102" s="22"/>
      <c r="I102" s="22"/>
      <c r="J102" s="22"/>
      <c r="K102" s="22"/>
      <c r="L102" s="22"/>
    </row>
    <row r="103" spans="4:12" ht="20.100000000000001" customHeight="1" x14ac:dyDescent="0.25">
      <c r="D103" s="22"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2"/>
      <c r="H103" s="22"/>
      <c r="I103" s="22"/>
      <c r="J103" s="22"/>
      <c r="K103" s="22"/>
      <c r="L103" s="22"/>
    </row>
    <row r="104" spans="4:12" ht="20.100000000000001" customHeight="1" x14ac:dyDescent="0.25">
      <c r="D104" s="22"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2"/>
      <c r="H104" s="22"/>
      <c r="I104" s="22"/>
      <c r="J104" s="22"/>
      <c r="K104" s="22"/>
      <c r="L104" s="22"/>
    </row>
    <row r="105" spans="4:12" ht="20.100000000000001" customHeight="1" x14ac:dyDescent="0.25">
      <c r="D105" s="22"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2"/>
      <c r="H105" s="22"/>
      <c r="I105" s="22"/>
      <c r="J105" s="22"/>
      <c r="K105" s="22"/>
      <c r="L105" s="22"/>
    </row>
    <row r="106" spans="4:12" ht="20.100000000000001" customHeight="1" x14ac:dyDescent="0.25">
      <c r="D106" s="22"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2"/>
      <c r="H106" s="22"/>
      <c r="I106" s="22"/>
      <c r="J106" s="22"/>
      <c r="K106" s="22"/>
      <c r="L106" s="22"/>
    </row>
    <row r="107" spans="4:12" ht="20.100000000000001" customHeight="1" x14ac:dyDescent="0.25">
      <c r="D107" s="22"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2"/>
      <c r="H107" s="22"/>
      <c r="I107" s="22"/>
      <c r="J107" s="22"/>
      <c r="K107" s="22"/>
      <c r="L107" s="22"/>
    </row>
    <row r="108" spans="4:12" ht="20.100000000000001" customHeight="1" x14ac:dyDescent="0.25">
      <c r="D108" s="22"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2"/>
      <c r="H108" s="22"/>
      <c r="I108" s="22"/>
      <c r="J108" s="22"/>
      <c r="K108" s="22"/>
      <c r="L108" s="22"/>
    </row>
    <row r="109" spans="4:12" ht="20.100000000000001" customHeight="1" x14ac:dyDescent="0.25">
      <c r="D109" s="22"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2"/>
      <c r="H109" s="22"/>
      <c r="I109" s="22"/>
      <c r="J109" s="22"/>
      <c r="K109" s="22"/>
      <c r="L109" s="22"/>
    </row>
    <row r="110" spans="4:12" ht="20.100000000000001" customHeight="1" x14ac:dyDescent="0.25">
      <c r="D110" s="22"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2"/>
      <c r="H110" s="22"/>
      <c r="I110" s="22"/>
      <c r="J110" s="22"/>
      <c r="K110" s="22"/>
      <c r="L110" s="22"/>
    </row>
    <row r="111" spans="4:12" ht="20.100000000000001" customHeight="1" x14ac:dyDescent="0.25">
      <c r="D111" s="22"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2"/>
      <c r="H111" s="22"/>
      <c r="I111" s="22"/>
      <c r="J111" s="22"/>
      <c r="K111" s="22"/>
      <c r="L111" s="22"/>
    </row>
    <row r="112" spans="4:12" ht="20.100000000000001" customHeight="1" x14ac:dyDescent="0.25">
      <c r="D112" s="22"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2"/>
      <c r="H112" s="22"/>
      <c r="I112" s="22"/>
      <c r="J112" s="22"/>
      <c r="K112" s="22"/>
      <c r="L112" s="22"/>
    </row>
    <row r="113" spans="4:12" ht="20.100000000000001" customHeight="1" x14ac:dyDescent="0.25">
      <c r="D113" s="22"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2"/>
      <c r="H113" s="22"/>
      <c r="I113" s="22"/>
      <c r="J113" s="22"/>
      <c r="K113" s="22"/>
      <c r="L113" s="22"/>
    </row>
    <row r="114" spans="4:12" ht="20.100000000000001" customHeight="1" x14ac:dyDescent="0.25">
      <c r="D114" s="22"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2"/>
      <c r="H114" s="22"/>
      <c r="I114" s="22"/>
      <c r="J114" s="22"/>
      <c r="K114" s="22"/>
      <c r="L114" s="22"/>
    </row>
    <row r="115" spans="4:12" ht="20.100000000000001" customHeight="1" x14ac:dyDescent="0.25">
      <c r="D115" s="22"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2"/>
      <c r="H115" s="22"/>
      <c r="I115" s="22"/>
      <c r="J115" s="22"/>
      <c r="K115" s="22"/>
      <c r="L115" s="22"/>
    </row>
    <row r="116" spans="4:12" ht="20.100000000000001" customHeight="1" x14ac:dyDescent="0.25">
      <c r="D116" s="22"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2"/>
      <c r="H116" s="22"/>
      <c r="I116" s="22"/>
      <c r="J116" s="22"/>
      <c r="K116" s="22"/>
      <c r="L116" s="22"/>
    </row>
    <row r="117" spans="4:12" ht="20.100000000000001" customHeight="1" x14ac:dyDescent="0.25">
      <c r="D117" s="22"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2"/>
      <c r="H117" s="22"/>
      <c r="I117" s="22"/>
      <c r="J117" s="22"/>
      <c r="K117" s="22"/>
      <c r="L117" s="22"/>
    </row>
    <row r="118" spans="4:12" ht="20.100000000000001" customHeight="1" x14ac:dyDescent="0.25">
      <c r="D118" s="22"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2"/>
      <c r="H118" s="22"/>
      <c r="I118" s="22"/>
      <c r="J118" s="22"/>
      <c r="K118" s="22"/>
      <c r="L118" s="22"/>
    </row>
    <row r="119" spans="4:12" ht="20.100000000000001" customHeight="1" x14ac:dyDescent="0.25">
      <c r="D119" s="22"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2"/>
      <c r="H119" s="22"/>
      <c r="I119" s="22"/>
      <c r="J119" s="22"/>
      <c r="K119" s="22"/>
      <c r="L119" s="22"/>
    </row>
    <row r="120" spans="4:12" ht="20.100000000000001" customHeight="1" x14ac:dyDescent="0.25">
      <c r="D120" s="22"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2"/>
      <c r="H120" s="22"/>
      <c r="I120" s="22"/>
      <c r="J120" s="22"/>
      <c r="K120" s="22"/>
      <c r="L120" s="22"/>
    </row>
    <row r="121" spans="4:12" ht="20.100000000000001" customHeight="1" x14ac:dyDescent="0.25">
      <c r="D121" s="22"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2"/>
      <c r="H121" s="22"/>
      <c r="I121" s="22"/>
      <c r="J121" s="22"/>
      <c r="K121" s="22"/>
      <c r="L121" s="22"/>
    </row>
    <row r="122" spans="4:12" ht="20.100000000000001" customHeight="1" x14ac:dyDescent="0.25">
      <c r="D122" s="22"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2"/>
      <c r="H122" s="22"/>
      <c r="I122" s="22"/>
      <c r="J122" s="22"/>
      <c r="K122" s="22"/>
      <c r="L122" s="22"/>
    </row>
    <row r="123" spans="4:12" ht="20.100000000000001" customHeight="1" x14ac:dyDescent="0.25">
      <c r="D123" s="22"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2"/>
      <c r="H123" s="22"/>
      <c r="I123" s="22"/>
      <c r="J123" s="22"/>
      <c r="K123" s="22"/>
      <c r="L123" s="22"/>
    </row>
    <row r="124" spans="4:12" ht="20.100000000000001" customHeight="1" x14ac:dyDescent="0.25">
      <c r="D124" s="22"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2"/>
      <c r="H124" s="22"/>
      <c r="I124" s="22"/>
      <c r="J124" s="22"/>
      <c r="K124" s="22"/>
      <c r="L124" s="22"/>
    </row>
    <row r="125" spans="4:12" ht="20.100000000000001" customHeight="1" x14ac:dyDescent="0.25">
      <c r="D125" s="22"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2"/>
      <c r="H125" s="22"/>
      <c r="I125" s="22"/>
      <c r="J125" s="22"/>
      <c r="K125" s="22"/>
      <c r="L125" s="22"/>
    </row>
    <row r="126" spans="4:12" ht="20.100000000000001" customHeight="1" x14ac:dyDescent="0.25">
      <c r="D126" s="22"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2"/>
      <c r="H126" s="22"/>
      <c r="I126" s="22"/>
      <c r="J126" s="22"/>
      <c r="K126" s="22"/>
      <c r="L126" s="22"/>
    </row>
    <row r="127" spans="4:12" ht="20.100000000000001" customHeight="1" x14ac:dyDescent="0.25">
      <c r="D127" s="22"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2"/>
      <c r="H127" s="22"/>
      <c r="I127" s="22"/>
      <c r="J127" s="22"/>
      <c r="K127" s="22"/>
      <c r="L127" s="22"/>
    </row>
    <row r="128" spans="4:12" ht="20.100000000000001" customHeight="1" x14ac:dyDescent="0.25">
      <c r="D128" s="22"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2"/>
      <c r="H128" s="22"/>
      <c r="I128" s="22"/>
      <c r="J128" s="22"/>
      <c r="K128" s="22"/>
      <c r="L128" s="22"/>
    </row>
    <row r="129" spans="4:12" ht="20.100000000000001" customHeight="1" x14ac:dyDescent="0.25">
      <c r="D129" s="22"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2"/>
      <c r="H129" s="22"/>
      <c r="I129" s="22"/>
      <c r="J129" s="22"/>
      <c r="K129" s="22"/>
      <c r="L129" s="22"/>
    </row>
    <row r="130" spans="4:12" ht="20.100000000000001" customHeight="1" x14ac:dyDescent="0.25">
      <c r="D130" s="22"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2"/>
      <c r="H130" s="22"/>
      <c r="I130" s="22"/>
      <c r="J130" s="22"/>
      <c r="K130" s="22"/>
      <c r="L130" s="22"/>
    </row>
    <row r="131" spans="4:12" ht="20.100000000000001" customHeight="1" x14ac:dyDescent="0.25">
      <c r="D131" s="22"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2"/>
      <c r="H131" s="22"/>
      <c r="I131" s="22"/>
      <c r="J131" s="22"/>
      <c r="K131" s="22"/>
      <c r="L131" s="22"/>
    </row>
    <row r="132" spans="4:12" ht="20.100000000000001" customHeight="1" x14ac:dyDescent="0.25">
      <c r="D132" s="22"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2"/>
      <c r="H132" s="22"/>
      <c r="I132" s="22"/>
      <c r="J132" s="22"/>
      <c r="K132" s="22"/>
      <c r="L132" s="22"/>
    </row>
    <row r="133" spans="4:12" ht="20.100000000000001" customHeight="1" x14ac:dyDescent="0.25">
      <c r="D133" s="22"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2"/>
      <c r="H133" s="22"/>
      <c r="I133" s="22"/>
      <c r="J133" s="22"/>
      <c r="K133" s="22"/>
      <c r="L133" s="22"/>
    </row>
    <row r="134" spans="4:12" ht="20.100000000000001" customHeight="1" x14ac:dyDescent="0.25">
      <c r="D134" s="22"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2"/>
      <c r="H134" s="22"/>
      <c r="I134" s="22"/>
      <c r="J134" s="22"/>
      <c r="K134" s="22"/>
      <c r="L134" s="22"/>
    </row>
    <row r="135" spans="4:12" ht="20.100000000000001" customHeight="1" x14ac:dyDescent="0.25">
      <c r="D135" s="22"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2"/>
      <c r="H135" s="22"/>
      <c r="I135" s="22"/>
      <c r="J135" s="22"/>
      <c r="K135" s="22"/>
      <c r="L135" s="22"/>
    </row>
    <row r="136" spans="4:12" ht="20.100000000000001" customHeight="1" x14ac:dyDescent="0.25">
      <c r="D136" s="22"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2"/>
      <c r="H136" s="22"/>
      <c r="I136" s="22"/>
      <c r="J136" s="22"/>
      <c r="K136" s="22"/>
      <c r="L136" s="22"/>
    </row>
    <row r="137" spans="4:12" ht="20.100000000000001" customHeight="1" x14ac:dyDescent="0.25">
      <c r="D137" s="22"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2"/>
      <c r="H137" s="22"/>
      <c r="I137" s="22"/>
      <c r="J137" s="22"/>
      <c r="K137" s="22"/>
      <c r="L137" s="22"/>
    </row>
    <row r="138" spans="4:12" ht="20.100000000000001" customHeight="1" x14ac:dyDescent="0.25">
      <c r="D138" s="22"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2"/>
      <c r="H138" s="22"/>
      <c r="I138" s="22"/>
      <c r="J138" s="22"/>
      <c r="K138" s="22"/>
      <c r="L138" s="22"/>
    </row>
    <row r="139" spans="4:12" ht="20.100000000000001" customHeight="1" x14ac:dyDescent="0.25">
      <c r="D139" s="22"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2"/>
      <c r="H139" s="22"/>
      <c r="I139" s="22"/>
      <c r="J139" s="22"/>
      <c r="K139" s="22"/>
      <c r="L139" s="22"/>
    </row>
    <row r="140" spans="4:12" ht="20.100000000000001" customHeight="1" x14ac:dyDescent="0.25">
      <c r="D140" s="22"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2"/>
      <c r="H140" s="22"/>
      <c r="I140" s="22"/>
      <c r="J140" s="22"/>
      <c r="K140" s="22"/>
      <c r="L140" s="22"/>
    </row>
    <row r="141" spans="4:12" ht="20.100000000000001" customHeight="1" x14ac:dyDescent="0.25">
      <c r="D141" s="22"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2"/>
      <c r="H141" s="22"/>
      <c r="I141" s="22"/>
      <c r="J141" s="22"/>
      <c r="K141" s="22"/>
      <c r="L141" s="22"/>
    </row>
    <row r="142" spans="4:12" ht="20.100000000000001" customHeight="1" x14ac:dyDescent="0.25">
      <c r="D142" s="22"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2"/>
      <c r="H142" s="22"/>
      <c r="I142" s="22"/>
      <c r="J142" s="22"/>
      <c r="K142" s="22"/>
      <c r="L142" s="22"/>
    </row>
    <row r="143" spans="4:12" ht="20.100000000000001" customHeight="1" x14ac:dyDescent="0.25">
      <c r="D143" s="22"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2"/>
      <c r="H143" s="22"/>
      <c r="I143" s="22"/>
      <c r="J143" s="22"/>
      <c r="K143" s="22"/>
      <c r="L143" s="22"/>
    </row>
    <row r="144" spans="4:12" ht="20.100000000000001" customHeight="1" x14ac:dyDescent="0.25">
      <c r="D144" s="22"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2"/>
      <c r="H144" s="22"/>
      <c r="I144" s="22"/>
      <c r="J144" s="22"/>
      <c r="K144" s="22"/>
      <c r="L144" s="22"/>
    </row>
    <row r="145" spans="4:12" ht="20.100000000000001" customHeight="1" x14ac:dyDescent="0.25">
      <c r="D145" s="22"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2"/>
      <c r="H145" s="22"/>
      <c r="I145" s="22"/>
      <c r="J145" s="22"/>
      <c r="K145" s="22"/>
      <c r="L145" s="22"/>
    </row>
    <row r="146" spans="4:12" ht="20.100000000000001" customHeight="1" x14ac:dyDescent="0.25">
      <c r="D146" s="22"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2"/>
      <c r="H146" s="22"/>
      <c r="I146" s="22"/>
      <c r="J146" s="22"/>
      <c r="K146" s="22"/>
      <c r="L146" s="22"/>
    </row>
    <row r="147" spans="4:12" ht="20.100000000000001" customHeight="1" x14ac:dyDescent="0.25">
      <c r="D147" s="22"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2"/>
      <c r="H147" s="22"/>
      <c r="I147" s="22"/>
      <c r="J147" s="22"/>
      <c r="K147" s="22"/>
      <c r="L147" s="22"/>
    </row>
    <row r="148" spans="4:12" ht="20.100000000000001" customHeight="1" x14ac:dyDescent="0.25">
      <c r="D148" s="22"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2"/>
      <c r="H148" s="22"/>
      <c r="I148" s="22"/>
      <c r="J148" s="22"/>
      <c r="K148" s="22"/>
      <c r="L148" s="22"/>
    </row>
    <row r="149" spans="4:12" ht="20.100000000000001" customHeight="1" x14ac:dyDescent="0.25">
      <c r="D149" s="22"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2"/>
      <c r="H149" s="22"/>
      <c r="I149" s="22"/>
      <c r="J149" s="22"/>
      <c r="K149" s="22"/>
      <c r="L149" s="22"/>
    </row>
    <row r="150" spans="4:12" ht="20.100000000000001" customHeight="1" x14ac:dyDescent="0.25">
      <c r="D150" s="22"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2"/>
      <c r="H150" s="22"/>
      <c r="I150" s="22"/>
      <c r="J150" s="22"/>
      <c r="K150" s="22"/>
      <c r="L150" s="22"/>
    </row>
    <row r="151" spans="4:12" ht="20.100000000000001" customHeight="1" x14ac:dyDescent="0.25">
      <c r="D151" s="22"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2"/>
      <c r="H151" s="22"/>
      <c r="I151" s="22"/>
      <c r="J151" s="22"/>
      <c r="K151" s="22"/>
      <c r="L151" s="22"/>
    </row>
    <row r="152" spans="4:12" ht="20.100000000000001" customHeight="1" x14ac:dyDescent="0.25">
      <c r="D152" s="22"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2"/>
      <c r="H152" s="22"/>
      <c r="I152" s="22"/>
      <c r="J152" s="22"/>
      <c r="K152" s="22"/>
      <c r="L152" s="22"/>
    </row>
    <row r="153" spans="4:12" ht="20.100000000000001" customHeight="1" x14ac:dyDescent="0.25">
      <c r="D153" s="22"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2"/>
      <c r="H153" s="22"/>
      <c r="I153" s="22"/>
      <c r="J153" s="22"/>
      <c r="K153" s="22"/>
      <c r="L153" s="22"/>
    </row>
    <row r="154" spans="4:12" ht="20.100000000000001" customHeight="1" x14ac:dyDescent="0.25">
      <c r="D154" s="22"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2"/>
      <c r="H154" s="22"/>
      <c r="I154" s="22"/>
      <c r="J154" s="22"/>
      <c r="K154" s="22"/>
      <c r="L154" s="22"/>
    </row>
    <row r="155" spans="4:12" ht="20.100000000000001" customHeight="1" x14ac:dyDescent="0.25">
      <c r="D155" s="22"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2"/>
      <c r="H155" s="22"/>
      <c r="I155" s="22"/>
      <c r="J155" s="22"/>
      <c r="K155" s="22"/>
      <c r="L155" s="22"/>
    </row>
    <row r="156" spans="4:12" ht="20.100000000000001" customHeight="1" x14ac:dyDescent="0.25">
      <c r="D156" s="22"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2"/>
      <c r="H156" s="22"/>
      <c r="I156" s="22"/>
      <c r="J156" s="22"/>
      <c r="K156" s="22"/>
      <c r="L156" s="22"/>
    </row>
    <row r="157" spans="4:12" ht="20.100000000000001" customHeight="1" x14ac:dyDescent="0.25">
      <c r="D157" s="22"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2"/>
      <c r="H157" s="22"/>
      <c r="I157" s="22"/>
      <c r="J157" s="22"/>
      <c r="K157" s="22"/>
      <c r="L157" s="22"/>
    </row>
    <row r="158" spans="4:12" ht="20.100000000000001" customHeight="1" x14ac:dyDescent="0.25">
      <c r="D158" s="22"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2"/>
      <c r="H158" s="22"/>
      <c r="I158" s="22"/>
      <c r="J158" s="22"/>
      <c r="K158" s="22"/>
      <c r="L158" s="22"/>
    </row>
    <row r="159" spans="4:12" ht="20.100000000000001" customHeight="1" x14ac:dyDescent="0.25">
      <c r="D159" s="22"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2"/>
      <c r="H159" s="22"/>
      <c r="I159" s="22"/>
      <c r="J159" s="22"/>
      <c r="K159" s="22"/>
      <c r="L159" s="22"/>
    </row>
    <row r="160" spans="4:12" ht="20.100000000000001" customHeight="1" x14ac:dyDescent="0.25">
      <c r="D160" s="22"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2"/>
      <c r="H160" s="22"/>
      <c r="I160" s="22"/>
      <c r="J160" s="22"/>
      <c r="K160" s="22"/>
      <c r="L160" s="22"/>
    </row>
    <row r="161" spans="4:12" ht="20.100000000000001" customHeight="1" x14ac:dyDescent="0.25">
      <c r="D161" s="22"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2"/>
      <c r="H161" s="22"/>
      <c r="I161" s="22"/>
      <c r="J161" s="22"/>
      <c r="K161" s="22"/>
      <c r="L161" s="22"/>
    </row>
    <row r="162" spans="4:12" ht="20.100000000000001" customHeight="1" x14ac:dyDescent="0.25">
      <c r="D162" s="22"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2"/>
      <c r="H162" s="22"/>
      <c r="I162" s="22"/>
      <c r="J162" s="22"/>
      <c r="K162" s="22"/>
      <c r="L162" s="22"/>
    </row>
    <row r="163" spans="4:12" ht="20.100000000000001" customHeight="1" x14ac:dyDescent="0.25">
      <c r="D163" s="22"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2"/>
      <c r="H163" s="22"/>
      <c r="I163" s="22"/>
      <c r="J163" s="22"/>
      <c r="K163" s="22"/>
      <c r="L163" s="22"/>
    </row>
    <row r="164" spans="4:12" ht="20.100000000000001" customHeight="1" x14ac:dyDescent="0.25">
      <c r="D164" s="22"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2"/>
      <c r="H164" s="22"/>
      <c r="I164" s="22"/>
      <c r="J164" s="22"/>
      <c r="K164" s="22"/>
      <c r="L164" s="22"/>
    </row>
    <row r="165" spans="4:12" ht="20.100000000000001" customHeight="1" x14ac:dyDescent="0.25">
      <c r="D165" s="22"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2"/>
      <c r="H165" s="22"/>
      <c r="I165" s="22"/>
      <c r="J165" s="22"/>
      <c r="K165" s="22"/>
      <c r="L165" s="22"/>
    </row>
    <row r="166" spans="4:12" x14ac:dyDescent="0.25">
      <c r="D166" s="22"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2"/>
      <c r="H166" s="22"/>
      <c r="I166" s="22"/>
      <c r="J166" s="22"/>
      <c r="K166" s="22"/>
      <c r="L166" s="22"/>
    </row>
    <row r="167" spans="4:12" x14ac:dyDescent="0.25">
      <c r="D167" s="22"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2"/>
      <c r="H167" s="22"/>
      <c r="I167" s="22"/>
      <c r="J167" s="22"/>
      <c r="K167" s="22"/>
      <c r="L167" s="22"/>
    </row>
    <row r="168" spans="4:12" x14ac:dyDescent="0.25">
      <c r="D168" s="22"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2"/>
      <c r="H168" s="22"/>
      <c r="I168" s="22"/>
      <c r="J168" s="22"/>
      <c r="K168" s="22"/>
      <c r="L168" s="22"/>
    </row>
    <row r="169" spans="4:12" x14ac:dyDescent="0.25">
      <c r="D169" s="22"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2"/>
      <c r="H169" s="22"/>
      <c r="I169" s="22"/>
      <c r="J169" s="22"/>
      <c r="K169" s="22"/>
      <c r="L169" s="22"/>
    </row>
    <row r="170" spans="4:12" x14ac:dyDescent="0.25">
      <c r="D170" s="22"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2"/>
      <c r="H170" s="22"/>
      <c r="I170" s="22"/>
      <c r="J170" s="22"/>
      <c r="K170" s="22"/>
      <c r="L170" s="22"/>
    </row>
    <row r="171" spans="4:12" x14ac:dyDescent="0.25">
      <c r="D171" s="22"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2"/>
      <c r="H171" s="22"/>
      <c r="I171" s="22"/>
      <c r="J171" s="22"/>
      <c r="K171" s="22"/>
      <c r="L171" s="22"/>
    </row>
    <row r="172" spans="4:12" x14ac:dyDescent="0.25">
      <c r="D172" s="22"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2"/>
      <c r="H172" s="22"/>
      <c r="I172" s="22"/>
      <c r="J172" s="22"/>
      <c r="K172" s="22"/>
      <c r="L172" s="22"/>
    </row>
    <row r="173" spans="4:12" x14ac:dyDescent="0.25">
      <c r="D173" s="22"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2"/>
      <c r="H173" s="22"/>
      <c r="I173" s="22"/>
      <c r="J173" s="22"/>
      <c r="K173" s="22"/>
      <c r="L173" s="22"/>
    </row>
    <row r="174" spans="4:12" x14ac:dyDescent="0.25">
      <c r="D174" s="22"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2"/>
      <c r="H174" s="22"/>
      <c r="I174" s="22"/>
      <c r="J174" s="22"/>
      <c r="K174" s="22"/>
      <c r="L174" s="22"/>
    </row>
    <row r="175" spans="4:12" x14ac:dyDescent="0.25">
      <c r="D175" s="22"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2"/>
      <c r="H175" s="22"/>
      <c r="I175" s="22"/>
      <c r="J175" s="22"/>
      <c r="K175" s="22"/>
      <c r="L175" s="22"/>
    </row>
    <row r="176" spans="4:12" x14ac:dyDescent="0.25">
      <c r="D176" s="22"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2"/>
      <c r="H176" s="22"/>
      <c r="I176" s="22"/>
      <c r="J176" s="22"/>
      <c r="K176" s="22"/>
      <c r="L176" s="22"/>
    </row>
    <row r="177" spans="4:12" x14ac:dyDescent="0.25">
      <c r="D177" s="22"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2"/>
      <c r="H177" s="22"/>
      <c r="I177" s="22"/>
      <c r="J177" s="22"/>
      <c r="K177" s="22"/>
      <c r="L177" s="22"/>
    </row>
    <row r="178" spans="4:12" x14ac:dyDescent="0.25">
      <c r="D178" s="22"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2"/>
      <c r="H178" s="22"/>
      <c r="I178" s="22"/>
      <c r="J178" s="22"/>
      <c r="K178" s="22"/>
      <c r="L178" s="22"/>
    </row>
    <row r="179" spans="4:12" x14ac:dyDescent="0.25">
      <c r="D179" s="22"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2"/>
      <c r="H179" s="22"/>
      <c r="I179" s="22"/>
      <c r="J179" s="22"/>
      <c r="K179" s="22"/>
      <c r="L179" s="22"/>
    </row>
    <row r="180" spans="4:12" x14ac:dyDescent="0.25">
      <c r="D180" s="22"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2"/>
      <c r="H180" s="22"/>
      <c r="I180" s="22"/>
      <c r="J180" s="22"/>
      <c r="K180" s="22"/>
      <c r="L180" s="22"/>
    </row>
    <row r="181" spans="4:12" x14ac:dyDescent="0.25">
      <c r="D181" s="22"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2"/>
      <c r="H181" s="22"/>
      <c r="I181" s="22"/>
      <c r="J181" s="22"/>
      <c r="K181" s="22"/>
      <c r="L181" s="22"/>
    </row>
    <row r="182" spans="4:12" x14ac:dyDescent="0.25">
      <c r="D182" s="22"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2"/>
      <c r="H182" s="22"/>
      <c r="I182" s="22"/>
      <c r="J182" s="22"/>
      <c r="K182" s="22"/>
      <c r="L182" s="22"/>
    </row>
    <row r="183" spans="4:12" x14ac:dyDescent="0.25">
      <c r="D183" s="22"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2"/>
      <c r="H183" s="22"/>
      <c r="I183" s="22"/>
      <c r="J183" s="22"/>
      <c r="K183" s="22"/>
      <c r="L183" s="22"/>
    </row>
    <row r="184" spans="4:12" x14ac:dyDescent="0.25">
      <c r="D184" s="22"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2"/>
      <c r="H184" s="22"/>
      <c r="I184" s="22"/>
      <c r="J184" s="22"/>
      <c r="K184" s="22"/>
      <c r="L184" s="22"/>
    </row>
    <row r="185" spans="4:12" x14ac:dyDescent="0.25">
      <c r="D185" s="22"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2"/>
      <c r="H185" s="22"/>
      <c r="I185" s="22"/>
      <c r="J185" s="22"/>
      <c r="K185" s="22"/>
      <c r="L185" s="22"/>
    </row>
    <row r="186" spans="4:12" x14ac:dyDescent="0.25">
      <c r="D186" s="22"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2"/>
      <c r="H186" s="22"/>
      <c r="I186" s="22"/>
      <c r="J186" s="22"/>
      <c r="K186" s="22"/>
      <c r="L186" s="22"/>
    </row>
    <row r="187" spans="4:12" x14ac:dyDescent="0.25">
      <c r="D187" s="22"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2"/>
      <c r="H187" s="22"/>
      <c r="I187" s="22"/>
      <c r="J187" s="22"/>
      <c r="K187" s="22"/>
      <c r="L187" s="22"/>
    </row>
    <row r="188" spans="4:12" x14ac:dyDescent="0.25">
      <c r="D188" s="22"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2"/>
      <c r="H188" s="22"/>
      <c r="I188" s="22"/>
      <c r="J188" s="22"/>
      <c r="K188" s="22"/>
      <c r="L188" s="22"/>
    </row>
    <row r="189" spans="4:12" x14ac:dyDescent="0.25">
      <c r="D189" s="22"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2"/>
      <c r="H189" s="22"/>
      <c r="I189" s="22"/>
      <c r="J189" s="22"/>
      <c r="K189" s="22"/>
      <c r="L189" s="22"/>
    </row>
    <row r="190" spans="4:12" x14ac:dyDescent="0.25">
      <c r="D190" s="22"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2"/>
      <c r="H190" s="22"/>
      <c r="I190" s="22"/>
      <c r="J190" s="22"/>
      <c r="K190" s="22"/>
      <c r="L190" s="22"/>
    </row>
    <row r="191" spans="4:12" x14ac:dyDescent="0.25">
      <c r="D191" s="22"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2"/>
      <c r="H191" s="22"/>
      <c r="I191" s="22"/>
      <c r="J191" s="22"/>
      <c r="K191" s="22"/>
      <c r="L191" s="22"/>
    </row>
    <row r="192" spans="4:12" x14ac:dyDescent="0.25">
      <c r="D192" s="22"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2"/>
      <c r="H192" s="22"/>
      <c r="I192" s="22"/>
      <c r="J192" s="22"/>
      <c r="K192" s="22"/>
      <c r="L192" s="22"/>
    </row>
    <row r="193" spans="4:12" x14ac:dyDescent="0.25">
      <c r="D193" s="22"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2"/>
      <c r="H193" s="22"/>
      <c r="I193" s="22"/>
      <c r="J193" s="22"/>
      <c r="K193" s="22"/>
      <c r="L193" s="22"/>
    </row>
    <row r="194" spans="4:12" x14ac:dyDescent="0.25">
      <c r="D194" s="22"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2"/>
      <c r="H194" s="22"/>
      <c r="I194" s="22"/>
      <c r="J194" s="22"/>
      <c r="K194" s="22"/>
      <c r="L194" s="22"/>
    </row>
    <row r="195" spans="4:12" x14ac:dyDescent="0.25">
      <c r="D195" s="22"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2"/>
      <c r="H195" s="22"/>
      <c r="I195" s="22"/>
      <c r="J195" s="22"/>
      <c r="K195" s="22"/>
      <c r="L195" s="22"/>
    </row>
    <row r="196" spans="4:12" x14ac:dyDescent="0.25">
      <c r="D196" s="22"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2"/>
      <c r="H196" s="22"/>
      <c r="I196" s="22"/>
      <c r="J196" s="22"/>
      <c r="K196" s="22"/>
      <c r="L196" s="22"/>
    </row>
    <row r="197" spans="4:12" x14ac:dyDescent="0.25">
      <c r="D197" s="22"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2"/>
      <c r="H197" s="22"/>
      <c r="I197" s="22"/>
      <c r="J197" s="22"/>
      <c r="K197" s="22"/>
      <c r="L197" s="22"/>
    </row>
    <row r="198" spans="4:12" x14ac:dyDescent="0.25">
      <c r="D198" s="22"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2"/>
      <c r="H198" s="22"/>
      <c r="I198" s="22"/>
      <c r="J198" s="22"/>
      <c r="K198" s="22"/>
      <c r="L198" s="22"/>
    </row>
    <row r="199" spans="4:12" x14ac:dyDescent="0.25">
      <c r="D199" s="22"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2"/>
      <c r="H199" s="22"/>
      <c r="I199" s="22"/>
      <c r="J199" s="22"/>
      <c r="K199" s="22"/>
      <c r="L199" s="22"/>
    </row>
    <row r="200" spans="4:12" x14ac:dyDescent="0.25">
      <c r="D200" s="22"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2"/>
      <c r="H200" s="22"/>
      <c r="I200" s="22"/>
      <c r="J200" s="22"/>
      <c r="K200" s="22"/>
      <c r="L200" s="22"/>
    </row>
    <row r="201" spans="4:12" x14ac:dyDescent="0.25">
      <c r="D201" s="22"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2"/>
      <c r="H201" s="22"/>
      <c r="I201" s="22"/>
      <c r="J201" s="22"/>
      <c r="K201" s="22"/>
      <c r="L201" s="22"/>
    </row>
    <row r="202" spans="4:12" x14ac:dyDescent="0.25">
      <c r="D202" s="22"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2"/>
      <c r="H202" s="22"/>
      <c r="I202" s="22"/>
      <c r="J202" s="22"/>
      <c r="K202" s="22"/>
      <c r="L202" s="22"/>
    </row>
    <row r="203" spans="4:12" x14ac:dyDescent="0.25">
      <c r="D203" s="22"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2"/>
      <c r="H203" s="22"/>
      <c r="I203" s="22"/>
      <c r="J203" s="22"/>
      <c r="K203" s="22"/>
      <c r="L203" s="22"/>
    </row>
    <row r="204" spans="4:12" x14ac:dyDescent="0.25">
      <c r="D204" s="22"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2"/>
      <c r="H204" s="22"/>
      <c r="I204" s="22"/>
      <c r="J204" s="22"/>
      <c r="K204" s="22"/>
      <c r="L204" s="22"/>
    </row>
    <row r="205" spans="4:12" x14ac:dyDescent="0.25">
      <c r="D205" s="22"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2"/>
      <c r="H205" s="22"/>
      <c r="I205" s="22"/>
      <c r="J205" s="22"/>
      <c r="K205" s="22"/>
      <c r="L205" s="22"/>
    </row>
    <row r="206" spans="4:12" x14ac:dyDescent="0.25">
      <c r="D206" s="22"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2"/>
      <c r="H206" s="22"/>
      <c r="I206" s="22"/>
      <c r="J206" s="22"/>
      <c r="K206" s="22"/>
      <c r="L206" s="22"/>
    </row>
    <row r="207" spans="4:12" x14ac:dyDescent="0.25">
      <c r="D207" s="22"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2"/>
      <c r="H207" s="22"/>
      <c r="I207" s="22"/>
      <c r="J207" s="22"/>
      <c r="K207" s="22"/>
      <c r="L207" s="22"/>
    </row>
    <row r="208" spans="4:12" x14ac:dyDescent="0.25">
      <c r="D208" s="22"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2"/>
      <c r="H208" s="22"/>
      <c r="I208" s="22"/>
      <c r="J208" s="22"/>
      <c r="K208" s="22"/>
      <c r="L208" s="22"/>
    </row>
    <row r="209" spans="4:12" x14ac:dyDescent="0.25">
      <c r="D209" s="22"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2"/>
      <c r="H209" s="22"/>
      <c r="I209" s="22"/>
      <c r="J209" s="22"/>
      <c r="K209" s="22"/>
      <c r="L209" s="22"/>
    </row>
    <row r="210" spans="4:12" x14ac:dyDescent="0.25">
      <c r="D210" s="22"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2"/>
      <c r="H210" s="22"/>
      <c r="I210" s="22"/>
      <c r="J210" s="22"/>
      <c r="K210" s="22"/>
      <c r="L210" s="22"/>
    </row>
    <row r="211" spans="4:12" x14ac:dyDescent="0.25">
      <c r="D211" s="22"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2"/>
      <c r="H211" s="22"/>
      <c r="I211" s="22"/>
      <c r="J211" s="22"/>
      <c r="K211" s="22"/>
      <c r="L211" s="22"/>
    </row>
    <row r="212" spans="4:12" x14ac:dyDescent="0.25">
      <c r="D212" s="22"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2"/>
      <c r="H212" s="22"/>
      <c r="I212" s="22"/>
      <c r="J212" s="22"/>
      <c r="K212" s="22"/>
      <c r="L212" s="22"/>
    </row>
    <row r="213" spans="4:12" x14ac:dyDescent="0.25">
      <c r="D213" s="22"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2"/>
      <c r="H213" s="22"/>
      <c r="I213" s="22"/>
      <c r="J213" s="22"/>
      <c r="K213" s="22"/>
      <c r="L213" s="22"/>
    </row>
    <row r="214" spans="4:12" x14ac:dyDescent="0.25">
      <c r="D214" s="22"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2"/>
      <c r="H214" s="22"/>
      <c r="I214" s="22"/>
      <c r="J214" s="22"/>
    </row>
    <row r="215" spans="4:12" x14ac:dyDescent="0.25">
      <c r="D215" s="22"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2"/>
      <c r="H215" s="22"/>
      <c r="I215" s="22"/>
      <c r="J215" s="22"/>
    </row>
    <row r="216" spans="4:12" x14ac:dyDescent="0.25">
      <c r="D216" s="22"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2"/>
      <c r="H216" s="22"/>
      <c r="I216" s="22"/>
      <c r="J216" s="22"/>
    </row>
    <row r="217" spans="4:12" x14ac:dyDescent="0.25">
      <c r="D217" s="22"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2"/>
      <c r="H217" s="22"/>
      <c r="I217" s="22"/>
      <c r="J217" s="22"/>
    </row>
    <row r="218" spans="4:12" x14ac:dyDescent="0.25">
      <c r="D218" s="22"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2"/>
      <c r="H218" s="22"/>
      <c r="I218" s="22"/>
      <c r="J218" s="22"/>
    </row>
    <row r="219" spans="4:12" x14ac:dyDescent="0.25">
      <c r="D219" s="22"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2"/>
      <c r="H219" s="22"/>
      <c r="I219" s="22"/>
      <c r="J219" s="22"/>
    </row>
    <row r="220" spans="4:12" x14ac:dyDescent="0.25">
      <c r="D220" s="22"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2"/>
      <c r="H220" s="22"/>
      <c r="I220" s="22"/>
      <c r="J220" s="22"/>
    </row>
    <row r="221" spans="4:12" x14ac:dyDescent="0.25">
      <c r="D221" s="22"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2"/>
      <c r="H221" s="22"/>
      <c r="I221" s="22"/>
      <c r="J221" s="22"/>
    </row>
    <row r="222" spans="4:12" x14ac:dyDescent="0.25">
      <c r="D222" s="22"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2"/>
      <c r="H222" s="22"/>
      <c r="I222" s="22"/>
      <c r="J222" s="22"/>
    </row>
    <row r="223" spans="4:12" x14ac:dyDescent="0.25">
      <c r="D223" s="22"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2"/>
      <c r="H223" s="22"/>
      <c r="I223" s="22"/>
      <c r="J223" s="22"/>
    </row>
    <row r="224" spans="4:12" x14ac:dyDescent="0.25">
      <c r="D224" s="22"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2"/>
      <c r="H224" s="22"/>
      <c r="I224" s="22"/>
      <c r="J224" s="22"/>
    </row>
    <row r="225" spans="4:10" x14ac:dyDescent="0.25">
      <c r="D225" s="22"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2"/>
      <c r="H225" s="22"/>
      <c r="I225" s="22"/>
      <c r="J225" s="22"/>
    </row>
    <row r="226" spans="4:10" x14ac:dyDescent="0.25">
      <c r="D226" s="22"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2"/>
      <c r="H226" s="22"/>
      <c r="I226" s="22"/>
      <c r="J226" s="22"/>
    </row>
    <row r="227" spans="4:10" x14ac:dyDescent="0.25">
      <c r="D227" s="22"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2"/>
      <c r="H227" s="22"/>
      <c r="I227" s="22"/>
      <c r="J227" s="22"/>
    </row>
    <row r="228" spans="4:10" x14ac:dyDescent="0.25">
      <c r="D228" s="22"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2"/>
      <c r="H228" s="22"/>
    </row>
    <row r="229" spans="4:10" x14ac:dyDescent="0.25">
      <c r="D229" s="22"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2"/>
    </row>
    <row r="230" spans="4:10" x14ac:dyDescent="0.25">
      <c r="D230" s="22"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2"/>
    </row>
    <row r="231" spans="4:10" x14ac:dyDescent="0.25">
      <c r="D231" s="22"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2"/>
    </row>
    <row r="232" spans="4:10" x14ac:dyDescent="0.25">
      <c r="D232" s="22"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2"/>
    </row>
    <row r="233" spans="4:10" x14ac:dyDescent="0.25">
      <c r="D233" s="22"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2"/>
    </row>
    <row r="234" spans="4:10" x14ac:dyDescent="0.25">
      <c r="D234" s="22"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2"/>
    </row>
    <row r="235" spans="4:10" x14ac:dyDescent="0.25">
      <c r="D235" s="22"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2"/>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3B84-7EA6-4A99-AEF7-7326AE57C45D}">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91</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90</v>
      </c>
      <c r="E212" s="37" t="s">
        <v>98</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112</v>
      </c>
      <c r="F231" s="36" t="s">
        <v>113</v>
      </c>
      <c r="G231" s="37" t="s">
        <v>104</v>
      </c>
      <c r="H231" s="37" t="s">
        <v>114</v>
      </c>
      <c r="I231" s="37" t="s">
        <v>115</v>
      </c>
      <c r="J231" s="37" t="s">
        <v>103</v>
      </c>
      <c r="K231" s="37" t="s">
        <v>102</v>
      </c>
      <c r="L231" s="37" t="s">
        <v>116</v>
      </c>
      <c r="M231" s="37" t="s">
        <v>117</v>
      </c>
      <c r="N231" s="37" t="s">
        <v>101</v>
      </c>
      <c r="O231" s="37" t="s">
        <v>118</v>
      </c>
      <c r="P231" s="37" t="s">
        <v>106</v>
      </c>
      <c r="Q231" s="37" t="s">
        <v>107</v>
      </c>
      <c r="R231" s="37" t="s">
        <v>105</v>
      </c>
      <c r="S231" s="37" t="s">
        <v>119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120</v>
      </c>
      <c r="E257" s="37" t="s">
        <v>121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GMAcgBpAHQAZQByAGkAYQAxACAAKgAgAGMAcgBpAHQAZQByAGkAYQAyACAAKgAgAEEAbQBvAHUAbgB0AEEAcABwAGwAaQBlAGQ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ZABpAG0AZQBuAHMAaQBvAG4AbABlAHMAcw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kAGkAbQBlAG4AcwBpAG8AbgBsAGUAcwBzAFwAIgAsACAAXAAiAEMAbwBuAHMAdABhAG4AdABcACIAOwBcAG4AIAAgACAAIAAgACAAIAAgACAAIABcACIARgBfAGMAXAAiACwAXAAiAGYAcgBhAGMAdABpAG8AbgAgAG8AZgAgAGMAcgBvAHAAIAByAGUAcwBpAGQAdQBlACAAdABoAGEAdAAgAGkAcwAgAGIAdQByAG4AdAAgAGYAbwByACAAYwByAG8AcAAgAGMAXAAiACwAIABcACIAZABpAG0AZQBuAHMAaQBvAG4AbABlAHMAcwBcACIALAAgAFwAIgBJAG4AcAB1AHQAXAAiADsAXABuACAAIAAgACAAIAAgACAAIAAgACAAXAAiAEYARgBPAEQAXwBjAFwAIgAsAFwAIgBmAHIAYQBjAHQAaQBvAG4AIABvAGYAIAB0AGgAZQAgAGMAcgBvAHAAIAByAGUAcwBpAGQAdQBlACAAdABoAGEAdAAgAGkAcwAgAHIAZQBtAG8AdgBlAGQAIABmAG8AcgAgAGMAcgBvAHAAIABjAFwAIgAsACAAXAAiAGQAaQBtAGUAbgBzAGkAbwBuAGwAZQBzAHM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kAGkAbQBlAG4AcwBpAG8AbgBsAGUAcwBz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GQAaQBtAGUAbgBzAGkAbwBuAGwAZQBzAHMAXAAiACwAIABcACIAQwBvAG4AcwB0AGEAbgB0AFwAIgA7AFwAbgAgACAAIAAgACAAIAAgACAAIAAgAFwAIgBGAF8AYwBcACIALABcACIAZgByAGEAYwB0AGkAbwBuACAAbwBmACAAYwByAG8AcAAgAHIAZQBzAGkAZAB1AGUAIAB0AGgAYQB0ACAAaQBzACAAYgB1AHIAbgB0ACAAZgBvAHIAIABjAHIAbwBwACAAYwBcACIALAAgAFwAIgBkAGkAbQBlAG4AcwBpAG8AbgBsAGUAcwBzAFwAIgAsACAAXAAiAEkAbgBwAHUAdABcACIAOwBcAG4AIAAgACAAIAAgACAAIAAgACAAIABcACIARgBGAE8ARABfAGMAXAAiACwAXAAiAGYAcgBhAGMAdABpAG8AbgAgAG8AZgAgAHQAaABlACAAYwByAG8AcAAgAHIAZQBzAGkAZAB1AGUAIAB0AGgAYQB0ACAAaQBzACAAcgBlAG0AbwB2AGUAZAAgAGYAbwByACAAYwByAG8AcAAgAGMAXAAiACwAIABcACIAZABpAG0AZQBuAHMAaQBvAG4AbABlAHMAcw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kAGkAbQBlAG4AcwBpAG8AbgBsAGUAcwBz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ZABpAG0AZQBuAHMAaQBvAG4AbABlAHMAcwBcACIALAAgAFwAIgBJAG4AcAB1AHQAXAAiADsAXABuACAAIAAgACAAIAAgACAAIAAgACAAXAAiAGMAXAAiACwAXAAiAEMAcgBvAHAAIAB0AHkAcABlAFwAIgAsACAAXAAiAFwAIgAsACAAXAAiAEkAbgBwAHUAdABcACIAXABuACAAIAAgACAAIAAgACAAIAB9ACwAIAByACwAIABjACkAXABuACAAIAAgACAAIAAgACkAXABuACAAIAAgACAAKQBcAG4AIAAgACkAOwBcAG4AXABuAFYARQBFAFIARwBfADYAXwAxAF8AMQBfADIAXwBfADEAXwBfAEYAcgBhAGMAdABpAG8AbgBPAGYAQwByAG8AcABSAGUAcwBpAGQAdQBlAFIAZQBtAG8AdgBlAGQAQgBhAGwAZQBkAF8AVgBhAHIAaQBhAHQAaQBvAG4AXABuACAAIAA9AEwAQQBNAEIARABBACgAXAAiAFYAQQBSAEkAQQBUAEkATwBOACAARgBSAE8ATQAgAFMATwBVAFIAQwBFADoAIABBAGQAZABlAGQAIABcAHUAMAAwADIANwBiAGEAbABlAGQAXAB1ADAAMAAyADcAIAB0AG8AIAB2AGEAcgBpAGEAYgBsAGUAIABzAHUAYgBzAGMAcgBpAHAAdA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FYARQBFAFIARwBfADYAXwAxAF8AMQBfADIAXwBfADEAYQBfAF8ARgByAGEAYwB0AGkAbwBuAE8AZgBDAHIAbwBwAFIAZQBzAGkAZAB1AGUAUgBlAG0AbwB2AGUAZABcAG4AIAAgAD0ATABBAE0AQgBEAEEAKABcAG4AIAAgACAAIABGAEYATwBEAF8AYwBiAGEAbABlAGQALAAgAEYARgBPAEQAXwBjAG8AdABoAGUAcgAsAFwAbgAgACAAIAAgAEYARgBPAEQAXwBjAGIAYQBsAGUAZAAgACsAIABGAEYATwBEAF8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F8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QALAAgAFwAbgAgACAAIAAgACAAIABMAEEATQBCAEQAQQAoAHIALABjACwAIABcAG4AIAAgACAAIAAgACAAIAAgAEkATgBEAEUAWAAoAHsAXABuACAAIAAgACAAIAAgACAAIAAgACAAXAAiAEYARgBPAEQAXwBjAGIAYQBsAGUAZABcACIALABcACIARgByAGEAYwB0AGkAbwBuACAAbwBmACAAYwByAG8AcAAgAHIAZQBzAGkAZAB1AGUAIAB0AGgAYQB0ACAAaQBzACAAcgBlAG0AbwB2AGUAZAAgAGYAbwByACAAYwByAG8AcAAgAGMALAAgAGMAYQBsAGMAdQBsAGEAdABlAGQAIAB3AGgAZQByAGUAIAByAGUAcwBpAGQAdQBlAHMAIABhAHIAZQAgAGIAYQBsAGUAZABcACIALAAgAFwAIgBmAHIAYQBjAHQAaQBvAG4AXAAiACwAIABcACIAQwBhAGwAYwB1AGwAYQB0AGUAZAAgAGYAcgBvAG0AIAA2AC4AMQAuADEALgAyACwAIAAoADEAKQBcACIAOwBcAG4AIAAgACAAIAAgACAAIAAgACAAIABcACIARgBGAE8ARABf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LAAgAFwAIgBmAHIAYQBjAHQAaQBvAG4AXAAiACwAIABcACIASQBuAHAAdQB0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QAaQBtAGUAbgBzAGkAbwBuAGwAZQBzAHM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ABpAG0AZQBuAHMAaQBvAG4AbABlAHMAcw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ZABpAG0AZQBuAHMAaQBvAG4AbABlAHMAcw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ABpAG0AZQBuAHMAaQBvAG4AbABlAHMAcw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kAGkAbQBlAG4AcwBpAG8AbgBsAGUAcwBz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GQAaQBtAGUAbgBzAGkAbwBuAGwAZQBzAHM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kAGkAbQBlAG4AcwBpAG8AbgBsAGUAcwBz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ZABpAG0AZQBuAHMAaQBvAG4AbABlAHMAcw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QAaQBtAGUAbgBzAGkAbwBuAGwAZQBzAHM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QQBnAHIAZQBzAGkAZAB1AGUAXwBTAG8AdQByAGMAZQBEAGEAdABhAC4AQwByAG8AcABQAHUAcgBwAG8AcwBlAEEAbgBkAFkAaQBlAGwAZABfAFQAaQB0AGwAZQAiACwAIgBBAGcAcgBlAHMAaQBkAHUAZQBfAFMAbwB1AHIAYwBlAEQAYQB0AGEALgBDAHIAbwBwAFAAdQByAHAAbwBzAGUAQQBuAGQAWQBpAGUAbABkAF8ARABhAHQAYQAiACwAIgBBAGcAcgBlAHMAaQBkAHUAZQBfAFMAbwB1AHIAYwBlAEQAYQB0AGEALgBDAHIAbwBwAEEAdAB0AHIAaQBiAHUAdABlAHMAXwBUAGkAdABsAGUAIgAsACIAQQBnAHIAZQBzAGkAZAB1AGUAXwBTAG8AdQByAGMAZQBEAGEAdABhAC4AQwByAG8AcABBAHQAdAByAGkAYgB1AHQAZQBzAF8ARABlAHMAYwByAGkAcAB0AGkAbwBuACIALAAiAEEAZwByAGUAcwBpAGQAdQBlAF8AUwBvAHUAcgBjAGUARABhAHQAYQAuAEMAcgBvAHAAQQB0AHQAcgBpAGIAdQB0AGUAcwBfAFMAbwB1AHIAYwBlACIALAAiAEEAZwByAGUAcwBpAGQAdQBlAF8AUwBvAHUAcgBjAGUARABhAHQAYQAuAEMAcgBvAHAAQQB0AHQAcgBpAGIAdQB0AGUAcwBfAEQAYQB0AGEAIgAsACIAQQBnAHIAZQBzAGkAZAB1AGUAXwBTAG8AdQByAGMAZQBEAGEAdABhAC4AQwByAG8AcABBAHQAdAByAGkAYgB1AHQAZQBzAF8AVgBhAHIAaQBhAHQAaQBvAG4AIgAsACIAQQBnAHIAZQBzAGkAZAB1AGUAXwBTAG8AdQByAGMAZQBEAGEAdABhAC4AQwByAG8AcABGAHIAYQBjAHQAaQBvAG4AUgBlAG0AbwB2AGUAZABfAFQAaQB0AGwAZQAiACwAIgBBAGcAcgBlAHMAaQBkAHUAZQBfAFMAbwB1AHIAYwBlAEQAYQB0AGEALgBDAHIAbwBwAEYAcgBhAGMAdABpAG8AbgBSAGUAbQBvAHYAZQBkAF8ARABlAHMAYwByAGkAcAB0AGkAbwBuACIALAAiAEEAZwByAGUAcwBpAGQAdQBlAF8AUwBvAHUAcgBjAGUARABhAHQAYQAuAEMAcgBvAHAARgByAGEAYwB0AGkAbwBuAFIAZQBtAG8AdgBlAGQAXwBTAG8AdQByAGMAZQAiACwAIgBBAGcAcgBlAHMAaQBkAHUAZQBfAFMAbwB1AHIAYwBlAEQAYQB0AGEALgBDAHIAbwBwAEYAcgBhAGMAdABpAG8AbgBSAGUAbQBvAHYAZQBkAF8ARABhAHQAYQAiACwAIgBBAGcAcgBlAHMAaQBkAHUAZQBfAFMAbwB1AHIAYwBlAEQAYQB0AGEALgBDAHIAbwBwAEYAcgBhAGMAdABpAG8AbgBSAGUAbQBvAHYAZQBkAF8AQwB1AHMAdABvAG0AaQBzAGUAZABEAGEAdABhACIALAAiAEEAZwByAGUAcwBpAGQAdQBlAF8AUwBvAHUAcgBjAGUARABhAHQAYQAuAEMAcgBvAHAARgByAGEAYwB0AGkAbwBuAFIAZQBtAG8AdgBlAGQAXwBWAGEAcgBpAGEAdABpAG8AbgAiACwAIgBBAGcAcgBlAHMAaQBkAHUAZQBfAFMAbwB1AHIAYwBlAEQAYQB0AGEALgBQAGEAcwB0AHUAcgBlAEEAdAB0AHIAaQBiAHUAdABlAHMAXwBUAGkAdABsAGUAIgAsACIAQQBnAHIAZQBzAGkAZAB1AGUAXwBTAG8AdQByAGMAZQBEAGEAdABhAC4AUABhAHMAdAB1AHIAZQBBAHQAdAByAGkAYgB1AHQAZQBzAF8ARABlAHMAYwByAGkAcAB0AGkAbwBuACIALAAiAEEAZwByAGUAcwBpAGQAdQBlAF8AUwBvAHUAcgBjAGUARABhAHQAYQAuAFAAYQBzAHQAdQByAGUAQQB0AHQAcgBpAGIAdQB0AGUAcwBfAFMAbwB1AHIAYwBlACIALAAiAEEAZwByAGUAcwBpAGQAdQBlAF8AUwBvAHUAcgBjAGUARABhAHQAYQAuAFAAYQBzAHQAdQByAGUAQQB0AHQAcgBpAGIAdQB0AGUAcwBfAEQAYQB0AGEAIgAsACIAQQBnAHIAZQBzAGkAZAB1AGUAXwBTAG8AdQByAGMAZQBEAGEAdABhAC4AQgB1AHIAbgBpAG4AZwBPAGYAQQBnAHIAaQBjAHUAbAB0AHUAcgBhAGwAUgBlAHMAaQBkAHUAZQBzAEUARgBzAF8AVABpAHQAbABlACIALAAiAEEAZwByAGUAcwBpAGQAdQBlAF8AUwBvAHUAcgBjAGUARABhAHQAYQAuAEIAdQByAG4AaQBuAGcATwBmAEEAZwByAGkAYwB1AGwAdAB1AHIAYQBsAFIAZQBzAGkAZAB1AGUAcwBFAEYAcwBfAEQAZQBzAGMAcgBpAHAAdABpAG8AbgAiACwAIgBBAGcAcgBlAHMAaQBkAHUAZQBfAFMAbwB1AHIAYwBlAEQAYQB0AGEALgBCAHUAcgBuAGkAbgBnAE8AZgBBAGcAcgBpAGMAdQBsAHQAdQByAGEAbABSAGUAcwBpAGQAdQBlAHMARQBGAHMAXwBTAG8AdQByAGMAZQAiACwAIgBBAGcAcgBlAHMAaQBkAHUAZQBfAFMAbwB1AHIAYwBlAEQAYQB0AGEALgBCAHUAcgBuAGkAbgBnAE8AZgBBAGcAcgBpAGMAdQBsAHQAdQByAGEAbABSAGUAcwBpAGQAdQBlAHMARQBGAHMAXwBEAGEAdABhACIALAAiAEEAZwByAGUAcwBpAGQAdQBlAF8AUwBvAHUAcgBjAGUARABhAHQAYQAuAE4AMgBPAEUARgBPAHIAZwBhAG4AaQBjAEYAZQByAHQAaQBsAGkAcwBlAHIAXwBUAGkAdABsAGUAIgAsACIAQQBnAHIAZQBzAGkAZAB1AGUAXwBTAG8AdQByAGMAZQBEAGEAdABhAC4ATgAyAE8ARQBGAE8AcgBnAGEAbgBpAGMARgBlAHIAdABpAGwAaQBzAGUAcgBfAFUAbgBpAHQAIgAsACIAQQBnAHIAZQBzAGkAZAB1AGUAXwBTAG8AdQByAGMAZQBEAGEAdABhAC4ATgAyAE8ARQBGAE8AcgBnAGEAbgBpAGMARgBlAHIAdABpAGwAaQBzAGUAcgBfAFMAbwB1AHIAYwBlACIALAAiAEEAZwByAGUAcwBpAGQAdQBlAF8AUwBvAHUAcgBjAGUARABhAHQAYQAuAE4AMgBPAEUARgBPAHIAZwBhAG4AaQBjAEYAZQByAHQAaQBsAGkAcwBlAHIAXwBOAEkAUgBSAGUAZgBlAHIAZQBuAGMAZQAiACwAIgBBAGcAcgBlAHMAaQBkAHUAZQBfAFMAbwB1AHIAYwBlAEQAYQB0AGEALgBOADIATwBFAEYATwByAGcAYQBuAGkAYwBGAGUAcgB0AGkAbABpAHMAZQByAF8ARABhAHQAYQAiACwAIgBBAGcAUgBlAHMAaQBkAHUAZQBfAEUAcQB1AGEAdABpAG8AbgBzAF8AQwByAG8AcABSAGUAcwBpAGQAdQBlAC4AVgBFAEUAUgBHAF8ANgBfADEAXwAxAF8AMQBfAF8AMQBfAF8ATgBpAHQAcgBvAHUAcwBPAHgAaQBkAGUARQBtAGkAcwBzAGkAbwBuAHMARgByAG8AbQBDAHIAbwBwAFIAZQBzAGkAZAB1AGUAcwAiACwAIgBBAGcAUgBlAHMAaQBkAHUAZQBfAEUAcQB1AGEAdABpAG8AbgBzAF8AQwByAG8AcABSAGUAcwBpAGQAdQBlAC4AVgBFAEUAUgBHAF8ANgBfADEAXwAxAF8AMQBfAF8AMQBfAF8ATgBpAHQAcgBvAHUAcwBPAHgAaQBkAGUARQBtAGkAcwBzAGkAbwBuAHMARgByAG8AbQBDAHIAbwBwAFIAZQBzAGkAZAB1AGUAcwBfAEYAdQBuAGMAdABpAG8AbgBOAGEAbQBlACIALAAiAEEAZwBSAGUAcwBpAGQAdQBlAF8ARQBxAHUAYQB0AGkAbwBuAHMAXwBDAHIAbwBwAFIAZQBzAGkAZAB1AGUALgBWAEUARQBSAEcAXwA2AF8AMQBfADEAXwAxAF8AXwAxAF8AXwBOAGkAdAByAG8AdQBzAE8AeABpAGQAZQBFAG0AaQBzAHMAaQBvAG4AcwBGAHIAbwBtAEMAcgBvAHAAUgBlAHMAaQBkAHUAZQBzAF8AVABpAHQAbABlACIALAAiAEEAZwBSAGUAcwBpAGQAdQBlAF8ARQBxAHUAYQB0AGkAbwBuAHMAXwBDAHIAbwBwAFIAZQBzAGkAZAB1AGUALgBWAEUARQBSAEcAXwA2AF8AMQBfADEAXwAxAF8AXwAxAF8AXwBOAGkAdAByAG8AdQBzAE8AeABpAGQAZQBFAG0AaQBzAHMAaQBvAG4AcwBGAHIAbwBtAEMAcgBvAHAAUgBlAHMAaQBkAHUAZQBzAF8AVgBhAHIAaQBhAGIAbABlACIALAAiAEEAZwBSAGUAcwBpAGQAdQBlAF8ARQBxAHUAYQB0AGkAbwBuAHMAXwBDAHIAbwBwAFIAZQBzAGkAZAB1AGUALgBWAEUARQBSAEcAXwA2AF8AMQBfADEAXwAxAF8AXwAxAF8AXwBOAGkAdAByAG8AdQBzAE8AeABpAGQAZQBFAG0AaQBzAHMAaQBvAG4AcwBGAHIAbwBtAEMAcgBvAHAAUgBlAHMAaQBkAHUAZQBzAF8AVQBuAGkAdAAiACwAIgBBAGcAUgBlAHMAaQBkAHUAZQBfAEUAcQB1AGEAdABpAG8AbgBzAF8AQwByAG8AcABSAGUAcwBpAGQAdQBlAC4AVgBFAEUAUgBHAF8ANgBfADEAXwAxAF8AMQBfAF8AMQBfAF8ATgBpAHQAcgBvAHUAcwBPAHgAaQBkAGUARQBtAGkAcwBzAGkAbwBuAHMARgByAG8AbQBDAHIAbwBwAFIAZQBzAGkAZAB1AGUAcwBfAFMAbwB1AHIAYwBlACIALAAiAEEAZwBSAGUAcwBpAGQAdQBlAF8ARQBxAHUAYQB0AGkAbwBuAHMAXwBDAHIAbwBwAFIAZQBzAGkAZAB1AGUALgBWAEUARQBSAEcAXwA2AF8AMQBfADEAXwAxAF8AXwAxAF8AXwBOAGkAdAByAG8AdQBzAE8AeABpAGQAZQBFAG0AaQBzAHMAaQBvAG4AcwBGAHIAbwBtAEMAcgBvAHAAUgBlAHMAaQBkAHUAZQBzAF8ATgBJAFIAUgBlAGYAZQByAGUAbgBjAGUAIgAsACIAQQBnAFIAZQBzAGkAZAB1AGUAXwBFAHEAdQBhAHQAaQBvAG4AcwBfAEMAcgBvAHAAUgBlAHMAaQBkAHUAZQAuAFYARQBFAFIARwBfADYAXwAxAF8AMQBfADEAXwBfADEAXwBfAE4AaQB0AHIAbwB1AHMATwB4AGkAZABlAEUAbQBpAHMAcwBpAG8AbgBzAEYAcgBvAG0AQwByAG8AcABSAGUAcwBpAGQAdQBlAHMAXwBMAGEAdABlAHgARQBxAHUAYQB0AGkAbwBuACIALAAiAEEAZwBSAGUAcwBpAGQAdQBlAF8ARQBxAHUAYQB0AGkAbwBuAHMAXwBDAHIAbwBwAFIAZQBzAGkAZAB1AGUALgBWAEUARQBSAEcAXwA2AF8AMQBfADEAXwAxAF8AXwAxAF8AXwBOAGkAdAByAG8AdQBzAE8AeABpAGQAZQBFAG0AaQBzAHMAaQBvAG4AcwBGAHIAbwBtAEMAcgBvAHAAUgBlAHMAaQBkAHUAZQBzAF8AQQByAGcAdQBtAGUAbgB0AHMAIgAsACIAQQBnAFIAZQBzAGkAZAB1AGUAXwBFAHEAdQBhAHQAaQBvAG4AcwBfAEMAcgBvAHAAUgBlAHMAaQBkAHUAZQAuAFYARQBFAFIARwBfADYAXwAxAF8AMQBfADEAXwBfADIAXwBfAE0AYQBzAHMATwBmAE4AaQB0AHIAbwBnAGUAbgBJAG4AQwByAG8AcABSAGUAcwBpAGQAdQBlAHMAIgAsACIAQQBnAFIAZQBzAGkAZAB1AGUAXwBFAHEAdQBhAHQAaQBvAG4AcwBfAEMAcgBvAHAAUgBlAHMAaQBkAHUAZQAuAFYARQBFAFIARwBfADYAXwAxAF8AMQBfADEAXwBfADIAXwBfAE0AYQBzAHMATwBmAE4AaQB0AHIAbwBnAGUAbgBJAG4AQwByAG8AcABSAGUAcwBpAGQAdQBlAHMAXwBUAGkAdABsAGUAIgAsACIAQQBnAFIAZQBzAGkAZAB1AGUAXwBFAHEAdQBhAHQAaQBvAG4AcwBfAEMAcgBvAHAAUgBlAHMAaQBkAHUAZQAuAFYARQBFAFIARwBfADYAXwAxAF8AMQBfADEAXwBfADIAXwBfAE0AYQBzAHMATwBmAE4AaQB0AHIAbwBnAGUAbgBJAG4AQwByAG8AcABSAGUAcwBpAGQAdQBlAHMAXwBWAGEAcgBpAGEAYgBsAGUAIgAsACIAQQBnAFIAZQBzAGkAZAB1AGUAXwBFAHEAdQBhAHQAaQBvAG4AcwBfAEMAcgBvAHAAUgBlAHMAaQBkAHUAZQAuAFYARQBFAFIARwBfADYAXwAxAF8AMQBfADEAXwBfADIAXwBfAE0AYQBzAHMATwBmAE4AaQB0AHIAbwBnAGUAbgBJAG4AQwByAG8AcABSAGUAcwBpAGQAdQBlAHMAXwBVAG4AaQB0ACIALAAiAEEAZwBSAGUAcwBpAGQAdQBlAF8ARQBxAHUAYQB0AGkAbwBuAHMAXwBDAHIAbwBwAFIAZQBzAGkAZAB1AGUALgBWAEUARQBSAEcAXwA2AF8AMQBfADEAXwAxAF8AXwAyAF8AXwBNAGEAcwBzAE8AZgBOAGkAdAByAG8AZwBlAG4ASQBuAEMAcgBvAHAAUgBlAHMAaQBkAHUAZQBzAF8AUwBvAHUAcgBjAGUAIgAsACIAQQBnAFIAZQBzAGkAZAB1AGUAXwBFAHEAdQBhAHQAaQBvAG4AcwBfAEMAcgBvAHAAUgBlAHMAaQBkAHUAZQAuAFYARQBFAFIARwBfADYAXwAxAF8AMQBfADEAXwBfADIAXwBfAE0AYQBzAHMATwBmAE4AaQB0AHIAbwBnAGUAbgBJAG4AQwByAG8AcABSAGUAcwBpAGQAdQBlAHMAXwBOAEkAUgBSAGUAZgBlAHIAZQBuAGMAZQAiACwAIgBBAGcAUgBlAHMAaQBkAHUAZQBfAEUAcQB1AGEAdABpAG8AbgBzAF8AQwByAG8AcABSAGUAcwBpAGQAdQBlAC4AVgBFAEUAUgBHAF8ANgBfADEAXwAxAF8AMQBfAF8AMgBfAF8ATQBhAHMAcwBPAGYATgBpAHQAcgBvAGcAZQBuAEkAbgBDAHIAbwBwAFIAZQBzAGkAZAB1AGUAcwBfAEwAYQB0AGUAeABFAHEAdQBhAHQAaQBvAG4AIgAsACIAQQBnAFIAZQBzAGkAZAB1AGUAXwBFAHEAdQBhAHQAaQBvAG4AcwBfAEMAcgBvAHAAUgBlAHMAaQBkAHUAZQAuAFYARQBFAFIARwBfADYAXwAxAF8AMQBfADEAXwBfADIAXwBfAE0AYQBzAHMATwBmAE4AaQB0AHIAbwBnAGUAbgBJAG4AQwByAG8AcABSAGUAcwBpAGQAdQBlAHMAXwBBAHIAZwB1AG0AZQBuAHQAcwAiACwAIgBBAGcAUgBlAHMAaQBkAHUAZQBfAEUAcQB1AGEAdABpAG8AbgBzAF8AQwByAG8AcABSAGUAcwBpAGQAdQBlAC4AVgBFAEUAUgBHAF8ANgBfADEAXwAxAF8AMQBfAF8AMgBfAF8ATQBhAHMAcwBPAGYATgBpAHQAcgBvAGcAZQBuAEkAbgBDAHIAbwBwAFIAZQBzAGkAZAB1AGUAcwBfAEEAcgBnAHUAbQBlAG4AdABzAF8ATQBlAHQAaABvAGQAMgAiACwAIgBBAGcAUgBlAHMAaQBkAHUAZQBfAEUAcQB1AGEAdABpAG8AbgBzAF8AQwByAG8AcABSAGUAcwBpAGQAdQBlAC4AVgBFAEUAUgBHAF8ANgBfADEAXwAxAF8AMgBfAF8AMQBfAF8ARgByAGEAYwB0AGkAbwBuAE8AZgBDAHIAbwBwAFIAZQBzAGkAZAB1AGUAUgBlAG0AbwB2AGUAZABCAGEAbABlAGQAIgAsACIAQQBnAFIAZQBzAGkAZAB1AGUAXwBFAHEAdQBhAHQAaQBvAG4AcwBfAEMAcgBvAHAAUgBlAHMAaQBkAHUAZQAuAFYARQBFAFIARwBfADYAXwAxAF8AMQBfADIAXwBfADEAXwBfAEYAcgBhAGMAdABpAG8AbgBPAGYAQwByAG8AcABSAGUAcwBpAGQAdQBlAFIAZQBtAG8AdgBlAGQAQgBhAGwAZQBkAF8AVABpAHQAbABlACIALAAiAEEAZwBSAGUAcwBpAGQAdQBlAF8ARQBxAHUAYQB0AGkAbwBuAHMAXwBDAHIAbwBwAFIAZQBzAGkAZAB1AGUALgBWAEUARQBSAEcAXwA2AF8AMQBfADEAXwAyAF8AXwAxAF8AXwBGAHIAYQBjAHQAaQBvAG4ATwBmAEMAcgBvAHAAUgBlAHMAaQBkAHUAZQBSAGUAbQBvAHYAZQBkAEIAYQBsAGUAZABfAFYAYQByAGkAYQBiAGwAZQAiACwAIgBBAGcAUgBlAHMAaQBkAHUAZQBfAEUAcQB1AGEAdABpAG8AbgBzAF8AQwByAG8AcABSAGUAcwBpAGQAdQBlAC4AVgBFAEUAUgBHAF8ANgBfADEAXwAxAF8AMgBfAF8AMQBfAF8ARgByAGEAYwB0AGkAbwBuAE8AZgBDAHIAbwBwAFIAZQBzAGkAZAB1AGUAUgBlAG0AbwB2AGUAZABCAGEAbABlAGQAXwBVAG4AaQB0ACIALAAiAEEAZwBSAGUAcwBpAGQAdQBlAF8ARQBxAHUAYQB0AGkAbwBuAHMAXwBDAHIAbwBwAFIAZQBzAGkAZAB1AGUALgBWAEUARQBSAEcAXwA2AF8AMQBfADEAXwAyAF8AXwAxAF8AXwBGAHIAYQBjAHQAaQBvAG4ATwBmAEMAcgBvAHAAUgBlAHMAaQBkAHUAZQBSAGUAbQBvAHYAZQBkAEIAYQBsAGUAZABfAFMAbwB1AHIAYwBlACIALAAiAEEAZwBSAGUAcwBpAGQAdQBlAF8ARQBxAHUAYQB0AGkAbwBuAHMAXwBDAHIAbwBwAFIAZQBzAGkAZAB1AGUALgBWAEUARQBSAEcAXwA2AF8AMQBfADEAXwAyAF8AXwAxAF8AXwBGAHIAYQBjAHQAaQBvAG4ATwBmAEMAcgBvAHAAUgBlAHMAaQBkAHUAZQBSAGUAbQBvAHYAZQBkAEIAYQBsAGUAZABfAE4ASQBSAFIAZQBmAGUAcgBlAG4AYwBlACIALAAiAEEAZwBSAGUAcwBpAGQAdQBlAF8ARQBxAHUAYQB0AGkAbwBuAHMAXwBDAHIAbwBwAFIAZQBzAGkAZAB1AGUALgBWAEUARQBSAEcAXwA2AF8AMQBfADEAXwAyAF8AXwAxAF8AXwBGAHIAYQBjAHQAaQBvAG4ATwBmAEMAcgBvAHAAUgBlAHMAaQBkAHUAZQBSAGUAbQBvAHYAZQBkAEIAYQBsAGUAZABfAEwAYQB0AGUAeABFAHEAdQBhAHQAaQBvAG4AIgAsACIAQQBnAFIAZQBzAGkAZAB1AGUAXwBFAHEAdQBhAHQAaQBvAG4AcwBfAEMAcgBvAHAAUgBlAHMAaQBkAHUAZQAuAFYARQBFAFIARwBfADYAXwAxAF8AMQBfADIAXwBfADEAXwBfAEYAcgBhAGMAdABpAG8AbgBPAGYAQwByAG8AcABSAGUAcwBpAGQAdQBlAFIAZQBtAG8AdgBlAGQAQgBhAGwAZQBkAF8AQQByAGcAdQBtAGUAbgB0AHMAIgAsACIAQQBnAFIAZQBzAGkAZAB1AGUAXwBFAHEAdQBhAHQAaQBvAG4AcwBfAEMAcgBvAHAAUgBlAHMAaQBkAHUAZQAuAFYARQBFAFIARwBfADYAXwAxAF8AMQBfADIAXwBfADEAXwBfAEYAcgBhAGMAdABpAG8AbgBPAGYAQwByAG8AcABSAGUAcwBpAGQAdQBlAFIAZQBtAG8AdgBlAGQAQgBhAGwAZQBkAF8AVgBhAHIAaQBhAHQAaQBvAG4AIgAsACIAQQBnAFIAZQBzAGkAZAB1AGUAXwBFAHEAdQBhAHQAaQBvAG4AcwBfAEMAcgBvAHAAUgBlAHMAaQBkAHUAZQAuAFYARQBFAFIARwBfADYAXwAxAF8AMQBfADIAXwBfADEAYQBfAF8ARgByAGEAYwB0AGkAbwBuAE8AZgBDAHIAbwBwAFIAZQBzAGkAZAB1AGUAUgBlAG0AbwB2AGUAZAAiACwAIgBBAGcAUgBlAHMAaQBkAHUAZQBfAEUAcQB1AGEAdABpAG8AbgBzAF8AQwByAG8AcABSAGUAcwBpAGQAdQBlAC4AVgBFAEUAUgBHAF8ANgBfADEAXwAxAF8AMgBfAF8AMQBhAF8AXwBGAHIAYQBjAHQAaQBvAG4ATwBmAEMAcgBvAHAAUgBlAHMAaQBkAHUAZQBSAGUAbQBvAHYAZQBkAF8AVABpAHQAbABlACIALAAiAEEAZwBSAGUAcwBpAGQAdQBlAF8ARQBxAHUAYQB0AGkAbwBuAHMAXwBDAHIAbwBwAFIAZQBzAGkAZAB1AGUALgBWAEUARQBSAEcAXwA2AF8AMQBfADEAXwAyAF8AXwAxAGEAXwBfAEYAcgBhAGMAdABpAG8AbgBPAGYAQwByAG8AcABSAGUAcwBpAGQAdQBlAFIAZQBtAG8AdgBlAGQAXwBWAGEAcgBpAGEAYgBsAGUAIgAsACIAQQBnAFIAZQBzAGkAZAB1AGUAXwBFAHEAdQBhAHQAaQBvAG4AcwBfAEMAcgBvAHAAUgBlAHMAaQBkAHUAZQAuAFYARQBFAFIARwBfADYAXwAxAF8AMQBfADIAXwBfADEAYQBfAF8ARgByAGEAYwB0AGkAbwBuAE8AZgBDAHIAbwBwAFIAZQBzAGkAZAB1AGUAUgBlAG0AbwB2AGUAZABfAFUAbgBpAHQAIgAsACIAQQBnAFIAZQBzAGkAZAB1AGUAXwBFAHEAdQBhAHQAaQBvAG4AcwBfAEMAcgBvAHAAUgBlAHMAaQBkAHUAZQAuAFYARQBFAFIARwBfADYAXwAxAF8AMQBfADIAXwBfADEAYQBfAF8ARgByAGEAYwB0AGkAbwBuAE8AZgBDAHIAbwBwAFIAZQBzAGkAZAB1AGUAUgBlAG0AbwB2AGUAZABfAFMAbwB1AHIAYwBlACIALAAiAEEAZwBSAGUAcwBpAGQAdQBlAF8ARQBxAHUAYQB0AGkAbwBuAHMAXwBDAHIAbwBwAFIAZQBzAGkAZAB1AGUALgBWAEUARQBSAEcAXwA2AF8AMQBfADEAXwAyAF8AXwAxAGEAXwBfAEYAcgBhAGMAdABpAG8AbgBPAGYAQwByAG8AcABSAGUAcwBpAGQAdQBlAFIAZQBtAG8AdgBlAGQAXwBOAEkAUgBSAGUAZgBlAHIAZQBuAGMAZQAiACwAIgBBAGcAUgBlAHMAaQBkAHUAZQBfAEUAcQB1AGEAdABpAG8AbgBzAF8AQwByAG8AcABSAGUAcwBpAGQAdQBlAC4AVgBFAEUAUgBHAF8ANgBfADEAXwAxAF8AMgBfAF8AMQBhAF8AXwBGAHIAYQBjAHQAaQBvAG4ATwBmAEMAcgBvAHAAUgBlAHMAaQBkAHUAZQBSAGUAbQBvAHYAZQBkAF8ATABhAHQAZQB4AEUAcQB1AGEAdABpAG8AbgAiACwAIgBBAGcAUgBlAHMAaQBkAHUAZQBfAEUAcQB1AGEAdABpAG8AbgBzAF8AQwByAG8AcABSAGUAcwBpAGQAdQBlAC4AVgBFAEUAUgBHAF8ANgBfADEAXwAxAF8AMgBfAF8AMQBhAF8AXwBGAHIAYQBjAHQAaQBvAG4ATwBmAEMAcgBvAHAAUgBlAHMAaQBkAHUAZQBSAGUAbQBvAHYAZQBkAF8AQQByAGcAdQBtAGUAbgB0AHMAIgAsACIAQQBnAFIAZQBzAGkAZAB1AGUAXwBFAHEAdQBhAHQAaQBvAG4AcwBfAEMAcgBvAHAAUgBlAHMAaQBkAHUAZQAuAFYARQBFAFIARwBfADYAXwAxAF8AMQBfADIAXwBfADEAYQBfAF8ARgByAGEAYwB0AGkAbwBuAE8AZgBDAHIAbwBwAFIAZQBzAGkAZAB1AGUAUgBlAG0AbwB2AGUAZABfAFYAYQByAGkAYQB0AGkAbwBuACIALAAiAEEAZwBSAGUAcwBpAGQAdQBlAF8ARQBxAHUAYQB0AGkAbwBuAHMAXwBGAGkAZQBsAGQAQgB1AHIAbgBpAG4AZwAuAFYARQBFAFIARwBfADYAXwA0AF8AMQBfADEAXwBfADEAXwBfAE0AZQB0AGgAYQBuAGUARQBtAGkAcwBzAGkAbwBuAHMARgByAG8AbQBCAHUAcgBuAGkAbgBnAE8AZgBDAHIAbwBwAFIAZQBzAGkAZAB1AGUAcwAiACwAIgBBAGcAUgBlAHMAaQBkAHUAZQBfAEUAcQB1AGEAdABpAG8AbgBzAF8ARgBpAGUAbABkAEIAdQByAG4AaQBuAGcALgBWAEUARQBSAEcAXwA2AF8ANABfADEAXwAxAF8AXwAxAF8AXwBNAGUAdABoAGEAbgBlAEUAbQBpAHMAcwBpAG8AbgBzAEYAcgBvAG0AQgB1AHIAbgBpAG4AZwBPAGYAQwByAG8AcABSAGUAcwBpAGQAdQBlAHMAXwBGAHUAbgBjAHQAaQBvAG4ATgBhAG0AZQAiACwAIgBBAGcAUgBlAHMAaQBkAHUAZQBfAEUAcQB1AGEAdABpAG8AbgBzAF8ARgBpAGUAbABkAEIAdQByAG4AaQBuAGcALgBWAEUARQBSAEcAXwA2AF8ANABfADEAXwAxAF8AXwAxAF8AXwBNAGUAdABoAGEAbgBlAEUAbQBpAHMAcwBpAG8AbgBzAEYAcgBvAG0AQgB1AHIAbgBpAG4AZwBPAGYAQwByAG8AcABSAGUAcwBpAGQAdQBlAHMAXwBUAGkAdABsAGUAIgAsACIAQQBnAFIAZQBzAGkAZAB1AGUAXwBFAHEAdQBhAHQAaQBvAG4AcwBfAEYAaQBlAGwAZABCAHUAcgBuAGkAbgBnAC4AVgBFAEUAUgBHAF8ANgBfADQAXwAxAF8AMQBfAF8AMQBfAF8ATQBlAHQAaABhAG4AZQBFAG0AaQBzAHMAaQBvAG4AcwBGAHIAbwBtAEIAdQByAG4AaQBuAGcATwBmAEMAcgBvAHAAUgBlAHMAaQBkAHUAZQBzAF8AVgBhAHIAaQBhAGIAbABlACIALAAiAEEAZwBSAGUAcwBpAGQAdQBlAF8ARQBxAHUAYQB0AGkAbwBuAHMAXwBGAGkAZQBsAGQAQgB1AHIAbgBpAG4AZwAuAFYARQBFAFIARwBfADYAXwA0AF8AMQBfADEAXwBfADEAXwBfAE0AZQB0AGgAYQBuAGUARQBtAGkAcwBzAGkAbwBuAHMARgByAG8AbQBCAHUAcgBuAGkAbgBnAE8AZgBDAHIAbwBwAFIAZQBzAGkAZAB1AGUAcwBfAFUAbgBpAHQAIgAsACIAQQBnAFIAZQBzAGkAZAB1AGUAXwBFAHEAdQBhAHQAaQBvAG4AcwBfAEYAaQBlAGwAZABCAHUAcgBuAGkAbgBnAC4AVgBFAEUAUgBHAF8ANgBfADQAXwAxAF8AMQBfAF8AMQBfAF8ATQBlAHQAaABhAG4AZQBFAG0AaQBzAHMAaQBvAG4AcwBGAHIAbwBtAEIAdQByAG4AaQBuAGcATwBmAEMAcgBvAHAAUgBlAHMAaQBkAHUAZQBzAF8AUwBvAHUAcgBjAGUAIgAsACIAQQBnAFIAZQBzAGkAZAB1AGUAXwBFAHEAdQBhAHQAaQBvAG4AcwBfAEYAaQBlAGwAZABCAHUAcgBuAGkAbgBnAC4AVgBFAEUAUgBHAF8ANgBfADQAXwAxAF8AMQBfAF8AMQBfAF8ATQBlAHQAaABhAG4AZQBFAG0AaQBzAHMAaQBvAG4AcwBGAHIAbwBtAEIAdQByAG4AaQBuAGcATwBmAEMAcgBvAHAAUgBlAHMAaQBkAHUAZQBzAF8ATgBJAFIAUgBlAGYAZQByAGUAbgBjAGUAIgAsACIAQQBnAFIAZQBzAGkAZAB1AGUAXwBFAHEAdQBhAHQAaQBvAG4AcwBfAEYAaQBlAGwAZABCAHUAcgBuAGkAbgBnAC4AVgBFAEUAUgBHAF8ANgBfADQAXwAxAF8AMQBfAF8AMQBfAF8ATQBlAHQAaABhAG4AZQBFAG0AaQBzAHMAaQBvAG4AcwBGAHIAbwBtAEIAdQByAG4AaQBuAGcATwBmAEMAcgBvAHAAUgBlAHMAaQBkAHUAZQBzAF8ATABhAHQAZQB4AEUAcQB1AGEAdABpAG8AbgAiACwAIgBBAGcAUgBlAHMAaQBkAHUAZQBfAEUAcQB1AGEAdABpAG8AbgBzAF8ARgBpAGUAbABkAEIAdQByAG4AaQBuAGcALgBWAEUARQBSAEcAXwA2AF8ANABfADEAXwAxAF8AXwAxAF8AXwBNAGUAdABoAGEAbgBlAEUAbQBpAHMAcwBpAG8AbgBzAEYAcgBvAG0AQgB1AHIAbgBpAG4AZwBPAGYAQwByAG8AcABSAGUAcwBpAGQAdQBlAHMAXwBBAHIAZwB1AG0AZQBuAHQAcwAiACwAIgBBAGcAUgBlAHMAaQBkAHUAZQBfAEUAcQB1AGEAdABpAG8AbgBzAF8ARgBpAGUAbABkAEIAdQByAG4AaQBuAGcALgBWAEUARQBSAEcAXwA2AF8ANABfADEAXwAxAF8AXwAyAF8AXwBOAGkAdAByAG8AdQBzAE8AeABpAGQAZQBFAG0AaQBzAHMAaQBvAG4AcwBGAHIAbwBtAEIAdQByAG4AaQBuAGcATwBmAEMAcgBvAHAAUgBlAHMAaQBkAHUAZQBzACIALAAiAEEAZwBSAGUAcwBpAGQAdQBlAF8ARQBxAHUAYQB0AGkAbwBuAHMAXwBGAGkAZQBsAGQAQgB1AHIAbgBpAG4AZwAuAFYARQBFAFIARwBfADYAXwA0AF8AMQBfADEAXwBfADIAXwBfAE4AaQB0AHIAbwB1AHMATwB4AGkAZABlAEUAbQBpAHMAcwBpAG8AbgBzAEYAcgBvAG0AQgB1AHIAbgBpAG4AZwBPAGYAQwByAG8AcABSAGUAcwBpAGQAdQBlAHMAXwBGAHUAbgBjAHQAaQBvAG4ATgBhAG0AZQAiACwAIgBBAGcAUgBlAHMAaQBkAHUAZQBfAEUAcQB1AGEAdABpAG8AbgBzAF8ARgBpAGUAbABkAEIAdQByAG4AaQBuAGcALgBWAEUARQBSAEcAXwA2AF8ANABfADEAXwAxAF8AXwAyAF8AXwBOAGkAdAByAG8AdQBzAE8AeABpAGQAZQBFAG0AaQBzAHMAaQBvAG4AcwBGAHIAbwBtAEIAdQByAG4AaQBuAGcATwBmAEMAcgBvAHAAUgBlAHMAaQBkAHUAZQBzAF8AVABpAHQAbABlACIALAAiAEEAZwBSAGUAcwBpAGQAdQBlAF8ARQBxAHUAYQB0AGkAbwBuAHMAXwBGAGkAZQBsAGQAQgB1AHIAbgBpAG4AZwAuAFYARQBFAFIARwBfADYAXwA0AF8AMQBfADEAXwBfADIAXwBfAE4AaQB0AHIAbwB1AHMATwB4AGkAZABlAEUAbQBpAHMAcwBpAG8AbgBzAEYAcgBvAG0AQgB1AHIAbgBpAG4AZwBPAGYAQwByAG8AcABSAGUAcwBpAGQAdQBlAHMAXwBWAGEAcgBpAGEAYgBsAGUAIgAsACIAQQBnAFIAZQBzAGkAZAB1AGUAXwBFAHEAdQBhAHQAaQBvAG4AcwBfAEYAaQBlAGwAZABCAHUAcgBuAGkAbgBnAC4AVgBFAEUAUgBHAF8ANgBfADQAXwAxAF8AMQBfAF8AMgBfAF8ATgBpAHQAcgBvAHUAcwBPAHgAaQBkAGUARQBtAGkAcwBzAGkAbwBuAHMARgByAG8AbQBCAHUAcgBuAGkAbgBnAE8AZgBDAHIAbwBwAFIAZQBzAGkAZAB1AGUAcwBfAFUAbgBpAHQAIgAsACIAQQBnAFIAZQBzAGkAZAB1AGUAXwBFAHEAdQBhAHQAaQBvAG4AcwBfAEYAaQBlAGwAZABCAHUAcgBuAGkAbgBnAC4AVgBFAEUAUgBHAF8ANgBfADQAXwAxAF8AMQBfAF8AMgBfAF8ATgBpAHQAcgBvAHUAcwBPAHgAaQBkAGUARQBtAGkAcwBzAGkAbwBuAHMARgByAG8AbQBCAHUAcgBuAGkAbgBnAE8AZgBDAHIAbwBwAFIAZQBzAGkAZAB1AGUAcwBfAFMAbwB1AHIAYwBlACIALAAiAEEAZwBSAGUAcwBpAGQAdQBlAF8ARQBxAHUAYQB0AGkAbwBuAHMAXwBGAGkAZQBsAGQAQgB1AHIAbgBpAG4AZwAuAFYARQBFAFIARwBfADYAXwA0AF8AMQBfADEAXwBfADIAXwBfAE4AaQB0AHIAbwB1AHMATwB4AGkAZABlAEUAbQBpAHMAcwBpAG8AbgBzAEYAcgBvAG0AQgB1AHIAbgBpAG4AZwBPAGYAQwByAG8AcABSAGUAcwBpAGQAdQBlAHMAXwBOAEkAUgBSAGUAZgBlAHIAZQBuAGMAZQAiACwAIgBBAGcAUgBlAHMAaQBkAHUAZQBfAEUAcQB1AGEAdABpAG8AbgBzAF8ARgBpAGUAbABkAEIAdQByAG4AaQBuAGcALgBWAEUARQBSAEcAXwA2AF8ANABfADEAXwAxAF8AXwAyAF8AXwBOAGkAdAByAG8AdQBzAE8AeABpAGQAZQBFAG0AaQBzAHMAaQBvAG4AcwBGAHIAbwBtAEIAdQByAG4AaQBuAGcATwBmAEMAcgBvAHAAUgBlAHMAaQBkAHUAZQBzAF8ATABhAHQAZQB4AEUAcQB1AGEAdABpAG8AbgAiACwAIgBBAGcAUgBlAHMAaQBkAHUAZQBfAEUAcQB1AGEAdABpAG8AbgBzAF8ARgBpAGUAbABkAEIAdQByAG4AaQBuAGcALgBWAEUARQBSAEcAXwA2AF8ANABfADEAXwAxAF8AXwAyAF8AXwBOAGkAdAByAG8AdQBzAE8AeABpAGQAZQBFAG0AaQBzAHMAaQBvAG4AcwBGAHIAbwBtAEIAdQByAG4AaQBuAGcATwBmAEMAcgBvAHAAUgBlAHMAaQBkAHUAZQBzAF8AQQByAGcAdQBtAGUAbgB0AHMAIgAsACIAQQBnAFIAZQBzAGkAZAB1AGUAXwBFAHEAdQBhAHQAaQBvAG4AcwBfAEYAaQBlAGwAZABCAHUAcgBuAGkAbgBnAC4AVgBFAEUAUgBHAF8ANgBfADQAXwAxAF8AMQBfAF8AMwBfAF8ATQBhAHMAcwBPAGYAQwByAG8AcABSAGUAcwBpAGQAdQBlAEIAdQByAG4AdAAiACwAIgBBAGcAUgBlAHMAaQBkAHUAZQBfAEUAcQB1AGEAdABpAG8AbgBzAF8ARgBpAGUAbABkAEIAdQByAG4AaQBuAGcALgBWAEUARQBSAEcAXwA2AF8ANABfADEAXwAxAF8AXwAzAF8AXwBNAGEAcwBzAE8AZgBDAHIAbwBwAFIAZQBzAGkAZAB1AGUAQgB1AHIAbgB0AF8ARgB1AG4AYwB0AGkAbwBuAE4AYQBtAGUAIgAsACIAQQBnAFIAZQBzAGkAZAB1AGUAXwBFAHEAdQBhAHQAaQBvAG4AcwBfAEYAaQBlAGwAZABCAHUAcgBuAGkAbgBnAC4AVgBFAEUAUgBHAF8ANgBfADQAXwAxAF8AMQBfAF8AMwBfAF8ATQBhAHMAcwBPAGYAQwByAG8AcABSAGUAcwBpAGQAdQBlAEIAdQByAG4AdABfAFQAaQB0AGwAZQAiACwAIgBBAGcAUgBlAHMAaQBkAHUAZQBfAEUAcQB1AGEAdABpAG8AbgBzAF8ARgBpAGUAbABkAEIAdQByAG4AaQBuAGcALgBWAEUARQBSAEcAXwA2AF8ANABfADEAXwAxAF8AXwAzAF8AXwBNAGEAcwBzAE8AZgBDAHIAbwBwAFIAZQBzAGkAZAB1AGUAQgB1AHIAbgB0AF8AVgBhAHIAaQBhAGIAbABlACIALAAiAEEAZwBSAGUAcwBpAGQAdQBlAF8ARQBxAHUAYQB0AGkAbwBuAHMAXwBGAGkAZQBsAGQAQgB1AHIAbgBpAG4AZwAuAFYARQBFAFIARwBfADYAXwA0AF8AMQBfADEAXwBfADMAXwBfAE0AYQBzAHMATwBmAEMAcgBvAHAAUgBlAHMAaQBkAHUAZQBCAHUAcgBuAHQAXwBVAG4AaQB0ACIALAAiAEEAZwBSAGUAcwBpAGQAdQBlAF8ARQBxAHUAYQB0AGkAbwBuAHMAXwBGAGkAZQBsAGQAQgB1AHIAbgBpAG4AZwAuAFYARQBFAFIARwBfADYAXwA0AF8AMQBfADEAXwBfADMAXwBfAE0AYQBzAHMATwBmAEMAcgBvAHAAUgBlAHMAaQBkAHUAZQBCAHUAcgBuAHQAXwBTAG8AdQByAGMAZQAiACwAIgBBAGcAUgBlAHMAaQBkAHUAZQBfAEUAcQB1AGEAdABpAG8AbgBzAF8ARgBpAGUAbABkAEIAdQByAG4AaQBuAGcALgBWAEUARQBSAEcAXwA2AF8ANABfADEAXwAxAF8AXwAzAF8AXwBNAGEAcwBzAE8AZgBDAHIAbwBwAFIAZQBzAGkAZAB1AGUAQgB1AHIAbgB0AF8ATgBJAFIAUgBlAGYAZQByAGUAbgBjAGUAIgAsACIAQQBnAFIAZQBzAGkAZAB1AGUAXwBFAHEAdQBhAHQAaQBvAG4AcwBfAEYAaQBlAGwAZABCAHUAcgBuAGkAbgBnAC4AVgBFAEUAUgBHAF8ANgBfADQAXwAxAF8AMQBfAF8AMwBfAF8ATQBhAHMAcwBPAGYAQwByAG8AcABSAGUAcwBpAGQAdQBlAEIAdQByAG4AdABfAEwAYQB0AGUAeABFAHEAdQBhAHQAaQBvAG4AIgAsACIAQQBnAFIAZQBzAGkAZAB1AGUAXwBFAHEAdQBhAHQAaQBvAG4AcwBfAEYAaQBlAGwAZABCAHUAcgBuAGkAbgBnAC4AVgBFAEUAUgBHAF8ANgBfADQAXwAxAF8AMQBfAF8AMwBfAF8ATQBhAHMAcwBPAGYAQwByAG8AcABSAGUAcwBpAGQAdQBlAEIAdQByAG4AdABfAEEAcgBnAHUAbQBlAG4AdABzACIALAAiAEEAZwBSAGUAcwBpAGQAdQBlAF8ARQBxAHUAYQB0AGkAbwBuAHMAXwBMAGUAYQBjAGgAaQBuAGcALgBWAEUARQBSAEcAXwA2AF8AMwBfADEAXwAxAF8AXwAxAF8AXwBMAGUAYQBjAGgAaQBuAGcAQQBuAGQAUgB1AG4AbwBmAGYARQBtAGkAcwBzAGkAbwBuAHMAQwByAG8AcABBAG4AZABQAGEAcwB0AHUAcgBlAFIAZQBzAGkAZAB1AGUAIgAsACIAQQBnAFIAZQBzAGkAZAB1AGUAXwBFAHEAdQBhAHQAaQBvAG4AcwBfAEwAZQBhAGMAaABpAG4AZwAuAFYARQBFAFIARwBfADYAXwAzAF8AMQBfADEAXwBfADEAXwBfAEwAZQBhAGMAaABpAG4AZwBBAG4AZABSAHUAbgBvAGYAZgBFAG0AaQBzAHMAaQBvAG4AcwBDAHIAbwBwAEEAbgBkAFAAYQBzAHQAdQByAGUAUgBlAHMAaQBkAHUAZQBfAFQAaQB0AGwAZQAiACwAIgBBAGcAUgBlAHMAaQBkAHUAZQBfAEUAcQB1AGEAdABpAG8AbgBzAF8ATABlAGEAYwBoAGkAbgBnAC4AVgBFAEUAUgBHAF8ANgBfADMAXwAxAF8AMQBfAF8AMQBfAF8ATABlAGEAYwBoAGkAbgBnAEEAbgBkAFIAdQBuAG8AZgBmAEUAbQBpAHMAcwBpAG8AbgBzAEMAcgBvAHAAQQBuAGQAUABhAHMAdAB1AHIAZQBSAGUAcwBpAGQAdQBlAF8AVgBhAHIAaQBhAGIAbABlACIALAAiAEEAZwBSAGUAcwBpAGQAdQBlAF8ARQBxAHUAYQB0AGkAbwBuAHMAXwBMAGUAYQBjAGgAaQBuAGcALgBWAEUARQBSAEcAXwA2AF8AMwBfADEAXwAxAF8AXwAxAF8AXwBMAGUAYQBjAGgAaQBuAGcAQQBuAGQAUgB1AG4AbwBmAGYARQBtAGkAcwBzAGkAbwBuAHMAQwByAG8AcABBAG4AZABQAGEAcwB0AHUAcgBlAFIAZQBzAGkAZAB1AGUAXwBVAG4AaQB0ACIALAAiAEEAZwBSAGUAcwBpAGQAdQBlAF8ARQBxAHUAYQB0AGkAbwBuAHMAXwBMAGUAYQBjAGgAaQBuAGcALgBWAEUARQBSAEcAXwA2AF8AMwBfADEAXwAxAF8AXwAxAF8AXwBMAGUAYQBjAGgAaQBuAGcAQQBuAGQAUgB1AG4AbwBmAGYARQBtAGkAcwBzAGkAbwBuAHMAQwByAG8AcABBAG4AZABQAGEAcwB0AHUAcgBlAFIAZQBzAGkAZAB1AGUAXwBTAG8AdQByAGMAZQAiACwAIgBBAGcAUgBlAHMAaQBkAHUAZQBfAEUAcQB1AGEAdABpAG8AbgBzAF8ATABlAGEAYwBoAGkAbgBnAC4AVgBFAEUAUgBHAF8ANgBfADMAXwAxAF8AMQBfAF8AMQBfAF8ATABlAGEAYwBoAGkAbgBnAEEAbgBkAFIAdQBuAG8AZgBmAEUAbQBpAHMAcwBpAG8AbgBzAEMAcgBvAHAAQQBuAGQAUABhAHMAdAB1AHIAZQBSAGUAcwBpAGQAdQBlAF8ATgBJAFIAUgBlAGYAZQByAGUAbgBjAGUAIgAsACIAQQBnAFIAZQBzAGkAZAB1AGUAXwBFAHEAdQBhAHQAaQBvAG4AcwBfAEwAZQBhAGMAaABpAG4AZwAuAFYARQBFAFIARwBfADYAXwAzAF8AMQBfADEAXwBfADEAXwBfAEwAZQBhAGMAaABpAG4AZwBBAG4AZABSAHUAbgBvAGYAZgBFAG0AaQBzAHMAaQBvAG4AcwBDAHIAbwBwAEEAbgBkAFAAYQBzAHQAdQByAGUAUgBlAHMAaQBkAHUAZQBfAEwAYQB0AGUAeABFAHEAdQBhAHQAaQBvAG4AIgAsACIAQQBnAFIAZQBzAGkAZAB1AGUAXwBFAHEAdQBhAHQAaQBvAG4AcwBfAEwAZQBhAGMAaABpAG4AZwAuAFYARQBFAFIARwBfADYAXwAzAF8AMQBfADEAXwBfADEAXwBfAEwAZQBhAGMAaABpAG4AZwBBAG4AZABSAHUAbgBvAGYAZgBFAG0AaQBzAHMAaQBvAG4AcwBDAHIAbwBwAEEAbgBkAFAAYQBzAHQAdQByAGUAUgBlAHMAaQBkAHUAZQBfAEEAcgBnAHUAbQBlAG4AdABzACIALAAiAEEAZwBSAGUAcwBpAGQAdQBlAF8ARQBxAHUAYQB0AGkAbwBuAHMAXwBMAGUAYQBjAGgAaQBuAGcALgBWAEUARQBSAEcAXwA2AF8AMwBfADEAXwAxAF8AXwAyAF8AXwBNAGEAcwBzAE8AZgBOAGkAdAByAG8AZwBlAG4ATABvAHMAdABUAGgAcgBvAHUAZwBoAEwAZQBhAGMAaABpAG4AZwBBAG4AZABSAHUAbgBvAGYAZgAiACwAIgBBAGcAUgBlAHMAaQBkAHUAZQBfAEUAcQB1AGEAdABpAG8AbgBzAF8ATABlAGEAYwBoAGkAbgBnAC4AVgBFAEUAUgBHAF8ANgBfADMAXwAxAF8AMQBfAF8AMgBfAF8ATQBhAHMAcwBPAGYATgBpAHQAcgBvAGcAZQBuAEwAbwBzAHQAVABoAHIAbwB1AGcAaABMAGUAYQBjAGgAaQBuAGcAQQBuAGQAUgB1AG4AbwBmAGYAXwBUAGkAdABsAGUAIgAsACIAQQBnAFIAZQBzAGkAZAB1AGUAXwBFAHEAdQBhAHQAaQBvAG4AcwBfAEwAZQBhAGMAaABpAG4AZwAuAFYARQBFAFIARwBfADYAXwAzAF8AMQBfADEAXwBfADIAXwBfAE0AYQBzAHMATwBmAE4AaQB0AHIAbwBnAGUAbgBMAG8AcwB0AFQAaAByAG8AdQBnAGgATABlAGEAYwBoAGkAbgBnAEEAbgBkAFIAdQBuAG8AZgBmAF8AVgBhAHIAaQBhAGIAbABlACIALAAiAEEAZwBSAGUAcwBpAGQAdQBlAF8ARQBxAHUAYQB0AGkAbwBuAHMAXwBMAGUAYQBjAGgAaQBuAGcALgBWAEUARQBSAEcAXwA2AF8AMwBfADEAXwAxAF8AXwAyAF8AXwBNAGEAcwBzAE8AZgBOAGkAdAByAG8AZwBlAG4ATABvAHMAdABUAGgAcgBvAHUAZwBoAEwAZQBhAGMAaABpAG4AZwBBAG4AZABSAHUAbgBvAGYAZgBfAFUAbgBpAHQAIgAsACIAQQBnAFIAZQBzAGkAZAB1AGUAXwBFAHEAdQBhAHQAaQBvAG4AcwBfAEwAZQBhAGMAaABpAG4AZwAuAFYARQBFAFIARwBfADYAXwAzAF8AMQBfADEAXwBfADIAXwBfAE0AYQBzAHMATwBmAE4AaQB0AHIAbwBnAGUAbgBMAG8AcwB0AFQAaAByAG8AdQBnAGgATABlAGEAYwBoAGkAbgBnAEEAbgBkAFIAdQBuAG8AZgBmAF8AUwBvAHUAcgBjAGUAIgAsACIAQQBnAFIAZQBzAGkAZAB1AGUAXwBFAHEAdQBhAHQAaQBvAG4AcwBfAEwAZQBhAGMAaABpAG4AZwAuAFYARQBFAFIARwBfADYAXwAzAF8AMQBfADEAXwBfADIAXwBfAE0AYQBzAHMATwBmAE4AaQB0AHIAbwBnAGUAbgBMAG8AcwB0AFQAaAByAG8AdQBnAGgATABlAGEAYwBoAGkAbgBnAEEAbgBkAFIAdQBuAG8AZgBmAF8ATgBJAFIAUgBlAGYAZQByAGUAbgBjAGUAIgAsACIAQQBnAFIAZQBzAGkAZAB1AGUAXwBFAHEAdQBhAHQAaQBvAG4AcwBfAEwAZQBhAGMAaABpAG4AZwAuAFYARQBFAFIARwBfADYAXwAzAF8AMQBfADEAXwBfADIAXwBfAE0AYQBzAHMATwBmAE4AaQB0AHIAbwBnAGUAbgBMAG8AcwB0AFQAaAByAG8AdQBnAGgATABlAGEAYwBoAGkAbgBnAEEAbgBkAFIAdQBuAG8AZgBmAF8ATABhAHQAZQB4AEUAcQB1AGEAdABpAG8AbgAiACwAIgBBAGcAUgBlAHMAaQBkAHUAZQBfAEUAcQB1AGEAdABpAG8AbgBzAF8ATABlAGEAYwBoAGkAbgBnAC4AVgBFAEUAUgBHAF8ANgBfADMAXwAxAF8AMQBfAF8AMgBfAF8ATQBhAHMAcwBPAGYATgBpAHQAcgBvAGcAZQBuAEwAbwBzAHQAVABoAHIAbwB1AGcAaABMAGUAYQBjAGgAaQBuAGcAQQBuAGQAUgB1AG4AbwBmAGYAXwBBAHIAZwB1AG0AZQBuAHQAcwAiACwAIgBBAGcAUgBlAHMAaQBkAHUAZQBfAEUAcQB1AGEAdABpAG8AbgBzAF8ATABlAGEAYwBoAGkAbgBnAC4AVgBFAEUAUgBHAF8ANgBfADMAXwAxAF8AMQBfAF8AMgBfAF8ATQBhAHMAcwBPAGYATgBpAHQAcgBvAGcAZQBuAEwAbwBzAHQAVABoAHIAbwB1AGcAaABMAGUAYQBjAGgAaQBuAGcAQQBuAGQAUgB1AG4AbwBmAGYAXwBWAGEAcgBpAGEAdABpAG8AbgAiACwAIgBBAGcAUgBlAHMAaQBkAHUAZQBfAEUAcQB1AGEAdABpAG8AbgBzAF8AUABhAHMAdAB1AHIAZQBSAGUAcwBpAGQAdQBlAC4AVgBFAEUAUgBHAF8ANgBfADIAXwAxAF8AMQBfAF8AMQBfAF8ATgBpAHQAcgBvAHUAcwBPAHgAaQBkAGUARQBtAGkAcwBzAGkAbwBuAHMARgByAG8AbQBQAGEAcwB0AHUAcgBlAFIAZQBzAGkAZAB1AGUAcwAiACwAIgBBAGcAUgBlAHMAaQBkAHUAZQBfAEUAcQB1AGEAdABpAG8AbgBzAF8AUABhAHMAdAB1AHIAZQBSAGUAcwBpAGQAdQBlAC4AVgBFAEUAUgBHAF8ANgBfADIAXwAxAF8AMQBfAF8AMQBfAF8ATgBpAHQAcgBvAHUAcwBPAHgAaQBkAGUARQBtAGkAcwBzAGkAbwBuAHMARgByAG8AbQBQAGEAcwB0AHUAcgBlAFIAZQBzAGkAZAB1AGUAcwBfAFQAaQB0AGwAZQAiACwAIgBBAGcAUgBlAHMAaQBkAHUAZQBfAEUAcQB1AGEAdABpAG8AbgBzAF8AUABhAHMAdAB1AHIAZQBSAGUAcwBpAGQAdQBlAC4AVgBFAEUAUgBHAF8ANgBfADIAXwAxAF8AMQBfAF8AMQBfAF8ATgBpAHQAcgBvAHUAcwBPAHgAaQBkAGUARQBtAGkAcwBzAGkAbwBuAHMARgByAG8AbQBQAGEAcwB0AHUAcgBlAFIAZQBzAGkAZAB1AGUAcwBfAFYAYQByAGkAYQBiAGwAZQAiACwAIgBBAGcAUgBlAHMAaQBkAHUAZQBfAEUAcQB1AGEAdABpAG8AbgBzAF8AUABhAHMAdAB1AHIAZQBSAGUAcwBpAGQAdQBlAC4AVgBFAEUAUgBHAF8ANgBfADIAXwAxAF8AMQBfAF8AMQBfAF8ATgBpAHQAcgBvAHUAcwBPAHgAaQBkAGUARQBtAGkAcwBzAGkAbwBuAHMARgByAG8AbQBQAGEAcwB0AHUAcgBlAFIAZQBzAGkAZAB1AGUAcwBfAFUAbgBpAHQAIgAsACIAQQBnAFIAZQBzAGkAZAB1AGUAXwBFAHEAdQBhAHQAaQBvAG4AcwBfAFAAYQBzAHQAdQByAGUAUgBlAHMAaQBkAHUAZQAuAFYARQBFAFIARwBfADYAXwAyAF8AMQBfADEAXwBfADEAXwBfAE4AaQB0AHIAbwB1AHMATwB4AGkAZABlAEUAbQBpAHMAcwBpAG8AbgBzAEYAcgBvAG0AUABhAHMAdAB1AHIAZQBSAGUAcwBpAGQAdQBlAHMAXwBTAG8AdQByAGMAZQAiACwAIgBBAGcAUgBlAHMAaQBkAHUAZQBfAEUAcQB1AGEAdABpAG8AbgBzAF8AUABhAHMAdAB1AHIAZQBSAGUAcwBpAGQAdQBlAC4AVgBFAEUAUgBHAF8ANgBfADIAXwAxAF8AMQBfAF8AMQBfAF8ATgBpAHQAcgBvAHUAcwBPAHgAaQBkAGUARQBtAGkAcwBzAGkAbwBuAHMARgByAG8AbQBQAGEAcwB0AHUAcgBlAFIAZQBzAGkAZAB1AGUAcwBfAE4ASQBSAFIAZQBmAGUAcgBlAG4AYwBlACIALAAiAEEAZwBSAGUAcwBpAGQAdQBlAF8ARQBxAHUAYQB0AGkAbwBuAHMAXwBQAGEAcwB0AHUAcgBlAFIAZQBzAGkAZAB1AGUALgBWAEUARQBSAEcAXwA2AF8AMgBfADEAXwAxAF8AXwAxAF8AXwBOAGkAdAByAG8AdQBzAE8AeABpAGQAZQBFAG0AaQBzAHMAaQBvAG4AcwBGAHIAbwBtAFAAYQBzAHQAdQByAGUAUgBlAHMAaQBkAHUAZQBzAF8ATABhAHQAZQB4AEUAcQB1AGEAdABpAG8AbgAiACwAIgBBAGcAUgBlAHMAaQBkAHUAZQBfAEUAcQB1AGEAdABpAG8AbgBzAF8AUABhAHMAdAB1AHIAZQBSAGUAcwBpAGQAdQBlAC4AVgBFAEUAUgBHAF8ANgBfADIAXwAxAF8AMQBfAF8AMQBfAF8ATgBpAHQAcgBvAHUAcwBPAHgAaQBkAGUARQBtAGkAcwBzAGkAbwBuAHMARgByAG8AbQ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CIALAAiAEEAZwBSAGUAcwBpAGQAdQBlAF8ARQBxAHUAYQB0AGkAbwBuAHMAXwBQAGEAcwB0AHUAcgBlAFIAZQBzAGkAZAB1AGUALgBWAEUARQBSAEcAXwA2AF8AMgBfADEAXwAxAF8AXwAyAF8AXwBNAGEAcwBzAE8AZgBOAGkAdAByAG8AZwBlAG4ASQBuAFAAYQBzAHQAdQByAGUAUgBlAHMAaQBkAHUAZQBzAF8AVABpAHQAbABlACIALAAiAEEAZwBSAGUAcwBpAGQAdQBlAF8ARQBxAHUAYQB0AGkAbwBuAHMAXwBQAGEAcwB0AHUAcgBlAFIAZQBzAGkAZAB1AGUALgBWAEUARQBSAEcAXwA2AF8AMgBfADEAXwAxAF8AXwAyAF8AXwBNAGEAcwBzAE8AZgBOAGkAdAByAG8AZwBlAG4ASQBuAFAAYQBzAHQAdQByAGUAUgBlAHMAaQBkAHUAZQBzAF8AVgBhAHIAaQBhAGIAbABlACIALAAiAEEAZwBSAGUAcwBpAGQAdQBlAF8ARQBxAHUAYQB0AGkAbwBuAHMAXwBQAGEAcwB0AHUAcgBlAFIAZQBzAGkAZAB1AGUALgBWAEUARQBSAEcAXwA2AF8AMgBfADEAXwAxAF8AXwAyAF8AXwBNAGEAcwBzAE8AZgBOAGkAdAByAG8AZwBlAG4ASQBuAFAAYQBzAHQAdQByAGUAUgBlAHMAaQBkAHUAZQBzAF8AVQBuAGkAdAAiACwAIgBBAGcAUgBlAHMAaQBkAHUAZQBfAEUAcQB1AGEAdABpAG8AbgBzAF8AUABhAHMAdAB1AHIAZQBSAGUAcwBpAGQAdQBlAC4AVgBFAEUAUgBHAF8ANgBfADIAXwAxAF8AMQBfAF8AMgBfAF8ATQBhAHMAcwBPAGYATgBpAHQAcgBvAGcAZQBuAEkAbgBQAGEAcwB0AHUAcgBlAFIAZQBzAGkAZAB1AGUAcwBfAFMAbwB1AHIAYwBlACIALAAiAEEAZwBSAGUAcwBpAGQAdQBlAF8ARQBxAHUAYQB0AGkAbwBuAHMAXwBQAGEAcwB0AHUAcgBlAFIAZQBzAGkAZAB1AGUALgBWAEUARQBSAEcAXwA2AF8AMgBfADEAXwAxAF8AXwAyAF8AXwBNAGEAcwBzAE8AZgBOAGkAdAByAG8AZwBlAG4ASQBuAFAAYQBzAHQAdQByAGUAUgBlAHMAaQBkAHUAZQBzAF8ATgBJAFIAUgBlAGYAZQByAGUAbgBjAGUAIgAsACIAQQBnAFIAZQBzAGkAZAB1AGUAXwBFAHEAdQBhAHQAaQBvAG4AcwBfAFAAYQBzAHQAdQByAGUAUgBlAHMAaQBkAHUAZQAuAFYARQBFAFIARwBfADYAXwAyAF8AMQBfADEAXwBfADIAXwBfAE0AYQBzAHMATwBmAE4AaQB0AHIAbwBnAGUAbgBJAG4AUABhAHMAdAB1AHIAZQBSAGUAcwBpAGQAdQBlAHMAXwBMAGEAdABlAHgARQBxAHUAYQB0AGkAbwBuACIALAAiAEEAZwBSAGUAcwBpAGQAdQBlAF8ARQBxAHUAYQB0AGkAbwBuAHMAXwBQAGEAcwB0AHUAcgBlAFIAZQBzAGkAZAB1AGUALgBWAEUARQBSAEcAXwA2AF8AMgBfADEAXwAxAF8AXwAyAF8AXwBNAGEAcwBzAE8AZgBOAGkAdAByAG8AZwBlAG4ASQBuAFAAYQBzAHQAdQByAGUAUgBlAHMAaQBkAHUAZQBzAF8AQQByAGcAdQBtAGUAbgB0AHMAIgAsACIAQQBnAFIAZQBzAGkAZAB1AGUAXwBFAHEAdQBhAHQAaQBvAG4AcwBfAFAAYQBzAHQAdQByAGUAUgBlAHMAaQBkAHUAZQAuAFYARQBFAFIARwBfADYAXwAyAF8AMQBfADEAXwBfADIAXwBfAE0AYQBzAHMATwBmAE4AaQB0AHIAbwBnAGUAbgBJAG4AUABhAHMAdAB1AHIAZQBSAGUAcwBpAGQAdQBlAHMAXwBBAHIAZwB1AG0AZQBuAHQAcwBfAE0AZQB0AGgAbwBkADI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6.4.1.1-2 Residue burning</vt:lpstr>
      <vt:lpstr>Constants - Ag Residue</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2026-06-15T04:44:48Z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