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F195123F-0D68-4ADE-BF7D-57265A3F51DC}" xr6:coauthVersionLast="47" xr6:coauthVersionMax="47" xr10:uidLastSave="{00000000-0000-0000-0000-000000000000}"/>
  <bookViews>
    <workbookView xWindow="1560" yWindow="1560" windowWidth="21600" windowHeight="12645" firstSheet="2" activeTab="2" xr2:uid="{992023F3-CAB7-4E5B-A348-08D563A0EF40}"/>
  </bookViews>
  <sheets>
    <sheet name="Home" sheetId="71" r:id="rId1"/>
    <sheet name="Overview" sheetId="118" r:id="rId2"/>
    <sheet name="Results" sheetId="13" r:id="rId3"/>
    <sheet name="Input - Refrigerants" sheetId="70" r:id="rId4"/>
    <sheet name="9.1.1.1-2 Refrigerant use" sheetId="69" r:id="rId5"/>
    <sheet name="Constants - Refrigerants" sheetId="110" r:id="rId6"/>
    <sheet name="Constants - Common" sheetId="119" r:id="rId7"/>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Equations.VEERG_8_X_FuelCombustionGeneric">_xlfn.LAMBDA(_xlpm.Q_GCq,_xlpm.EC_GCq,_xlpm.EF_GC1qg, Fuel_Equations.VEERG_8_FuelCombustion(_xlpm.Q_GCq, _xlpm.EC_GCq, _xlpm.EF_GC1qg))</definedName>
    <definedName name="Fuel_Equations.VEERG_8_X_FuelCombustionGeneric_Arguments">_xlfn.LAMBDA(_xlfn.MAKEARRAY(7, 4, _xlfn.LAMBDA(_xlpm.r,_xlpm.c, INDEX({"Q_GCq","Amount of fuel type q used for generic combustion operations","Varies based on fuel type: kL, m3, GJ","Input";"EC_GCq","Energy content factor for generic combustion operations","GJ / unit of fuel","Constant";"EF_GC1qg","Scope 1 emission factor for generic combustion for each greenhouse gas","kg CO2e / GJ","Constant";"q","Fuel type","","Constant";"GC","Generic combustion","","Constant";"g","Greenhouse gas","","Constant";"1","Scope 1","","Constant"}, _xlpm.r, _xlpm.c))))</definedName>
    <definedName name="Fuel_Equations.VEERG_8_X_FuelCombustionGeneric_LatexEquation">_xlfn.LAMBDA("E_g=\sum\nolimits_t \sum\nolimits_q\left(Q_{GC,q}\times EC_{GC,q}\times EF_{GC,1,qg}\right)\times 10^{-3}")</definedName>
    <definedName name="Fuel_Equations.VEERG_8_X_FuelCombustionGeneric_NIRReference">_xlfn.LAMBDA("Australian National Greenhouse Accounts Factors 2025 - 2.2 Estimating emissions from generic energy sources - Calculating emissions from generic combustion of liquid fuels and 2.3 Estimating emissions from transport fuels")</definedName>
    <definedName name="Fuel_Equations.VEERG_8_X_FuelCombustionGeneric_Source">_xlfn.LAMBDA("Uses VEERG 2026: 8.1.1.1, Equation (1), 8.2.1.1, Equation (1) and everages the Australian National Greenhouse Accounts Factors 2025 for transport and stationary fuel combustion")</definedName>
    <definedName name="Fuel_Equations.VEERG_8_X_FuelCombustionGeneric_Title">_xlfn.LAMBDA("Emissions for each GHG from the generic combustion of fuels")</definedName>
    <definedName name="Fuel_Equations.VEERG_8_X_FuelCombustionGeneric_Unit">_xlfn.LAMBDA("t CO2-e")</definedName>
    <definedName name="Fuel_Equations.VEERG_8_X_FuelCombustionGeneric_Variable">_xlfn.LAMBDA("E_g")</definedName>
    <definedName name="Fuel_Equations.VEERG_8_X_FuelCombustionGeneric_Variation">_xlfn.LAMBDA("VARIATION ON SOURCE: This calculation uses averages of transport and stationary emission factors for fuel combustion where the usage is not known.")</definedName>
    <definedName name="Fuel_InputFunctions.Fuel_GetStationaryFuelString">_xlfn.LAMBDA(_xlpm.Cell, RIGHT(_xlpm.Cell, LEN(_xlpm.Cell) - FIND(", ", _xlpm.Cell) - 1))</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Refrigerants_Equations.VEERG_9_1_1__1_RefrigerantLeaking">_xlfn.LAMBDA(_xlpm.charge_Ra,_xlpm.leakagerate_a, (_xlpm.charge_Ra * (_xlpm.leakagerate_a / 100)) * 10 ^ -3)</definedName>
    <definedName name="Refrigerants_Equations.VEERG_9_1_1__1_RefrigerantLeaking_Arguments">_xlfn.LAMBDA(_xlfn.MAKEARRAY(4, 4, _xlfn.LAMBDA(_xlpm.r,_xlpm.c, INDEX({"charge_Ra","Amount of refrigerant R contained in appliance a","kg","Input";"leakagerate_a","Prcentage of total charge leaked from appliance a each year","Percent","Constant";"a","Appliance type","","Input";"R","Refrigerant","","Input"}, _xlpm.r, _xlpm.c))))</definedName>
    <definedName name="Refrigerants_Equations.VEERG_9_1_1__1_RefrigerantLeaking_LatexEquation">_xlfn.LAMBDA("E_R = \sum\nolimits_a \left( charge_{Ra} \times \frac{leakage\,rate_a}{100} \right) \times 10^{-3}")</definedName>
    <definedName name="Refrigerants_Equations.VEERG_9_1_1__1_RefrigerantLeaking_ReadableEquation">_xlfn.LAMBDA("charge_Ra * (leakagerate_a/100) * 10 ^ - 3")</definedName>
    <definedName name="Refrigerants_Equations.VEERG_9_1_1__1_RefrigerantLeaking_Source">_xlfn.LAMBDA("VEERG 2026: 9.1.1, Equation (1)")</definedName>
    <definedName name="Refrigerants_Equations.VEERG_9_1_1__1_RefrigerantLeaking_Title">_xlfn.LAMBDA("The total emissions of refrigerant leaking during operation (not during installation or disposal)")</definedName>
    <definedName name="Refrigerants_Equations.VEERG_9_1_1__1_RefrigerantLeaking_Unit">_xlfn.LAMBDA("t refrigerant gas")</definedName>
    <definedName name="Refrigerants_Equations.VEERG_9_1_1__1_RefrigerantLeaking_Variable">_xlfn.LAMBDA("E_R")</definedName>
    <definedName name="Refrigerants_Equations.VEERG_9_1_1__1_RefrigerantLeaking_Variation">_xlfn.LAMBDA("VARIATION ON SOURCE: Added equation to convert refrigerant R to CO2-e using the refrigerant's global warming potential (GWP).")</definedName>
    <definedName name="Refrigerants_Equations.VEERG_9_1_1__1_RefrigerantLeakingGWP">_xlfn.LAMBDA(_xlpm.E_R,_xlpm.GWP_R, ((_xlpm.E_R * 10 ^ 3) * _xlpm.GWP_R) * 10 ^ -3)</definedName>
    <definedName name="Refrigerants_Equations.VEERG_9_1_1__1_RefrigerantLeakingGWP_Arguments">_xlfn.LAMBDA(_xlfn.MAKEARRAY(2, 4, _xlfn.LAMBDA(_xlpm.r,_xlpm.c, INDEX({"E_R","Total emissions of refrigerant R","t refrigerant gas","Calculated from 9.1.1 (1)";"GWP_R","Global warming potential of refrigerant R","Dimensionless","Constant"}, _xlpm.r, _xlpm.c))))</definedName>
    <definedName name="Refrigerants_Equations.VEERG_9_1_1__1_RefrigerantLeakingGWP_LatexEquation">_xlfn.LAMBDA("E_CO2e = \left(E_R \times 10^{3} \right) \times GWP_R \times 10^{-3}")</definedName>
    <definedName name="Refrigerants_Equations.VEERG_9_1_1__1_RefrigerantLeakingGWP_Source">_xlfn.LAMBDA("Australian National Greenhouse Accounts Factors 2025 - 3.1 Estimating industrial processes emissions - Refrigerant leakage")</definedName>
    <definedName name="Refrigerants_Equations.VEERG_9_1_1__1_RefrigerantLeakingGWP_Title">_xlfn.LAMBDA("Refrigerant leakage emissions converted to CO2-e")</definedName>
    <definedName name="Refrigerants_Equations.VEERG_9_1_1__1_RefrigerantLeakingGWP_Unit">_xlfn.LAMBDA("t CO2-e")</definedName>
    <definedName name="Refrigerants_Equations.VEERG_9_1_1__1_RefrigerantLeakingGWP_Variable">_xlfn.LAMBDA("E_CO2e")</definedName>
    <definedName name="Refrigerants_InputFunctions.Refrigerants_CalculateBlendGWP">_xlfn.LAMBDA(_xlpm.ConstituentFaction1,_xlpm.ConstituentGWP1,_xlpm.ConstituentFaction2,_xlpm.ConstituentGWP2,_xlpm.ConstituentFaction3,_xlpm.ConstituentGWP3,_xlpm.ConstituentFaction4,_xlpm.ConstituentGWP4, (_xlpm.ConstituentFaction1 * _xlpm.ConstituentGWP1) + (_xlpm.ConstituentFaction2 * _xlpm.ConstituentGWP2) + (_xlpm.ConstituentFaction3 * _xlpm.ConstituentGWP3) + (_xlpm.ConstituentFaction4 * _xlpm.ConstituentGWP4))</definedName>
    <definedName name="Refrigerants_SourceData.Refrigerants_ChemicalBlends_Data">_xlfn.LAMBDA(_xlfn.MAKEARRAY(51, 3, _xlfn.LAMBDA(_xlpm.r,_xlpm.c, INDEX({"Blend","Constituents","Composition (%)";"R-400","CFC-12/CFC-114","R-400 can have various proportions of CFC-12 and CFC-114. The exact composition needs to be specified, e.g., R-400 (60/40).";"R-401A","HCFC-22/HFC-152a/HCFC-124","(53.0/13.0/34.0)";"R-401B","HCFC-22/HFC-152a/HCFC-124","(61.0/11.0/28.0)";"R-401C","HCFC-22/HFC-152a/HCFC-124","(33.0/15.0/52.0)";"R-402A","HFC-125/HC-290/HCFC-22","(60.0/2.0/38.0)";"R-402B","HFC-125/HC-290/HCFC-22","(38.0/2.0/60.0)";"R-403A","HC-290/HCFC-22/PFC-218","(5.0/75.0/20.0)";"R-403B","HC-290/HCFC-22/PFC-218","(5.0/56.0/39.0)";"R-404A","HFC-125/HFC-143a/HFC-134a","(44.0/52.0/4.0)";"R-405A","HCFC-22/ HFC-152a/HCFC-142b/PFC-318","(45.0/7.0/5.5/42.5)";"R-406A","HCFC-22/HC-600a/HCFC-142b","(55.0/14.0/41.0)";"R-407A","HFC-32/HFC-125/HFC-134a","(20.0/40.0/40.0)";"R-407B","HFC-32/HFC-125/HFC-134a","(10.0/70.0/20.0)";"R-407C","HFC-32/HFC-125/HFC-134a","(23.0/25.0/52.0)";"R-407D","HFC-32/HFC-125/HFC-134a","(15.0/15.0/70.0)";"R-407E","HFC-32/HFC-125/HFC-134a","(25.0/15.0/60.0)";"R-408A","HFC-125/HFC-143a/HCFC-22","(7.0/46.0/47.0)";"R-409A","HCFC-22/HCFC-124/HCFC-142b","(60.0/25.0/15.0)";"R-409B","HCFC-22/HCFC-124/HCFC-142b","(65.0/25.0/10.0)";"R-410A","HFC-32/HFC-125","(50.0/50.0)";"R-410B","HFC-32/HFC-125","(45.0/55.0)";"R-411A","HC-1270/HCFC-22/HFC-152a","(1.5/87.5/11.0)";"R-411B","HC-1270/HCFC-22/HFC-152a","(3.0/94.0/3.0)";"R-411C","HC-1270/HCFC-22/HFC-152a","(3.0/95.5/1.5)";"R-412A","HCFC-22/PFC-218/HCFC-142b","(70.0/5.0/25.0)";"R-413A","PFC-218/HFC-134a/HC-600a","(9.0/88.0/3.0)";"R-414A","HCFC-22/HCFC-124/HC-600a/HCFC-142b","(51.0/28.5/4.0/16.5)";"R-414B","HCFC-22/HCFC-124/HC-600a/HCFC-142b","(50.0/39.0/1.5/9.5)";"R-415A","HCFC-22/HFC-152a","(82.0/18.0)";"R-415B","HCFC-22/HFC-152a","(25.0/75.0)";"R-416A","HFC-134a/HCFC-124/HC-600","(59.0/39.5/1.5)";"R-417A","HFC-125/HFC-134a/HC-600","(46.6/50.0/3.4)";"R-418A","HC-290/HCFC-22/HFC-152a","(1.5/96.0/2.5)";"R-419A","HFC-125/HFC-134a/HE-E170","(77.0/19.0/4.0)";"R-420A","HFC-134a/HCFC-142b","(88.0/12.0)";"R-421A","HFC-125/HFC-134a","(58.0/42.0)";"R-422A","HFC-125/HFC-134a/HC-600a","(85.1/11.5/3.4)";"R-422B","HFC-125/HFC-134a/HC-600a","(55.0/42.0/3.0)";"R-422C","HFC-125/HFC-134a/HC-600a","(82.0/15.0/3.0)";"R-500","CFC-12/HFC-152a","(73.8/26.2)";"R-501","HCFC-22/CFC-12","(75.0/25.0)";"R-502","HCFC-22/CFC-115","(48.8/51.2)";"R-503","HFC-23/CFC-13","(40.1/59.9)";"R-504","HFC-32/CFC-115","(48.2/51.8)";"R-505","CFC-12/HCFC-31","(78.0/22.0)";"R-506","CFC-31/CFC-114","(55.1/44.9)";"R-507A","HFC-125/HFC-143a","(50.0/50.0)";"R-508A","HFC-23/PFC-116","(39.0/61.0)";"R-508B","HFC-23/PFC-116","(46.0/54.0)";"R-509A","HCFC-22/PFC-218","(44.0/56.0)"}, _xlpm.r, _xlpm.c))))</definedName>
    <definedName name="Refrigerants_SourceData.Refrigerants_ChemicalBlends_Description">_xlfn.LAMBDA((""))</definedName>
    <definedName name="Refrigerants_SourceData.Refrigerants_ChemicalBlends_Source">_xlfn.LAMBDA(("Australian National Greenhouse Accounts Factors 2025 - Appendix 2 - Table 24"))</definedName>
    <definedName name="Refrigerants_SourceData.Refrigerants_ChemicalBlends_Title">_xlfn.LAMBDA(("Blended refrigerants (many containing HFCS and/or PFCS)"))</definedName>
    <definedName name="Refrigerants_SourceData.Refrigerants_ChemicalBlends_Variation">_xlfn.LAMBDA(("VARIATION OF SOURCE DATA: Fixed typo - changed HC600a to HC-600a for blend R-414B. Fixed typo for blend R-405A - Changed HCFC142b to HCFC-142b."))</definedName>
    <definedName name="Refrigerants_SourceData.Refrigerants_ChemicalGWP_Data">_xlfn.LAMBDA(_xlfn.MAKEARRAY(39, 5, _xlfn.LAMBDA(_xlpm.r,_xlpm.c, INDEX({"Gas","Chemical formula","Global Warming Potential (AR5)","Gas - FC name","Aditional data source";"Carbon dioxide","CO2",1,"CO2","";"Methane","CH4",28,"CH4","";"Nitrous oxide","N2O",265,"N2O","";"Sulphur hexafluoride","SF6",23500,"SF6","";"HFC-23 (R-23)","CHF3",12400,"HFC-23","";"HFC-32 (R-32)","CH2F2",677,"HFC-32","";"HFC-41 (R-41)","CH3F",116,"HFC-41","";"HFC-43-10mee (R-4310mee)","C5H2F10",1650,"HFC-43-10mee","";"HFC-125 (R-125)","C2HF5",3170,"HFC-125","";"HFC-134 (R-134)","C2H2F4 (CHF2CHF2)",1120,"HFC-134","";"HFC-134a (R-134a)","C2H2F4 (CH2FCF3)",1300,"HFC-134a","";"HFC-143 (R-143)","C2H3F3 (CHF2CH2F)",328,"HFC-143","";"HFC-143a (R-143a)","C2H3F3 (CF3CH3)",4800,"HFC-143a","";"HFC-152a (R-152a)","C2H4F2 (CH3CHF2)",138,"HFC-152a","";"HFC-227ea (R-227ea)","C3HF7",3350,"HFC-227ea","";"HFC-236fa (R-236fa)","C3H2F6",8060,"HFC-236fa","";"HFC-245ca (R-245ca)","C3H3F5",716,"HFC-245ca","";"HFC-245fa (R-245fa)","CHF2CH2CF3",858,"HFC-245fa","";"HFC-365mfc (R-365mfc)","CH3CF2CH2CF3",804,"HFC-365mfc","";"HCFC-22 (R-22)","CHClF2",1760,"HCFC-22","";"HCFC-123 (R-123)","CHCl22CF3",79,"HCFC-123","";"HCFC-124 (R-124)","CHClFCF3",527,"HCFC-124","";"HCFC-141b (R-141b)","CH3CCl2F",782,"HCFC-141b","";"HCFC-142b (R-142b)","CH2CClF2",1980,"HCFC-142b","";"HCFC-225ca (R-225ca)","CHCl2CF2CF3",127,"HCFC-225ca","";"HCFC-225cb (R-225cb)","CHClFCF2CCIF2",525,"HCFC-225cb","";"PFC-14 Perfluoromethane (tetrafluoromethane)","CF4",6630,"PFC-14","";"PFC-116 Perfluoroethane (hexafluoroethane)","C2F6",11100,"PFC-116","";"PFC-218 Perfluoropropane","C3F8",8900,"PFC-218","";"PFC-31-10 Perfluorobutane","C4F10",9200,"PFC-31-10","";"PFC-318 Perfluorocyclobutane","c-C4F8",9540,"PFC-318","";"PFC-41-12 Perfluoropentane","C5F12",8550,"PFC-41-12","";"PFC-51-14 Perfluorohexane","C6F14",7910,"PFC-51-14","";"PFC-91-18 Perflunafene","C10F18",7190,"PFC-91-18","";"CFC-12","CCl2F2",10200,"CFC-12","IPCC Global Warming Potential Values v2.0 - (AR5)";"CFC-13","CClF3",13900,"CFC-13","IPCC Global Warming Potential Values v2.0 - (AR5)";"CFC-114","CClF2CClF2",8590,"CFC-114","IPCC Global Warming Potential Values v2.0 - (AR5)";"CFC-115","CClF2CF3",7670,"CFC-115","IPCC Global Warming Potential Values v2.0 - (AR5)"}, _xlpm.r, _xlpm.c))))</definedName>
    <definedName name="Refrigerants_SourceData.Refrigerants_ChemicalGWP_Description">_xlfn.LAMBDA((""))</definedName>
    <definedName name="Refrigerants_SourceData.Refrigerants_ChemicalGWP_Source">_xlfn.LAMBDA(("Australian National Greenhouse Accounts Factors 2025 - Appendix 2 - Table 23"))</definedName>
    <definedName name="Refrigerants_SourceData.Refrigerants_ChemicalGWP_Title">_xlfn.LAMBDA(("Global Warming Potentials"))</definedName>
    <definedName name="Refrigerants_SourceData.Refrigerants_ChemicalGWP_Variation">_xlfn.LAMBDA(("VARIATION OF SOURCE DATA: Added 'GAS - FC name' column with truncated gas name to allow matching with other tables. Added extra gases from IPCC Global Warming Potential Values v2.0 - (AR5). Added 'Additional data source' column."))</definedName>
    <definedName name="Refrigerants_SourceData.Refrigerants_LeakageRates_Data">_xlfn.LAMBDA(_xlfn.MAKEARRAY(81, 2, _xlfn.LAMBDA(_xlpm.r,_xlpm.c, INDEX({"Product","Annual leakage rate (%)";"Domestic refrigerators",1.7;"Transport refrigeration",15.7;"Domestic A/C portable",2.5;"Domestic A/C split",3.5;"Domestic A/C packaged",2.5;"Light vehicle A/C",6.7;"Heavy vehicle A/C",10.8}, _xlpm.r, _xlpm.c))))</definedName>
    <definedName name="Refrigerants_SourceData.Refrigerants_LeakageRates_Description">_xlfn.LAMBDA((""))</definedName>
    <definedName name="Refrigerants_SourceData.Refrigerants_LeakageRates_Source">_xlfn.LAMBDA(("Australian National Greenhouse Accounts Factors 2025 - Table 10"))</definedName>
    <definedName name="Refrigerants_SourceData.Refrigerants_LeakageRates_Title">_xlfn.LAMBDA(("Indicative leakage rates for common refrigeration and air - conditioning equipment"))</definedName>
    <definedName name="Refrigerants_SourceData.Refrigerants_LeakageRates_Variation">_xlfn.LAMBDA((""))</definedName>
    <definedName name="Step1">#REF!</definedName>
    <definedName name="Step2">#REF!</definedName>
    <definedName name="Step3">#REF!</definedName>
    <definedName name="Table_E_CO2e">'9.1.1.1-2 Refrigerant use'!$D$61:$G$71</definedName>
    <definedName name="Table_E_R">'9.1.1.1-2 Refrigerant use'!$D$35:$E$39</definedName>
    <definedName name="VEERG_9_1_1__1_RefrigerantLeaking_Result_Blend1_Name_Method1">'9.1.1.1-2 Refrigerant use'!$D$36</definedName>
    <definedName name="VEERG_9_1_1__1_RefrigerantLeaking_Result_Blend1_Value_Method1">'9.1.1.1-2 Refrigerant use'!$E$36</definedName>
    <definedName name="VEERG_9_1_1__1_RefrigerantLeaking_Result_Blend10_Name_Method1">'9.1.1.1-2 Refrigerant use'!$D$45</definedName>
    <definedName name="VEERG_9_1_1__1_RefrigerantLeaking_Result_Blend10_Value_Method1">'9.1.1.1-2 Refrigerant use'!$E$45</definedName>
    <definedName name="VEERG_9_1_1__1_RefrigerantLeaking_Result_Blend2_Name_Method1">'9.1.1.1-2 Refrigerant use'!$D$37</definedName>
    <definedName name="VEERG_9_1_1__1_RefrigerantLeaking_Result_Blend2_Value_Method1">'9.1.1.1-2 Refrigerant use'!$E$37</definedName>
    <definedName name="VEERG_9_1_1__1_RefrigerantLeaking_Result_Blend3_Name_Method1">'9.1.1.1-2 Refrigerant use'!$D$38</definedName>
    <definedName name="VEERG_9_1_1__1_RefrigerantLeaking_Result_Blend3_Value_Method1">'9.1.1.1-2 Refrigerant use'!$E$38</definedName>
    <definedName name="VEERG_9_1_1__1_RefrigerantLeaking_Result_Blend4_Name_Method1">'9.1.1.1-2 Refrigerant use'!$D$39</definedName>
    <definedName name="VEERG_9_1_1__1_RefrigerantLeaking_Result_Blend4_Value_Method1">'9.1.1.1-2 Refrigerant use'!$E$39</definedName>
    <definedName name="VEERG_9_1_1__1_RefrigerantLeaking_Result_Blend5_Name_Method1">'9.1.1.1-2 Refrigerant use'!$D$40</definedName>
    <definedName name="VEERG_9_1_1__1_RefrigerantLeaking_Result_Blend5_Value_Method1">'9.1.1.1-2 Refrigerant use'!$E$40</definedName>
    <definedName name="VEERG_9_1_1__1_RefrigerantLeaking_Result_Blend6_Name_Method1">'9.1.1.1-2 Refrigerant use'!$D$41</definedName>
    <definedName name="VEERG_9_1_1__1_RefrigerantLeaking_Result_Blend6_Value_Method1">'9.1.1.1-2 Refrigerant use'!$E$41</definedName>
    <definedName name="VEERG_9_1_1__1_RefrigerantLeaking_Result_Blend7_Name_Method1">'9.1.1.1-2 Refrigerant use'!$D$42</definedName>
    <definedName name="VEERG_9_1_1__1_RefrigerantLeaking_Result_Blend7_Value_Method1">'9.1.1.1-2 Refrigerant use'!$E$42</definedName>
    <definedName name="VEERG_9_1_1__1_RefrigerantLeaking_Result_Blend8_Name_Method1">'9.1.1.1-2 Refrigerant use'!$D$43</definedName>
    <definedName name="VEERG_9_1_1__1_RefrigerantLeaking_Result_Blend8_Value_Method1">'9.1.1.1-2 Refrigerant use'!$E$43</definedName>
    <definedName name="VEERG_9_1_1__1_RefrigerantLeaking_Result_Blend9_Name_Method1">'9.1.1.1-2 Refrigerant use'!$D$44</definedName>
    <definedName name="VEERG_9_1_1__1_RefrigerantLeaking_Result_Blend9_Value_Method1">'9.1.1.1-2 Refrigerant use'!$E$44</definedName>
    <definedName name="VEERG_9_1_1__1_RefrigerantLeakingGWP_Result_Method1">'9.1.1.1-2 Refrigerant use'!$E$73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6" i="69" l="1" a="1"/>
  <c r="D36" i="69" s="1"/>
  <c r="F22" i="69" a="1"/>
  <c r="F22" i="69" s="1"/>
  <c r="H22" i="69" a="1"/>
  <c r="H22" i="69" s="1"/>
  <c r="G22" i="69" a="1"/>
  <c r="G22" i="69" s="1"/>
  <c r="E22" i="69" a="1"/>
  <c r="E22" i="69" s="1"/>
  <c r="D22" i="69" a="1"/>
  <c r="D22" i="69" s="1"/>
  <c r="E259" i="119" a="1"/>
  <c r="E259" i="119" s="1"/>
  <c r="D259" i="119" a="1"/>
  <c r="D259" i="119" s="1"/>
  <c r="E258" i="119" a="1"/>
  <c r="E258" i="119" s="1"/>
  <c r="D258" i="119" a="1"/>
  <c r="D258" i="119" s="1"/>
  <c r="D256" i="119" a="1"/>
  <c r="D256" i="119" s="1"/>
  <c r="D255" i="119" a="1"/>
  <c r="D255" i="119" s="1"/>
  <c r="D254" i="119" a="1"/>
  <c r="D254" i="119" s="1"/>
  <c r="D253" i="119" a="1"/>
  <c r="D253" i="119" s="1"/>
  <c r="S250" i="119" a="1"/>
  <c r="S250" i="119" s="1"/>
  <c r="R250" i="119" a="1"/>
  <c r="R250" i="119" s="1"/>
  <c r="Q250" i="119" a="1"/>
  <c r="Q250" i="119" s="1"/>
  <c r="P250" i="119" a="1"/>
  <c r="P250" i="119" s="1"/>
  <c r="O250" i="119" a="1"/>
  <c r="O250" i="119" s="1"/>
  <c r="N250" i="119" a="1"/>
  <c r="N250" i="119" s="1"/>
  <c r="M250" i="119" a="1"/>
  <c r="M250" i="119" s="1"/>
  <c r="L250" i="119" a="1"/>
  <c r="L250" i="119" s="1"/>
  <c r="K250" i="119" a="1"/>
  <c r="K250" i="119" s="1"/>
  <c r="J250" i="119" a="1"/>
  <c r="J250" i="119" s="1"/>
  <c r="I250" i="119" a="1"/>
  <c r="I250" i="119" s="1"/>
  <c r="H250" i="119" a="1"/>
  <c r="H250" i="119" s="1"/>
  <c r="G250" i="119" a="1"/>
  <c r="G250" i="119" s="1"/>
  <c r="F250" i="119" a="1"/>
  <c r="F250" i="119" s="1"/>
  <c r="E250" i="119" a="1"/>
  <c r="E250" i="119" s="1"/>
  <c r="D250" i="119" a="1"/>
  <c r="D250" i="119" s="1"/>
  <c r="S249" i="119" a="1"/>
  <c r="S249" i="119" s="1"/>
  <c r="R249" i="119" a="1"/>
  <c r="R249" i="119" s="1"/>
  <c r="Q249" i="119" a="1"/>
  <c r="Q249" i="119" s="1"/>
  <c r="P249" i="119" a="1"/>
  <c r="P249" i="119" s="1"/>
  <c r="O249" i="119" a="1"/>
  <c r="O249" i="119" s="1"/>
  <c r="N249" i="119" a="1"/>
  <c r="N249" i="119" s="1"/>
  <c r="M249" i="119" a="1"/>
  <c r="M249" i="119" s="1"/>
  <c r="L249" i="119" a="1"/>
  <c r="L249" i="119" s="1"/>
  <c r="K249" i="119" a="1"/>
  <c r="K249" i="119" s="1"/>
  <c r="J249" i="119" a="1"/>
  <c r="J249" i="119" s="1"/>
  <c r="I249" i="119" a="1"/>
  <c r="I249" i="119" s="1"/>
  <c r="H249" i="119" a="1"/>
  <c r="H249" i="119" s="1"/>
  <c r="G249" i="119" a="1"/>
  <c r="G249" i="119" s="1"/>
  <c r="F249" i="119" a="1"/>
  <c r="F249" i="119" s="1"/>
  <c r="E249" i="119" a="1"/>
  <c r="E249" i="119" s="1"/>
  <c r="D249" i="119" a="1"/>
  <c r="D249" i="119" s="1"/>
  <c r="S248" i="119" a="1"/>
  <c r="S248" i="119" s="1"/>
  <c r="R248" i="119" a="1"/>
  <c r="R248" i="119" s="1"/>
  <c r="Q248" i="119" a="1"/>
  <c r="Q248" i="119" s="1"/>
  <c r="P248" i="119" a="1"/>
  <c r="P248" i="119" s="1"/>
  <c r="O248" i="119" a="1"/>
  <c r="O248" i="119" s="1"/>
  <c r="N248" i="119" a="1"/>
  <c r="N248" i="119" s="1"/>
  <c r="M248" i="119" a="1"/>
  <c r="M248" i="119" s="1"/>
  <c r="L248" i="119" a="1"/>
  <c r="L248" i="119" s="1"/>
  <c r="K248" i="119" a="1"/>
  <c r="K248" i="119" s="1"/>
  <c r="J248" i="119" a="1"/>
  <c r="J248" i="119" s="1"/>
  <c r="I248" i="119" a="1"/>
  <c r="I248" i="119" s="1"/>
  <c r="H248" i="119" a="1"/>
  <c r="H248" i="119" s="1"/>
  <c r="G248" i="119" a="1"/>
  <c r="G248" i="119" s="1"/>
  <c r="F248" i="119" a="1"/>
  <c r="F248" i="119" s="1"/>
  <c r="E248" i="119" a="1"/>
  <c r="E248" i="119" s="1"/>
  <c r="D248" i="119" a="1"/>
  <c r="D248" i="119" s="1"/>
  <c r="S247" i="119" a="1"/>
  <c r="S247" i="119" s="1"/>
  <c r="R247" i="119" a="1"/>
  <c r="R247" i="119" s="1"/>
  <c r="Q247" i="119" a="1"/>
  <c r="Q247" i="119" s="1"/>
  <c r="P247" i="119" a="1"/>
  <c r="P247" i="119" s="1"/>
  <c r="O247" i="119" a="1"/>
  <c r="O247" i="119" s="1"/>
  <c r="N247" i="119" a="1"/>
  <c r="N247" i="119" s="1"/>
  <c r="M247" i="119" a="1"/>
  <c r="M247" i="119" s="1"/>
  <c r="L247" i="119" a="1"/>
  <c r="L247" i="119" s="1"/>
  <c r="K247" i="119" a="1"/>
  <c r="K247" i="119" s="1"/>
  <c r="J247" i="119" a="1"/>
  <c r="J247" i="119" s="1"/>
  <c r="I247" i="119" a="1"/>
  <c r="I247" i="119" s="1"/>
  <c r="H247" i="119" a="1"/>
  <c r="H247" i="119" s="1"/>
  <c r="G247" i="119" a="1"/>
  <c r="G247" i="119" s="1"/>
  <c r="F247" i="119" a="1"/>
  <c r="F247" i="119" s="1"/>
  <c r="E247" i="119" a="1"/>
  <c r="E247" i="119" s="1"/>
  <c r="D247" i="119" a="1"/>
  <c r="D247" i="119" s="1"/>
  <c r="S246" i="119" a="1"/>
  <c r="S246" i="119" s="1"/>
  <c r="R246" i="119" a="1"/>
  <c r="R246" i="119" s="1"/>
  <c r="Q246" i="119" a="1"/>
  <c r="Q246" i="119" s="1"/>
  <c r="P246" i="119" a="1"/>
  <c r="P246" i="119" s="1"/>
  <c r="O246" i="119" a="1"/>
  <c r="O246" i="119" s="1"/>
  <c r="N246" i="119" a="1"/>
  <c r="N246" i="119" s="1"/>
  <c r="M246" i="119" a="1"/>
  <c r="M246" i="119" s="1"/>
  <c r="L246" i="119" a="1"/>
  <c r="L246" i="119" s="1"/>
  <c r="K246" i="119" a="1"/>
  <c r="K246" i="119" s="1"/>
  <c r="J246" i="119" a="1"/>
  <c r="J246" i="119" s="1"/>
  <c r="I246" i="119" a="1"/>
  <c r="I246" i="119" s="1"/>
  <c r="H246" i="119" a="1"/>
  <c r="H246" i="119" s="1"/>
  <c r="G246" i="119" a="1"/>
  <c r="G246" i="119" s="1"/>
  <c r="F246" i="119" a="1"/>
  <c r="F246" i="119" s="1"/>
  <c r="E246" i="119" a="1"/>
  <c r="E246" i="119" s="1"/>
  <c r="D246" i="119" a="1"/>
  <c r="D246" i="119" s="1"/>
  <c r="S245" i="119" a="1"/>
  <c r="S245" i="119" s="1"/>
  <c r="R245" i="119" a="1"/>
  <c r="R245" i="119" s="1"/>
  <c r="Q245" i="119" a="1"/>
  <c r="Q245" i="119" s="1"/>
  <c r="P245" i="119" a="1"/>
  <c r="P245" i="119" s="1"/>
  <c r="O245" i="119" a="1"/>
  <c r="O245" i="119" s="1"/>
  <c r="N245" i="119" a="1"/>
  <c r="N245" i="119" s="1"/>
  <c r="M245" i="119" a="1"/>
  <c r="M245" i="119" s="1"/>
  <c r="L245" i="119" a="1"/>
  <c r="L245" i="119" s="1"/>
  <c r="K245" i="119" a="1"/>
  <c r="K245" i="119" s="1"/>
  <c r="J245" i="119" a="1"/>
  <c r="J245" i="119" s="1"/>
  <c r="I245" i="119" a="1"/>
  <c r="I245" i="119" s="1"/>
  <c r="H245" i="119" a="1"/>
  <c r="H245" i="119" s="1"/>
  <c r="G245" i="119" a="1"/>
  <c r="G245" i="119" s="1"/>
  <c r="F245" i="119" a="1"/>
  <c r="F245" i="119" s="1"/>
  <c r="E245" i="119" a="1"/>
  <c r="E245" i="119" s="1"/>
  <c r="D245" i="119" a="1"/>
  <c r="D245" i="119" s="1"/>
  <c r="S244" i="119" a="1"/>
  <c r="S244" i="119" s="1"/>
  <c r="R244" i="119" a="1"/>
  <c r="R244" i="119" s="1"/>
  <c r="Q244" i="119" a="1"/>
  <c r="Q244" i="119" s="1"/>
  <c r="P244" i="119" a="1"/>
  <c r="P244" i="119" s="1"/>
  <c r="O244" i="119" a="1"/>
  <c r="O244" i="119" s="1"/>
  <c r="N244" i="119" a="1"/>
  <c r="N244" i="119" s="1"/>
  <c r="M244" i="119" a="1"/>
  <c r="M244" i="119" s="1"/>
  <c r="L244" i="119" a="1"/>
  <c r="L244" i="119" s="1"/>
  <c r="K244" i="119" a="1"/>
  <c r="K244" i="119" s="1"/>
  <c r="J244" i="119" a="1"/>
  <c r="J244" i="119" s="1"/>
  <c r="I244" i="119" a="1"/>
  <c r="I244" i="119" s="1"/>
  <c r="H244" i="119" a="1"/>
  <c r="H244" i="119" s="1"/>
  <c r="G244" i="119" a="1"/>
  <c r="G244" i="119" s="1"/>
  <c r="F244" i="119" a="1"/>
  <c r="F244" i="119" s="1"/>
  <c r="E244" i="119" a="1"/>
  <c r="E244" i="119" s="1"/>
  <c r="D244" i="119" a="1"/>
  <c r="D244" i="119" s="1"/>
  <c r="S243" i="119" a="1"/>
  <c r="S243" i="119" s="1"/>
  <c r="R243" i="119" a="1"/>
  <c r="R243" i="119" s="1"/>
  <c r="Q243" i="119" a="1"/>
  <c r="Q243" i="119" s="1"/>
  <c r="P243" i="119" a="1"/>
  <c r="P243" i="119" s="1"/>
  <c r="O243" i="119" a="1"/>
  <c r="O243" i="119" s="1"/>
  <c r="N243" i="119" a="1"/>
  <c r="N243" i="119" s="1"/>
  <c r="M243" i="119" a="1"/>
  <c r="M243" i="119" s="1"/>
  <c r="L243" i="119" a="1"/>
  <c r="L243" i="119" s="1"/>
  <c r="K243" i="119" a="1"/>
  <c r="K243" i="119" s="1"/>
  <c r="J243" i="119" a="1"/>
  <c r="J243" i="119" s="1"/>
  <c r="I243" i="119" a="1"/>
  <c r="I243" i="119" s="1"/>
  <c r="H243" i="119" a="1"/>
  <c r="H243" i="119" s="1"/>
  <c r="G243" i="119" a="1"/>
  <c r="G243" i="119" s="1"/>
  <c r="F243" i="119" a="1"/>
  <c r="F243" i="119" s="1"/>
  <c r="E243" i="119" a="1"/>
  <c r="E243" i="119" s="1"/>
  <c r="D243" i="119" a="1"/>
  <c r="D243" i="119" s="1"/>
  <c r="S242" i="119" a="1"/>
  <c r="S242" i="119" s="1"/>
  <c r="R242" i="119" a="1"/>
  <c r="R242" i="119" s="1"/>
  <c r="Q242" i="119" a="1"/>
  <c r="Q242" i="119" s="1"/>
  <c r="P242" i="119" a="1"/>
  <c r="P242" i="119" s="1"/>
  <c r="O242" i="119" a="1"/>
  <c r="O242" i="119" s="1"/>
  <c r="N242" i="119" a="1"/>
  <c r="N242" i="119" s="1"/>
  <c r="M242" i="119" a="1"/>
  <c r="M242" i="119" s="1"/>
  <c r="L242" i="119" a="1"/>
  <c r="L242" i="119" s="1"/>
  <c r="K242" i="119" a="1"/>
  <c r="K242" i="119" s="1"/>
  <c r="J242" i="119" a="1"/>
  <c r="J242" i="119" s="1"/>
  <c r="I242" i="119" a="1"/>
  <c r="I242" i="119" s="1"/>
  <c r="H242" i="119" a="1"/>
  <c r="H242" i="119" s="1"/>
  <c r="G242" i="119" a="1"/>
  <c r="G242" i="119" s="1"/>
  <c r="F242" i="119" a="1"/>
  <c r="F242" i="119" s="1"/>
  <c r="E242" i="119" a="1"/>
  <c r="E242" i="119" s="1"/>
  <c r="D242" i="119" a="1"/>
  <c r="D242" i="119" s="1"/>
  <c r="S241" i="119" a="1"/>
  <c r="S241" i="119" s="1"/>
  <c r="R241" i="119" a="1"/>
  <c r="R241" i="119" s="1"/>
  <c r="Q241" i="119" a="1"/>
  <c r="Q241" i="119" s="1"/>
  <c r="P241" i="119" a="1"/>
  <c r="P241" i="119" s="1"/>
  <c r="O241" i="119" a="1"/>
  <c r="O241" i="119" s="1"/>
  <c r="N241" i="119" a="1"/>
  <c r="N241" i="119" s="1"/>
  <c r="M241" i="119" a="1"/>
  <c r="M241" i="119" s="1"/>
  <c r="L241" i="119" a="1"/>
  <c r="L241" i="119" s="1"/>
  <c r="K241" i="119" a="1"/>
  <c r="K241" i="119" s="1"/>
  <c r="J241" i="119" a="1"/>
  <c r="J241" i="119" s="1"/>
  <c r="I241" i="119" a="1"/>
  <c r="I241" i="119" s="1"/>
  <c r="H241" i="119" a="1"/>
  <c r="H241" i="119" s="1"/>
  <c r="G241" i="119" a="1"/>
  <c r="G241" i="119" s="1"/>
  <c r="F241" i="119" a="1"/>
  <c r="F241" i="119" s="1"/>
  <c r="E241" i="119" a="1"/>
  <c r="E241" i="119" s="1"/>
  <c r="D241" i="119" a="1"/>
  <c r="D241" i="119" s="1"/>
  <c r="S240" i="119" a="1"/>
  <c r="S240" i="119" s="1"/>
  <c r="R240" i="119" a="1"/>
  <c r="R240" i="119" s="1"/>
  <c r="Q240" i="119" a="1"/>
  <c r="Q240" i="119" s="1"/>
  <c r="P240" i="119" a="1"/>
  <c r="P240" i="119" s="1"/>
  <c r="O240" i="119" a="1"/>
  <c r="O240" i="119" s="1"/>
  <c r="N240" i="119" a="1"/>
  <c r="N240" i="119" s="1"/>
  <c r="M240" i="119" a="1"/>
  <c r="M240" i="119" s="1"/>
  <c r="L240" i="119" a="1"/>
  <c r="L240" i="119" s="1"/>
  <c r="K240" i="119" a="1"/>
  <c r="K240" i="119" s="1"/>
  <c r="J240" i="119" a="1"/>
  <c r="J240" i="119" s="1"/>
  <c r="I240" i="119" a="1"/>
  <c r="I240" i="119" s="1"/>
  <c r="H240" i="119" a="1"/>
  <c r="H240" i="119" s="1"/>
  <c r="G240" i="119" a="1"/>
  <c r="G240" i="119" s="1"/>
  <c r="F240" i="119" a="1"/>
  <c r="F240" i="119" s="1"/>
  <c r="E240" i="119" a="1"/>
  <c r="E240" i="119" s="1"/>
  <c r="D240" i="119" a="1"/>
  <c r="D240" i="119" s="1"/>
  <c r="S239" i="119" a="1"/>
  <c r="S239" i="119" s="1"/>
  <c r="R239" i="119" a="1"/>
  <c r="R239" i="119" s="1"/>
  <c r="Q239" i="119" a="1"/>
  <c r="Q239" i="119" s="1"/>
  <c r="P239" i="119" a="1"/>
  <c r="P239" i="119" s="1"/>
  <c r="O239" i="119" a="1"/>
  <c r="O239" i="119" s="1"/>
  <c r="N239" i="119" a="1"/>
  <c r="N239" i="119" s="1"/>
  <c r="M239" i="119" a="1"/>
  <c r="M239" i="119" s="1"/>
  <c r="L239" i="119" a="1"/>
  <c r="L239" i="119" s="1"/>
  <c r="K239" i="119" a="1"/>
  <c r="K239" i="119" s="1"/>
  <c r="J239" i="119" a="1"/>
  <c r="J239" i="119" s="1"/>
  <c r="I239" i="119" a="1"/>
  <c r="I239" i="119" s="1"/>
  <c r="H239" i="119" a="1"/>
  <c r="H239" i="119" s="1"/>
  <c r="G239" i="119" a="1"/>
  <c r="G239" i="119" s="1"/>
  <c r="F239" i="119" a="1"/>
  <c r="F239" i="119" s="1"/>
  <c r="E239" i="119" a="1"/>
  <c r="E239" i="119" s="1"/>
  <c r="D239" i="119" a="1"/>
  <c r="D239" i="119" s="1"/>
  <c r="S238" i="119" a="1"/>
  <c r="S238" i="119" s="1"/>
  <c r="R238" i="119" a="1"/>
  <c r="R238" i="119" s="1"/>
  <c r="Q238" i="119" a="1"/>
  <c r="Q238" i="119" s="1"/>
  <c r="P238" i="119" a="1"/>
  <c r="P238" i="119" s="1"/>
  <c r="O238" i="119" a="1"/>
  <c r="O238" i="119" s="1"/>
  <c r="N238" i="119" a="1"/>
  <c r="N238" i="119" s="1"/>
  <c r="M238" i="119" a="1"/>
  <c r="M238" i="119" s="1"/>
  <c r="L238" i="119" a="1"/>
  <c r="L238" i="119" s="1"/>
  <c r="K238" i="119" a="1"/>
  <c r="K238" i="119" s="1"/>
  <c r="J238" i="119" a="1"/>
  <c r="J238" i="119" s="1"/>
  <c r="I238" i="119" a="1"/>
  <c r="I238" i="119" s="1"/>
  <c r="H238" i="119" a="1"/>
  <c r="H238" i="119" s="1"/>
  <c r="G238" i="119" a="1"/>
  <c r="G238" i="119" s="1"/>
  <c r="F238" i="119" a="1"/>
  <c r="F238" i="119" s="1"/>
  <c r="E238" i="119" a="1"/>
  <c r="E238" i="119" s="1"/>
  <c r="D238" i="119" a="1"/>
  <c r="D238" i="119" s="1"/>
  <c r="S237" i="119" a="1"/>
  <c r="S237" i="119" s="1"/>
  <c r="R237" i="119" a="1"/>
  <c r="R237" i="119" s="1"/>
  <c r="Q237" i="119" a="1"/>
  <c r="Q237" i="119" s="1"/>
  <c r="P237" i="119" a="1"/>
  <c r="P237" i="119" s="1"/>
  <c r="O237" i="119" a="1"/>
  <c r="O237" i="119" s="1"/>
  <c r="N237" i="119" a="1"/>
  <c r="N237" i="119" s="1"/>
  <c r="M237" i="119" a="1"/>
  <c r="M237" i="119" s="1"/>
  <c r="L237" i="119" a="1"/>
  <c r="L237" i="119" s="1"/>
  <c r="K237" i="119" a="1"/>
  <c r="K237" i="119" s="1"/>
  <c r="J237" i="119" a="1"/>
  <c r="J237" i="119" s="1"/>
  <c r="I237" i="119" a="1"/>
  <c r="I237" i="119" s="1"/>
  <c r="H237" i="119" a="1"/>
  <c r="H237" i="119" s="1"/>
  <c r="G237" i="119" a="1"/>
  <c r="G237" i="119" s="1"/>
  <c r="F237" i="119" a="1"/>
  <c r="F237" i="119" s="1"/>
  <c r="E237" i="119" a="1"/>
  <c r="E237" i="119" s="1"/>
  <c r="D237" i="119" a="1"/>
  <c r="D237" i="119" s="1"/>
  <c r="S236" i="119" a="1"/>
  <c r="S236" i="119" s="1"/>
  <c r="R236" i="119" a="1"/>
  <c r="R236" i="119" s="1"/>
  <c r="Q236" i="119" a="1"/>
  <c r="Q236" i="119" s="1"/>
  <c r="P236" i="119" a="1"/>
  <c r="P236" i="119" s="1"/>
  <c r="O236" i="119" a="1"/>
  <c r="O236" i="119" s="1"/>
  <c r="N236" i="119" a="1"/>
  <c r="N236" i="119" s="1"/>
  <c r="M236" i="119" a="1"/>
  <c r="M236" i="119" s="1"/>
  <c r="L236" i="119" a="1"/>
  <c r="L236" i="119" s="1"/>
  <c r="K236" i="119" a="1"/>
  <c r="K236" i="119" s="1"/>
  <c r="J236" i="119" a="1"/>
  <c r="J236" i="119" s="1"/>
  <c r="I236" i="119" a="1"/>
  <c r="I236" i="119" s="1"/>
  <c r="H236" i="119" a="1"/>
  <c r="H236" i="119" s="1"/>
  <c r="G236" i="119" a="1"/>
  <c r="G236" i="119" s="1"/>
  <c r="F236" i="119" a="1"/>
  <c r="F236" i="119" s="1"/>
  <c r="E236" i="119" a="1"/>
  <c r="E236" i="119" s="1"/>
  <c r="D236" i="119" a="1"/>
  <c r="D236" i="119" s="1"/>
  <c r="S235" i="119" a="1"/>
  <c r="S235" i="119" s="1"/>
  <c r="R235" i="119" a="1"/>
  <c r="R235" i="119" s="1"/>
  <c r="Q235" i="119" a="1"/>
  <c r="Q235" i="119" s="1"/>
  <c r="P235" i="119" a="1"/>
  <c r="P235" i="119" s="1"/>
  <c r="O235" i="119" a="1"/>
  <c r="O235" i="119" s="1"/>
  <c r="N235" i="119" a="1"/>
  <c r="N235" i="119" s="1"/>
  <c r="M235" i="119" a="1"/>
  <c r="M235" i="119" s="1"/>
  <c r="L235" i="119" a="1"/>
  <c r="L235" i="119" s="1"/>
  <c r="K235" i="119" a="1"/>
  <c r="K235" i="119" s="1"/>
  <c r="J235" i="119" a="1"/>
  <c r="J235" i="119" s="1"/>
  <c r="I235" i="119" a="1"/>
  <c r="I235" i="119" s="1"/>
  <c r="H235" i="119" a="1"/>
  <c r="H235" i="119" s="1"/>
  <c r="G235" i="119" a="1"/>
  <c r="G235" i="119" s="1"/>
  <c r="F235" i="119" a="1"/>
  <c r="F235" i="119" s="1"/>
  <c r="E235" i="119" a="1"/>
  <c r="E235" i="119" s="1"/>
  <c r="D235" i="119" a="1"/>
  <c r="D235" i="119" s="1"/>
  <c r="S234" i="119" a="1"/>
  <c r="S234" i="119" s="1"/>
  <c r="R234" i="119" a="1"/>
  <c r="R234" i="119" s="1"/>
  <c r="Q234" i="119" a="1"/>
  <c r="Q234" i="119" s="1"/>
  <c r="P234" i="119" a="1"/>
  <c r="P234" i="119" s="1"/>
  <c r="O234" i="119" a="1"/>
  <c r="O234" i="119" s="1"/>
  <c r="N234" i="119" a="1"/>
  <c r="N234" i="119" s="1"/>
  <c r="M234" i="119" a="1"/>
  <c r="M234" i="119" s="1"/>
  <c r="L234" i="119" a="1"/>
  <c r="L234" i="119" s="1"/>
  <c r="K234" i="119" a="1"/>
  <c r="K234" i="119" s="1"/>
  <c r="J234" i="119" a="1"/>
  <c r="J234" i="119" s="1"/>
  <c r="I234" i="119" a="1"/>
  <c r="I234" i="119" s="1"/>
  <c r="H234" i="119" a="1"/>
  <c r="H234" i="119" s="1"/>
  <c r="G234" i="119" a="1"/>
  <c r="G234" i="119" s="1"/>
  <c r="F234" i="119" a="1"/>
  <c r="F234" i="119" s="1"/>
  <c r="E234" i="119" a="1"/>
  <c r="E234" i="119" s="1"/>
  <c r="D234" i="119" a="1"/>
  <c r="D234" i="119" s="1"/>
  <c r="S233" i="119" a="1"/>
  <c r="S233" i="119" s="1"/>
  <c r="R233" i="119" a="1"/>
  <c r="R233" i="119" s="1"/>
  <c r="Q233" i="119" a="1"/>
  <c r="Q233" i="119" s="1"/>
  <c r="P233" i="119" a="1"/>
  <c r="P233" i="119" s="1"/>
  <c r="O233" i="119" a="1"/>
  <c r="O233" i="119" s="1"/>
  <c r="N233" i="119" a="1"/>
  <c r="N233" i="119" s="1"/>
  <c r="M233" i="119" a="1"/>
  <c r="M233" i="119" s="1"/>
  <c r="L233" i="119" a="1"/>
  <c r="L233" i="119" s="1"/>
  <c r="K233" i="119" a="1"/>
  <c r="K233" i="119" s="1"/>
  <c r="J233" i="119" a="1"/>
  <c r="J233" i="119" s="1"/>
  <c r="I233" i="119" a="1"/>
  <c r="I233" i="119" s="1"/>
  <c r="H233" i="119" a="1"/>
  <c r="H233" i="119" s="1"/>
  <c r="G233" i="119" a="1"/>
  <c r="G233" i="119" s="1"/>
  <c r="F233" i="119" a="1"/>
  <c r="F233" i="119" s="1"/>
  <c r="E233" i="119" a="1"/>
  <c r="E233" i="119" s="1"/>
  <c r="D233" i="119" a="1"/>
  <c r="D233" i="119" s="1"/>
  <c r="S232" i="119" a="1"/>
  <c r="S232" i="119" s="1"/>
  <c r="R232" i="119" a="1"/>
  <c r="R232" i="119" s="1"/>
  <c r="Q232" i="119" a="1"/>
  <c r="Q232" i="119" s="1"/>
  <c r="P232" i="119" a="1"/>
  <c r="P232" i="119" s="1"/>
  <c r="O232" i="119" a="1"/>
  <c r="O232" i="119" s="1"/>
  <c r="N232" i="119" a="1"/>
  <c r="N232" i="119" s="1"/>
  <c r="M232" i="119" a="1"/>
  <c r="M232" i="119" s="1"/>
  <c r="L232" i="119" a="1"/>
  <c r="L232" i="119" s="1"/>
  <c r="K232" i="119" a="1"/>
  <c r="K232" i="119" s="1"/>
  <c r="J232" i="119" a="1"/>
  <c r="J232" i="119" s="1"/>
  <c r="I232" i="119" a="1"/>
  <c r="I232" i="119" s="1"/>
  <c r="H232" i="119" a="1"/>
  <c r="H232" i="119" s="1"/>
  <c r="G232" i="119" a="1"/>
  <c r="G232" i="119" s="1"/>
  <c r="F232" i="119" a="1"/>
  <c r="F232" i="119" s="1"/>
  <c r="E232" i="119" a="1"/>
  <c r="E232" i="119" s="1"/>
  <c r="D232" i="119" a="1"/>
  <c r="D232" i="119" s="1"/>
  <c r="D229" i="119" a="1"/>
  <c r="D229" i="119" s="1"/>
  <c r="D228" i="119" a="1"/>
  <c r="D228" i="119" s="1"/>
  <c r="D227" i="119" a="1"/>
  <c r="D227" i="119" s="1"/>
  <c r="E224" i="119" a="1"/>
  <c r="E224" i="119" s="1"/>
  <c r="D224" i="119" a="1"/>
  <c r="D224" i="119" s="1"/>
  <c r="E223" i="119" a="1"/>
  <c r="E223" i="119" s="1"/>
  <c r="D223" i="119" a="1"/>
  <c r="D223" i="119" s="1"/>
  <c r="E222" i="119" a="1"/>
  <c r="E222" i="119" s="1"/>
  <c r="D222" i="119" a="1"/>
  <c r="D222" i="119" s="1"/>
  <c r="E221" i="119" a="1"/>
  <c r="E221" i="119" s="1"/>
  <c r="D221" i="119" a="1"/>
  <c r="D221" i="119" s="1"/>
  <c r="E220" i="119" a="1"/>
  <c r="E220" i="119" s="1"/>
  <c r="D220" i="119" a="1"/>
  <c r="D220" i="119" s="1"/>
  <c r="E219" i="119" a="1"/>
  <c r="E219" i="119" s="1"/>
  <c r="D219" i="119" a="1"/>
  <c r="D219" i="119" s="1"/>
  <c r="E218" i="119" a="1"/>
  <c r="E218" i="119" s="1"/>
  <c r="D218" i="119" a="1"/>
  <c r="D218" i="119" s="1"/>
  <c r="E217" i="119" a="1"/>
  <c r="E217" i="119" s="1"/>
  <c r="D217" i="119" a="1"/>
  <c r="D217" i="119" s="1"/>
  <c r="E216" i="119" a="1"/>
  <c r="E216" i="119" s="1"/>
  <c r="D216" i="119" a="1"/>
  <c r="D216" i="119" s="1"/>
  <c r="E215" i="119" a="1"/>
  <c r="E215" i="119" s="1"/>
  <c r="D215" i="119" a="1"/>
  <c r="D215" i="119" s="1"/>
  <c r="E214" i="119" a="1"/>
  <c r="E214" i="119" s="1"/>
  <c r="D214" i="119" a="1"/>
  <c r="D214" i="119" s="1"/>
  <c r="E213" i="119" a="1"/>
  <c r="E213" i="119" s="1"/>
  <c r="D213" i="119" a="1"/>
  <c r="D213" i="119" s="1"/>
  <c r="D211" i="119" a="1"/>
  <c r="D211" i="119" s="1"/>
  <c r="E208" i="119" a="1"/>
  <c r="E208" i="119" s="1"/>
  <c r="D208" i="119" a="1"/>
  <c r="D208" i="119" s="1"/>
  <c r="E207" i="119" a="1"/>
  <c r="E207" i="119" s="1"/>
  <c r="D207" i="119" a="1"/>
  <c r="D207" i="119" s="1"/>
  <c r="D205" i="119" a="1"/>
  <c r="D205" i="119" s="1"/>
  <c r="D204" i="119" a="1"/>
  <c r="D204" i="119" s="1"/>
  <c r="D203" i="119" a="1"/>
  <c r="D203" i="119" s="1"/>
  <c r="D202" i="119" a="1"/>
  <c r="D202" i="119" s="1"/>
  <c r="H199" i="119" a="1"/>
  <c r="H199" i="119" s="1"/>
  <c r="G199" i="119" a="1"/>
  <c r="G199" i="119" s="1"/>
  <c r="F199" i="119" a="1"/>
  <c r="F199" i="119" s="1"/>
  <c r="E199" i="119" a="1"/>
  <c r="E199" i="119" s="1"/>
  <c r="D199" i="119" a="1"/>
  <c r="D199" i="119" s="1"/>
  <c r="H198" i="119" a="1"/>
  <c r="H198" i="119" s="1"/>
  <c r="G198" i="119" a="1"/>
  <c r="G198" i="119" s="1"/>
  <c r="F198" i="119" a="1"/>
  <c r="F198" i="119" s="1"/>
  <c r="E198" i="119" a="1"/>
  <c r="E198" i="119" s="1"/>
  <c r="D198" i="119" a="1"/>
  <c r="D198" i="119" s="1"/>
  <c r="H197" i="119" a="1"/>
  <c r="H197" i="119" s="1"/>
  <c r="G197" i="119" a="1"/>
  <c r="G197" i="119" s="1"/>
  <c r="F197" i="119" a="1"/>
  <c r="F197" i="119" s="1"/>
  <c r="E197" i="119" a="1"/>
  <c r="E197" i="119" s="1"/>
  <c r="D197" i="119" a="1"/>
  <c r="D197" i="119" s="1"/>
  <c r="H196" i="119" a="1"/>
  <c r="H196" i="119" s="1"/>
  <c r="G196" i="119" a="1"/>
  <c r="G196" i="119" s="1"/>
  <c r="F196" i="119" a="1"/>
  <c r="F196" i="119" s="1"/>
  <c r="E196" i="119" a="1"/>
  <c r="E196" i="119" s="1"/>
  <c r="D196" i="119" a="1"/>
  <c r="D196" i="119" s="1"/>
  <c r="H195" i="119" a="1"/>
  <c r="H195" i="119" s="1"/>
  <c r="G195" i="119" a="1"/>
  <c r="G195" i="119" s="1"/>
  <c r="F195" i="119" a="1"/>
  <c r="F195" i="119" s="1"/>
  <c r="E195" i="119" a="1"/>
  <c r="E195" i="119" s="1"/>
  <c r="D195" i="119" a="1"/>
  <c r="D195" i="119" s="1"/>
  <c r="H194" i="119" a="1"/>
  <c r="H194" i="119" s="1"/>
  <c r="G194" i="119" a="1"/>
  <c r="G194" i="119" s="1"/>
  <c r="F194" i="119" a="1"/>
  <c r="F194" i="119" s="1"/>
  <c r="E194" i="119" a="1"/>
  <c r="E194" i="119" s="1"/>
  <c r="D194" i="119" a="1"/>
  <c r="D194" i="119" s="1"/>
  <c r="H193" i="119" a="1"/>
  <c r="H193" i="119" s="1"/>
  <c r="G193" i="119" a="1"/>
  <c r="G193" i="119" s="1"/>
  <c r="F193" i="119" a="1"/>
  <c r="F193" i="119" s="1"/>
  <c r="E193" i="119" a="1"/>
  <c r="E193" i="119" s="1"/>
  <c r="D193" i="119" a="1"/>
  <c r="D193" i="119" s="1"/>
  <c r="H192" i="119" a="1"/>
  <c r="H192" i="119" s="1"/>
  <c r="G192" i="119" a="1"/>
  <c r="G192" i="119" s="1"/>
  <c r="F192" i="119" a="1"/>
  <c r="F192" i="119" s="1"/>
  <c r="E192" i="119" a="1"/>
  <c r="E192" i="119" s="1"/>
  <c r="D192" i="119" a="1"/>
  <c r="D192" i="119" s="1"/>
  <c r="H191" i="119" a="1"/>
  <c r="H191" i="119" s="1"/>
  <c r="G191" i="119" a="1"/>
  <c r="G191" i="119" s="1"/>
  <c r="F191" i="119" a="1"/>
  <c r="F191" i="119" s="1"/>
  <c r="E191" i="119" a="1"/>
  <c r="E191" i="119" s="1"/>
  <c r="D191" i="119" a="1"/>
  <c r="D191" i="119" s="1"/>
  <c r="H190" i="119" a="1"/>
  <c r="H190" i="119" s="1"/>
  <c r="G190" i="119" a="1"/>
  <c r="G190" i="119" s="1"/>
  <c r="F190" i="119" a="1"/>
  <c r="F190" i="119" s="1"/>
  <c r="E190" i="119" a="1"/>
  <c r="E190" i="119" s="1"/>
  <c r="D190" i="119" a="1"/>
  <c r="D190" i="119" s="1"/>
  <c r="H189" i="119" a="1"/>
  <c r="H189" i="119" s="1"/>
  <c r="G189" i="119" a="1"/>
  <c r="G189" i="119" s="1"/>
  <c r="F189" i="119" a="1"/>
  <c r="F189" i="119" s="1"/>
  <c r="E189" i="119" a="1"/>
  <c r="E189" i="119" s="1"/>
  <c r="D189" i="119" a="1"/>
  <c r="D189" i="119" s="1"/>
  <c r="H188" i="119" a="1"/>
  <c r="H188" i="119" s="1"/>
  <c r="G188" i="119" a="1"/>
  <c r="G188" i="119" s="1"/>
  <c r="F188" i="119" a="1"/>
  <c r="F188" i="119" s="1"/>
  <c r="E188" i="119" a="1"/>
  <c r="E188" i="119" s="1"/>
  <c r="D188" i="119" a="1"/>
  <c r="D188" i="119" s="1"/>
  <c r="H187" i="119" a="1"/>
  <c r="H187" i="119" s="1"/>
  <c r="G187" i="119" a="1"/>
  <c r="G187" i="119" s="1"/>
  <c r="F187" i="119" a="1"/>
  <c r="F187" i="119" s="1"/>
  <c r="E187" i="119" a="1"/>
  <c r="E187" i="119" s="1"/>
  <c r="D187" i="119" a="1"/>
  <c r="D187" i="119" s="1"/>
  <c r="D181" i="119" a="1"/>
  <c r="D181" i="119" s="1"/>
  <c r="D180" i="119" a="1"/>
  <c r="D180" i="119" s="1"/>
  <c r="D179" i="119" a="1"/>
  <c r="D179" i="119" s="1"/>
  <c r="D178" i="119" a="1"/>
  <c r="D178" i="119" s="1"/>
  <c r="E175" i="119" a="1"/>
  <c r="E175" i="119" s="1"/>
  <c r="D175" i="119" a="1"/>
  <c r="D175" i="119" s="1"/>
  <c r="D174" i="119" a="1"/>
  <c r="D174" i="119" s="1"/>
  <c r="D173" i="119" a="1"/>
  <c r="D173" i="119" s="1"/>
  <c r="D170" i="119" a="1"/>
  <c r="D170" i="119" s="1"/>
  <c r="D169" i="119" a="1"/>
  <c r="D169" i="119" s="1"/>
  <c r="D168" i="119" a="1"/>
  <c r="D168" i="119" s="1"/>
  <c r="D167" i="119" a="1"/>
  <c r="D167" i="119" s="1"/>
  <c r="D164" i="119" a="1"/>
  <c r="D164" i="119" s="1"/>
  <c r="D163" i="119" a="1"/>
  <c r="D163" i="119" s="1"/>
  <c r="D162" i="119" a="1"/>
  <c r="D162" i="119" s="1"/>
  <c r="D161" i="119" a="1"/>
  <c r="D161" i="119" s="1"/>
  <c r="E158" i="119" a="1"/>
  <c r="E158" i="119" s="1"/>
  <c r="D158" i="119" a="1"/>
  <c r="D158" i="119" s="1"/>
  <c r="E157" i="119" a="1"/>
  <c r="E157" i="119" s="1"/>
  <c r="D157" i="119" a="1"/>
  <c r="D157" i="119" s="1"/>
  <c r="E156" i="119" a="1"/>
  <c r="E156" i="119" s="1"/>
  <c r="D156" i="119" a="1"/>
  <c r="D156" i="119" s="1"/>
  <c r="E155" i="119" a="1"/>
  <c r="E155" i="119" s="1"/>
  <c r="D155" i="119" a="1"/>
  <c r="D155" i="119" s="1"/>
  <c r="E154" i="119" a="1"/>
  <c r="E154" i="119" s="1"/>
  <c r="D154" i="119" a="1"/>
  <c r="D154" i="119" s="1"/>
  <c r="D151" i="119" a="1"/>
  <c r="D151" i="119" s="1"/>
  <c r="D150" i="119" a="1"/>
  <c r="D150" i="119" s="1"/>
  <c r="E147" i="119" a="1"/>
  <c r="E147" i="119" s="1"/>
  <c r="D147" i="119" a="1"/>
  <c r="D147" i="119" s="1"/>
  <c r="E146" i="119" a="1"/>
  <c r="E146" i="119" s="1"/>
  <c r="D146" i="119" a="1"/>
  <c r="D146" i="119" s="1"/>
  <c r="E145" i="119" a="1"/>
  <c r="E145" i="119" s="1"/>
  <c r="D145" i="119" a="1"/>
  <c r="D145" i="119" s="1"/>
  <c r="E144" i="119" a="1"/>
  <c r="E144" i="119" s="1"/>
  <c r="D144" i="119" a="1"/>
  <c r="D144" i="119" s="1"/>
  <c r="E143" i="119" a="1"/>
  <c r="E143" i="119" s="1"/>
  <c r="D143" i="119" a="1"/>
  <c r="D143" i="119" s="1"/>
  <c r="D141" i="119" a="1"/>
  <c r="D141" i="119" s="1"/>
  <c r="D140" i="119" a="1"/>
  <c r="D140" i="119" s="1"/>
  <c r="D139" i="119" a="1"/>
  <c r="D139" i="119" s="1"/>
  <c r="E136" i="119" a="1"/>
  <c r="E136" i="119" s="1"/>
  <c r="D136" i="119" a="1"/>
  <c r="D136" i="119" s="1"/>
  <c r="E135" i="119" a="1"/>
  <c r="E135" i="119" s="1"/>
  <c r="D135" i="119" a="1"/>
  <c r="D135" i="119" s="1"/>
  <c r="D133" i="119" a="1"/>
  <c r="D133" i="119" s="1"/>
  <c r="D132" i="119" a="1"/>
  <c r="D132" i="119" s="1"/>
  <c r="E129" i="119" a="1"/>
  <c r="E129" i="119" s="1"/>
  <c r="D129" i="119" a="1"/>
  <c r="D129" i="119" s="1"/>
  <c r="E128" i="119" a="1"/>
  <c r="E128" i="119" s="1"/>
  <c r="D128" i="119" a="1"/>
  <c r="D128" i="119" s="1"/>
  <c r="D125" i="119" a="1"/>
  <c r="D125" i="119" s="1"/>
  <c r="D124" i="119" a="1"/>
  <c r="D124" i="119" s="1"/>
  <c r="G121" i="119" a="1"/>
  <c r="G121" i="119" s="1"/>
  <c r="F121" i="119" a="1"/>
  <c r="F121" i="119" s="1"/>
  <c r="E121" i="119" a="1"/>
  <c r="E121" i="119" s="1"/>
  <c r="D121" i="119" a="1"/>
  <c r="D121" i="119" s="1"/>
  <c r="G120" i="119" a="1"/>
  <c r="G120" i="119" s="1"/>
  <c r="F120" i="119" a="1"/>
  <c r="F120" i="119" s="1"/>
  <c r="E120" i="119" a="1"/>
  <c r="E120" i="119" s="1"/>
  <c r="D120" i="119" a="1"/>
  <c r="D120" i="119" s="1"/>
  <c r="D117" i="119"/>
  <c r="D117" i="119" a="1"/>
  <c r="D116" i="119" a="1"/>
  <c r="D116" i="119" s="1"/>
  <c r="D115" i="119" a="1"/>
  <c r="D115" i="119" s="1"/>
  <c r="G112" i="119" a="1"/>
  <c r="G112" i="119" s="1"/>
  <c r="F112" i="119" a="1"/>
  <c r="F112" i="119" s="1"/>
  <c r="E112" i="119" a="1"/>
  <c r="E112" i="119" s="1"/>
  <c r="D112" i="119" a="1"/>
  <c r="D112" i="119" s="1"/>
  <c r="G111" i="119" a="1"/>
  <c r="G111" i="119" s="1"/>
  <c r="F111" i="119" a="1"/>
  <c r="F111" i="119" s="1"/>
  <c r="E111" i="119" a="1"/>
  <c r="E111" i="119" s="1"/>
  <c r="D111" i="119" a="1"/>
  <c r="D111" i="119" s="1"/>
  <c r="G110" i="119" a="1"/>
  <c r="G110" i="119" s="1"/>
  <c r="F110" i="119" a="1"/>
  <c r="F110" i="119" s="1"/>
  <c r="E110" i="119" a="1"/>
  <c r="E110" i="119" s="1"/>
  <c r="D110" i="119" a="1"/>
  <c r="D110" i="119" s="1"/>
  <c r="D107" i="119" a="1"/>
  <c r="D107" i="119" s="1"/>
  <c r="D106" i="119" a="1"/>
  <c r="D106" i="119" s="1"/>
  <c r="D105" i="119" a="1"/>
  <c r="D105" i="119" s="1"/>
  <c r="D99" i="119" a="1"/>
  <c r="D99" i="119" s="1"/>
  <c r="S97" i="119" a="1"/>
  <c r="S97" i="119" s="1"/>
  <c r="R97" i="119" a="1"/>
  <c r="R97" i="119" s="1"/>
  <c r="Q97" i="119" a="1"/>
  <c r="Q97" i="119" s="1"/>
  <c r="P97" i="119" a="1"/>
  <c r="P97" i="119" s="1"/>
  <c r="O97" i="119" a="1"/>
  <c r="O97" i="119" s="1"/>
  <c r="N97" i="119" a="1"/>
  <c r="N97" i="119" s="1"/>
  <c r="M97" i="119" a="1"/>
  <c r="M97" i="119" s="1"/>
  <c r="L97" i="119" a="1"/>
  <c r="L97" i="119" s="1"/>
  <c r="K97" i="119" a="1"/>
  <c r="K97" i="119" s="1"/>
  <c r="J97" i="119" a="1"/>
  <c r="J97" i="119" s="1"/>
  <c r="I97" i="119" a="1"/>
  <c r="I97" i="119" s="1"/>
  <c r="H97" i="119" a="1"/>
  <c r="H97" i="119" s="1"/>
  <c r="G97" i="119" a="1"/>
  <c r="G97" i="119" s="1"/>
  <c r="F97" i="119" a="1"/>
  <c r="F97" i="119" s="1"/>
  <c r="E97" i="119" a="1"/>
  <c r="E97" i="119" s="1"/>
  <c r="D97" i="119" a="1"/>
  <c r="D97" i="119" s="1"/>
  <c r="S96" i="119" a="1"/>
  <c r="S96" i="119" s="1"/>
  <c r="R96" i="119" a="1"/>
  <c r="R96" i="119" s="1"/>
  <c r="Q96" i="119" a="1"/>
  <c r="Q96" i="119" s="1"/>
  <c r="P96" i="119" a="1"/>
  <c r="P96" i="119" s="1"/>
  <c r="O96" i="119" a="1"/>
  <c r="O96" i="119" s="1"/>
  <c r="N96" i="119" a="1"/>
  <c r="N96" i="119" s="1"/>
  <c r="M96" i="119" a="1"/>
  <c r="M96" i="119" s="1"/>
  <c r="L96" i="119" a="1"/>
  <c r="L96" i="119" s="1"/>
  <c r="K96" i="119" a="1"/>
  <c r="K96" i="119" s="1"/>
  <c r="J96" i="119" a="1"/>
  <c r="J96" i="119" s="1"/>
  <c r="I96" i="119" a="1"/>
  <c r="I96" i="119" s="1"/>
  <c r="H96" i="119" a="1"/>
  <c r="H96" i="119" s="1"/>
  <c r="G96" i="119" a="1"/>
  <c r="G96" i="119" s="1"/>
  <c r="F96" i="119" a="1"/>
  <c r="F96" i="119" s="1"/>
  <c r="E96" i="119" a="1"/>
  <c r="E96" i="119" s="1"/>
  <c r="D96" i="119" a="1"/>
  <c r="D96" i="119" s="1"/>
  <c r="S95" i="119" a="1"/>
  <c r="S95" i="119" s="1"/>
  <c r="R95" i="119" a="1"/>
  <c r="R95" i="119" s="1"/>
  <c r="Q95" i="119" a="1"/>
  <c r="Q95" i="119" s="1"/>
  <c r="P95" i="119" a="1"/>
  <c r="P95" i="119" s="1"/>
  <c r="O95" i="119" a="1"/>
  <c r="O95" i="119" s="1"/>
  <c r="N95" i="119" a="1"/>
  <c r="N95" i="119" s="1"/>
  <c r="M95" i="119" a="1"/>
  <c r="M95" i="119" s="1"/>
  <c r="L95" i="119" a="1"/>
  <c r="L95" i="119" s="1"/>
  <c r="K95" i="119" a="1"/>
  <c r="K95" i="119" s="1"/>
  <c r="J95" i="119" a="1"/>
  <c r="J95" i="119" s="1"/>
  <c r="I95" i="119" a="1"/>
  <c r="I95" i="119" s="1"/>
  <c r="H95" i="119" a="1"/>
  <c r="H95" i="119" s="1"/>
  <c r="G95" i="119" a="1"/>
  <c r="G95" i="119" s="1"/>
  <c r="F95" i="119" a="1"/>
  <c r="F95" i="119" s="1"/>
  <c r="E95" i="119" a="1"/>
  <c r="E95" i="119" s="1"/>
  <c r="D95" i="119" a="1"/>
  <c r="D95" i="119" s="1"/>
  <c r="S94" i="119" a="1"/>
  <c r="S94" i="119" s="1"/>
  <c r="R94" i="119" a="1"/>
  <c r="R94" i="119" s="1"/>
  <c r="Q94" i="119" a="1"/>
  <c r="Q94" i="119" s="1"/>
  <c r="P94" i="119" a="1"/>
  <c r="P94" i="119" s="1"/>
  <c r="O94" i="119" a="1"/>
  <c r="O94" i="119" s="1"/>
  <c r="N94" i="119" a="1"/>
  <c r="N94" i="119" s="1"/>
  <c r="M94" i="119" a="1"/>
  <c r="M94" i="119" s="1"/>
  <c r="L94" i="119" a="1"/>
  <c r="L94" i="119" s="1"/>
  <c r="K94" i="119" a="1"/>
  <c r="K94" i="119" s="1"/>
  <c r="J94" i="119" a="1"/>
  <c r="J94" i="119" s="1"/>
  <c r="I94" i="119" a="1"/>
  <c r="I94" i="119" s="1"/>
  <c r="H94" i="119" a="1"/>
  <c r="H94" i="119" s="1"/>
  <c r="G94" i="119" a="1"/>
  <c r="G94" i="119" s="1"/>
  <c r="F94" i="119" a="1"/>
  <c r="F94" i="119" s="1"/>
  <c r="E94" i="119" a="1"/>
  <c r="E94" i="119" s="1"/>
  <c r="D94" i="119" a="1"/>
  <c r="D94" i="119" s="1"/>
  <c r="S93" i="119" a="1"/>
  <c r="S93" i="119" s="1"/>
  <c r="R93" i="119" a="1"/>
  <c r="R93" i="119" s="1"/>
  <c r="Q93" i="119" a="1"/>
  <c r="Q93" i="119" s="1"/>
  <c r="P93" i="119" a="1"/>
  <c r="P93" i="119" s="1"/>
  <c r="O93" i="119" a="1"/>
  <c r="O93" i="119" s="1"/>
  <c r="N93" i="119" a="1"/>
  <c r="N93" i="119" s="1"/>
  <c r="M93" i="119" a="1"/>
  <c r="M93" i="119" s="1"/>
  <c r="L93" i="119" a="1"/>
  <c r="L93" i="119" s="1"/>
  <c r="K93" i="119" a="1"/>
  <c r="K93" i="119" s="1"/>
  <c r="J93" i="119" a="1"/>
  <c r="J93" i="119" s="1"/>
  <c r="I93" i="119" a="1"/>
  <c r="I93" i="119" s="1"/>
  <c r="H93" i="119" a="1"/>
  <c r="H93" i="119" s="1"/>
  <c r="G93" i="119" a="1"/>
  <c r="G93" i="119" s="1"/>
  <c r="F93" i="119" a="1"/>
  <c r="F93" i="119" s="1"/>
  <c r="E93" i="119" a="1"/>
  <c r="E93" i="119" s="1"/>
  <c r="D93" i="119" a="1"/>
  <c r="D93" i="119" s="1"/>
  <c r="S92" i="119" a="1"/>
  <c r="S92" i="119" s="1"/>
  <c r="R92" i="119" a="1"/>
  <c r="R92" i="119" s="1"/>
  <c r="Q92" i="119" a="1"/>
  <c r="Q92" i="119" s="1"/>
  <c r="P92" i="119" a="1"/>
  <c r="P92" i="119" s="1"/>
  <c r="O92" i="119" a="1"/>
  <c r="O92" i="119" s="1"/>
  <c r="N92" i="119" a="1"/>
  <c r="N92" i="119" s="1"/>
  <c r="M92" i="119" a="1"/>
  <c r="M92" i="119" s="1"/>
  <c r="L92" i="119" a="1"/>
  <c r="L92" i="119" s="1"/>
  <c r="K92" i="119" a="1"/>
  <c r="K92" i="119" s="1"/>
  <c r="J92" i="119" a="1"/>
  <c r="J92" i="119" s="1"/>
  <c r="I92" i="119" a="1"/>
  <c r="I92" i="119" s="1"/>
  <c r="H92" i="119" a="1"/>
  <c r="H92" i="119" s="1"/>
  <c r="G92" i="119" a="1"/>
  <c r="G92" i="119" s="1"/>
  <c r="F92" i="119" a="1"/>
  <c r="F92" i="119" s="1"/>
  <c r="E92" i="119" a="1"/>
  <c r="E92" i="119" s="1"/>
  <c r="D92" i="119" a="1"/>
  <c r="D92" i="119" s="1"/>
  <c r="S91" i="119" a="1"/>
  <c r="S91" i="119" s="1"/>
  <c r="R91" i="119" a="1"/>
  <c r="R91" i="119" s="1"/>
  <c r="Q91" i="119" a="1"/>
  <c r="Q91" i="119" s="1"/>
  <c r="P91" i="119" a="1"/>
  <c r="P91" i="119" s="1"/>
  <c r="O91" i="119" a="1"/>
  <c r="O91" i="119" s="1"/>
  <c r="N91" i="119" a="1"/>
  <c r="N91" i="119" s="1"/>
  <c r="M91" i="119" a="1"/>
  <c r="M91" i="119" s="1"/>
  <c r="L91" i="119" a="1"/>
  <c r="L91" i="119" s="1"/>
  <c r="K91" i="119" a="1"/>
  <c r="K91" i="119" s="1"/>
  <c r="J91" i="119" a="1"/>
  <c r="J91" i="119" s="1"/>
  <c r="I91" i="119" a="1"/>
  <c r="I91" i="119" s="1"/>
  <c r="H91" i="119" a="1"/>
  <c r="H91" i="119" s="1"/>
  <c r="G91" i="119" a="1"/>
  <c r="G91" i="119" s="1"/>
  <c r="F91" i="119" a="1"/>
  <c r="F91" i="119" s="1"/>
  <c r="E91" i="119" a="1"/>
  <c r="E91" i="119" s="1"/>
  <c r="D91" i="119" a="1"/>
  <c r="D91" i="119" s="1"/>
  <c r="S90" i="119" a="1"/>
  <c r="S90" i="119" s="1"/>
  <c r="R90" i="119" a="1"/>
  <c r="R90" i="119" s="1"/>
  <c r="Q90" i="119" a="1"/>
  <c r="Q90" i="119" s="1"/>
  <c r="P90" i="119" a="1"/>
  <c r="P90" i="119" s="1"/>
  <c r="O90" i="119" a="1"/>
  <c r="O90" i="119" s="1"/>
  <c r="N90" i="119" a="1"/>
  <c r="N90" i="119" s="1"/>
  <c r="M90" i="119" a="1"/>
  <c r="M90" i="119" s="1"/>
  <c r="L90" i="119" a="1"/>
  <c r="L90" i="119" s="1"/>
  <c r="K90" i="119" a="1"/>
  <c r="K90" i="119" s="1"/>
  <c r="J90" i="119" a="1"/>
  <c r="J90" i="119" s="1"/>
  <c r="I90" i="119" a="1"/>
  <c r="I90" i="119" s="1"/>
  <c r="H90" i="119" a="1"/>
  <c r="H90" i="119" s="1"/>
  <c r="G90" i="119" a="1"/>
  <c r="G90" i="119" s="1"/>
  <c r="F90" i="119" a="1"/>
  <c r="F90" i="119" s="1"/>
  <c r="E90" i="119" a="1"/>
  <c r="E90" i="119" s="1"/>
  <c r="D90" i="119" a="1"/>
  <c r="D90" i="119" s="1"/>
  <c r="D83" i="119" a="1"/>
  <c r="D83" i="119" s="1"/>
  <c r="D82" i="119" a="1"/>
  <c r="D82" i="119" s="1"/>
  <c r="D81" i="119" a="1"/>
  <c r="D81" i="119" s="1"/>
  <c r="E77" i="119" a="1"/>
  <c r="E77" i="119" s="1"/>
  <c r="D77" i="119" a="1"/>
  <c r="D77" i="119" s="1"/>
  <c r="E76" i="119" a="1"/>
  <c r="E76" i="119" s="1"/>
  <c r="D76" i="119" a="1"/>
  <c r="D76" i="119" s="1"/>
  <c r="E75" i="119" a="1"/>
  <c r="E75" i="119" s="1"/>
  <c r="D75" i="119" a="1"/>
  <c r="D75" i="119" s="1"/>
  <c r="E74" i="119" a="1"/>
  <c r="E74" i="119" s="1"/>
  <c r="D74" i="119" a="1"/>
  <c r="D74" i="119" s="1"/>
  <c r="E73" i="119" a="1"/>
  <c r="E73" i="119" s="1"/>
  <c r="D73" i="119" a="1"/>
  <c r="D73" i="119" s="1"/>
  <c r="E72" i="119" a="1"/>
  <c r="E72" i="119" s="1"/>
  <c r="D72" i="119" a="1"/>
  <c r="D72" i="119" s="1"/>
  <c r="E71" i="119" a="1"/>
  <c r="E71" i="119" s="1"/>
  <c r="D71" i="119" a="1"/>
  <c r="D71" i="119" s="1"/>
  <c r="E70" i="119" a="1"/>
  <c r="E70" i="119" s="1"/>
  <c r="D70" i="119" a="1"/>
  <c r="D70" i="119" s="1"/>
  <c r="E69" i="119" a="1"/>
  <c r="E69" i="119" s="1"/>
  <c r="D69" i="119" a="1"/>
  <c r="D69" i="119" s="1"/>
  <c r="E68" i="119" a="1"/>
  <c r="E68" i="119" s="1"/>
  <c r="D68" i="119" a="1"/>
  <c r="D68" i="119" s="1"/>
  <c r="E67" i="119" a="1"/>
  <c r="E67" i="119" s="1"/>
  <c r="D67" i="119" a="1"/>
  <c r="D67" i="119" s="1"/>
  <c r="E66" i="119" a="1"/>
  <c r="E66" i="119" s="1"/>
  <c r="D66" i="119" a="1"/>
  <c r="D66" i="119" s="1"/>
  <c r="E65" i="119" a="1"/>
  <c r="E65" i="119" s="1"/>
  <c r="D65" i="119" a="1"/>
  <c r="D65" i="119" s="1"/>
  <c r="E64" i="119" a="1"/>
  <c r="E64" i="119" s="1"/>
  <c r="D64" i="119" a="1"/>
  <c r="D64" i="119" s="1"/>
  <c r="D59" i="119" a="1"/>
  <c r="D59" i="119" s="1"/>
  <c r="D58" i="119" a="1"/>
  <c r="D58" i="119" s="1"/>
  <c r="D57" i="119" a="1"/>
  <c r="D57" i="119" s="1"/>
  <c r="G54" i="119" a="1"/>
  <c r="G54" i="119" s="1"/>
  <c r="F54" i="119" a="1"/>
  <c r="F54" i="119" s="1"/>
  <c r="E54" i="119" a="1"/>
  <c r="E54" i="119" s="1"/>
  <c r="D54" i="119" a="1"/>
  <c r="D54" i="119" s="1"/>
  <c r="G53" i="119" a="1"/>
  <c r="G53" i="119" s="1"/>
  <c r="F53" i="119" a="1"/>
  <c r="F53" i="119" s="1"/>
  <c r="E53" i="119" a="1"/>
  <c r="E53" i="119" s="1"/>
  <c r="D53" i="119" a="1"/>
  <c r="D53" i="119" s="1"/>
  <c r="G52" i="119" a="1"/>
  <c r="G52" i="119" s="1"/>
  <c r="F52" i="119" a="1"/>
  <c r="F52" i="119" s="1"/>
  <c r="E52" i="119" a="1"/>
  <c r="E52" i="119" s="1"/>
  <c r="D52" i="119" a="1"/>
  <c r="D52" i="119" s="1"/>
  <c r="G51" i="119" a="1"/>
  <c r="G51" i="119" s="1"/>
  <c r="F51" i="119" a="1"/>
  <c r="F51" i="119" s="1"/>
  <c r="E51" i="119" a="1"/>
  <c r="E51" i="119" s="1"/>
  <c r="D51" i="119" a="1"/>
  <c r="D51" i="119" s="1"/>
  <c r="G50" i="119" a="1"/>
  <c r="G50" i="119" s="1"/>
  <c r="F50" i="119" a="1"/>
  <c r="F50" i="119" s="1"/>
  <c r="E50" i="119" a="1"/>
  <c r="E50" i="119" s="1"/>
  <c r="D50" i="119" a="1"/>
  <c r="D50" i="119" s="1"/>
  <c r="G49" i="119" a="1"/>
  <c r="G49" i="119" s="1"/>
  <c r="F49" i="119" a="1"/>
  <c r="F49" i="119" s="1"/>
  <c r="E49" i="119" a="1"/>
  <c r="E49" i="119" s="1"/>
  <c r="D49" i="119" a="1"/>
  <c r="D49" i="119" s="1"/>
  <c r="G48" i="119" a="1"/>
  <c r="G48" i="119" s="1"/>
  <c r="F48" i="119" a="1"/>
  <c r="F48" i="119" s="1"/>
  <c r="E48" i="119" a="1"/>
  <c r="E48" i="119" s="1"/>
  <c r="D48" i="119" a="1"/>
  <c r="D48" i="119" s="1"/>
  <c r="D46" i="119" a="1"/>
  <c r="D46" i="119" s="1"/>
  <c r="D45" i="119" a="1"/>
  <c r="D45" i="119" s="1"/>
  <c r="E43" i="119" a="1"/>
  <c r="E43" i="119" s="1"/>
  <c r="D43" i="119" a="1"/>
  <c r="D43" i="119" s="1"/>
  <c r="E42" i="119" a="1"/>
  <c r="E42" i="119" s="1"/>
  <c r="D42" i="119" a="1"/>
  <c r="D42" i="119" s="1"/>
  <c r="E41" i="119" a="1"/>
  <c r="E41" i="119" s="1"/>
  <c r="D41" i="119" a="1"/>
  <c r="D41" i="119" s="1"/>
  <c r="E40" i="119" a="1"/>
  <c r="E40" i="119" s="1"/>
  <c r="D40" i="119" a="1"/>
  <c r="D40" i="119" s="1"/>
  <c r="E39" i="119" a="1"/>
  <c r="E39" i="119" s="1"/>
  <c r="D39" i="119" a="1"/>
  <c r="D39" i="119" s="1"/>
  <c r="E38" i="119" a="1"/>
  <c r="E38" i="119" s="1"/>
  <c r="D38" i="119" a="1"/>
  <c r="D38" i="119" s="1"/>
  <c r="E37" i="119" a="1"/>
  <c r="E37" i="119" s="1"/>
  <c r="D37" i="119" a="1"/>
  <c r="D37" i="119" s="1"/>
  <c r="D35" i="119" a="1"/>
  <c r="D35" i="119" s="1"/>
  <c r="D34" i="119" a="1"/>
  <c r="D34" i="119" s="1"/>
  <c r="D30" i="119" a="1"/>
  <c r="D30" i="119" s="1"/>
  <c r="D29" i="119" a="1"/>
  <c r="D29" i="119" s="1"/>
  <c r="D28" i="119" a="1"/>
  <c r="D28" i="119" s="1"/>
  <c r="D27" i="119" a="1"/>
  <c r="D27" i="119" s="1"/>
  <c r="D26" i="119" a="1"/>
  <c r="D26" i="119" s="1"/>
  <c r="D25" i="119" a="1"/>
  <c r="D25" i="119" s="1"/>
  <c r="D24" i="119" a="1"/>
  <c r="D24" i="119" s="1"/>
  <c r="D23" i="119" a="1"/>
  <c r="D23" i="119" s="1"/>
  <c r="D22" i="119" a="1"/>
  <c r="D22" i="119" s="1"/>
  <c r="D21" i="119" a="1"/>
  <c r="D21" i="119" s="1"/>
  <c r="D19" i="119" a="1"/>
  <c r="D19" i="119" s="1"/>
  <c r="D18" i="119" a="1"/>
  <c r="D18" i="119" s="1"/>
  <c r="F14" i="119" a="1"/>
  <c r="F14" i="119" s="1"/>
  <c r="E14" i="119" a="1"/>
  <c r="E14" i="119" s="1"/>
  <c r="D14" i="119" a="1"/>
  <c r="D14" i="119" s="1"/>
  <c r="F13" i="119" a="1"/>
  <c r="F13" i="119" s="1"/>
  <c r="E13" i="119" a="1"/>
  <c r="E13" i="119" s="1"/>
  <c r="D13" i="119" a="1"/>
  <c r="D13" i="119" s="1"/>
  <c r="F12" i="119" a="1"/>
  <c r="F12" i="119" s="1"/>
  <c r="E12" i="119" a="1"/>
  <c r="E12" i="119" s="1"/>
  <c r="D12" i="119" a="1"/>
  <c r="D12" i="119" s="1"/>
  <c r="F11" i="119" a="1"/>
  <c r="F11" i="119" s="1"/>
  <c r="E11" i="119" a="1"/>
  <c r="E11" i="119" s="1"/>
  <c r="D11" i="119" a="1"/>
  <c r="D11" i="119" s="1"/>
  <c r="F10" i="119" a="1"/>
  <c r="F10" i="119" s="1"/>
  <c r="E10" i="119" a="1"/>
  <c r="E10" i="119" s="1"/>
  <c r="D10" i="119" a="1"/>
  <c r="D10" i="119" s="1"/>
  <c r="F9" i="119" a="1"/>
  <c r="F9" i="119" s="1"/>
  <c r="E9" i="119" a="1"/>
  <c r="E9" i="119" s="1"/>
  <c r="D9" i="119" a="1"/>
  <c r="D9" i="119" s="1"/>
  <c r="F8" i="119" a="1"/>
  <c r="F8" i="119" s="1"/>
  <c r="E8" i="119" a="1"/>
  <c r="E8" i="119" s="1"/>
  <c r="D8" i="119" a="1"/>
  <c r="D8" i="119" s="1"/>
  <c r="F7" i="119" a="1"/>
  <c r="F7" i="119" s="1"/>
  <c r="E7" i="119" a="1"/>
  <c r="E7" i="119" s="1"/>
  <c r="D7" i="119" a="1"/>
  <c r="D7" i="119" s="1"/>
  <c r="D5" i="119" a="1"/>
  <c r="D5" i="119" s="1"/>
  <c r="A15" i="110"/>
  <c r="A14" i="110"/>
  <c r="A11" i="110"/>
  <c r="A8" i="110"/>
  <c r="A5" i="110"/>
  <c r="A4" i="110"/>
  <c r="A3" i="110"/>
  <c r="A15" i="69"/>
  <c r="A14" i="69"/>
  <c r="A11" i="69"/>
  <c r="A8" i="69"/>
  <c r="A5" i="69"/>
  <c r="A4" i="69"/>
  <c r="A3" i="69"/>
  <c r="A15" i="13"/>
  <c r="A14" i="13"/>
  <c r="A11" i="13"/>
  <c r="A8" i="13"/>
  <c r="A5" i="13"/>
  <c r="A4" i="13"/>
  <c r="A3" i="13"/>
  <c r="A15" i="118"/>
  <c r="A14" i="118"/>
  <c r="A11" i="118"/>
  <c r="A8" i="118"/>
  <c r="A5" i="118"/>
  <c r="A4" i="118"/>
  <c r="A3" i="118"/>
  <c r="A8" i="70"/>
  <c r="A14" i="70"/>
  <c r="A11" i="70"/>
  <c r="I57" i="69" a="1"/>
  <c r="I57" i="69" s="1"/>
  <c r="I56" i="69" a="1"/>
  <c r="I56" i="69" s="1"/>
  <c r="G14" i="69" a="1"/>
  <c r="G14" i="69" s="1"/>
  <c r="D14" i="69" a="1"/>
  <c r="D14" i="69" s="1"/>
  <c r="G56" i="69" a="1"/>
  <c r="G56" i="69" s="1"/>
  <c r="D56" i="69" a="1"/>
  <c r="D56" i="69" s="1"/>
  <c r="J18" i="13"/>
  <c r="J17" i="13"/>
  <c r="J16" i="13"/>
  <c r="J15" i="13"/>
  <c r="J14" i="13"/>
  <c r="G18" i="13"/>
  <c r="G17" i="13"/>
  <c r="G16" i="13"/>
  <c r="G15" i="13"/>
  <c r="G14" i="13"/>
  <c r="E54" i="69" a="1"/>
  <c r="E54" i="69" s="1"/>
  <c r="F73" i="69" s="1"/>
  <c r="E53" i="69" a="1"/>
  <c r="E53" i="69" s="1"/>
  <c r="D49" i="69" a="1"/>
  <c r="D49" i="69" s="1"/>
  <c r="D71" i="69"/>
  <c r="D70" i="69"/>
  <c r="D69" i="69"/>
  <c r="D68" i="69"/>
  <c r="D67" i="69"/>
  <c r="D7" i="69" a="1"/>
  <c r="D7" i="69" s="1"/>
  <c r="E50" i="69" a="1"/>
  <c r="H53" i="119" l="1"/>
  <c r="H50" i="119"/>
  <c r="H54" i="119"/>
  <c r="H52" i="119"/>
  <c r="H51" i="119"/>
  <c r="H49" i="119"/>
  <c r="H48" i="119"/>
  <c r="E50" i="69"/>
  <c r="I31" i="69" l="1"/>
  <c r="I30" i="69"/>
  <c r="I29" i="69"/>
  <c r="I28" i="69"/>
  <c r="I27" i="69"/>
  <c r="E12" i="69" a="1"/>
  <c r="E12" i="69" s="1"/>
  <c r="E11" i="69" a="1"/>
  <c r="E11" i="69" s="1"/>
  <c r="D6" i="69" a="1"/>
  <c r="D6" i="69" s="1"/>
  <c r="D5" i="69" a="1"/>
  <c r="D5" i="69" s="1"/>
  <c r="E174" i="110" a="1"/>
  <c r="E174" i="110" s="1"/>
  <c r="D174" i="110" a="1"/>
  <c r="D174" i="110" s="1"/>
  <c r="E173" i="110" a="1"/>
  <c r="E173" i="110" s="1"/>
  <c r="D173" i="110" a="1"/>
  <c r="D173" i="110" s="1"/>
  <c r="E172" i="110" a="1"/>
  <c r="E172" i="110" s="1"/>
  <c r="D172" i="110" a="1"/>
  <c r="D172" i="110" s="1"/>
  <c r="E171" i="110" a="1"/>
  <c r="E171" i="110" s="1"/>
  <c r="D171" i="110" a="1"/>
  <c r="D171" i="110" s="1"/>
  <c r="E170" i="110" a="1"/>
  <c r="E170" i="110" s="1"/>
  <c r="D170" i="110" a="1"/>
  <c r="D170" i="110" s="1"/>
  <c r="E169" i="110" a="1"/>
  <c r="E169" i="110" s="1"/>
  <c r="D169" i="110" a="1"/>
  <c r="D169" i="110" s="1"/>
  <c r="E168" i="110" a="1"/>
  <c r="E168" i="110" s="1"/>
  <c r="D168" i="110" a="1"/>
  <c r="D168" i="110" s="1"/>
  <c r="D165" i="110" a="1"/>
  <c r="D165" i="110" s="1"/>
  <c r="D164" i="110" a="1"/>
  <c r="D164" i="110" s="1"/>
  <c r="F102" i="110" a="1"/>
  <c r="F102" i="110" s="1"/>
  <c r="E102" i="110" a="1"/>
  <c r="E102" i="110" s="1"/>
  <c r="D102" i="110" a="1"/>
  <c r="D102" i="110" s="1"/>
  <c r="D161" i="110" s="1"/>
  <c r="F101" i="110" a="1"/>
  <c r="F101" i="110" s="1"/>
  <c r="E101" i="110" a="1"/>
  <c r="E101" i="110" s="1"/>
  <c r="D101" i="110" a="1"/>
  <c r="D101" i="110" s="1"/>
  <c r="D160" i="110" s="1"/>
  <c r="F100" i="110" a="1"/>
  <c r="F100" i="110" s="1"/>
  <c r="E100" i="110" a="1"/>
  <c r="E100" i="110" s="1"/>
  <c r="D100" i="110" a="1"/>
  <c r="D100" i="110" s="1"/>
  <c r="D159" i="110" s="1"/>
  <c r="F99" i="110" a="1"/>
  <c r="F99" i="110" s="1"/>
  <c r="E99" i="110" a="1"/>
  <c r="E99" i="110" s="1"/>
  <c r="D99" i="110" a="1"/>
  <c r="D99" i="110" s="1"/>
  <c r="D158" i="110" s="1"/>
  <c r="F98" i="110" a="1"/>
  <c r="F98" i="110" s="1"/>
  <c r="E98" i="110" a="1"/>
  <c r="E98" i="110" s="1"/>
  <c r="D98" i="110" a="1"/>
  <c r="D98" i="110" s="1"/>
  <c r="D157" i="110" s="1"/>
  <c r="F97" i="110" a="1"/>
  <c r="F97" i="110" s="1"/>
  <c r="E97" i="110" a="1"/>
  <c r="E97" i="110" s="1"/>
  <c r="H156" i="110" s="1" a="1"/>
  <c r="H156" i="110" s="1"/>
  <c r="D97" i="110" a="1"/>
  <c r="D97" i="110" s="1"/>
  <c r="D156" i="110" s="1"/>
  <c r="F96" i="110" a="1"/>
  <c r="F96" i="110" s="1"/>
  <c r="E96" i="110" a="1"/>
  <c r="E96" i="110" s="1"/>
  <c r="D96" i="110" a="1"/>
  <c r="D96" i="110" s="1"/>
  <c r="D155" i="110" s="1"/>
  <c r="F95" i="110" a="1"/>
  <c r="F95" i="110" s="1"/>
  <c r="E95" i="110" a="1"/>
  <c r="E95" i="110" s="1"/>
  <c r="D95" i="110" a="1"/>
  <c r="D95" i="110" s="1"/>
  <c r="D154" i="110" s="1"/>
  <c r="F94" i="110" a="1"/>
  <c r="F94" i="110" s="1"/>
  <c r="E94" i="110" a="1"/>
  <c r="E94" i="110" s="1"/>
  <c r="D94" i="110" a="1"/>
  <c r="D94" i="110" s="1"/>
  <c r="D153" i="110" s="1"/>
  <c r="F93" i="110" a="1"/>
  <c r="F93" i="110" s="1"/>
  <c r="E93" i="110" a="1"/>
  <c r="E93" i="110" s="1"/>
  <c r="D93" i="110" a="1"/>
  <c r="D93" i="110" s="1"/>
  <c r="D152" i="110" s="1"/>
  <c r="F92" i="110" a="1"/>
  <c r="F92" i="110" s="1"/>
  <c r="E92" i="110" a="1"/>
  <c r="E92" i="110" s="1"/>
  <c r="D92" i="110" a="1"/>
  <c r="D92" i="110" s="1"/>
  <c r="D151" i="110" s="1"/>
  <c r="F91" i="110" a="1"/>
  <c r="F91" i="110" s="1"/>
  <c r="E91" i="110" a="1"/>
  <c r="E91" i="110" s="1"/>
  <c r="D91" i="110" a="1"/>
  <c r="D91" i="110" s="1"/>
  <c r="D150" i="110" s="1"/>
  <c r="F90" i="110" a="1"/>
  <c r="F90" i="110" s="1"/>
  <c r="E90" i="110" a="1"/>
  <c r="E90" i="110" s="1"/>
  <c r="D90" i="110" a="1"/>
  <c r="D90" i="110" s="1"/>
  <c r="D149" i="110" s="1"/>
  <c r="F89" i="110" a="1"/>
  <c r="F89" i="110" s="1"/>
  <c r="E89" i="110" a="1"/>
  <c r="E89" i="110" s="1"/>
  <c r="D89" i="110" a="1"/>
  <c r="D89" i="110" s="1"/>
  <c r="D148" i="110" s="1"/>
  <c r="F88" i="110" a="1"/>
  <c r="F88" i="110" s="1"/>
  <c r="E88" i="110" a="1"/>
  <c r="E88" i="110" s="1"/>
  <c r="D88" i="110" a="1"/>
  <c r="D88" i="110" s="1"/>
  <c r="D147" i="110" s="1"/>
  <c r="F87" i="110" a="1"/>
  <c r="F87" i="110" s="1"/>
  <c r="E87" i="110" a="1"/>
  <c r="E87" i="110" s="1"/>
  <c r="D87" i="110" a="1"/>
  <c r="D87" i="110" s="1"/>
  <c r="D146" i="110" s="1"/>
  <c r="F86" i="110" a="1"/>
  <c r="F86" i="110" s="1"/>
  <c r="E86" i="110" a="1"/>
  <c r="E86" i="110" s="1"/>
  <c r="D86" i="110" a="1"/>
  <c r="D86" i="110" s="1"/>
  <c r="D145" i="110" s="1"/>
  <c r="F85" i="110" a="1"/>
  <c r="F85" i="110" s="1"/>
  <c r="E85" i="110" a="1"/>
  <c r="E85" i="110" s="1"/>
  <c r="D85" i="110" a="1"/>
  <c r="D85" i="110" s="1"/>
  <c r="D144" i="110" s="1"/>
  <c r="F84" i="110" a="1"/>
  <c r="F84" i="110" s="1"/>
  <c r="E84" i="110" a="1"/>
  <c r="E84" i="110" s="1"/>
  <c r="D84" i="110" a="1"/>
  <c r="D84" i="110" s="1"/>
  <c r="D143" i="110" s="1"/>
  <c r="F83" i="110" a="1"/>
  <c r="F83" i="110" s="1"/>
  <c r="E83" i="110" a="1"/>
  <c r="E83" i="110" s="1"/>
  <c r="D83" i="110" a="1"/>
  <c r="D83" i="110" s="1"/>
  <c r="D142" i="110" s="1"/>
  <c r="F82" i="110" a="1"/>
  <c r="F82" i="110" s="1"/>
  <c r="E82" i="110" a="1"/>
  <c r="E82" i="110" s="1"/>
  <c r="D82" i="110" a="1"/>
  <c r="D82" i="110" s="1"/>
  <c r="D141" i="110" s="1"/>
  <c r="F81" i="110" a="1"/>
  <c r="F81" i="110" s="1"/>
  <c r="E81" i="110" a="1"/>
  <c r="E81" i="110" s="1"/>
  <c r="D81" i="110" a="1"/>
  <c r="D81" i="110" s="1"/>
  <c r="D140" i="110" s="1"/>
  <c r="F80" i="110" a="1"/>
  <c r="F80" i="110" s="1"/>
  <c r="E80" i="110" a="1"/>
  <c r="E80" i="110" s="1"/>
  <c r="D80" i="110" a="1"/>
  <c r="D80" i="110" s="1"/>
  <c r="D139" i="110" s="1"/>
  <c r="F79" i="110" a="1"/>
  <c r="F79" i="110" s="1"/>
  <c r="E79" i="110" a="1"/>
  <c r="E79" i="110" s="1"/>
  <c r="D79" i="110" a="1"/>
  <c r="D79" i="110" s="1"/>
  <c r="D138" i="110" s="1"/>
  <c r="F78" i="110" a="1"/>
  <c r="F78" i="110" s="1"/>
  <c r="E78" i="110" a="1"/>
  <c r="E78" i="110" s="1"/>
  <c r="D78" i="110" a="1"/>
  <c r="D78" i="110" s="1"/>
  <c r="D137" i="110" s="1"/>
  <c r="F77" i="110" a="1"/>
  <c r="F77" i="110" s="1"/>
  <c r="E77" i="110" a="1"/>
  <c r="E77" i="110" s="1"/>
  <c r="D77" i="110" a="1"/>
  <c r="D77" i="110" s="1"/>
  <c r="D136" i="110" s="1"/>
  <c r="F76" i="110" a="1"/>
  <c r="F76" i="110" s="1"/>
  <c r="E76" i="110" a="1"/>
  <c r="E76" i="110" s="1"/>
  <c r="D76" i="110" a="1"/>
  <c r="D76" i="110" s="1"/>
  <c r="D135" i="110" s="1"/>
  <c r="F75" i="110" a="1"/>
  <c r="F75" i="110" s="1"/>
  <c r="E75" i="110" a="1"/>
  <c r="E75" i="110" s="1"/>
  <c r="D75" i="110" a="1"/>
  <c r="D75" i="110" s="1"/>
  <c r="D134" i="110" s="1"/>
  <c r="F74" i="110" a="1"/>
  <c r="F74" i="110" s="1"/>
  <c r="E74" i="110" a="1"/>
  <c r="E74" i="110" s="1"/>
  <c r="D74" i="110" a="1"/>
  <c r="D74" i="110" s="1"/>
  <c r="D133" i="110" s="1"/>
  <c r="F73" i="110" a="1"/>
  <c r="F73" i="110" s="1"/>
  <c r="E73" i="110" a="1"/>
  <c r="E73" i="110" s="1"/>
  <c r="D73" i="110" a="1"/>
  <c r="D73" i="110" s="1"/>
  <c r="D132" i="110" s="1"/>
  <c r="F72" i="110" a="1"/>
  <c r="F72" i="110" s="1"/>
  <c r="E72" i="110" a="1"/>
  <c r="E72" i="110" s="1"/>
  <c r="D72" i="110" a="1"/>
  <c r="D72" i="110" s="1"/>
  <c r="D131" i="110" s="1"/>
  <c r="F71" i="110" a="1"/>
  <c r="F71" i="110" s="1"/>
  <c r="E71" i="110" a="1"/>
  <c r="E71" i="110" s="1"/>
  <c r="D71" i="110" a="1"/>
  <c r="D71" i="110" s="1"/>
  <c r="D130" i="110" s="1"/>
  <c r="F70" i="110" a="1"/>
  <c r="F70" i="110" s="1"/>
  <c r="E70" i="110" a="1"/>
  <c r="E70" i="110" s="1"/>
  <c r="D70" i="110" a="1"/>
  <c r="D70" i="110" s="1"/>
  <c r="D129" i="110" s="1"/>
  <c r="F69" i="110" a="1"/>
  <c r="F69" i="110" s="1"/>
  <c r="E69" i="110" a="1"/>
  <c r="E69" i="110" s="1"/>
  <c r="D69" i="110" a="1"/>
  <c r="D69" i="110" s="1"/>
  <c r="D128" i="110" s="1"/>
  <c r="F68" i="110" a="1"/>
  <c r="F68" i="110" s="1"/>
  <c r="E68" i="110" a="1"/>
  <c r="E68" i="110" s="1"/>
  <c r="D68" i="110" a="1"/>
  <c r="D68" i="110" s="1"/>
  <c r="D127" i="110" s="1"/>
  <c r="F67" i="110" a="1"/>
  <c r="F67" i="110" s="1"/>
  <c r="E67" i="110" a="1"/>
  <c r="E67" i="110" s="1"/>
  <c r="D67" i="110" a="1"/>
  <c r="D67" i="110" s="1"/>
  <c r="D126" i="110" s="1"/>
  <c r="F66" i="110" a="1"/>
  <c r="F66" i="110" s="1"/>
  <c r="E66" i="110" a="1"/>
  <c r="E66" i="110" s="1"/>
  <c r="D66" i="110" a="1"/>
  <c r="D66" i="110" s="1"/>
  <c r="D125" i="110" s="1"/>
  <c r="F65" i="110" a="1"/>
  <c r="F65" i="110" s="1"/>
  <c r="E65" i="110" a="1"/>
  <c r="E65" i="110" s="1"/>
  <c r="D65" i="110" a="1"/>
  <c r="D65" i="110" s="1"/>
  <c r="D124" i="110" s="1"/>
  <c r="F64" i="110" a="1"/>
  <c r="F64" i="110" s="1"/>
  <c r="E64" i="110" a="1"/>
  <c r="E64" i="110" s="1"/>
  <c r="D64" i="110" a="1"/>
  <c r="D64" i="110" s="1"/>
  <c r="D123" i="110" s="1"/>
  <c r="F63" i="110" a="1"/>
  <c r="F63" i="110" s="1"/>
  <c r="E63" i="110" a="1"/>
  <c r="E63" i="110" s="1"/>
  <c r="D63" i="110" a="1"/>
  <c r="D63" i="110" s="1"/>
  <c r="D122" i="110" s="1"/>
  <c r="F62" i="110" a="1"/>
  <c r="F62" i="110" s="1"/>
  <c r="E62" i="110" a="1"/>
  <c r="E62" i="110" s="1"/>
  <c r="D62" i="110" a="1"/>
  <c r="D62" i="110" s="1"/>
  <c r="D121" i="110" s="1"/>
  <c r="F61" i="110" a="1"/>
  <c r="F61" i="110" s="1"/>
  <c r="E61" i="110" a="1"/>
  <c r="E61" i="110" s="1"/>
  <c r="D61" i="110" a="1"/>
  <c r="D61" i="110" s="1"/>
  <c r="D120" i="110" s="1"/>
  <c r="F60" i="110" a="1"/>
  <c r="F60" i="110" s="1"/>
  <c r="E60" i="110" a="1"/>
  <c r="E60" i="110" s="1"/>
  <c r="D60" i="110" a="1"/>
  <c r="D60" i="110" s="1"/>
  <c r="D119" i="110" s="1"/>
  <c r="F59" i="110" a="1"/>
  <c r="F59" i="110" s="1"/>
  <c r="E59" i="110" a="1"/>
  <c r="E59" i="110" s="1"/>
  <c r="D59" i="110" a="1"/>
  <c r="D59" i="110" s="1"/>
  <c r="D118" i="110" s="1"/>
  <c r="F58" i="110" a="1"/>
  <c r="F58" i="110" s="1"/>
  <c r="E58" i="110" a="1"/>
  <c r="E58" i="110" s="1"/>
  <c r="D58" i="110" a="1"/>
  <c r="D58" i="110" s="1"/>
  <c r="D117" i="110" s="1"/>
  <c r="F57" i="110" a="1"/>
  <c r="F57" i="110" s="1"/>
  <c r="E57" i="110" a="1"/>
  <c r="E57" i="110" s="1"/>
  <c r="D57" i="110" a="1"/>
  <c r="D57" i="110" s="1"/>
  <c r="D116" i="110" s="1"/>
  <c r="F56" i="110" a="1"/>
  <c r="F56" i="110" s="1"/>
  <c r="E56" i="110" a="1"/>
  <c r="E56" i="110" s="1"/>
  <c r="D56" i="110" a="1"/>
  <c r="D56" i="110" s="1"/>
  <c r="D115" i="110" s="1"/>
  <c r="F55" i="110" a="1"/>
  <c r="F55" i="110" s="1"/>
  <c r="E55" i="110" a="1"/>
  <c r="E55" i="110" s="1"/>
  <c r="D55" i="110" a="1"/>
  <c r="D55" i="110" s="1"/>
  <c r="D114" i="110" s="1"/>
  <c r="F54" i="110" a="1"/>
  <c r="F54" i="110" s="1"/>
  <c r="E54" i="110" a="1"/>
  <c r="E54" i="110" s="1"/>
  <c r="D54" i="110" a="1"/>
  <c r="D54" i="110" s="1"/>
  <c r="D113" i="110" s="1"/>
  <c r="F53" i="110" a="1"/>
  <c r="F53" i="110" s="1"/>
  <c r="E53" i="110" a="1"/>
  <c r="E53" i="110" s="1"/>
  <c r="D53" i="110" a="1"/>
  <c r="D53" i="110" s="1"/>
  <c r="D51" i="110" a="1"/>
  <c r="D51" i="110" s="1"/>
  <c r="D50" i="110" a="1"/>
  <c r="D50" i="110" s="1"/>
  <c r="D49" i="110" a="1"/>
  <c r="D49" i="110" s="1"/>
  <c r="D108" i="110" s="1"/>
  <c r="H46" i="110" a="1"/>
  <c r="H46" i="110" s="1"/>
  <c r="G46" i="110" a="1"/>
  <c r="G46" i="110" s="1"/>
  <c r="F46" i="110" a="1"/>
  <c r="F46" i="110" s="1"/>
  <c r="E46" i="110" a="1"/>
  <c r="E46" i="110" s="1"/>
  <c r="D46" i="110" a="1"/>
  <c r="D46" i="110" s="1"/>
  <c r="H45" i="110" a="1"/>
  <c r="H45" i="110" s="1"/>
  <c r="G45" i="110" a="1"/>
  <c r="G45" i="110" s="1"/>
  <c r="F45" i="110" a="1"/>
  <c r="F45" i="110" s="1"/>
  <c r="E45" i="110" a="1"/>
  <c r="E45" i="110" s="1"/>
  <c r="D45" i="110" a="1"/>
  <c r="D45" i="110" s="1"/>
  <c r="H44" i="110" a="1"/>
  <c r="H44" i="110" s="1"/>
  <c r="G44" i="110" a="1"/>
  <c r="G44" i="110" s="1"/>
  <c r="F44" i="110" a="1"/>
  <c r="F44" i="110" s="1"/>
  <c r="E44" i="110" a="1"/>
  <c r="E44" i="110" s="1"/>
  <c r="D44" i="110" a="1"/>
  <c r="D44" i="110" s="1"/>
  <c r="H43" i="110" a="1"/>
  <c r="H43" i="110" s="1"/>
  <c r="G43" i="110" a="1"/>
  <c r="G43" i="110" s="1"/>
  <c r="F43" i="110" a="1"/>
  <c r="F43" i="110" s="1"/>
  <c r="E43" i="110" a="1"/>
  <c r="E43" i="110" s="1"/>
  <c r="D43" i="110" a="1"/>
  <c r="D43" i="110" s="1"/>
  <c r="H42" i="110" a="1"/>
  <c r="H42" i="110" s="1"/>
  <c r="G42" i="110" a="1"/>
  <c r="G42" i="110" s="1"/>
  <c r="F42" i="110" a="1"/>
  <c r="F42" i="110" s="1"/>
  <c r="E42" i="110" a="1"/>
  <c r="E42" i="110" s="1"/>
  <c r="D42" i="110" a="1"/>
  <c r="D42" i="110" s="1"/>
  <c r="H41" i="110" a="1"/>
  <c r="H41" i="110" s="1"/>
  <c r="G41" i="110" a="1"/>
  <c r="G41" i="110" s="1"/>
  <c r="F41" i="110" a="1"/>
  <c r="F41" i="110" s="1"/>
  <c r="E41" i="110" a="1"/>
  <c r="E41" i="110" s="1"/>
  <c r="D41" i="110" a="1"/>
  <c r="D41" i="110" s="1"/>
  <c r="H40" i="110" a="1"/>
  <c r="H40" i="110" s="1"/>
  <c r="G40" i="110" a="1"/>
  <c r="G40" i="110" s="1"/>
  <c r="F40" i="110" a="1"/>
  <c r="F40" i="110" s="1"/>
  <c r="E40" i="110" a="1"/>
  <c r="E40" i="110" s="1"/>
  <c r="D40" i="110" a="1"/>
  <c r="D40" i="110" s="1"/>
  <c r="H39" i="110" a="1"/>
  <c r="H39" i="110" s="1"/>
  <c r="G39" i="110" a="1"/>
  <c r="G39" i="110" s="1"/>
  <c r="F39" i="110" a="1"/>
  <c r="F39" i="110" s="1"/>
  <c r="E39" i="110" a="1"/>
  <c r="E39" i="110" s="1"/>
  <c r="D39" i="110" a="1"/>
  <c r="D39" i="110" s="1"/>
  <c r="H38" i="110" a="1"/>
  <c r="H38" i="110" s="1"/>
  <c r="G38" i="110" a="1"/>
  <c r="G38" i="110" s="1"/>
  <c r="F38" i="110" a="1"/>
  <c r="F38" i="110" s="1"/>
  <c r="E38" i="110" a="1"/>
  <c r="E38" i="110" s="1"/>
  <c r="D38" i="110" a="1"/>
  <c r="D38" i="110" s="1"/>
  <c r="H37" i="110" a="1"/>
  <c r="H37" i="110" s="1"/>
  <c r="G37" i="110" a="1"/>
  <c r="G37" i="110" s="1"/>
  <c r="F37" i="110" a="1"/>
  <c r="F37" i="110" s="1"/>
  <c r="E37" i="110" a="1"/>
  <c r="E37" i="110" s="1"/>
  <c r="D37" i="110" a="1"/>
  <c r="D37" i="110" s="1"/>
  <c r="H36" i="110" a="1"/>
  <c r="H36" i="110" s="1"/>
  <c r="G36" i="110" a="1"/>
  <c r="G36" i="110" s="1"/>
  <c r="F36" i="110" a="1"/>
  <c r="F36" i="110" s="1"/>
  <c r="E36" i="110" a="1"/>
  <c r="E36" i="110" s="1"/>
  <c r="D36" i="110" a="1"/>
  <c r="D36" i="110" s="1"/>
  <c r="H35" i="110" a="1"/>
  <c r="H35" i="110" s="1"/>
  <c r="G35" i="110" a="1"/>
  <c r="G35" i="110" s="1"/>
  <c r="F35" i="110" a="1"/>
  <c r="F35" i="110" s="1"/>
  <c r="E35" i="110" a="1"/>
  <c r="E35" i="110" s="1"/>
  <c r="D35" i="110" a="1"/>
  <c r="D35" i="110" s="1"/>
  <c r="H34" i="110" a="1"/>
  <c r="H34" i="110" s="1"/>
  <c r="G34" i="110" a="1"/>
  <c r="G34" i="110" s="1"/>
  <c r="F34" i="110" a="1"/>
  <c r="F34" i="110" s="1"/>
  <c r="E34" i="110" a="1"/>
  <c r="E34" i="110" s="1"/>
  <c r="D34" i="110" a="1"/>
  <c r="D34" i="110" s="1"/>
  <c r="H33" i="110" a="1"/>
  <c r="H33" i="110" s="1"/>
  <c r="G33" i="110" a="1"/>
  <c r="G33" i="110" s="1"/>
  <c r="F33" i="110" a="1"/>
  <c r="F33" i="110" s="1"/>
  <c r="E33" i="110" a="1"/>
  <c r="E33" i="110" s="1"/>
  <c r="D33" i="110" a="1"/>
  <c r="D33" i="110" s="1"/>
  <c r="H32" i="110" a="1"/>
  <c r="H32" i="110" s="1"/>
  <c r="G32" i="110" a="1"/>
  <c r="G32" i="110" s="1"/>
  <c r="F32" i="110" a="1"/>
  <c r="F32" i="110" s="1"/>
  <c r="E32" i="110" a="1"/>
  <c r="E32" i="110" s="1"/>
  <c r="D32" i="110" a="1"/>
  <c r="D32" i="110" s="1"/>
  <c r="H31" i="110" a="1"/>
  <c r="H31" i="110" s="1"/>
  <c r="G31" i="110" a="1"/>
  <c r="G31" i="110" s="1"/>
  <c r="F31" i="110" a="1"/>
  <c r="F31" i="110" s="1"/>
  <c r="E31" i="110" a="1"/>
  <c r="E31" i="110" s="1"/>
  <c r="D31" i="110" a="1"/>
  <c r="D31" i="110" s="1"/>
  <c r="H30" i="110" a="1"/>
  <c r="H30" i="110" s="1"/>
  <c r="G30" i="110" a="1"/>
  <c r="G30" i="110" s="1"/>
  <c r="F30" i="110" a="1"/>
  <c r="F30" i="110" s="1"/>
  <c r="E30" i="110" a="1"/>
  <c r="E30" i="110" s="1"/>
  <c r="D30" i="110" a="1"/>
  <c r="D30" i="110" s="1"/>
  <c r="H29" i="110" a="1"/>
  <c r="H29" i="110" s="1"/>
  <c r="G29" i="110" a="1"/>
  <c r="G29" i="110" s="1"/>
  <c r="F29" i="110" a="1"/>
  <c r="F29" i="110" s="1"/>
  <c r="E29" i="110" a="1"/>
  <c r="E29" i="110" s="1"/>
  <c r="D29" i="110" a="1"/>
  <c r="D29" i="110" s="1"/>
  <c r="H28" i="110" a="1"/>
  <c r="H28" i="110" s="1"/>
  <c r="G28" i="110" a="1"/>
  <c r="G28" i="110" s="1"/>
  <c r="F28" i="110" a="1"/>
  <c r="F28" i="110" s="1"/>
  <c r="E28" i="110" a="1"/>
  <c r="E28" i="110" s="1"/>
  <c r="D28" i="110" a="1"/>
  <c r="D28" i="110" s="1"/>
  <c r="H27" i="110" a="1"/>
  <c r="H27" i="110" s="1"/>
  <c r="G27" i="110" a="1"/>
  <c r="G27" i="110" s="1"/>
  <c r="F27" i="110" a="1"/>
  <c r="F27" i="110" s="1"/>
  <c r="E27" i="110" a="1"/>
  <c r="E27" i="110" s="1"/>
  <c r="D27" i="110" a="1"/>
  <c r="D27" i="110" s="1"/>
  <c r="H26" i="110" a="1"/>
  <c r="H26" i="110" s="1"/>
  <c r="G26" i="110" a="1"/>
  <c r="G26" i="110" s="1"/>
  <c r="F26" i="110" a="1"/>
  <c r="F26" i="110" s="1"/>
  <c r="E26" i="110" a="1"/>
  <c r="E26" i="110" s="1"/>
  <c r="D26" i="110" a="1"/>
  <c r="D26" i="110" s="1"/>
  <c r="H25" i="110" a="1"/>
  <c r="H25" i="110" s="1"/>
  <c r="G25" i="110" a="1"/>
  <c r="G25" i="110" s="1"/>
  <c r="F25" i="110" a="1"/>
  <c r="F25" i="110" s="1"/>
  <c r="E25" i="110" a="1"/>
  <c r="E25" i="110" s="1"/>
  <c r="D25" i="110" a="1"/>
  <c r="D25" i="110" s="1"/>
  <c r="H24" i="110" a="1"/>
  <c r="H24" i="110" s="1"/>
  <c r="G24" i="110" a="1"/>
  <c r="G24" i="110" s="1"/>
  <c r="F24" i="110" a="1"/>
  <c r="F24" i="110" s="1"/>
  <c r="E24" i="110" a="1"/>
  <c r="E24" i="110" s="1"/>
  <c r="D24" i="110" a="1"/>
  <c r="D24" i="110" s="1"/>
  <c r="H23" i="110" a="1"/>
  <c r="H23" i="110" s="1"/>
  <c r="G23" i="110" a="1"/>
  <c r="G23" i="110" s="1"/>
  <c r="F23" i="110" a="1"/>
  <c r="F23" i="110" s="1"/>
  <c r="E23" i="110" a="1"/>
  <c r="E23" i="110" s="1"/>
  <c r="D23" i="110" a="1"/>
  <c r="D23" i="110" s="1"/>
  <c r="H22" i="110" a="1"/>
  <c r="H22" i="110" s="1"/>
  <c r="G22" i="110" a="1"/>
  <c r="G22" i="110" s="1"/>
  <c r="F22" i="110" a="1"/>
  <c r="F22" i="110" s="1"/>
  <c r="E22" i="110" a="1"/>
  <c r="E22" i="110" s="1"/>
  <c r="D22" i="110" a="1"/>
  <c r="D22" i="110" s="1"/>
  <c r="H21" i="110" a="1"/>
  <c r="H21" i="110" s="1"/>
  <c r="G21" i="110" a="1"/>
  <c r="G21" i="110" s="1"/>
  <c r="F21" i="110" a="1"/>
  <c r="F21" i="110" s="1"/>
  <c r="E21" i="110" a="1"/>
  <c r="E21" i="110" s="1"/>
  <c r="D21" i="110" a="1"/>
  <c r="D21" i="110" s="1"/>
  <c r="H20" i="110" a="1"/>
  <c r="H20" i="110" s="1"/>
  <c r="G20" i="110" a="1"/>
  <c r="G20" i="110" s="1"/>
  <c r="F20" i="110" a="1"/>
  <c r="F20" i="110" s="1"/>
  <c r="E20" i="110" a="1"/>
  <c r="E20" i="110" s="1"/>
  <c r="D20" i="110" a="1"/>
  <c r="D20" i="110" s="1"/>
  <c r="H19" i="110" a="1"/>
  <c r="H19" i="110" s="1"/>
  <c r="G19" i="110" a="1"/>
  <c r="G19" i="110" s="1"/>
  <c r="F19" i="110" a="1"/>
  <c r="F19" i="110" s="1"/>
  <c r="E19" i="110" a="1"/>
  <c r="E19" i="110" s="1"/>
  <c r="D19" i="110" a="1"/>
  <c r="D19" i="110" s="1"/>
  <c r="H18" i="110" a="1"/>
  <c r="H18" i="110" s="1"/>
  <c r="G18" i="110" a="1"/>
  <c r="G18" i="110" s="1"/>
  <c r="F18" i="110" a="1"/>
  <c r="F18" i="110" s="1"/>
  <c r="E18" i="110" a="1"/>
  <c r="E18" i="110" s="1"/>
  <c r="D18" i="110" a="1"/>
  <c r="D18" i="110" s="1"/>
  <c r="H17" i="110" a="1"/>
  <c r="H17" i="110" s="1"/>
  <c r="G17" i="110" a="1"/>
  <c r="G17" i="110" s="1"/>
  <c r="F17" i="110" a="1"/>
  <c r="F17" i="110" s="1"/>
  <c r="E17" i="110" a="1"/>
  <c r="E17" i="110" s="1"/>
  <c r="D17" i="110" a="1"/>
  <c r="D17" i="110" s="1"/>
  <c r="H16" i="110" a="1"/>
  <c r="H16" i="110" s="1"/>
  <c r="G16" i="110" a="1"/>
  <c r="G16" i="110" s="1"/>
  <c r="F16" i="110" a="1"/>
  <c r="F16" i="110" s="1"/>
  <c r="E16" i="110" a="1"/>
  <c r="E16" i="110" s="1"/>
  <c r="D16" i="110" a="1"/>
  <c r="D16" i="110" s="1"/>
  <c r="H15" i="110" a="1"/>
  <c r="H15" i="110" s="1"/>
  <c r="G15" i="110" a="1"/>
  <c r="G15" i="110" s="1"/>
  <c r="F15" i="110" a="1"/>
  <c r="F15" i="110" s="1"/>
  <c r="E15" i="110" a="1"/>
  <c r="E15" i="110" s="1"/>
  <c r="D15" i="110" a="1"/>
  <c r="D15" i="110" s="1"/>
  <c r="H14" i="110" a="1"/>
  <c r="H14" i="110" s="1"/>
  <c r="G14" i="110" a="1"/>
  <c r="G14" i="110" s="1"/>
  <c r="F14" i="110" a="1"/>
  <c r="F14" i="110" s="1"/>
  <c r="E14" i="110" a="1"/>
  <c r="E14" i="110" s="1"/>
  <c r="D14" i="110" a="1"/>
  <c r="D14" i="110" s="1"/>
  <c r="H13" i="110" a="1"/>
  <c r="H13" i="110" s="1"/>
  <c r="G13" i="110" a="1"/>
  <c r="G13" i="110" s="1"/>
  <c r="F13" i="110" a="1"/>
  <c r="F13" i="110" s="1"/>
  <c r="E13" i="110" a="1"/>
  <c r="E13" i="110" s="1"/>
  <c r="D13" i="110" a="1"/>
  <c r="D13" i="110" s="1"/>
  <c r="H12" i="110" a="1"/>
  <c r="H12" i="110" s="1"/>
  <c r="G12" i="110" a="1"/>
  <c r="G12" i="110" s="1"/>
  <c r="F12" i="110" a="1"/>
  <c r="F12" i="110" s="1"/>
  <c r="E12" i="110" a="1"/>
  <c r="E12" i="110" s="1"/>
  <c r="D12" i="110" a="1"/>
  <c r="D12" i="110" s="1"/>
  <c r="H11" i="110" a="1"/>
  <c r="H11" i="110" s="1"/>
  <c r="G11" i="110" a="1"/>
  <c r="G11" i="110" s="1"/>
  <c r="F11" i="110" a="1"/>
  <c r="F11" i="110" s="1"/>
  <c r="E11" i="110" a="1"/>
  <c r="E11" i="110" s="1"/>
  <c r="D11" i="110" a="1"/>
  <c r="D11" i="110" s="1"/>
  <c r="H10" i="110" a="1"/>
  <c r="H10" i="110" s="1"/>
  <c r="G10" i="110" a="1"/>
  <c r="G10" i="110" s="1"/>
  <c r="F10" i="110" a="1"/>
  <c r="F10" i="110" s="1"/>
  <c r="E10" i="110" a="1"/>
  <c r="E10" i="110" s="1"/>
  <c r="D10" i="110" a="1"/>
  <c r="D10" i="110" s="1"/>
  <c r="H9" i="110" a="1"/>
  <c r="H9" i="110" s="1"/>
  <c r="G9" i="110" a="1"/>
  <c r="G9" i="110" s="1"/>
  <c r="F9" i="110" a="1"/>
  <c r="F9" i="110" s="1"/>
  <c r="E9" i="110" a="1"/>
  <c r="E9" i="110" s="1"/>
  <c r="D9" i="110" a="1"/>
  <c r="D9" i="110" s="1"/>
  <c r="D7" i="110" a="1"/>
  <c r="D7" i="110" s="1"/>
  <c r="D6" i="110" a="1"/>
  <c r="D6" i="110" s="1"/>
  <c r="D5" i="110" a="1"/>
  <c r="D5" i="110" s="1"/>
  <c r="D107" i="110" s="1"/>
  <c r="E8" i="69" a="1"/>
  <c r="J31" i="69" l="1" a="1"/>
  <c r="J31" i="69" s="1"/>
  <c r="K31" i="69" s="1" a="1"/>
  <c r="K31" i="69" s="1"/>
  <c r="L31" i="69" s="1"/>
  <c r="J30" i="69" a="1"/>
  <c r="J30" i="69" s="1"/>
  <c r="K30" i="69" s="1" a="1"/>
  <c r="K30" i="69" s="1"/>
  <c r="L30" i="69" s="1"/>
  <c r="H117" i="110" a="1"/>
  <c r="H117" i="110" s="1"/>
  <c r="G117" i="110" a="1"/>
  <c r="G117" i="110" s="1"/>
  <c r="F117" i="110" a="1"/>
  <c r="F117" i="110" s="1"/>
  <c r="E117" i="110" a="1"/>
  <c r="E117" i="110" s="1"/>
  <c r="J126" i="110" a="1"/>
  <c r="J126" i="110" s="1"/>
  <c r="L126" i="110" a="1"/>
  <c r="L126" i="110" s="1"/>
  <c r="K126" i="110" a="1"/>
  <c r="K126" i="110" s="1"/>
  <c r="I126" i="110" a="1"/>
  <c r="I126" i="110" s="1"/>
  <c r="H131" i="110" a="1"/>
  <c r="H131" i="110" s="1"/>
  <c r="G131" i="110" a="1"/>
  <c r="G131" i="110" s="1"/>
  <c r="F131" i="110" a="1"/>
  <c r="F131" i="110" s="1"/>
  <c r="E131" i="110" a="1"/>
  <c r="E131" i="110" s="1"/>
  <c r="J140" i="110" a="1"/>
  <c r="J140" i="110" s="1"/>
  <c r="L140" i="110" a="1"/>
  <c r="L140" i="110" s="1"/>
  <c r="I140" i="110" a="1"/>
  <c r="I140" i="110" s="1"/>
  <c r="K140" i="110" a="1"/>
  <c r="K140" i="110" s="1"/>
  <c r="H145" i="110" a="1"/>
  <c r="H145" i="110" s="1"/>
  <c r="G145" i="110" a="1"/>
  <c r="G145" i="110" s="1"/>
  <c r="F145" i="110" a="1"/>
  <c r="F145" i="110" s="1"/>
  <c r="E145" i="110" a="1"/>
  <c r="E145" i="110" s="1"/>
  <c r="J154" i="110" a="1"/>
  <c r="J154" i="110" s="1"/>
  <c r="L154" i="110" a="1"/>
  <c r="L154" i="110" s="1"/>
  <c r="K154" i="110" a="1"/>
  <c r="K154" i="110" s="1"/>
  <c r="I154" i="110" a="1"/>
  <c r="I154" i="110" s="1"/>
  <c r="L117" i="110" a="1"/>
  <c r="L117" i="110" s="1"/>
  <c r="K117" i="110" a="1"/>
  <c r="K117" i="110" s="1"/>
  <c r="I117" i="110" a="1"/>
  <c r="I117" i="110" s="1"/>
  <c r="J117" i="110" a="1"/>
  <c r="J117" i="110" s="1"/>
  <c r="H122" i="110" a="1"/>
  <c r="H122" i="110" s="1"/>
  <c r="G122" i="110" a="1"/>
  <c r="G122" i="110" s="1"/>
  <c r="F122" i="110" a="1"/>
  <c r="F122" i="110" s="1"/>
  <c r="E122" i="110" a="1"/>
  <c r="E122" i="110" s="1"/>
  <c r="L131" i="110" a="1"/>
  <c r="L131" i="110" s="1"/>
  <c r="K131" i="110" a="1"/>
  <c r="K131" i="110" s="1"/>
  <c r="I131" i="110" a="1"/>
  <c r="I131" i="110" s="1"/>
  <c r="J131" i="110" a="1"/>
  <c r="J131" i="110" s="1"/>
  <c r="H136" i="110" a="1"/>
  <c r="H136" i="110" s="1"/>
  <c r="G136" i="110" a="1"/>
  <c r="G136" i="110" s="1"/>
  <c r="F136" i="110" a="1"/>
  <c r="F136" i="110" s="1"/>
  <c r="E136" i="110" a="1"/>
  <c r="E136" i="110" s="1"/>
  <c r="L145" i="110" a="1"/>
  <c r="L145" i="110" s="1"/>
  <c r="K145" i="110" a="1"/>
  <c r="K145" i="110" s="1"/>
  <c r="I145" i="110" a="1"/>
  <c r="I145" i="110" s="1"/>
  <c r="J145" i="110" a="1"/>
  <c r="J145" i="110" s="1"/>
  <c r="H150" i="110" a="1"/>
  <c r="H150" i="110" s="1"/>
  <c r="G150" i="110" a="1"/>
  <c r="G150" i="110" s="1"/>
  <c r="F150" i="110" a="1"/>
  <c r="F150" i="110" s="1"/>
  <c r="E150" i="110" a="1"/>
  <c r="E150" i="110" s="1"/>
  <c r="L160" i="110" a="1"/>
  <c r="L160" i="110" s="1"/>
  <c r="K160" i="110" a="1"/>
  <c r="K160" i="110" s="1"/>
  <c r="I160" i="110" a="1"/>
  <c r="I160" i="110" s="1"/>
  <c r="J160" i="110" a="1"/>
  <c r="J160" i="110" s="1"/>
  <c r="H112" i="110" a="1"/>
  <c r="H112" i="110" s="1"/>
  <c r="G112" i="110" a="1"/>
  <c r="G112" i="110" s="1"/>
  <c r="F112" i="110" a="1"/>
  <c r="F112" i="110" s="1"/>
  <c r="E112" i="110" a="1"/>
  <c r="E112" i="110" s="1"/>
  <c r="H111" i="110" a="1"/>
  <c r="H111" i="110" s="1"/>
  <c r="G111" i="110" a="1"/>
  <c r="G111" i="110" s="1"/>
  <c r="F111" i="110" a="1"/>
  <c r="F111" i="110" s="1"/>
  <c r="E111" i="110" a="1"/>
  <c r="E111" i="110" s="1"/>
  <c r="H110" i="110" a="1"/>
  <c r="H110" i="110" s="1"/>
  <c r="G110" i="110" a="1"/>
  <c r="G110" i="110" s="1"/>
  <c r="F110" i="110" a="1"/>
  <c r="F110" i="110" s="1"/>
  <c r="E110" i="110" a="1"/>
  <c r="E110" i="110" s="1"/>
  <c r="K121" i="110" a="1"/>
  <c r="K121" i="110" s="1"/>
  <c r="L121" i="110" a="1"/>
  <c r="L121" i="110" s="1"/>
  <c r="J121" i="110" a="1"/>
  <c r="J121" i="110" s="1"/>
  <c r="I121" i="110" a="1"/>
  <c r="I121" i="110" s="1"/>
  <c r="H126" i="110" a="1"/>
  <c r="H126" i="110" s="1"/>
  <c r="G126" i="110" a="1"/>
  <c r="G126" i="110" s="1"/>
  <c r="F126" i="110" a="1"/>
  <c r="F126" i="110" s="1"/>
  <c r="E126" i="110" a="1"/>
  <c r="E126" i="110" s="1"/>
  <c r="K149" i="110" a="1"/>
  <c r="K149" i="110" s="1"/>
  <c r="L149" i="110" a="1"/>
  <c r="L149" i="110" s="1"/>
  <c r="J149" i="110" a="1"/>
  <c r="J149" i="110" s="1"/>
  <c r="I149" i="110" a="1"/>
  <c r="I149" i="110" s="1"/>
  <c r="H113" i="110" a="1"/>
  <c r="H113" i="110" s="1"/>
  <c r="G113" i="110" a="1"/>
  <c r="G113" i="110" s="1"/>
  <c r="F113" i="110" a="1"/>
  <c r="F113" i="110" s="1"/>
  <c r="E113" i="110" a="1"/>
  <c r="E113" i="110" s="1"/>
  <c r="L122" i="110" a="1"/>
  <c r="L122" i="110" s="1"/>
  <c r="K122" i="110" a="1"/>
  <c r="K122" i="110" s="1"/>
  <c r="J122" i="110" a="1"/>
  <c r="J122" i="110" s="1"/>
  <c r="I122" i="110" a="1"/>
  <c r="I122" i="110" s="1"/>
  <c r="H127" i="110" a="1"/>
  <c r="H127" i="110" s="1"/>
  <c r="G127" i="110" a="1"/>
  <c r="G127" i="110" s="1"/>
  <c r="F127" i="110" a="1"/>
  <c r="F127" i="110" s="1"/>
  <c r="E127" i="110" a="1"/>
  <c r="E127" i="110" s="1"/>
  <c r="L136" i="110" a="1"/>
  <c r="L136" i="110" s="1"/>
  <c r="K136" i="110" a="1"/>
  <c r="K136" i="110" s="1"/>
  <c r="J136" i="110" a="1"/>
  <c r="J136" i="110" s="1"/>
  <c r="I136" i="110" a="1"/>
  <c r="I136" i="110" s="1"/>
  <c r="H141" i="110" a="1"/>
  <c r="H141" i="110" s="1"/>
  <c r="G141" i="110" a="1"/>
  <c r="G141" i="110" s="1"/>
  <c r="F141" i="110" a="1"/>
  <c r="F141" i="110" s="1"/>
  <c r="E141" i="110" a="1"/>
  <c r="E141" i="110" s="1"/>
  <c r="L150" i="110" a="1"/>
  <c r="L150" i="110" s="1"/>
  <c r="J150" i="110" a="1"/>
  <c r="J150" i="110" s="1"/>
  <c r="K150" i="110" a="1"/>
  <c r="K150" i="110" s="1"/>
  <c r="I150" i="110" a="1"/>
  <c r="I150" i="110" s="1"/>
  <c r="H155" i="110" a="1"/>
  <c r="H155" i="110" s="1"/>
  <c r="G155" i="110" a="1"/>
  <c r="G155" i="110" s="1"/>
  <c r="F155" i="110" a="1"/>
  <c r="F155" i="110" s="1"/>
  <c r="E155" i="110" a="1"/>
  <c r="E155" i="110" s="1"/>
  <c r="H159" i="110" a="1"/>
  <c r="H159" i="110" s="1"/>
  <c r="G159" i="110" a="1"/>
  <c r="G159" i="110" s="1"/>
  <c r="F159" i="110" a="1"/>
  <c r="F159" i="110" s="1"/>
  <c r="E159" i="110" a="1"/>
  <c r="E159" i="110" s="1"/>
  <c r="L113" i="110" a="1"/>
  <c r="L113" i="110" s="1"/>
  <c r="I113" i="110" a="1"/>
  <c r="I113" i="110" s="1"/>
  <c r="J113" i="110" a="1"/>
  <c r="J113" i="110" s="1"/>
  <c r="K113" i="110" a="1"/>
  <c r="K113" i="110" s="1"/>
  <c r="H118" i="110" a="1"/>
  <c r="H118" i="110" s="1"/>
  <c r="G118" i="110" a="1"/>
  <c r="G118" i="110" s="1"/>
  <c r="F118" i="110" a="1"/>
  <c r="F118" i="110" s="1"/>
  <c r="E118" i="110" a="1"/>
  <c r="E118" i="110" s="1"/>
  <c r="I155" i="110" a="1"/>
  <c r="I155" i="110" s="1"/>
  <c r="L155" i="110" a="1"/>
  <c r="L155" i="110" s="1"/>
  <c r="K155" i="110" a="1"/>
  <c r="K155" i="110" s="1"/>
  <c r="J155" i="110" a="1"/>
  <c r="J155" i="110" s="1"/>
  <c r="L159" i="110" a="1"/>
  <c r="L159" i="110" s="1"/>
  <c r="K159" i="110" a="1"/>
  <c r="K159" i="110" s="1"/>
  <c r="I159" i="110" a="1"/>
  <c r="I159" i="110" s="1"/>
  <c r="J159" i="110" a="1"/>
  <c r="J159" i="110" s="1"/>
  <c r="L132" i="110" a="1"/>
  <c r="L132" i="110" s="1"/>
  <c r="K132" i="110" a="1"/>
  <c r="K132" i="110" s="1"/>
  <c r="I132" i="110" a="1"/>
  <c r="I132" i="110" s="1"/>
  <c r="J132" i="110" a="1"/>
  <c r="J132" i="110" s="1"/>
  <c r="F137" i="110" a="1"/>
  <c r="F137" i="110" s="1"/>
  <c r="E137" i="110" a="1"/>
  <c r="E137" i="110" s="1"/>
  <c r="H137" i="110" a="1"/>
  <c r="H137" i="110" s="1"/>
  <c r="G137" i="110" a="1"/>
  <c r="G137" i="110" s="1"/>
  <c r="K146" i="110" a="1"/>
  <c r="K146" i="110" s="1"/>
  <c r="L146" i="110" a="1"/>
  <c r="L146" i="110" s="1"/>
  <c r="I146" i="110" a="1"/>
  <c r="I146" i="110" s="1"/>
  <c r="J146" i="110" a="1"/>
  <c r="J146" i="110" s="1"/>
  <c r="F151" i="110" a="1"/>
  <c r="F151" i="110" s="1"/>
  <c r="E151" i="110" a="1"/>
  <c r="E151" i="110" s="1"/>
  <c r="H151" i="110" a="1"/>
  <c r="H151" i="110" s="1"/>
  <c r="G151" i="110" a="1"/>
  <c r="G151" i="110" s="1"/>
  <c r="H114" i="110" a="1"/>
  <c r="H114" i="110" s="1"/>
  <c r="G114" i="110" a="1"/>
  <c r="G114" i="110" s="1"/>
  <c r="F114" i="110" a="1"/>
  <c r="F114" i="110" s="1"/>
  <c r="E114" i="110" a="1"/>
  <c r="E114" i="110" s="1"/>
  <c r="K123" i="110" a="1"/>
  <c r="K123" i="110" s="1"/>
  <c r="J123" i="110" a="1"/>
  <c r="J123" i="110" s="1"/>
  <c r="I123" i="110" a="1"/>
  <c r="I123" i="110" s="1"/>
  <c r="L123" i="110" a="1"/>
  <c r="L123" i="110" s="1"/>
  <c r="H128" i="110" a="1"/>
  <c r="H128" i="110" s="1"/>
  <c r="G128" i="110" a="1"/>
  <c r="G128" i="110" s="1"/>
  <c r="F128" i="110" a="1"/>
  <c r="F128" i="110" s="1"/>
  <c r="E128" i="110" a="1"/>
  <c r="E128" i="110" s="1"/>
  <c r="H160" i="110" a="1"/>
  <c r="H160" i="110" s="1"/>
  <c r="G160" i="110" a="1"/>
  <c r="G160" i="110" s="1"/>
  <c r="F160" i="110" a="1"/>
  <c r="F160" i="110" s="1"/>
  <c r="E160" i="110" a="1"/>
  <c r="E160" i="110" s="1"/>
  <c r="L114" i="110" a="1"/>
  <c r="L114" i="110" s="1"/>
  <c r="K114" i="110" a="1"/>
  <c r="K114" i="110" s="1"/>
  <c r="J114" i="110" a="1"/>
  <c r="J114" i="110" s="1"/>
  <c r="I114" i="110" a="1"/>
  <c r="I114" i="110" s="1"/>
  <c r="H119" i="110" a="1"/>
  <c r="H119" i="110" s="1"/>
  <c r="G119" i="110" a="1"/>
  <c r="G119" i="110" s="1"/>
  <c r="F119" i="110" a="1"/>
  <c r="F119" i="110" s="1"/>
  <c r="E119" i="110" a="1"/>
  <c r="E119" i="110" s="1"/>
  <c r="L142" i="110" a="1"/>
  <c r="L142" i="110" s="1"/>
  <c r="K142" i="110" a="1"/>
  <c r="K142" i="110" s="1"/>
  <c r="J142" i="110" a="1"/>
  <c r="J142" i="110" s="1"/>
  <c r="I142" i="110" a="1"/>
  <c r="I142" i="110" s="1"/>
  <c r="H147" i="110" a="1"/>
  <c r="H147" i="110" s="1"/>
  <c r="G147" i="110" a="1"/>
  <c r="G147" i="110" s="1"/>
  <c r="F147" i="110" a="1"/>
  <c r="F147" i="110" s="1"/>
  <c r="E147" i="110" a="1"/>
  <c r="E147" i="110" s="1"/>
  <c r="J133" i="110" a="1"/>
  <c r="J133" i="110" s="1"/>
  <c r="L133" i="110" a="1"/>
  <c r="L133" i="110" s="1"/>
  <c r="K133" i="110" a="1"/>
  <c r="K133" i="110" s="1"/>
  <c r="I133" i="110" a="1"/>
  <c r="I133" i="110" s="1"/>
  <c r="H138" i="110" a="1"/>
  <c r="H138" i="110" s="1"/>
  <c r="G138" i="110" a="1"/>
  <c r="G138" i="110" s="1"/>
  <c r="F138" i="110" a="1"/>
  <c r="F138" i="110" s="1"/>
  <c r="E138" i="110" a="1"/>
  <c r="E138" i="110" s="1"/>
  <c r="J147" i="110" a="1"/>
  <c r="J147" i="110" s="1"/>
  <c r="L147" i="110" a="1"/>
  <c r="L147" i="110" s="1"/>
  <c r="I147" i="110" a="1"/>
  <c r="I147" i="110" s="1"/>
  <c r="K147" i="110" a="1"/>
  <c r="K147" i="110" s="1"/>
  <c r="H152" i="110" a="1"/>
  <c r="H152" i="110" s="1"/>
  <c r="G152" i="110" a="1"/>
  <c r="G152" i="110" s="1"/>
  <c r="F152" i="110" a="1"/>
  <c r="F152" i="110" s="1"/>
  <c r="E152" i="110" a="1"/>
  <c r="E152" i="110" s="1"/>
  <c r="L156" i="110" a="1"/>
  <c r="L156" i="110" s="1"/>
  <c r="K156" i="110" a="1"/>
  <c r="K156" i="110" s="1"/>
  <c r="J156" i="110" a="1"/>
  <c r="J156" i="110" s="1"/>
  <c r="I156" i="110" a="1"/>
  <c r="I156" i="110" s="1"/>
  <c r="H115" i="110" a="1"/>
  <c r="H115" i="110" s="1"/>
  <c r="G115" i="110" a="1"/>
  <c r="G115" i="110" s="1"/>
  <c r="F115" i="110" a="1"/>
  <c r="F115" i="110" s="1"/>
  <c r="E115" i="110" a="1"/>
  <c r="E115" i="110" s="1"/>
  <c r="L124" i="110" a="1"/>
  <c r="L124" i="110" s="1"/>
  <c r="K124" i="110" a="1"/>
  <c r="K124" i="110" s="1"/>
  <c r="I124" i="110" a="1"/>
  <c r="I124" i="110" s="1"/>
  <c r="J124" i="110" a="1"/>
  <c r="J124" i="110" s="1"/>
  <c r="H129" i="110" a="1"/>
  <c r="H129" i="110" s="1"/>
  <c r="G129" i="110" a="1"/>
  <c r="G129" i="110" s="1"/>
  <c r="F129" i="110" a="1"/>
  <c r="F129" i="110" s="1"/>
  <c r="E129" i="110" a="1"/>
  <c r="E129" i="110" s="1"/>
  <c r="L138" i="110" a="1"/>
  <c r="L138" i="110" s="1"/>
  <c r="P138" i="110" s="1" a="1"/>
  <c r="P138" i="110" s="1"/>
  <c r="K138" i="110" a="1"/>
  <c r="K138" i="110" s="1"/>
  <c r="I138" i="110" a="1"/>
  <c r="I138" i="110" s="1"/>
  <c r="J138" i="110" a="1"/>
  <c r="J138" i="110" s="1"/>
  <c r="H143" i="110" a="1"/>
  <c r="H143" i="110" s="1"/>
  <c r="G143" i="110" a="1"/>
  <c r="G143" i="110" s="1"/>
  <c r="F143" i="110" a="1"/>
  <c r="F143" i="110" s="1"/>
  <c r="E143" i="110" a="1"/>
  <c r="E143" i="110" s="1"/>
  <c r="L152" i="110" a="1"/>
  <c r="L152" i="110" s="1"/>
  <c r="K152" i="110" a="1"/>
  <c r="K152" i="110" s="1"/>
  <c r="I152" i="110" a="1"/>
  <c r="I152" i="110" s="1"/>
  <c r="J152" i="110" a="1"/>
  <c r="J152" i="110" s="1"/>
  <c r="K135" i="110" a="1"/>
  <c r="K135" i="110" s="1"/>
  <c r="L135" i="110" a="1"/>
  <c r="L135" i="110" s="1"/>
  <c r="J135" i="110" a="1"/>
  <c r="J135" i="110" s="1"/>
  <c r="I135" i="110" a="1"/>
  <c r="I135" i="110" s="1"/>
  <c r="H140" i="110" a="1"/>
  <c r="H140" i="110" s="1"/>
  <c r="G140" i="110" a="1"/>
  <c r="G140" i="110" s="1"/>
  <c r="F140" i="110" a="1"/>
  <c r="F140" i="110" s="1"/>
  <c r="E140" i="110" a="1"/>
  <c r="E140" i="110" s="1"/>
  <c r="H154" i="110" a="1"/>
  <c r="H154" i="110" s="1"/>
  <c r="G154" i="110" a="1"/>
  <c r="G154" i="110" s="1"/>
  <c r="F154" i="110" a="1"/>
  <c r="F154" i="110" s="1"/>
  <c r="E154" i="110" a="1"/>
  <c r="E154" i="110" s="1"/>
  <c r="I127" i="110" a="1"/>
  <c r="I127" i="110" s="1"/>
  <c r="L127" i="110" a="1"/>
  <c r="L127" i="110" s="1"/>
  <c r="K127" i="110" a="1"/>
  <c r="K127" i="110" s="1"/>
  <c r="O127" i="110" s="1" a="1"/>
  <c r="O127" i="110" s="1"/>
  <c r="J127" i="110" a="1"/>
  <c r="J127" i="110" s="1"/>
  <c r="H132" i="110" a="1"/>
  <c r="H132" i="110" s="1"/>
  <c r="G132" i="110" a="1"/>
  <c r="G132" i="110" s="1"/>
  <c r="F132" i="110" a="1"/>
  <c r="F132" i="110" s="1"/>
  <c r="E132" i="110" a="1"/>
  <c r="E132" i="110" s="1"/>
  <c r="I141" i="110" a="1"/>
  <c r="I141" i="110" s="1"/>
  <c r="L141" i="110" a="1"/>
  <c r="L141" i="110" s="1"/>
  <c r="K141" i="110" a="1"/>
  <c r="K141" i="110" s="1"/>
  <c r="J141" i="110" a="1"/>
  <c r="J141" i="110" s="1"/>
  <c r="H146" i="110" a="1"/>
  <c r="H146" i="110" s="1"/>
  <c r="G146" i="110" a="1"/>
  <c r="G146" i="110" s="1"/>
  <c r="F146" i="110" a="1"/>
  <c r="F146" i="110" s="1"/>
  <c r="E146" i="110" a="1"/>
  <c r="E146" i="110" s="1"/>
  <c r="L118" i="110" a="1"/>
  <c r="L118" i="110" s="1"/>
  <c r="K118" i="110" a="1"/>
  <c r="K118" i="110" s="1"/>
  <c r="O118" i="110" s="1" a="1"/>
  <c r="O118" i="110" s="1"/>
  <c r="I118" i="110" a="1"/>
  <c r="I118" i="110" s="1"/>
  <c r="J118" i="110" a="1"/>
  <c r="J118" i="110" s="1"/>
  <c r="N118" i="110" s="1" a="1"/>
  <c r="N118" i="110" s="1"/>
  <c r="F123" i="110" a="1"/>
  <c r="F123" i="110" s="1"/>
  <c r="E123" i="110" a="1"/>
  <c r="E123" i="110" s="1"/>
  <c r="H123" i="110" a="1"/>
  <c r="H123" i="110" s="1"/>
  <c r="G123" i="110" a="1"/>
  <c r="G123" i="110" s="1"/>
  <c r="K137" i="110" a="1"/>
  <c r="K137" i="110" s="1"/>
  <c r="J137" i="110" a="1"/>
  <c r="J137" i="110" s="1"/>
  <c r="I137" i="110" a="1"/>
  <c r="I137" i="110" s="1"/>
  <c r="L137" i="110" a="1"/>
  <c r="L137" i="110" s="1"/>
  <c r="P137" i="110" s="1" a="1"/>
  <c r="P137" i="110" s="1"/>
  <c r="H142" i="110" a="1"/>
  <c r="H142" i="110" s="1"/>
  <c r="G142" i="110" a="1"/>
  <c r="G142" i="110" s="1"/>
  <c r="F142" i="110" a="1"/>
  <c r="F142" i="110" s="1"/>
  <c r="E142" i="110" a="1"/>
  <c r="E142" i="110" s="1"/>
  <c r="M142" i="110" s="1" a="1"/>
  <c r="M142" i="110" s="1"/>
  <c r="K151" i="110" a="1"/>
  <c r="K151" i="110" s="1"/>
  <c r="O151" i="110" s="1" a="1"/>
  <c r="O151" i="110" s="1"/>
  <c r="J151" i="110" a="1"/>
  <c r="J151" i="110" s="1"/>
  <c r="N151" i="110" s="1" a="1"/>
  <c r="N151" i="110" s="1"/>
  <c r="I151" i="110" a="1"/>
  <c r="I151" i="110" s="1"/>
  <c r="L151" i="110" a="1"/>
  <c r="L151" i="110" s="1"/>
  <c r="P151" i="110" s="1" a="1"/>
  <c r="P151" i="110" s="1"/>
  <c r="L128" i="110" a="1"/>
  <c r="L128" i="110" s="1"/>
  <c r="K128" i="110" a="1"/>
  <c r="K128" i="110" s="1"/>
  <c r="I128" i="110" a="1"/>
  <c r="I128" i="110" s="1"/>
  <c r="J128" i="110" a="1"/>
  <c r="J128" i="110" s="1"/>
  <c r="H133" i="110" a="1"/>
  <c r="H133" i="110" s="1"/>
  <c r="G133" i="110" a="1"/>
  <c r="G133" i="110" s="1"/>
  <c r="F133" i="110" a="1"/>
  <c r="F133" i="110" s="1"/>
  <c r="E133" i="110" a="1"/>
  <c r="E133" i="110" s="1"/>
  <c r="M133" i="110" s="1" a="1"/>
  <c r="M133" i="110" s="1"/>
  <c r="J119" i="110" a="1"/>
  <c r="J119" i="110" s="1"/>
  <c r="N119" i="110" s="1" a="1"/>
  <c r="N119" i="110" s="1"/>
  <c r="L119" i="110" a="1"/>
  <c r="L119" i="110" s="1"/>
  <c r="K119" i="110" a="1"/>
  <c r="K119" i="110" s="1"/>
  <c r="O119" i="110" s="1" a="1"/>
  <c r="O119" i="110" s="1"/>
  <c r="I119" i="110" a="1"/>
  <c r="I119" i="110" s="1"/>
  <c r="M119" i="110" s="1" a="1"/>
  <c r="M119" i="110" s="1"/>
  <c r="H124" i="110" a="1"/>
  <c r="H124" i="110" s="1"/>
  <c r="G124" i="110" a="1"/>
  <c r="G124" i="110" s="1"/>
  <c r="O124" i="110" s="1" a="1"/>
  <c r="O124" i="110" s="1"/>
  <c r="F124" i="110" a="1"/>
  <c r="F124" i="110" s="1"/>
  <c r="E124" i="110" a="1"/>
  <c r="E124" i="110" s="1"/>
  <c r="M124" i="110" s="1" a="1"/>
  <c r="M124" i="110" s="1"/>
  <c r="J129" i="110" a="1"/>
  <c r="J129" i="110" s="1"/>
  <c r="L129" i="110" a="1"/>
  <c r="L129" i="110" s="1"/>
  <c r="K129" i="110" a="1"/>
  <c r="K129" i="110" s="1"/>
  <c r="I129" i="110" a="1"/>
  <c r="I129" i="110" s="1"/>
  <c r="M129" i="110" s="1" a="1"/>
  <c r="M129" i="110" s="1"/>
  <c r="H134" i="110" a="1"/>
  <c r="H134" i="110" s="1"/>
  <c r="G134" i="110" a="1"/>
  <c r="G134" i="110" s="1"/>
  <c r="F134" i="110" a="1"/>
  <c r="F134" i="110" s="1"/>
  <c r="E134" i="110" a="1"/>
  <c r="E134" i="110" s="1"/>
  <c r="H157" i="110" a="1"/>
  <c r="H157" i="110" s="1"/>
  <c r="G157" i="110" a="1"/>
  <c r="G157" i="110" s="1"/>
  <c r="F157" i="110" a="1"/>
  <c r="F157" i="110" s="1"/>
  <c r="E157" i="110" a="1"/>
  <c r="E157" i="110" s="1"/>
  <c r="H161" i="110" a="1"/>
  <c r="H161" i="110" s="1"/>
  <c r="G161" i="110" a="1"/>
  <c r="G161" i="110" s="1"/>
  <c r="F161" i="110" a="1"/>
  <c r="F161" i="110" s="1"/>
  <c r="E161" i="110" a="1"/>
  <c r="E161" i="110" s="1"/>
  <c r="I148" i="110" a="1"/>
  <c r="I148" i="110" s="1"/>
  <c r="L148" i="110" a="1"/>
  <c r="L148" i="110" s="1"/>
  <c r="K148" i="110" a="1"/>
  <c r="K148" i="110" s="1"/>
  <c r="J148" i="110" a="1"/>
  <c r="J148" i="110" s="1"/>
  <c r="H153" i="110" a="1"/>
  <c r="H153" i="110" s="1"/>
  <c r="G153" i="110" a="1"/>
  <c r="G153" i="110" s="1"/>
  <c r="F153" i="110" a="1"/>
  <c r="F153" i="110" s="1"/>
  <c r="E153" i="110" a="1"/>
  <c r="E153" i="110" s="1"/>
  <c r="J161" i="110" a="1"/>
  <c r="J161" i="110" s="1"/>
  <c r="L161" i="110" a="1"/>
  <c r="L161" i="110" s="1"/>
  <c r="K161" i="110" a="1"/>
  <c r="K161" i="110" s="1"/>
  <c r="I161" i="110" a="1"/>
  <c r="I161" i="110" s="1"/>
  <c r="M161" i="110" s="1" a="1"/>
  <c r="M161" i="110" s="1"/>
  <c r="F116" i="110" a="1"/>
  <c r="F116" i="110" s="1"/>
  <c r="E116" i="110" a="1"/>
  <c r="E116" i="110" s="1"/>
  <c r="H116" i="110" a="1"/>
  <c r="H116" i="110" s="1"/>
  <c r="G116" i="110" a="1"/>
  <c r="G116" i="110" s="1"/>
  <c r="L125" i="110" a="1"/>
  <c r="L125" i="110" s="1"/>
  <c r="K125" i="110" a="1"/>
  <c r="K125" i="110" s="1"/>
  <c r="I125" i="110" a="1"/>
  <c r="I125" i="110" s="1"/>
  <c r="J125" i="110" a="1"/>
  <c r="J125" i="110" s="1"/>
  <c r="N125" i="110" s="1" a="1"/>
  <c r="N125" i="110" s="1"/>
  <c r="F130" i="110" a="1"/>
  <c r="F130" i="110" s="1"/>
  <c r="E130" i="110" a="1"/>
  <c r="E130" i="110" s="1"/>
  <c r="H130" i="110" a="1"/>
  <c r="H130" i="110" s="1"/>
  <c r="G130" i="110" a="1"/>
  <c r="G130" i="110" s="1"/>
  <c r="L139" i="110" a="1"/>
  <c r="L139" i="110" s="1"/>
  <c r="K139" i="110" a="1"/>
  <c r="K139" i="110" s="1"/>
  <c r="I139" i="110" a="1"/>
  <c r="I139" i="110" s="1"/>
  <c r="J139" i="110" a="1"/>
  <c r="J139" i="110" s="1"/>
  <c r="F144" i="110" a="1"/>
  <c r="F144" i="110" s="1"/>
  <c r="E144" i="110" a="1"/>
  <c r="E144" i="110" s="1"/>
  <c r="H144" i="110" a="1"/>
  <c r="H144" i="110" s="1"/>
  <c r="G144" i="110" a="1"/>
  <c r="G144" i="110" s="1"/>
  <c r="L153" i="110" a="1"/>
  <c r="L153" i="110" s="1"/>
  <c r="P153" i="110" s="1" a="1"/>
  <c r="P153" i="110" s="1"/>
  <c r="K153" i="110" a="1"/>
  <c r="K153" i="110" s="1"/>
  <c r="O153" i="110" s="1" a="1"/>
  <c r="O153" i="110" s="1"/>
  <c r="I153" i="110" a="1"/>
  <c r="I153" i="110" s="1"/>
  <c r="J153" i="110" a="1"/>
  <c r="J153" i="110" s="1"/>
  <c r="N153" i="110" s="1" a="1"/>
  <c r="N153" i="110" s="1"/>
  <c r="L115" i="110" a="1"/>
  <c r="L115" i="110" s="1"/>
  <c r="P115" i="110" s="1" a="1"/>
  <c r="P115" i="110" s="1"/>
  <c r="K115" i="110" a="1"/>
  <c r="K115" i="110" s="1"/>
  <c r="O115" i="110" s="1" a="1"/>
  <c r="O115" i="110" s="1"/>
  <c r="I115" i="110" a="1"/>
  <c r="I115" i="110" s="1"/>
  <c r="M115" i="110" s="1" a="1"/>
  <c r="M115" i="110" s="1"/>
  <c r="J115" i="110" a="1"/>
  <c r="J115" i="110" s="1"/>
  <c r="N115" i="110" s="1" a="1"/>
  <c r="N115" i="110" s="1"/>
  <c r="H120" i="110" a="1"/>
  <c r="H120" i="110" s="1"/>
  <c r="G120" i="110" a="1"/>
  <c r="G120" i="110" s="1"/>
  <c r="F120" i="110" a="1"/>
  <c r="F120" i="110" s="1"/>
  <c r="E120" i="110" a="1"/>
  <c r="E120" i="110" s="1"/>
  <c r="L143" i="110" a="1"/>
  <c r="L143" i="110" s="1"/>
  <c r="J143" i="110" a="1"/>
  <c r="J143" i="110" s="1"/>
  <c r="K143" i="110" a="1"/>
  <c r="K143" i="110" s="1"/>
  <c r="O143" i="110" s="1" a="1"/>
  <c r="O143" i="110" s="1"/>
  <c r="I143" i="110" a="1"/>
  <c r="I143" i="110" s="1"/>
  <c r="M143" i="110" s="1" a="1"/>
  <c r="M143" i="110" s="1"/>
  <c r="H148" i="110" a="1"/>
  <c r="H148" i="110" s="1"/>
  <c r="G148" i="110" a="1"/>
  <c r="G148" i="110" s="1"/>
  <c r="O148" i="110" s="1" a="1"/>
  <c r="O148" i="110" s="1"/>
  <c r="F148" i="110" a="1"/>
  <c r="F148" i="110" s="1"/>
  <c r="E148" i="110" a="1"/>
  <c r="E148" i="110" s="1"/>
  <c r="M148" i="110" s="1" a="1"/>
  <c r="M148" i="110" s="1"/>
  <c r="I120" i="110" a="1"/>
  <c r="I120" i="110" s="1"/>
  <c r="L120" i="110" a="1"/>
  <c r="L120" i="110" s="1"/>
  <c r="K120" i="110" a="1"/>
  <c r="K120" i="110" s="1"/>
  <c r="J120" i="110" a="1"/>
  <c r="J120" i="110" s="1"/>
  <c r="H125" i="110" a="1"/>
  <c r="H125" i="110" s="1"/>
  <c r="G125" i="110" a="1"/>
  <c r="G125" i="110" s="1"/>
  <c r="F125" i="110" a="1"/>
  <c r="F125" i="110" s="1"/>
  <c r="E125" i="110" a="1"/>
  <c r="E125" i="110" s="1"/>
  <c r="I134" i="110" a="1"/>
  <c r="I134" i="110" s="1"/>
  <c r="L134" i="110" a="1"/>
  <c r="L134" i="110" s="1"/>
  <c r="P134" i="110" s="1" a="1"/>
  <c r="P134" i="110" s="1"/>
  <c r="K134" i="110" a="1"/>
  <c r="K134" i="110" s="1"/>
  <c r="J134" i="110" a="1"/>
  <c r="J134" i="110" s="1"/>
  <c r="N134" i="110" s="1" a="1"/>
  <c r="N134" i="110" s="1"/>
  <c r="H139" i="110" a="1"/>
  <c r="H139" i="110" s="1"/>
  <c r="G139" i="110" a="1"/>
  <c r="G139" i="110" s="1"/>
  <c r="F139" i="110" a="1"/>
  <c r="F139" i="110" s="1"/>
  <c r="E139" i="110" a="1"/>
  <c r="E139" i="110" s="1"/>
  <c r="M139" i="110" s="1" a="1"/>
  <c r="M139" i="110" s="1"/>
  <c r="L157" i="110" a="1"/>
  <c r="L157" i="110" s="1"/>
  <c r="K157" i="110" a="1"/>
  <c r="K157" i="110" s="1"/>
  <c r="J157" i="110" a="1"/>
  <c r="J157" i="110" s="1"/>
  <c r="I157" i="110" a="1"/>
  <c r="I157" i="110" s="1"/>
  <c r="D110" i="110"/>
  <c r="D112" i="110"/>
  <c r="D111" i="110"/>
  <c r="K116" i="110" a="1"/>
  <c r="K116" i="110" s="1"/>
  <c r="O116" i="110" s="1" a="1"/>
  <c r="O116" i="110" s="1"/>
  <c r="J116" i="110" a="1"/>
  <c r="J116" i="110" s="1"/>
  <c r="N116" i="110" s="1" a="1"/>
  <c r="N116" i="110" s="1"/>
  <c r="I116" i="110" a="1"/>
  <c r="I116" i="110" s="1"/>
  <c r="M116" i="110" s="1" a="1"/>
  <c r="M116" i="110" s="1"/>
  <c r="L116" i="110" a="1"/>
  <c r="L116" i="110" s="1"/>
  <c r="H121" i="110" a="1"/>
  <c r="H121" i="110" s="1"/>
  <c r="P121" i="110" s="1" a="1"/>
  <c r="P121" i="110" s="1"/>
  <c r="G121" i="110" a="1"/>
  <c r="G121" i="110" s="1"/>
  <c r="O121" i="110" s="1" a="1"/>
  <c r="O121" i="110" s="1"/>
  <c r="F121" i="110" a="1"/>
  <c r="F121" i="110" s="1"/>
  <c r="N121" i="110" s="1" a="1"/>
  <c r="N121" i="110" s="1"/>
  <c r="E121" i="110" a="1"/>
  <c r="E121" i="110" s="1"/>
  <c r="M121" i="110" s="1" a="1"/>
  <c r="M121" i="110" s="1"/>
  <c r="K130" i="110" a="1"/>
  <c r="K130" i="110" s="1"/>
  <c r="J130" i="110" a="1"/>
  <c r="J130" i="110" s="1"/>
  <c r="I130" i="110" a="1"/>
  <c r="I130" i="110" s="1"/>
  <c r="L130" i="110" a="1"/>
  <c r="L130" i="110" s="1"/>
  <c r="H135" i="110" a="1"/>
  <c r="H135" i="110" s="1"/>
  <c r="G135" i="110" a="1"/>
  <c r="G135" i="110" s="1"/>
  <c r="O135" i="110" s="1" a="1"/>
  <c r="O135" i="110" s="1"/>
  <c r="F135" i="110" a="1"/>
  <c r="F135" i="110" s="1"/>
  <c r="E135" i="110" a="1"/>
  <c r="E135" i="110" s="1"/>
  <c r="K144" i="110" a="1"/>
  <c r="K144" i="110" s="1"/>
  <c r="O144" i="110" s="1" a="1"/>
  <c r="O144" i="110" s="1"/>
  <c r="J144" i="110" a="1"/>
  <c r="J144" i="110" s="1"/>
  <c r="I144" i="110" a="1"/>
  <c r="I144" i="110" s="1"/>
  <c r="L144" i="110" a="1"/>
  <c r="L144" i="110" s="1"/>
  <c r="P144" i="110" s="1" a="1"/>
  <c r="P144" i="110" s="1"/>
  <c r="H149" i="110" a="1"/>
  <c r="H149" i="110" s="1"/>
  <c r="P149" i="110" s="1" a="1"/>
  <c r="P149" i="110" s="1"/>
  <c r="G149" i="110" a="1"/>
  <c r="G149" i="110" s="1"/>
  <c r="O149" i="110" s="1" a="1"/>
  <c r="O149" i="110" s="1"/>
  <c r="F149" i="110" a="1"/>
  <c r="F149" i="110" s="1"/>
  <c r="N149" i="110" s="1" a="1"/>
  <c r="N149" i="110" s="1"/>
  <c r="E149" i="110" a="1"/>
  <c r="E149" i="110" s="1"/>
  <c r="F158" i="110" a="1"/>
  <c r="F158" i="110" s="1"/>
  <c r="E158" i="110" a="1"/>
  <c r="E158" i="110" s="1"/>
  <c r="H158" i="110" a="1"/>
  <c r="H158" i="110" s="1"/>
  <c r="G158" i="110" a="1"/>
  <c r="G158" i="110" s="1"/>
  <c r="K158" i="110" a="1"/>
  <c r="K158" i="110" s="1"/>
  <c r="O158" i="110" s="1" a="1"/>
  <c r="O158" i="110" s="1"/>
  <c r="J158" i="110" a="1"/>
  <c r="J158" i="110" s="1"/>
  <c r="N158" i="110" s="1" a="1"/>
  <c r="N158" i="110" s="1"/>
  <c r="I158" i="110" a="1"/>
  <c r="I158" i="110" s="1"/>
  <c r="L158" i="110" a="1"/>
  <c r="L158" i="110" s="1"/>
  <c r="J25" i="69" a="1"/>
  <c r="J25" i="69" s="1"/>
  <c r="K25" i="69" s="1" a="1"/>
  <c r="K25" i="69" s="1"/>
  <c r="L25" i="69" s="1"/>
  <c r="E156" i="110" a="1"/>
  <c r="E156" i="110" s="1"/>
  <c r="M156" i="110" s="1" a="1"/>
  <c r="M156" i="110" s="1"/>
  <c r="F156" i="110" a="1"/>
  <c r="F156" i="110" s="1"/>
  <c r="N156" i="110" s="1" a="1"/>
  <c r="N156" i="110" s="1"/>
  <c r="G156" i="110" a="1"/>
  <c r="G156" i="110" s="1"/>
  <c r="O156" i="110" s="1" a="1"/>
  <c r="O156" i="110" s="1"/>
  <c r="J27" i="69" a="1"/>
  <c r="J27" i="69" s="1"/>
  <c r="K27" i="69" s="1" a="1"/>
  <c r="K27" i="69" s="1"/>
  <c r="L27" i="69" s="1"/>
  <c r="J28" i="69" a="1"/>
  <c r="J28" i="69" s="1"/>
  <c r="K28" i="69" s="1" a="1"/>
  <c r="K28" i="69" s="1"/>
  <c r="L28" i="69" s="1"/>
  <c r="J29" i="69" a="1"/>
  <c r="J29" i="69" s="1"/>
  <c r="K29" i="69" s="1" a="1"/>
  <c r="K29" i="69" s="1"/>
  <c r="L29" i="69" s="1"/>
  <c r="I26" i="69"/>
  <c r="J26" i="69" a="1"/>
  <c r="J26" i="69" s="1"/>
  <c r="K26" i="69" s="1" a="1"/>
  <c r="K26" i="69" s="1"/>
  <c r="L26" i="69" s="1"/>
  <c r="I25" i="69"/>
  <c r="I22" i="69"/>
  <c r="I23" i="69"/>
  <c r="J22" i="69" a="1"/>
  <c r="J22" i="69" s="1"/>
  <c r="J24" i="69" a="1"/>
  <c r="J24" i="69" s="1"/>
  <c r="K24" i="69" s="1" a="1"/>
  <c r="K24" i="69" s="1"/>
  <c r="L24" i="69" s="1"/>
  <c r="J23" i="69" a="1"/>
  <c r="J23" i="69" s="1"/>
  <c r="K23" i="69" s="1" a="1"/>
  <c r="K23" i="69" s="1"/>
  <c r="L23" i="69" s="1"/>
  <c r="P122" i="110" a="1"/>
  <c r="P122" i="110" s="1"/>
  <c r="O129" i="110" a="1"/>
  <c r="O129" i="110" s="1"/>
  <c r="N136" i="110" a="1"/>
  <c r="N136" i="110" s="1"/>
  <c r="E8" i="69"/>
  <c r="I24" i="69"/>
  <c r="M126" i="110" a="1"/>
  <c r="M126" i="110" s="1"/>
  <c r="P127" i="110" a="1"/>
  <c r="P127" i="110" s="1"/>
  <c r="M131" i="110" a="1"/>
  <c r="M131" i="110" s="1"/>
  <c r="P119" i="110" a="1"/>
  <c r="P119" i="110" s="1"/>
  <c r="N132" i="110" a="1"/>
  <c r="N132" i="110" s="1"/>
  <c r="P135" i="110" a="1"/>
  <c r="P135" i="110" s="1"/>
  <c r="M137" i="110" a="1"/>
  <c r="M137" i="110" s="1"/>
  <c r="O140" i="110" a="1"/>
  <c r="O140" i="110" s="1"/>
  <c r="O147" i="110" a="1"/>
  <c r="O147" i="110" s="1"/>
  <c r="O154" i="110" a="1"/>
  <c r="O154" i="110" s="1"/>
  <c r="M111" i="110" a="1"/>
  <c r="M111" i="110" s="1"/>
  <c r="O112" i="110" a="1"/>
  <c r="O112" i="110" s="1"/>
  <c r="N113" i="110" a="1"/>
  <c r="N113" i="110" s="1"/>
  <c r="P117" i="110" a="1"/>
  <c r="P117" i="110" s="1"/>
  <c r="O132" i="110" a="1"/>
  <c r="O132" i="110" s="1"/>
  <c r="N137" i="110" a="1"/>
  <c r="N137" i="110" s="1"/>
  <c r="P140" i="110" a="1"/>
  <c r="P140" i="110" s="1"/>
  <c r="P147" i="110" a="1"/>
  <c r="P147" i="110" s="1"/>
  <c r="P154" i="110" a="1"/>
  <c r="P154" i="110" s="1"/>
  <c r="N112" i="110" a="1"/>
  <c r="N112" i="110" s="1"/>
  <c r="M114" i="110" a="1"/>
  <c r="M114" i="110" s="1"/>
  <c r="N129" i="110" a="1"/>
  <c r="N129" i="110" s="1"/>
  <c r="O137" i="110" a="1"/>
  <c r="O137" i="110" s="1"/>
  <c r="M141" i="110" a="1"/>
  <c r="M141" i="110" s="1"/>
  <c r="M155" i="110" a="1"/>
  <c r="M155" i="110" s="1"/>
  <c r="M159" i="110" a="1"/>
  <c r="M159" i="110" s="1"/>
  <c r="N111" i="110" a="1"/>
  <c r="N111" i="110" s="1"/>
  <c r="P112" i="110" a="1"/>
  <c r="P112" i="110" s="1"/>
  <c r="O113" i="110" a="1"/>
  <c r="O113" i="110" s="1"/>
  <c r="P124" i="110" a="1"/>
  <c r="P124" i="110" s="1"/>
  <c r="N141" i="110" a="1"/>
  <c r="N141" i="110" s="1"/>
  <c r="P142" i="110" a="1"/>
  <c r="P142" i="110" s="1"/>
  <c r="N159" i="110" a="1"/>
  <c r="N159" i="110" s="1"/>
  <c r="M113" i="110" a="1"/>
  <c r="M113" i="110" s="1"/>
  <c r="O117" i="110" a="1"/>
  <c r="O117" i="110" s="1"/>
  <c r="N114" i="110" a="1"/>
  <c r="N114" i="110" s="1"/>
  <c r="N126" i="110" a="1"/>
  <c r="N126" i="110" s="1"/>
  <c r="P136" i="110" a="1"/>
  <c r="P136" i="110" s="1"/>
  <c r="N155" i="110" a="1"/>
  <c r="N155" i="110" s="1"/>
  <c r="O159" i="110" a="1"/>
  <c r="O159" i="110" s="1"/>
  <c r="P110" i="110" a="1"/>
  <c r="P110" i="110" s="1"/>
  <c r="M112" i="110" a="1"/>
  <c r="M112" i="110" s="1"/>
  <c r="N117" i="110" a="1"/>
  <c r="N117" i="110" s="1"/>
  <c r="M122" i="110" a="1"/>
  <c r="M122" i="110" s="1"/>
  <c r="M110" i="110" a="1"/>
  <c r="M110" i="110" s="1"/>
  <c r="O111" i="110" a="1"/>
  <c r="O111" i="110" s="1"/>
  <c r="O126" i="110" a="1"/>
  <c r="O126" i="110" s="1"/>
  <c r="O128" i="110" a="1"/>
  <c r="O128" i="110" s="1"/>
  <c r="N131" i="110" a="1"/>
  <c r="N131" i="110" s="1"/>
  <c r="M136" i="110" a="1"/>
  <c r="M136" i="110" s="1"/>
  <c r="N146" i="110" a="1"/>
  <c r="N146" i="110" s="1"/>
  <c r="O155" i="110" a="1"/>
  <c r="O155" i="110" s="1"/>
  <c r="P159" i="110" a="1"/>
  <c r="P159" i="110" s="1"/>
  <c r="O114" i="110" a="1"/>
  <c r="O114" i="110" s="1"/>
  <c r="P118" i="110" a="1"/>
  <c r="P118" i="110" s="1"/>
  <c r="M123" i="110" a="1"/>
  <c r="M123" i="110" s="1"/>
  <c r="P126" i="110" a="1"/>
  <c r="P126" i="110" s="1"/>
  <c r="O131" i="110" a="1"/>
  <c r="O131" i="110" s="1"/>
  <c r="O146" i="110" a="1"/>
  <c r="O146" i="110" s="1"/>
  <c r="P156" i="110" a="1"/>
  <c r="P156" i="110" s="1"/>
  <c r="O125" i="110" a="1"/>
  <c r="O125" i="110" s="1"/>
  <c r="N110" i="110" a="1"/>
  <c r="N110" i="110" s="1"/>
  <c r="P111" i="110" a="1"/>
  <c r="P111" i="110" s="1"/>
  <c r="N123" i="110" a="1"/>
  <c r="N123" i="110" s="1"/>
  <c r="M128" i="110" a="1"/>
  <c r="M128" i="110" s="1"/>
  <c r="P131" i="110" a="1"/>
  <c r="P131" i="110" s="1"/>
  <c r="O136" i="110" a="1"/>
  <c r="O136" i="110" s="1"/>
  <c r="P143" i="110" a="1"/>
  <c r="P143" i="110" s="1"/>
  <c r="P146" i="110" a="1"/>
  <c r="P146" i="110" s="1"/>
  <c r="P150" i="110" a="1"/>
  <c r="P150" i="110" s="1"/>
  <c r="M140" i="110" a="1"/>
  <c r="M140" i="110" s="1"/>
  <c r="O141" i="110" a="1"/>
  <c r="O141" i="110" s="1"/>
  <c r="M147" i="110" a="1"/>
  <c r="M147" i="110" s="1"/>
  <c r="M150" i="110" a="1"/>
  <c r="M150" i="110" s="1"/>
  <c r="N122" i="110" a="1"/>
  <c r="N122" i="110" s="1"/>
  <c r="M127" i="110" a="1"/>
  <c r="M127" i="110" s="1"/>
  <c r="P114" i="110" a="1"/>
  <c r="P114" i="110" s="1"/>
  <c r="O110" i="110" a="1"/>
  <c r="O110" i="110" s="1"/>
  <c r="M117" i="110" a="1"/>
  <c r="M117" i="110" s="1"/>
  <c r="O122" i="110" a="1"/>
  <c r="O122" i="110" s="1"/>
  <c r="P123" i="110" a="1"/>
  <c r="P123" i="110" s="1"/>
  <c r="N127" i="110" a="1"/>
  <c r="N127" i="110" s="1"/>
  <c r="N133" i="110" a="1"/>
  <c r="N133" i="110" s="1"/>
  <c r="P141" i="110" a="1"/>
  <c r="P141" i="110" s="1"/>
  <c r="N150" i="110" a="1"/>
  <c r="N150" i="110" s="1"/>
  <c r="P128" i="110" a="1"/>
  <c r="P128" i="110" s="1"/>
  <c r="O133" i="110" a="1"/>
  <c r="O133" i="110" s="1"/>
  <c r="N138" i="110" a="1"/>
  <c r="N138" i="110" s="1"/>
  <c r="M145" i="110" a="1"/>
  <c r="M145" i="110" s="1"/>
  <c r="O150" i="110" a="1"/>
  <c r="O150" i="110" s="1"/>
  <c r="M152" i="110" a="1"/>
  <c r="M152" i="110" s="1"/>
  <c r="M160" i="110" a="1"/>
  <c r="M160" i="110" s="1"/>
  <c r="P133" i="110" a="1"/>
  <c r="P133" i="110" s="1"/>
  <c r="O138" i="110" a="1"/>
  <c r="O138" i="110" s="1"/>
  <c r="N145" i="110" a="1"/>
  <c r="N145" i="110" s="1"/>
  <c r="N152" i="110" a="1"/>
  <c r="N152" i="110" s="1"/>
  <c r="N160" i="110" a="1"/>
  <c r="N160" i="110" s="1"/>
  <c r="O142" i="110" a="1"/>
  <c r="O142" i="110" s="1"/>
  <c r="O145" i="110" a="1"/>
  <c r="O145" i="110" s="1"/>
  <c r="O152" i="110" a="1"/>
  <c r="O152" i="110" s="1"/>
  <c r="M154" i="110" a="1"/>
  <c r="M154" i="110" s="1"/>
  <c r="P155" i="110" a="1"/>
  <c r="P155" i="110" s="1"/>
  <c r="O160" i="110" a="1"/>
  <c r="O160" i="110" s="1"/>
  <c r="M132" i="110" a="1"/>
  <c r="M132" i="110" s="1"/>
  <c r="N140" i="110" a="1"/>
  <c r="N140" i="110" s="1"/>
  <c r="P145" i="110" a="1"/>
  <c r="P145" i="110" s="1"/>
  <c r="N147" i="110" a="1"/>
  <c r="N147" i="110" s="1"/>
  <c r="P152" i="110" a="1"/>
  <c r="P152" i="110" s="1"/>
  <c r="N154" i="110" a="1"/>
  <c r="N154" i="110" s="1"/>
  <c r="P160" i="110" a="1"/>
  <c r="P160" i="110" s="1"/>
  <c r="N161" i="110" a="1"/>
  <c r="N161" i="110" s="1"/>
  <c r="D106" i="110"/>
  <c r="O161" i="110" a="1"/>
  <c r="O161" i="110" s="1"/>
  <c r="A15" i="70"/>
  <c r="A5" i="70"/>
  <c r="A4" i="70"/>
  <c r="A3" i="70"/>
  <c r="A73" i="69"/>
  <c r="M144" i="110" l="1" a="1"/>
  <c r="M144" i="110" s="1"/>
  <c r="N144" i="110" a="1"/>
  <c r="N144" i="110" s="1"/>
  <c r="P116" i="110" a="1"/>
  <c r="P116" i="110" s="1"/>
  <c r="P148" i="110" a="1"/>
  <c r="P148" i="110" s="1"/>
  <c r="O120" i="110" a="1"/>
  <c r="O120" i="110" s="1"/>
  <c r="N124" i="110" a="1"/>
  <c r="N124" i="110" s="1"/>
  <c r="P161" i="110" a="1"/>
  <c r="P161" i="110" s="1"/>
  <c r="P158" i="110" a="1"/>
  <c r="P158" i="110" s="1"/>
  <c r="M130" i="110" a="1"/>
  <c r="M130" i="110" s="1"/>
  <c r="N157" i="110" a="1"/>
  <c r="N157" i="110" s="1"/>
  <c r="O130" i="110" a="1"/>
  <c r="O130" i="110" s="1"/>
  <c r="O157" i="110" a="1"/>
  <c r="O157" i="110" s="1"/>
  <c r="N120" i="110" a="1"/>
  <c r="N120" i="110" s="1"/>
  <c r="N139" i="110" a="1"/>
  <c r="N139" i="110" s="1"/>
  <c r="P129" i="110" a="1"/>
  <c r="P129" i="110" s="1"/>
  <c r="Q129" i="110" s="1" a="1"/>
  <c r="Q129" i="110" s="1"/>
  <c r="N128" i="110" a="1"/>
  <c r="N128" i="110" s="1"/>
  <c r="Q128" i="110" s="1" a="1"/>
  <c r="Q128" i="110" s="1"/>
  <c r="O123" i="110" a="1"/>
  <c r="O123" i="110" s="1"/>
  <c r="Q123" i="110" s="1" a="1"/>
  <c r="Q123" i="110" s="1"/>
  <c r="N148" i="110" a="1"/>
  <c r="N148" i="110" s="1"/>
  <c r="P113" i="110" a="1"/>
  <c r="P113" i="110" s="1"/>
  <c r="M135" i="110" a="1"/>
  <c r="M135" i="110" s="1"/>
  <c r="O134" i="110" a="1"/>
  <c r="O134" i="110" s="1"/>
  <c r="P132" i="110" a="1"/>
  <c r="P132" i="110" s="1"/>
  <c r="N135" i="110" a="1"/>
  <c r="N135" i="110" s="1"/>
  <c r="Q112" i="110" a="1"/>
  <c r="Q112" i="110" s="1"/>
  <c r="M125" i="110" a="1"/>
  <c r="M125" i="110" s="1"/>
  <c r="N142" i="110" a="1"/>
  <c r="N142" i="110" s="1"/>
  <c r="Q142" i="110" s="1" a="1"/>
  <c r="Q142" i="110" s="1"/>
  <c r="M157" i="110" a="1"/>
  <c r="M157" i="110" s="1"/>
  <c r="M149" i="110" a="1"/>
  <c r="M149" i="110" s="1"/>
  <c r="Q149" i="110" s="1" a="1"/>
  <c r="Q149" i="110" s="1"/>
  <c r="P125" i="110" a="1"/>
  <c r="P125" i="110" s="1"/>
  <c r="N143" i="110" a="1"/>
  <c r="N143" i="110" s="1"/>
  <c r="Q143" i="110" s="1" a="1"/>
  <c r="Q143" i="110" s="1"/>
  <c r="O139" i="110" a="1"/>
  <c r="O139" i="110" s="1"/>
  <c r="P157" i="110" a="1"/>
  <c r="P157" i="110" s="1"/>
  <c r="P120" i="110" a="1"/>
  <c r="P120" i="110" s="1"/>
  <c r="M146" i="110" a="1"/>
  <c r="M146" i="110" s="1"/>
  <c r="Q146" i="110" s="1" a="1"/>
  <c r="Q146" i="110" s="1"/>
  <c r="P130" i="110" a="1"/>
  <c r="P130" i="110" s="1"/>
  <c r="Q110" i="110" a="1"/>
  <c r="Q110" i="110" s="1"/>
  <c r="N130" i="110" a="1"/>
  <c r="N130" i="110" s="1"/>
  <c r="P139" i="110" a="1"/>
  <c r="P139" i="110" s="1"/>
  <c r="Q161" i="110" a="1"/>
  <c r="Q161" i="110" s="1"/>
  <c r="Q122" i="110" a="1"/>
  <c r="Q122" i="110" s="1"/>
  <c r="Q115" i="110" a="1"/>
  <c r="Q115" i="110" s="1"/>
  <c r="Q141" i="110" a="1"/>
  <c r="Q141" i="110" s="1"/>
  <c r="Q117" i="110" a="1"/>
  <c r="Q117" i="110" s="1"/>
  <c r="Q113" i="110" a="1"/>
  <c r="Q113" i="110" s="1"/>
  <c r="Q121" i="110" a="1"/>
  <c r="Q121" i="110" s="1"/>
  <c r="Q144" i="110" a="1"/>
  <c r="Q144" i="110" s="1"/>
  <c r="Q159" i="110" a="1"/>
  <c r="Q159" i="110" s="1"/>
  <c r="Q119" i="110" a="1"/>
  <c r="Q119" i="110" s="1"/>
  <c r="Q156" i="110" a="1"/>
  <c r="Q156" i="110" s="1"/>
  <c r="Q154" i="110" a="1"/>
  <c r="Q154" i="110" s="1"/>
  <c r="Q160" i="110" a="1"/>
  <c r="Q160" i="110" s="1"/>
  <c r="Q133" i="110" a="1"/>
  <c r="Q133" i="110" s="1"/>
  <c r="Q136" i="110" a="1"/>
  <c r="Q136" i="110" s="1"/>
  <c r="Q126" i="110" a="1"/>
  <c r="Q126" i="110" s="1"/>
  <c r="Q116" i="110" a="1"/>
  <c r="Q116" i="110" s="1"/>
  <c r="Q131" i="110" a="1"/>
  <c r="Q131" i="110" s="1"/>
  <c r="Q114" i="110" a="1"/>
  <c r="Q114" i="110" s="1"/>
  <c r="M118" i="110" a="1"/>
  <c r="M118" i="110" s="1"/>
  <c r="Q118" i="110" s="1" a="1"/>
  <c r="Q118" i="110" s="1"/>
  <c r="Q111" i="110" a="1"/>
  <c r="Q111" i="110" s="1"/>
  <c r="M158" i="110" a="1"/>
  <c r="M158" i="110" s="1"/>
  <c r="M153" i="110" a="1"/>
  <c r="M153" i="110" s="1"/>
  <c r="Q153" i="110" s="1" a="1"/>
  <c r="Q153" i="110" s="1"/>
  <c r="F67" i="69" a="1"/>
  <c r="F67" i="69" s="1"/>
  <c r="F68" i="69" a="1"/>
  <c r="F68" i="69" s="1"/>
  <c r="F69" i="69" a="1"/>
  <c r="F69" i="69" s="1"/>
  <c r="F71" i="69" a="1"/>
  <c r="F71" i="69" s="1"/>
  <c r="F70" i="69" a="1"/>
  <c r="F70" i="69" s="1"/>
  <c r="Q127" i="110" a="1"/>
  <c r="Q127" i="110" s="1"/>
  <c r="Q152" i="110" a="1"/>
  <c r="Q152" i="110" s="1"/>
  <c r="Q155" i="110" a="1"/>
  <c r="Q155" i="110" s="1"/>
  <c r="M138" i="110" a="1"/>
  <c r="M138" i="110" s="1"/>
  <c r="Q138" i="110" s="1" a="1"/>
  <c r="Q138" i="110" s="1"/>
  <c r="M120" i="110" a="1"/>
  <c r="M120" i="110" s="1"/>
  <c r="M134" i="110" a="1"/>
  <c r="M134" i="110" s="1"/>
  <c r="M151" i="110" a="1"/>
  <c r="M151" i="110" s="1"/>
  <c r="Q151" i="110" s="1" a="1"/>
  <c r="Q151" i="110" s="1"/>
  <c r="Q148" i="110" a="1"/>
  <c r="Q148" i="110" s="1"/>
  <c r="Q137" i="110" a="1"/>
  <c r="Q137" i="110" s="1"/>
  <c r="Q124" i="110" a="1"/>
  <c r="Q124" i="110" s="1"/>
  <c r="Q150" i="110" a="1"/>
  <c r="Q150" i="110" s="1"/>
  <c r="Q147" i="110" a="1"/>
  <c r="Q147" i="110" s="1"/>
  <c r="Q132" i="110" a="1"/>
  <c r="Q132" i="110" s="1"/>
  <c r="Q145" i="110" a="1"/>
  <c r="Q145" i="110" s="1"/>
  <c r="Q140" i="110" a="1"/>
  <c r="Q140" i="110" s="1"/>
  <c r="E45" i="69"/>
  <c r="E43" i="69"/>
  <c r="E44" i="69"/>
  <c r="E41" i="69"/>
  <c r="E42" i="69"/>
  <c r="K22" i="69" a="1"/>
  <c r="K22" i="69" s="1"/>
  <c r="L22" i="69" s="1"/>
  <c r="E39" i="69" l="1"/>
  <c r="E12" i="13" s="1"/>
  <c r="J13" i="13"/>
  <c r="G13" i="13"/>
  <c r="D66" i="69"/>
  <c r="F66" i="69" s="1" a="1"/>
  <c r="F66" i="69" s="1"/>
  <c r="E40" i="69"/>
  <c r="E13" i="13" s="1"/>
  <c r="Q130" i="110" a="1"/>
  <c r="Q130" i="110" s="1"/>
  <c r="Q158" i="110" a="1"/>
  <c r="Q158" i="110" s="1"/>
  <c r="Q135" i="110" a="1"/>
  <c r="Q135" i="110" s="1"/>
  <c r="Q134" i="110" a="1"/>
  <c r="Q134" i="110" s="1"/>
  <c r="Q125" i="110" a="1"/>
  <c r="Q125" i="110" s="1"/>
  <c r="Q139" i="110" a="1"/>
  <c r="Q139" i="110" s="1"/>
  <c r="Q157" i="110" a="1"/>
  <c r="Q157" i="110" s="1"/>
  <c r="Q120" i="110" a="1"/>
  <c r="Q120" i="110" s="1"/>
  <c r="E14" i="13"/>
  <c r="E67" i="69"/>
  <c r="G67" i="69" s="1" a="1"/>
  <c r="G67" i="69" s="1"/>
  <c r="H14" i="13" s="1"/>
  <c r="I14" i="13" s="1"/>
  <c r="E16" i="13"/>
  <c r="F16" i="13" s="1"/>
  <c r="E69" i="69"/>
  <c r="G69" i="69" s="1" a="1"/>
  <c r="G69" i="69" s="1"/>
  <c r="H16" i="13" s="1"/>
  <c r="I16" i="13" s="1"/>
  <c r="E15" i="13"/>
  <c r="F15" i="13" s="1"/>
  <c r="E68" i="69"/>
  <c r="G68" i="69" s="1" a="1"/>
  <c r="G68" i="69" s="1"/>
  <c r="H15" i="13" s="1"/>
  <c r="I15" i="13" s="1"/>
  <c r="E17" i="13"/>
  <c r="F17" i="13" s="1"/>
  <c r="E70" i="69"/>
  <c r="G70" i="69" s="1" a="1"/>
  <c r="G70" i="69" s="1"/>
  <c r="H17" i="13" s="1"/>
  <c r="I17" i="13" s="1"/>
  <c r="E18" i="13"/>
  <c r="F18" i="13" s="1"/>
  <c r="E71" i="69"/>
  <c r="G71" i="69" s="1" a="1"/>
  <c r="G71" i="69" s="1"/>
  <c r="H18" i="13" s="1"/>
  <c r="I18" i="13" s="1"/>
  <c r="E38" i="69"/>
  <c r="D65" i="69"/>
  <c r="G12" i="13"/>
  <c r="J12" i="13"/>
  <c r="E37" i="69"/>
  <c r="E36" i="69"/>
  <c r="G11" i="13"/>
  <c r="D64" i="69"/>
  <c r="G10" i="13"/>
  <c r="D63" i="69"/>
  <c r="J11" i="13"/>
  <c r="J10" i="13"/>
  <c r="E66" i="69" l="1"/>
  <c r="G66" i="69" s="1" a="1"/>
  <c r="G66" i="69" s="1"/>
  <c r="H13" i="13" s="1"/>
  <c r="I13" i="13" s="1"/>
  <c r="E65" i="69"/>
  <c r="E9" i="13"/>
  <c r="F9" i="13" s="1"/>
  <c r="E62" i="69"/>
  <c r="E10" i="13"/>
  <c r="F10" i="13" s="1"/>
  <c r="E63" i="69"/>
  <c r="E11" i="13"/>
  <c r="F11" i="13" s="1"/>
  <c r="E64" i="69"/>
  <c r="F65" i="69" a="1"/>
  <c r="F65" i="69" s="1"/>
  <c r="J9" i="13"/>
  <c r="G9" i="13"/>
  <c r="D62" i="69"/>
  <c r="F64" i="69" a="1"/>
  <c r="F64" i="69" s="1"/>
  <c r="G64" i="69" s="1" a="1"/>
  <c r="G64" i="69" s="1"/>
  <c r="H11" i="13" s="1"/>
  <c r="I11" i="13" s="1"/>
  <c r="F63" i="69" a="1"/>
  <c r="F63" i="69" s="1"/>
  <c r="F13" i="13"/>
  <c r="F12" i="13"/>
  <c r="F14" i="13"/>
  <c r="G63" i="69" l="1" a="1"/>
  <c r="G63" i="69" s="1"/>
  <c r="H10" i="13" s="1"/>
  <c r="I10" i="13" s="1"/>
  <c r="G65" i="69" a="1"/>
  <c r="G65" i="69" s="1"/>
  <c r="H12" i="13" s="1"/>
  <c r="I12" i="13" s="1"/>
  <c r="F62" i="69" a="1"/>
  <c r="F62" i="69" s="1"/>
  <c r="G62" i="69" l="1" a="1"/>
  <c r="G62" i="69" s="1"/>
  <c r="A47" i="69"/>
  <c r="H9" i="13" l="1"/>
  <c r="I9" i="13" s="1"/>
  <c r="I19" i="13" s="1"/>
  <c r="E73" i="69"/>
  <c r="H19"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<sst xmlns="http://schemas.openxmlformats.org/spreadsheetml/2006/main" count="186" uniqueCount="153">
  <si>
    <t>Home</t>
  </si>
  <si>
    <t>INPUTS</t>
  </si>
  <si>
    <t>APPENDICES</t>
  </si>
  <si>
    <t>Emissions breakdown</t>
  </si>
  <si>
    <t>Climate zone</t>
  </si>
  <si>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</si>
  <si>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</si>
  <si>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</si>
  <si>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</si>
  <si>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</si>
  <si>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</si>
  <si>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</si>
  <si>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</si>
  <si>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</si>
  <si>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</si>
  <si>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</si>
  <si>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</si>
  <si>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</si>
  <si>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</si>
  <si>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</si>
  <si>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</si>
  <si>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</si>
  <si>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</si>
  <si>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</si>
  <si>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</si>
  <si>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</si>
  <si>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</si>
  <si>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</si>
  <si>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</si>
  <si>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</si>
  <si>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</si>
  <si>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</si>
  <si>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</si>
  <si>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</si>
  <si>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</si>
  <si>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</si>
  <si>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</si>
  <si>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</si>
  <si>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</si>
  <si>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</si>
  <si>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</si>
  <si>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</si>
  <si>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</si>
  <si>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</si>
  <si>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</si>
  <si>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t>CALCULATIONS</t>
  </si>
  <si>
    <t>Constants - Common</t>
  </si>
  <si>
    <t>Is in leaching zone</t>
  </si>
  <si>
    <t>FracWET</t>
  </si>
  <si>
    <t>Method 1</t>
  </si>
  <si>
    <t>Scope 1 source</t>
  </si>
  <si>
    <t>Production system j</t>
  </si>
  <si>
    <t>EFN2O</t>
  </si>
  <si>
    <t>Production system only</t>
  </si>
  <si>
    <t>Irrigation method</t>
  </si>
  <si>
    <t>Total</t>
  </si>
  <si>
    <t>GHG Unit</t>
  </si>
  <si>
    <t>Month</t>
  </si>
  <si>
    <t>Irrigation type i</t>
  </si>
  <si>
    <t>t CO2e</t>
  </si>
  <si>
    <t>EFPRP</t>
  </si>
  <si>
    <t>GHG emissions method 1</t>
  </si>
  <si>
    <t>GHG emissions method 2</t>
  </si>
  <si>
    <t>Season</t>
  </si>
  <si>
    <t>Poultry manure with bedding</t>
  </si>
  <si>
    <t>Solid storage</t>
  </si>
  <si>
    <t>Composting (passive windrow)</t>
  </si>
  <si>
    <t>Digester / covered lagoons</t>
  </si>
  <si>
    <t>Pasture range and paddock</t>
  </si>
  <si>
    <t>Direct processing</t>
  </si>
  <si>
    <t>Direct application</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</si>
  <si>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</si>
  <si>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</si>
  <si>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</si>
  <si>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</si>
  <si>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</si>
  <si>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</si>
  <si>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</si>
  <si>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</si>
  <si>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</si>
  <si>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</si>
  <si>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</si>
  <si>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</si>
  <si>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</si>
  <si>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</si>
  <si>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</si>
  <si>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 You can add more rows to the table by right-clicking on the table and selecting "Insert &gt; Table rows above/below"</t>
  </si>
  <si>
    <t xml:space="preserve"> </t>
  </si>
  <si>
    <t>Refrigerants</t>
  </si>
  <si>
    <t>Refrigeration unit name</t>
  </si>
  <si>
    <t>Appliance type (select)</t>
  </si>
  <si>
    <t>Refrigerant used (select)</t>
  </si>
  <si>
    <t>Unit refrigerant gas capacity (kg)</t>
  </si>
  <si>
    <t>Number of units in use</t>
  </si>
  <si>
    <t>Cool room</t>
  </si>
  <si>
    <t>Domestic refrigerators</t>
  </si>
  <si>
    <t>R-402A</t>
  </si>
  <si>
    <t>R-422B</t>
  </si>
  <si>
    <t>Car AC</t>
  </si>
  <si>
    <t>Light vehicle A/C</t>
  </si>
  <si>
    <t>R-400 60/40</t>
  </si>
  <si>
    <t>Chemical formula</t>
  </si>
  <si>
    <t>Global warming potential (AR5)</t>
  </si>
  <si>
    <t>Gas - FC name</t>
  </si>
  <si>
    <t>Aditional data source</t>
  </si>
  <si>
    <t>Blend</t>
  </si>
  <si>
    <t>Constituents</t>
  </si>
  <si>
    <t>Composition (%)</t>
  </si>
  <si>
    <t>Blended refrigerants - Cleaned for calculations</t>
  </si>
  <si>
    <t>Constituent 1</t>
  </si>
  <si>
    <t>Constituent 2</t>
  </si>
  <si>
    <t>Constituent 3</t>
  </si>
  <si>
    <t>Constituent 4</t>
  </si>
  <si>
    <t>Constituent 1 fraction</t>
  </si>
  <si>
    <t>Constituent 2 fraction</t>
  </si>
  <si>
    <t>Constituent 3 fraction</t>
  </si>
  <si>
    <t>Constituent 4 fraction</t>
  </si>
  <si>
    <t>Constituent 1 GWP</t>
  </si>
  <si>
    <t>Constituent 2 GWP</t>
  </si>
  <si>
    <t>Constituent 3 GWP</t>
  </si>
  <si>
    <t>Constituent 4 GWP</t>
  </si>
  <si>
    <t>Blend GWP</t>
  </si>
  <si>
    <t>Product</t>
  </si>
  <si>
    <t>Annual leakage rate (%)</t>
  </si>
  <si>
    <t>Constants - Refrigerants</t>
  </si>
  <si>
    <t>9.1.1.1-2 Refrigerant use</t>
  </si>
  <si>
    <t>Total capacity</t>
  </si>
  <si>
    <t>Leakage rate (percent)</t>
  </si>
  <si>
    <t>Refrigerant GWP</t>
  </si>
  <si>
    <r>
      <t>E</t>
    </r>
    <r>
      <rPr>
        <b/>
        <vertAlign val="subscript"/>
        <sz val="11"/>
        <color rgb="FF183C1B"/>
        <rFont val="Times New Roman"/>
        <family val="1"/>
      </rPr>
      <t>R</t>
    </r>
  </si>
  <si>
    <t>Refrigerant blend R</t>
  </si>
  <si>
    <r>
      <t>E</t>
    </r>
    <r>
      <rPr>
        <b/>
        <vertAlign val="subscript"/>
        <sz val="11"/>
        <color rgb="FF183C1B"/>
        <rFont val="Times New Roman"/>
        <family val="1"/>
      </rPr>
      <t>Ra</t>
    </r>
  </si>
  <si>
    <t>Domestic A/C split</t>
  </si>
  <si>
    <r>
      <t>E</t>
    </r>
    <r>
      <rPr>
        <b/>
        <vertAlign val="subscript"/>
        <sz val="11"/>
        <color rgb="FF183C1B"/>
        <rFont val="Times New Roman"/>
        <family val="1"/>
      </rPr>
      <t>CO2-e</t>
    </r>
  </si>
  <si>
    <t>Appliance type a</t>
  </si>
  <si>
    <t>CO2-e emissions method 1</t>
  </si>
  <si>
    <t>CO2-e emissions method 2</t>
  </si>
  <si>
    <t>Transport refrigeration</t>
  </si>
  <si>
    <r>
      <t>E</t>
    </r>
    <r>
      <rPr>
        <b/>
        <vertAlign val="subscript"/>
        <sz val="16"/>
        <color theme="1" tint="0.24994659260841701"/>
        <rFont val="Times New Roman"/>
        <family val="1"/>
      </rPr>
      <t>CO2e</t>
    </r>
  </si>
  <si>
    <t>Table_E_CO2e</t>
  </si>
  <si>
    <t>Table_E_R_Appliance</t>
  </si>
  <si>
    <t>Refrigerant leakage emissions by appliance</t>
  </si>
  <si>
    <t>Table_E_R</t>
  </si>
  <si>
    <t>Refrigerant leakage emisssions</t>
  </si>
  <si>
    <t>Refrigerant leakage emisssions carbon dioxide equivalent</t>
  </si>
  <si>
    <t>Office air con units</t>
  </si>
  <si>
    <t>Storage AC</t>
  </si>
  <si>
    <t>Refrigerated trucks</t>
  </si>
  <si>
    <t>R-504</t>
  </si>
  <si>
    <t>9: Refrigerant use: Overview</t>
  </si>
  <si>
    <t>9: Refrigerant use: Results</t>
  </si>
  <si>
    <t>9.1.1.1-2 Refrigerant leakage</t>
  </si>
  <si>
    <t>Input - Refrigerants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</si>
</sst>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00"/>
    <numFmt numFmtId="165" formatCode="#,##0.000"/>
    <numFmt numFmtId="166" formatCode="d/mm/yyyy;@"/>
    <numFmt numFmtId="167" formatCode="[$-C09]dd\-mmmm\-yyyy;@"/>
    <numFmt numFmtId="168" formatCode="#,##0.000000"/>
    <numFmt numFmtId="169" formatCode="0.0000"/>
  </numFmts>
  <fonts count="53"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i/>
      <sz val="10"/>
      <color theme="6" tint="-0.499984740745262"/>
      <name val="Times New Roman"/>
      <family val="1"/>
    </font>
    <font>
      <i/>
      <sz val="10"/>
      <color theme="5" tint="-0.499984740745262"/>
      <name val="Times New Roman"/>
      <family val="1"/>
    </font>
    <font>
      <b/>
      <vertAlign val="subscript"/>
      <sz val="11"/>
      <color rgb="FF183C1B"/>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b/>
      <sz val="10"/>
      <color theme="1" tint="0.34998626667073579"/>
      <name val="Times New Roman"/>
      <family val="1"/>
    </font>
    <font>
      <i/>
      <sz val="16"/>
      <color theme="1" tint="0.34998626667073579"/>
      <name val="Times New Roman"/>
      <family val="1"/>
    </font>
    <font>
      <b/>
      <sz val="16"/>
      <color theme="1" tint="0.24994659260841701"/>
      <name val="Times New Roman"/>
      <family val="1"/>
    </font>
    <font>
      <b/>
      <vertAlign val="subscript"/>
      <sz val="16"/>
      <color theme="1" tint="0.24994659260841701"/>
      <name val="Times New Roman"/>
      <family val="1"/>
    </font>
    <font>
      <sz val="16"/>
      <color theme="1" tint="0.24994659260841701"/>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18">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style="thin">
        <color theme="0" tint="-0.34998626667073579"/>
      </left>
      <right style="thin">
        <color theme="0" tint="-0.34998626667073579"/>
      </right>
      <top style="thin">
        <color theme="0" tint="-0.34998626667073579"/>
      </top>
      <bottom/>
      <diagonal/>
    </border>
  </borders>
  <cellStyleXfs count="67">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9" fillId="4" borderId="0">
      <alignment horizontal="left" vertical="center"/>
    </xf>
    <xf numFmtId="0" fontId="33" fillId="4" borderId="0">
      <alignment vertical="center"/>
    </xf>
    <xf numFmtId="0" fontId="3" fillId="4" borderId="0">
      <alignment horizontal="left" vertical="center"/>
    </xf>
    <xf numFmtId="0" fontId="31"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2" fillId="0" borderId="0">
      <alignment horizontal="left" vertical="center" indent="2"/>
    </xf>
    <xf numFmtId="0" fontId="35" fillId="13" borderId="7">
      <alignment horizontal="left" vertical="center"/>
    </xf>
    <xf numFmtId="3" fontId="26" fillId="4" borderId="2">
      <alignment horizontal="center" vertical="center"/>
    </xf>
    <xf numFmtId="167" fontId="2" fillId="0" borderId="2">
      <alignment horizontal="center" vertical="center"/>
    </xf>
    <xf numFmtId="0" fontId="27" fillId="0" borderId="0"/>
    <xf numFmtId="0" fontId="9" fillId="0" borderId="0"/>
    <xf numFmtId="0" fontId="27" fillId="0" borderId="0"/>
    <xf numFmtId="166" fontId="26" fillId="4" borderId="2">
      <alignment horizontal="center" vertical="center"/>
    </xf>
    <xf numFmtId="4" fontId="26" fillId="4" borderId="2">
      <alignment horizontal="center" vertical="center"/>
    </xf>
    <xf numFmtId="0" fontId="40" fillId="4" borderId="0">
      <alignment horizontal="left" vertical="center"/>
    </xf>
    <xf numFmtId="0" fontId="30" fillId="4" borderId="0" applyNumberFormat="0">
      <alignment horizontal="center" vertical="center"/>
    </xf>
    <xf numFmtId="165" fontId="26" fillId="4" borderId="2">
      <alignment horizontal="center" vertical="center"/>
    </xf>
    <xf numFmtId="0" fontId="25" fillId="4" borderId="0">
      <alignment horizontal="left" vertical="center"/>
    </xf>
    <xf numFmtId="168" fontId="26" fillId="4" borderId="2">
      <alignment horizontal="center" vertical="center"/>
    </xf>
    <xf numFmtId="0" fontId="26" fillId="4" borderId="2">
      <alignment horizontal="center" vertical="center"/>
    </xf>
    <xf numFmtId="0" fontId="6" fillId="4" borderId="0">
      <alignment horizontal="left" vertical="center"/>
    </xf>
    <xf numFmtId="0" fontId="32" fillId="4" borderId="0">
      <alignment horizontal="left" vertical="center"/>
    </xf>
    <xf numFmtId="0" fontId="9" fillId="0" borderId="0"/>
    <xf numFmtId="0" fontId="2" fillId="0" borderId="2">
      <alignment horizontal="center" vertical="center"/>
    </xf>
    <xf numFmtId="0" fontId="38" fillId="4" borderId="0">
      <alignment horizontal="left" vertical="center"/>
    </xf>
    <xf numFmtId="0" fontId="39" fillId="4" borderId="0">
      <alignment horizontal="left" vertical="center"/>
    </xf>
    <xf numFmtId="0" fontId="41" fillId="4" borderId="0">
      <alignment horizontal="left" vertical="center"/>
    </xf>
    <xf numFmtId="0" fontId="37" fillId="11" borderId="0">
      <alignment horizontal="center" vertical="center"/>
    </xf>
    <xf numFmtId="0" fontId="20" fillId="11" borderId="0">
      <alignment horizontal="left" vertical="center" indent="1"/>
    </xf>
    <xf numFmtId="0" fontId="43" fillId="14" borderId="2">
      <alignment horizontal="center" vertical="center"/>
    </xf>
    <xf numFmtId="0" fontId="42" fillId="15" borderId="2">
      <alignment horizontal="center" vertical="center"/>
    </xf>
    <xf numFmtId="0" fontId="45" fillId="4" borderId="2">
      <alignment horizontal="left" vertical="center"/>
    </xf>
    <xf numFmtId="0" fontId="26" fillId="4" borderId="2">
      <alignment horizontal="left" vertical="center"/>
    </xf>
    <xf numFmtId="0" fontId="46" fillId="0" borderId="0"/>
  </cellStyleXfs>
  <cellXfs count="83">
    <xf numFmtId="0" fontId="0" fillId="0" borderId="0" xfId="0"/>
    <xf numFmtId="0" fontId="31" fillId="4" borderId="0" xfId="8">
      <alignment horizontal="left" vertical="center"/>
    </xf>
    <xf numFmtId="0" fontId="3" fillId="4" borderId="0" xfId="7">
      <alignment horizontal="left" vertical="center"/>
    </xf>
    <xf numFmtId="0" fontId="16" fillId="3" borderId="0" xfId="4">
      <alignment vertical="center"/>
    </xf>
    <xf numFmtId="0" fontId="33" fillId="4" borderId="0" xfId="6">
      <alignment vertical="center"/>
    </xf>
    <xf numFmtId="0" fontId="29"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15" fillId="4" borderId="0" xfId="24">
      <alignment horizontal="left" vertical="center"/>
    </xf>
    <xf numFmtId="0" fontId="16" fillId="7" borderId="0" xfId="31">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0" fillId="4" borderId="0" xfId="0" applyFill="1"/>
    <xf numFmtId="2" fontId="0" fillId="4" borderId="0" xfId="0" applyNumberFormat="1" applyFill="1" applyAlignment="1">
      <alignment vertical="center"/>
    </xf>
    <xf numFmtId="0" fontId="16" fillId="4" borderId="0" xfId="4" applyFill="1">
      <alignment vertical="center"/>
    </xf>
    <xf numFmtId="0" fontId="23" fillId="4" borderId="0" xfId="0" applyFont="1" applyFill="1"/>
    <xf numFmtId="2" fontId="24" fillId="4" borderId="0" xfId="0" applyNumberFormat="1" applyFont="1" applyFill="1"/>
    <xf numFmtId="0" fontId="6" fillId="4" borderId="0" xfId="12" applyAlignment="1">
      <alignment horizontal="left" indent="1"/>
    </xf>
    <xf numFmtId="0" fontId="24" fillId="4" borderId="1" xfId="0" applyFont="1" applyFill="1" applyBorder="1"/>
    <xf numFmtId="0" fontId="31" fillId="4" borderId="0" xfId="8" applyAlignment="1">
      <alignment horizontal="right" vertical="center"/>
    </xf>
    <xf numFmtId="0" fontId="0" fillId="0" borderId="0" xfId="7" applyFont="1" applyFill="1">
      <alignment horizontal="left" vertical="center"/>
    </xf>
    <xf numFmtId="0" fontId="0" fillId="0" borderId="0" xfId="8" applyFont="1" applyFill="1">
      <alignment horizontal="left" vertical="center"/>
    </xf>
    <xf numFmtId="0" fontId="3" fillId="12" borderId="2" xfId="15">
      <alignment horizontal="center" vertical="center"/>
    </xf>
    <xf numFmtId="0" fontId="5" fillId="2" borderId="0" xfId="9">
      <alignment horizontal="center" vertical="center"/>
    </xf>
    <xf numFmtId="0" fontId="26" fillId="4" borderId="2" xfId="52">
      <alignment horizontal="center" vertical="center"/>
    </xf>
    <xf numFmtId="0" fontId="6" fillId="4" borderId="0" xfId="53">
      <alignment horizontal="left" vertical="center"/>
    </xf>
    <xf numFmtId="0" fontId="32" fillId="4" borderId="0" xfId="54">
      <alignment horizontal="left" vertical="center"/>
    </xf>
    <xf numFmtId="0" fontId="34" fillId="0" borderId="0" xfId="33" applyFont="1">
      <alignment horizontal="left" vertical="center" indent="1"/>
    </xf>
    <xf numFmtId="0" fontId="10" fillId="0" borderId="0" xfId="32"/>
    <xf numFmtId="0" fontId="35" fillId="13" borderId="9" xfId="39" applyBorder="1">
      <alignment horizontal="left" vertical="center"/>
    </xf>
    <xf numFmtId="0" fontId="35" fillId="13" borderId="11" xfId="39" applyBorder="1">
      <alignment horizontal="left" vertical="center"/>
    </xf>
    <xf numFmtId="0" fontId="35" fillId="13" borderId="12" xfId="39" applyBorder="1">
      <alignment horizontal="left" vertical="center"/>
    </xf>
    <xf numFmtId="0" fontId="35" fillId="13" borderId="13" xfId="39" applyBorder="1">
      <alignment horizontal="left" vertical="center"/>
    </xf>
    <xf numFmtId="0" fontId="39" fillId="4" borderId="0" xfId="58">
      <alignment horizontal="left" vertical="center"/>
    </xf>
    <xf numFmtId="0" fontId="38" fillId="4" borderId="0" xfId="57">
      <alignment horizontal="left" vertical="center"/>
    </xf>
    <xf numFmtId="0" fontId="6" fillId="4" borderId="1" xfId="53" applyBorder="1">
      <alignment horizontal="left" vertical="center"/>
    </xf>
    <xf numFmtId="0" fontId="41" fillId="4" borderId="0" xfId="59">
      <alignment horizontal="left" vertical="center"/>
    </xf>
    <xf numFmtId="2" fontId="24" fillId="4" borderId="1" xfId="0" applyNumberFormat="1" applyFont="1" applyFill="1" applyBorder="1" applyAlignment="1">
      <alignment horizontal="center"/>
    </xf>
    <xf numFmtId="0" fontId="37" fillId="11" borderId="0" xfId="60">
      <alignment horizontal="center" vertical="center"/>
    </xf>
    <xf numFmtId="0" fontId="31" fillId="4" borderId="0" xfId="8" applyAlignment="1">
      <alignment horizontal="center" vertical="center"/>
    </xf>
    <xf numFmtId="0" fontId="35" fillId="13" borderId="8" xfId="39" applyBorder="1">
      <alignment horizontal="left" vertical="center"/>
    </xf>
    <xf numFmtId="0" fontId="20" fillId="5" borderId="0" xfId="36">
      <alignment horizontal="left" vertical="center" indent="1"/>
    </xf>
    <xf numFmtId="0" fontId="20" fillId="11" borderId="0" xfId="61">
      <alignment horizontal="left" vertical="center" indent="1"/>
    </xf>
    <xf numFmtId="0" fontId="12" fillId="6" borderId="0" xfId="29">
      <alignment horizontal="center" vertical="center"/>
      <protection locked="0"/>
    </xf>
    <xf numFmtId="0" fontId="42" fillId="15" borderId="2" xfId="63">
      <alignment horizontal="center" vertical="center"/>
    </xf>
    <xf numFmtId="0" fontId="43" fillId="14" borderId="2" xfId="62">
      <alignment horizontal="center" vertical="center"/>
    </xf>
    <xf numFmtId="0" fontId="31" fillId="4" borderId="0" xfId="8" applyAlignment="1">
      <alignment horizontal="left" vertical="center" wrapText="1"/>
    </xf>
    <xf numFmtId="0" fontId="0" fillId="0" borderId="0" xfId="0" applyAlignment="1">
      <alignment wrapText="1"/>
    </xf>
    <xf numFmtId="0" fontId="28" fillId="0" borderId="0" xfId="0" applyFont="1" applyAlignment="1">
      <alignment wrapText="1"/>
    </xf>
    <xf numFmtId="0" fontId="45" fillId="4" borderId="2" xfId="64">
      <alignment horizontal="left" vertical="center"/>
    </xf>
    <xf numFmtId="0" fontId="26" fillId="4" borderId="2" xfId="65">
      <alignment horizontal="left" vertical="center"/>
    </xf>
    <xf numFmtId="0" fontId="26" fillId="4" borderId="5" xfId="65" applyBorder="1">
      <alignment horizontal="left" vertical="center"/>
    </xf>
    <xf numFmtId="0" fontId="26" fillId="4" borderId="6" xfId="65" applyBorder="1">
      <alignment horizontal="left" vertical="center"/>
    </xf>
    <xf numFmtId="0" fontId="46" fillId="0" borderId="0" xfId="66"/>
    <xf numFmtId="169" fontId="8" fillId="4" borderId="0" xfId="10" applyNumberFormat="1">
      <alignment horizontal="center" vertical="center"/>
    </xf>
    <xf numFmtId="0" fontId="47" fillId="9" borderId="0" xfId="32" applyFont="1" applyFill="1"/>
    <xf numFmtId="0" fontId="31" fillId="9" borderId="0" xfId="8" applyFill="1">
      <alignment horizontal="left" vertical="center"/>
    </xf>
    <xf numFmtId="0" fontId="0" fillId="9" borderId="0" xfId="0" applyFill="1"/>
    <xf numFmtId="0" fontId="16" fillId="11" borderId="0" xfId="31" applyFill="1">
      <alignment vertical="center"/>
    </xf>
    <xf numFmtId="0" fontId="36" fillId="13" borderId="10" xfId="39" applyFont="1" applyBorder="1">
      <alignment horizontal="left" vertical="center"/>
    </xf>
    <xf numFmtId="0" fontId="20" fillId="8" borderId="0" xfId="37">
      <alignment horizontal="left" vertical="center" indent="1"/>
    </xf>
    <xf numFmtId="0" fontId="20" fillId="10" borderId="0" xfId="35">
      <alignment horizontal="left" vertical="center" indent="1"/>
    </xf>
    <xf numFmtId="0" fontId="35" fillId="13" borderId="14" xfId="39" applyBorder="1">
      <alignment horizontal="left" vertical="center"/>
    </xf>
    <xf numFmtId="0" fontId="35" fillId="13" borderId="15" xfId="39" applyBorder="1">
      <alignment horizontal="left" vertical="center"/>
    </xf>
    <xf numFmtId="0" fontId="35" fillId="13" borderId="16" xfId="39" applyBorder="1">
      <alignment horizontal="left" vertical="center"/>
    </xf>
    <xf numFmtId="0" fontId="2" fillId="0" borderId="2" xfId="56">
      <alignment horizontal="center" vertical="center"/>
    </xf>
    <xf numFmtId="0" fontId="9" fillId="4" borderId="0" xfId="55" applyFill="1"/>
    <xf numFmtId="0" fontId="0" fillId="0" borderId="0" xfId="55" applyFont="1" applyAlignment="1">
      <alignment vertical="center"/>
    </xf>
    <xf numFmtId="0" fontId="0" fillId="0" borderId="0" xfId="55" applyFont="1"/>
    <xf numFmtId="0" fontId="31" fillId="4" borderId="1" xfId="8" applyBorder="1">
      <alignment horizontal="left" vertical="center"/>
    </xf>
    <xf numFmtId="0" fontId="9" fillId="4" borderId="1" xfId="55" applyFill="1" applyBorder="1"/>
    <xf numFmtId="0" fontId="48" fillId="4" borderId="2" xfId="52" applyFont="1">
      <alignment horizontal="center" vertical="center"/>
    </xf>
    <xf numFmtId="0" fontId="50" fillId="4" borderId="1" xfId="8" applyFont="1" applyBorder="1">
      <alignment horizontal="left" vertical="center"/>
    </xf>
    <xf numFmtId="0" fontId="52" fillId="4" borderId="1" xfId="8" applyFont="1" applyBorder="1">
      <alignment horizontal="left" vertical="center"/>
    </xf>
    <xf numFmtId="0" fontId="49" fillId="4" borderId="1" xfId="53" applyFont="1" applyBorder="1">
      <alignment horizontal="left" vertical="center"/>
    </xf>
    <xf numFmtId="0" fontId="3" fillId="12" borderId="17" xfId="15" applyBorder="1">
      <alignment horizontal="center" vertical="center"/>
    </xf>
    <xf numFmtId="0" fontId="2" fillId="0" borderId="17" xfId="56" applyBorder="1">
      <alignment horizontal="center" vertical="center"/>
    </xf>
    <xf numFmtId="0" fontId="2" fillId="0" borderId="2" xfId="14">
      <alignment horizontal="center" vertical="center"/>
    </xf>
  </cellXfs>
  <cellStyles count="67">
    <cellStyle name="Alert" xfId="59" xr:uid="{34EFE908-8095-4010-8F93-8CFE88055637}"/>
    <cellStyle name="Arguments" xfId="65" xr:uid="{E3322BF6-A528-4CDC-9946-1481D9CFA254}"/>
    <cellStyle name="Arguments hyperlink" xfId="64" xr:uid="{D7E69B6D-2E15-48E8-BF41-EE6FEA2FBEBE}"/>
    <cellStyle name="Back to top link" xfId="66" xr:uid="{13501F59-E048-49F8-88C6-8AF5C4ACD194}"/>
    <cellStyle name="Block heading" xfId="5" xr:uid="{74527274-3B4A-494A-B37C-EA50686E114C}"/>
    <cellStyle name="Block subheading" xfId="47" xr:uid="{34E62905-A3E0-4883-B81A-BDB58FC88DA7}"/>
    <cellStyle name="Code" xfId="24" xr:uid="{99B3520F-01DD-4F8E-A8D0-24EAA04E90EB}"/>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2" xr:uid="{83ED2376-8555-47B3-98E3-2416CC880284}"/>
    <cellStyle name="Variable type other" xfId="63" xr:uid="{6646F6F7-E4F9-4165-8015-E25083532B5B}"/>
  </cellStyles>
  <dxfs count="60">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59"/>
      <tableStyleElement type="headerRow" dxfId="58"/>
      <tableStyleElement type="totalRow" dxfId="57"/>
      <tableStyleElement type="firstColumn" dxfId="56"/>
      <tableStyleElement type="firstRowStripe" dxfId="55"/>
      <tableStyleElement type="secondRowStripe" dxfId="54"/>
    </tableStyle>
    <tableStyle name="Equation table" pivot="0" count="6" xr9:uid="{B247698E-E41D-4CCD-AA0A-C14817E9DE65}">
      <tableStyleElement type="wholeTable" dxfId="53"/>
      <tableStyleElement type="headerRow" dxfId="52"/>
      <tableStyleElement type="totalRow" dxfId="51"/>
      <tableStyleElement type="firstColumn" dxfId="50"/>
      <tableStyleElement type="firstRowStripe" dxfId="49"/>
      <tableStyleElement type="secondRowStripe" dxfId="48"/>
    </tableStyle>
    <tableStyle name="Table Style 1" pivot="0" count="0" xr9:uid="{97B370DB-5463-4A31-9160-5A96BD6A559D}"/>
  </tableStyles>
  <colors>
    <mruColors>
      <color rgb="FF0C769E"/>
      <color rgb="FFFFCCCC"/>
      <color rgb="FFCC6600"/>
      <color rgb="FFC4434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0/relationships/richValueRel" Target="richData/richValueRel.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haredStrings" Target="sharedStrings.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hyperlink" Target="#'9.1.1.1-2 Refrigerant use'!D5"/></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9.1.1.1-2 </a:t>
          </a:r>
          <a:br>
            <a:rPr lang="en-AU" sz="1400" b="0">
              <a:solidFill>
                <a:srgbClr val="0C769E"/>
              </a:solidFill>
            </a:rPr>
          </a:br>
          <a:r>
            <a:rPr lang="en-AU" sz="1400" b="0">
              <a:solidFill>
                <a:srgbClr val="0C769E"/>
              </a:solidFill>
            </a:rPr>
            <a:t>Refrigerant</a:t>
          </a:r>
          <a:r>
            <a:rPr lang="en-AU" sz="1400" b="0" baseline="0">
              <a:solidFill>
                <a:srgbClr val="0C769E"/>
              </a:solidFill>
            </a:rPr>
            <a:t> use</a:t>
          </a:r>
          <a:endParaRPr lang="en-AU" sz="1400" b="0">
            <a:solidFill>
              <a:srgbClr val="0C769E"/>
            </a:solidFill>
          </a:endParaRPr>
        </a:p>
      </xdr:txBody>
    </xdr:sp>
    <xdr:clientData/>
  </xdr:oneCellAnchor>
  <xdr:twoCellAnchor>
    <xdr:from>
      <xdr:col>3</xdr:col>
      <xdr:colOff>110835</xdr:colOff>
      <xdr:row>9</xdr:row>
      <xdr:rowOff>122958</xdr:rowOff>
    </xdr:from>
    <xdr:to>
      <xdr:col>5</xdr:col>
      <xdr:colOff>403635</xdr:colOff>
      <xdr:row>12</xdr:row>
      <xdr:rowOff>100008</xdr:rowOff>
    </xdr:to>
    <xdr:sp macro="" textlink="'9.1.1.1-2 Refrigerant use'!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485158"/>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77A225-5B38-4F4F-8E60-34C9F7D0C552}" type="TxLink">
            <a:rPr lang="en-US" sz="1000" b="0" i="0" u="none" strike="noStrike">
              <a:solidFill>
                <a:srgbClr val="0C769E"/>
              </a:solidFill>
              <a:latin typeface="Times New Roman"/>
              <a:cs typeface="Times New Roman"/>
            </a:rPr>
            <a:pPr algn="ctr"/>
            <a:t>The total emissions of refrigerant leaking during operation (not during installation or disposal)</a:t>
          </a:fld>
          <a:endParaRPr lang="en-AU" sz="1000">
            <a:solidFill>
              <a:srgbClr val="0C769E"/>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24652</xdr:colOff>
      <xdr:row>8</xdr:row>
      <xdr:rowOff>54909</xdr:rowOff>
    </xdr:from>
    <xdr:ext cx="2898358" cy="38036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49B0CCA-3A31-4CC1-90DA-169146DA2FC7}"/>
                </a:ext>
              </a:extLst>
            </xdr:cNvPr>
            <xdr:cNvSpPr txBox="1"/>
          </xdr:nvSpPr>
          <xdr:spPr>
            <a:xfrm>
              <a:off x="2702858" y="2161615"/>
              <a:ext cx="2898358"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𝑅</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𝑎</m:t>
                        </m:r>
                      </m:sub>
                      <m:sup/>
                      <m:e>
                        <m:d>
                          <m:dPr>
                            <m:ctrlPr>
                              <a:rPr lang="en-AU" sz="1100" i="1">
                                <a:solidFill>
                                  <a:schemeClr val="tx1"/>
                                </a:solidFill>
                                <a:effectLst/>
                                <a:latin typeface="Cambria Math" panose="02040503050406030204" pitchFamily="18" charset="0"/>
                                <a:ea typeface="+mn-ea"/>
                                <a:cs typeface="+mn-cs"/>
                              </a:rPr>
                            </m:ctrlPr>
                          </m:dPr>
                          <m:e>
                            <m:r>
                              <a:rPr lang="en-AU" sz="1100" i="1">
                                <a:solidFill>
                                  <a:schemeClr val="tx1"/>
                                </a:solidFill>
                                <a:effectLst/>
                                <a:latin typeface="Cambria Math" panose="02040503050406030204" pitchFamily="18" charset="0"/>
                                <a:ea typeface="+mn-ea"/>
                                <a:cs typeface="+mn-cs"/>
                              </a:rPr>
                              <m:t>𝑐h𝑎𝑟𝑔</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𝑒</m:t>
                                </m:r>
                              </m:e>
                              <m:sub>
                                <m:r>
                                  <a:rPr lang="en-AU" sz="1100" i="1">
                                    <a:solidFill>
                                      <a:schemeClr val="tx1"/>
                                    </a:solidFill>
                                    <a:effectLst/>
                                    <a:latin typeface="Cambria Math" panose="02040503050406030204" pitchFamily="18" charset="0"/>
                                    <a:ea typeface="+mn-ea"/>
                                    <a:cs typeface="+mn-cs"/>
                                  </a:rPr>
                                  <m:t>𝑅𝑎</m:t>
                                </m:r>
                              </m:sub>
                            </m:sSub>
                            <m:r>
                              <a:rPr lang="en-AU" sz="1100" i="1">
                                <a:solidFill>
                                  <a:schemeClr val="tx1"/>
                                </a:solidFill>
                                <a:effectLst/>
                                <a:latin typeface="Cambria Math" panose="02040503050406030204" pitchFamily="18" charset="0"/>
                                <a:ea typeface="+mn-ea"/>
                                <a:cs typeface="+mn-cs"/>
                              </a:rPr>
                              <m:t>×</m:t>
                            </m:r>
                            <m:f>
                              <m:fPr>
                                <m:ctrlPr>
                                  <a:rPr lang="en-AU" sz="1100" i="1">
                                    <a:solidFill>
                                      <a:schemeClr val="tx1"/>
                                    </a:solidFill>
                                    <a:effectLst/>
                                    <a:latin typeface="Cambria Math" panose="02040503050406030204" pitchFamily="18" charset="0"/>
                                    <a:ea typeface="+mn-ea"/>
                                    <a:cs typeface="+mn-cs"/>
                                  </a:rPr>
                                </m:ctrlPr>
                              </m:fPr>
                              <m:num>
                                <m:r>
                                  <a:rPr lang="en-AU" sz="1100" i="1">
                                    <a:solidFill>
                                      <a:schemeClr val="tx1"/>
                                    </a:solidFill>
                                    <a:effectLst/>
                                    <a:latin typeface="Cambria Math" panose="02040503050406030204" pitchFamily="18" charset="0"/>
                                    <a:ea typeface="+mn-ea"/>
                                    <a:cs typeface="+mn-cs"/>
                                  </a:rPr>
                                  <m:t>𝑙𝑒𝑎𝑘𝑎𝑔𝑒</m:t>
                                </m:r>
                                <m:r>
                                  <a:rPr lang="en-AU" sz="1100" i="1">
                                    <a:solidFill>
                                      <a:schemeClr val="tx1"/>
                                    </a:solidFill>
                                    <a:effectLst/>
                                    <a:latin typeface="Cambria Math" panose="02040503050406030204" pitchFamily="18" charset="0"/>
                                    <a:ea typeface="+mn-ea"/>
                                    <a:cs typeface="+mn-cs"/>
                                  </a:rPr>
                                  <m:t> </m:t>
                                </m:r>
                                <m:r>
                                  <a:rPr lang="en-AU" sz="1100" i="1">
                                    <a:solidFill>
                                      <a:schemeClr val="tx1"/>
                                    </a:solidFill>
                                    <a:effectLst/>
                                    <a:latin typeface="Cambria Math" panose="02040503050406030204" pitchFamily="18" charset="0"/>
                                    <a:ea typeface="+mn-ea"/>
                                    <a:cs typeface="+mn-cs"/>
                                  </a:rPr>
                                  <m:t>𝑟𝑎𝑡</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𝑒</m:t>
                                    </m:r>
                                  </m:e>
                                  <m:sub>
                                    <m:r>
                                      <a:rPr lang="en-AU" sz="1100" i="1">
                                        <a:solidFill>
                                          <a:schemeClr val="tx1"/>
                                        </a:solidFill>
                                        <a:effectLst/>
                                        <a:latin typeface="Cambria Math" panose="02040503050406030204" pitchFamily="18" charset="0"/>
                                        <a:ea typeface="+mn-ea"/>
                                        <a:cs typeface="+mn-cs"/>
                                      </a:rPr>
                                      <m:t>𝑎</m:t>
                                    </m:r>
                                  </m:sub>
                                </m:sSub>
                              </m:num>
                              <m:den>
                                <m:r>
                                  <a:rPr lang="en-AU" sz="1100" i="1">
                                    <a:solidFill>
                                      <a:schemeClr val="tx1"/>
                                    </a:solidFill>
                                    <a:effectLst/>
                                    <a:latin typeface="Cambria Math" panose="02040503050406030204" pitchFamily="18" charset="0"/>
                                    <a:ea typeface="+mn-ea"/>
                                    <a:cs typeface="+mn-cs"/>
                                  </a:rPr>
                                  <m:t>100</m:t>
                                </m:r>
                              </m:den>
                            </m:f>
                          </m:e>
                        </m:d>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D49B0CCA-3A31-4CC1-90DA-169146DA2FC7}"/>
                </a:ext>
              </a:extLst>
            </xdr:cNvPr>
            <xdr:cNvSpPr txBox="1"/>
          </xdr:nvSpPr>
          <xdr:spPr>
            <a:xfrm>
              <a:off x="2702858" y="2161615"/>
              <a:ext cx="2898358"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𝐸_𝑅=∑10_𝑎▒(𝑐ℎ𝑎𝑟𝑔𝑒_𝑅𝑎×(𝑙𝑒𝑎𝑘𝑎𝑔𝑒 𝑟𝑎𝑡𝑒_𝑎)/100) ×10^(−3)</a:t>
              </a:r>
              <a:endParaRPr lang="en-AU" sz="1100"/>
            </a:p>
          </xdr:txBody>
        </xdr:sp>
      </mc:Fallback>
    </mc:AlternateContent>
    <xdr:clientData/>
  </xdr:oneCellAnchor>
  <xdr:oneCellAnchor>
    <xdr:from>
      <xdr:col>3</xdr:col>
      <xdr:colOff>41461</xdr:colOff>
      <xdr:row>50</xdr:row>
      <xdr:rowOff>159124</xdr:rowOff>
    </xdr:from>
    <xdr:ext cx="2279022" cy="16882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1B22A78A-9A1D-96D2-4782-CC8E18F31BB9}"/>
                </a:ext>
              </a:extLst>
            </xdr:cNvPr>
            <xdr:cNvSpPr txBox="1"/>
          </xdr:nvSpPr>
          <xdr:spPr>
            <a:xfrm>
              <a:off x="2719667" y="12620065"/>
              <a:ext cx="2279022"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m:t>
                        </m:r>
                      </m:sub>
                    </m:sSub>
                    <m:r>
                      <a:rPr lang="en-AU" sz="1100" i="1">
                        <a:latin typeface="Cambria Math" panose="02040503050406030204" pitchFamily="18" charset="0"/>
                      </a:rPr>
                      <m:t>𝑂</m:t>
                    </m:r>
                    <m:r>
                      <a:rPr lang="en-AU" sz="1100" i="1">
                        <a:latin typeface="Cambria Math" panose="02040503050406030204" pitchFamily="18" charset="0"/>
                      </a:rPr>
                      <m:t>2</m:t>
                    </m:r>
                    <m:r>
                      <a:rPr lang="en-AU" sz="1100" i="1">
                        <a:latin typeface="Cambria Math" panose="02040503050406030204" pitchFamily="18" charset="0"/>
                      </a:rPr>
                      <m:t>𝑒</m:t>
                    </m:r>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𝑅</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r>
                      <a:rPr lang="en-AU" sz="1100" i="1">
                        <a:latin typeface="Cambria Math" panose="02040503050406030204" pitchFamily="18" charset="0"/>
                      </a:rPr>
                      <m:t>×</m:t>
                    </m:r>
                    <m:r>
                      <a:rPr lang="en-AU" sz="1100" i="1">
                        <a:latin typeface="Cambria Math" panose="02040503050406030204" pitchFamily="18" charset="0"/>
                      </a:rPr>
                      <m:t>𝐺𝑊</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𝑅</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1B22A78A-9A1D-96D2-4782-CC8E18F31BB9}"/>
                </a:ext>
              </a:extLst>
            </xdr:cNvPr>
            <xdr:cNvSpPr txBox="1"/>
          </xdr:nvSpPr>
          <xdr:spPr>
            <a:xfrm>
              <a:off x="2719667" y="12620065"/>
              <a:ext cx="2279022"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 𝑂2𝑒=(𝐸_𝑅×10^3 )×𝐺𝑊𝑃_𝑅×10^(−3)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2F53FC-4417-4684-906D-1EAA429D66BB}" name="Table_Input_Refrigerant" displayName="Table_Input_Refrigerant" ref="D9:H19" totalsRowShown="0" headerRowCellStyle="Input table column header">
  <autoFilter ref="D9:H19" xr:uid="{522F53FC-4417-4684-906D-1EAA429D66BB}">
    <filterColumn colId="0" hiddenButton="1"/>
    <filterColumn colId="1" hiddenButton="1"/>
    <filterColumn colId="2" hiddenButton="1"/>
    <filterColumn colId="3" hiddenButton="1"/>
    <filterColumn colId="4" hiddenButton="1"/>
  </autoFilter>
  <tableColumns count="5">
    <tableColumn id="1" xr3:uid="{6746A01D-1612-49BB-8917-35F6F366E6B5}" name="Refrigeration unit name" dataCellStyle="Input text"/>
    <tableColumn id="2" xr3:uid="{B1D63EF0-427C-44C7-8981-52C505957D8D}" name="Appliance type (select)" dataCellStyle="Input select"/>
    <tableColumn id="3" xr3:uid="{7D4059A8-3C98-469C-A367-BB4FE7ACBFBE}" name="Refrigerant used (select)" dataCellStyle="Input select"/>
    <tableColumn id="4" xr3:uid="{B1F7D4BA-0515-4248-ACA9-0BB1E037D020}" name="Unit refrigerant gas capacity (kg)" dataCellStyle="Input number general"/>
    <tableColumn id="5" xr3:uid="{182DF297-F247-4D14-ADA2-B1F02A7B0864}" name="Number of units in use" dataCellStyle="Input number general"/>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1C64E54-9C84-4DF0-963A-F003AFDF82BC}" name="Table_RefrigerantChemicalGWP" displayName="Table_RefrigerantChemicalGWP" ref="D8:H46" totalsRowShown="0">
  <autoFilter ref="D8:H46" xr:uid="{E1C64E54-9C84-4DF0-963A-F003AFDF82BC}">
    <filterColumn colId="0" hiddenButton="1"/>
    <filterColumn colId="1" hiddenButton="1"/>
    <filterColumn colId="2" hiddenButton="1"/>
    <filterColumn colId="3" hiddenButton="1"/>
    <filterColumn colId="4" hiddenButton="1"/>
  </autoFilter>
  <tableColumns count="5">
    <tableColumn id="1" xr3:uid="{62BDB88E-3527-479E-864F-466878FB5CB5}" name="Gas">
      <calculatedColumnFormula array="1">Common_InputFunctions.Utility_DisplayArrayInTable(Refrigerants_SourceData.Refrigerants_ChemicalGWP_Data(), Table_RefrigerantChemicalGWP[[#Headers],[Gas]], 0)</calculatedColumnFormula>
    </tableColumn>
    <tableColumn id="2" xr3:uid="{D8D63CD1-DF01-49A3-AC85-F733266FF8FC}" name="Chemical formula">
      <calculatedColumnFormula array="1">Common_InputFunctions.Utility_DisplayArrayInTable(Refrigerants_SourceData.Refrigerants_ChemicalGWP_Data(), Table_RefrigerantChemicalGWP[[#Headers],[Gas]], 0)</calculatedColumnFormula>
    </tableColumn>
    <tableColumn id="3" xr3:uid="{0AE39E77-03BA-4B47-ADF4-E2A6E6E104AC}" name="Global warming potential (AR5)">
      <calculatedColumnFormula array="1">Common_InputFunctions.Utility_DisplayArrayInTable(Refrigerants_SourceData.Refrigerants_ChemicalGWP_Data(), Table_RefrigerantChemicalGWP[[#Headers],[Gas]], 0)</calculatedColumnFormula>
    </tableColumn>
    <tableColumn id="4" xr3:uid="{67178165-2BEF-455C-9CCE-778089F09E4E}" name="Gas - FC name">
      <calculatedColumnFormula array="1">Common_InputFunctions.Utility_DisplayArrayInTable(Refrigerants_SourceData.Refrigerants_ChemicalGWP_Data(), Table_RefrigerantChemicalGWP[[#Headers],[Gas]], 0)</calculatedColumnFormula>
    </tableColumn>
    <tableColumn id="5" xr3:uid="{908FBD65-4827-409D-A484-36C9D83CED3F}" name="Aditional data source">
      <calculatedColumnFormula array="1">Common_InputFunctions.Utility_DisplayArrayInTable(Refrigerants_SourceData.Refrigerants_ChemicalGWP_Data(), Table_RefrigerantChemicalGWP[[#Headers],[Gas]],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8425C18-C97A-4426-BBB3-EF366039709E}" name="Table_RefrigerantBlends" displayName="Table_RefrigerantBlends" ref="D52:F102" totalsRowShown="0">
  <autoFilter ref="D52:F102" xr:uid="{18425C18-C97A-4426-BBB3-EF366039709E}">
    <filterColumn colId="0" hiddenButton="1"/>
    <filterColumn colId="1" hiddenButton="1"/>
    <filterColumn colId="2" hiddenButton="1"/>
  </autoFilter>
  <tableColumns count="3">
    <tableColumn id="1" xr3:uid="{429F488B-CBBB-44C3-9090-A828E54D1599}" name="Blend">
      <calculatedColumnFormula array="1">Common_InputFunctions.Utility_DisplayArrayInTable(Refrigerants_SourceData.Refrigerants_ChemicalBlends_Data(), Table_RefrigerantBlends[[#Headers],[Blend]], 0)</calculatedColumnFormula>
    </tableColumn>
    <tableColumn id="2" xr3:uid="{CA69A4C4-12F9-46BC-85E7-8B615E52A4AC}" name="Constituents">
      <calculatedColumnFormula array="1">Common_InputFunctions.Utility_DisplayArrayInTable(Refrigerants_SourceData.Refrigerants_ChemicalBlends_Data(), Table_RefrigerantBlends[[#Headers],[Blend]], 0)</calculatedColumnFormula>
    </tableColumn>
    <tableColumn id="3" xr3:uid="{6963BC25-0EFC-4A8A-8B34-3E20B66DBF70}" name="Composition (%)">
      <calculatedColumnFormula array="1">Common_InputFunctions.Utility_DisplayArrayInTable(Refrigerants_SourceData.Refrigerants_ChemicalBlends_Data(), Table_RefrigerantBlends[[#Headers],[Blend]],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B81EECF-2AA9-4F39-8881-1C4A3A770595}" name="Table_RefrigerantBlends_Cleaned" displayName="Table_RefrigerantBlends_Cleaned" ref="D109:Q161" totalsRowShown="0">
  <autoFilter ref="D109:Q161" xr:uid="{4B81EECF-2AA9-4F39-8881-1C4A3A77059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EFDA6927-34AA-4D8B-8D4A-9DC7E3B40163}" name="Blend">
      <calculatedColumnFormula>D53</calculatedColumnFormula>
    </tableColumn>
    <tableColumn id="2" xr3:uid="{65A7B9C0-00D2-46A0-943C-B2C99DFEF2B7}" name="Constituent 1">
      <calculatedColumnFormula array="1">IFERROR(INDEX(TRANSPOSE(InputFunctions_Utilities.Utility_SplitStringIntoArray($Q53, "/")), 1), "")</calculatedColumnFormula>
    </tableColumn>
    <tableColumn id="3" xr3:uid="{A931BA68-0170-43A0-A3E8-29249EB960F2}" name="Constituent 2">
      <calculatedColumnFormula array="1">IFERROR(INDEX(TRANSPOSE(InputFunctions_Utilities.Utility_SplitStringIntoArray($Q53, "/")), 2), "")</calculatedColumnFormula>
    </tableColumn>
    <tableColumn id="4" xr3:uid="{7A9F3AE1-87A4-4A01-9E6B-CB9F47E15C21}" name="Constituent 3">
      <calculatedColumnFormula array="1">IFERROR(INDEX(TRANSPOSE(InputFunctions_Utilities.Utility_SplitStringIntoArray($Q53, "/")), 3), "")</calculatedColumnFormula>
    </tableColumn>
    <tableColumn id="5" xr3:uid="{A3032C3A-81A7-4174-B583-04C6DCFC6757}" name="Constituent 4">
      <calculatedColumnFormula array="1">IFERROR(INDEX(TRANSPOSE(InputFunctions_Utilities.Utility_SplitStringIntoArray($Q53, "/")), 4), "")</calculatedColumnFormula>
    </tableColumn>
    <tableColumn id="6" xr3:uid="{46A3C022-9AC8-4B0D-B58A-5C9EEA318F6C}" name="Constituent 1 fraction"/>
    <tableColumn id="7" xr3:uid="{EAB72211-F9D7-417D-B623-AEBAA9148550}" name="Constituent 2 fraction"/>
    <tableColumn id="8" xr3:uid="{8B1B0E22-1C60-4228-9330-E64FC3EE0C74}" name="Constituent 3 fraction"/>
    <tableColumn id="9" xr3:uid="{775A3347-24EF-4D44-8982-179D3FE9A37D}" name="Constituent 4 fraction"/>
    <tableColumn id="10" xr3:uid="{C725453B-6BBB-4499-96BD-CFF2FC1E2EBA}" name="Constituent 1 GWP">
      <calculatedColumnFormula array="1">IFERROR(Table_RefrigerantBlends_Cleaned[[#This Row],[Constituent 1 fraction]]*Common_InputFunctions.Utility_LookupValueInTableNumber(Table_RefrigerantBlends_Cleaned[[#This Row],[Constituent 1]], Table_RefrigerantChemicalGWP[Gas - FC name], Table_RefrigerantChemicalGWP[Global warming potential (AR5)]),"")</calculatedColumnFormula>
    </tableColumn>
    <tableColumn id="11" xr3:uid="{89F89010-2000-4060-A642-2E886DBD3F75}" name="Constituent 2 GWP"/>
    <tableColumn id="12" xr3:uid="{FD568896-2AC0-4F6D-8246-12A3FC672388}" name="Constituent 3 GWP"/>
    <tableColumn id="13" xr3:uid="{CA40B9B1-FAB0-49FA-A641-3A11045EA1C8}" name="Constituent 4 GWP"/>
    <tableColumn id="14" xr3:uid="{7AD87404-6129-41AD-89ED-4654E9148F3D}" name="Blend GWP">
      <calculatedColumnFormula>SUM(Table_RefrigerantBlends_Cleaned[[#This Row],[Constituent 1 GWP]],Table_RefrigerantBlends_Cleaned[[#This Row],[Constituent 2 GWP]],Table_RefrigerantBlends_Cleaned[[#This Row],[Constituent 3 GWP]],Table_RefrigerantBlends_Cleaned[[#This Row],[Constituent 4 GWP]])</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B340411-0B16-4A11-B31A-8128F73C9D92}" name="Table_Refrigerants_LeakageRates" displayName="Table_Refrigerants_LeakageRates" ref="D167:E174" totalsRowShown="0">
  <autoFilter ref="D167:E174" xr:uid="{4B340411-0B16-4A11-B31A-8128F73C9D92}">
    <filterColumn colId="0" hiddenButton="1"/>
    <filterColumn colId="1" hiddenButton="1"/>
  </autoFilter>
  <tableColumns count="2">
    <tableColumn id="1" xr3:uid="{04ACE1EE-94B4-4983-B905-9C7EB5BF69CB}" name="Product">
      <calculatedColumnFormula array="1">Common_InputFunctions.Utility_DisplayArrayInTable(Refrigerants_SourceData.Refrigerants_LeakageRates_Data(), Table_Refrigerants_LeakageRates[[#Headers],[Product]], 0)</calculatedColumnFormula>
    </tableColumn>
    <tableColumn id="2" xr3:uid="{068B358B-F2C9-4A9B-9CE5-084E3BCF9BC4}" name="Annual leakage rate (%)">
      <calculatedColumnFormula array="1">Common_InputFunctions.Utility_DisplayArrayInTable(Refrigerants_SourceData.Refrigerants_LeakageRates_Data(), Table_Refrigerants_LeakageRates[[#Headers],[Product]],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9B225CC-22FF-489B-944A-4F2BEE1F864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0ACCCA86-D47A-49E6-B57D-A4B7CE23D744}" name="State/Territory">
      <calculatedColumnFormula array="1">Common_InputFunctions.Utility_DisplayArrayInTable(Common_SourceData.Common_SourceData_AustralianStatesTerritories_Data(),Table_AustralianStates[[#Headers],[State/Territory]],0)</calculatedColumnFormula>
    </tableColumn>
    <tableColumn id="2" xr3:uid="{B27BEAA4-A451-46EC-B597-B9703A1B45A7}" name="Common Name">
      <calculatedColumnFormula array="1">Common_InputFunctions.Utility_DisplayArrayInTable(Common_SourceData.Common_SourceData_AustralianStatesTerritories_Data(),Table_AustralianStates[[#Headers],[State/Territory]],0)</calculatedColumnFormula>
    </tableColumn>
    <tableColumn id="3" xr3:uid="{9FC59DF2-1592-4CD6-AF02-761876063B49}"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A034682-B3AF-4777-98F1-9BE6449F5298}" name="Table_WASA4Areas" displayName="Table_WASA4Areas" ref="D20:D30" totalsRowShown="0">
  <autoFilter ref="D20:D30" xr:uid="{5FA81339-C6C8-4D36-BEEA-6C4AEDD9E676}">
    <filterColumn colId="0" hiddenButton="1"/>
  </autoFilter>
  <tableColumns count="1">
    <tableColumn id="1" xr3:uid="{6DBBCDA6-30C0-4638-8E70-258F978DAC2B}"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91615C9-B0E8-48DF-83C0-32D82AC8F59D}" name="Table_GWPData" displayName="Table_GWPData" ref="D36:E43" totalsRowShown="0">
  <autoFilter ref="D36:E43" xr:uid="{B8E87A66-3E41-4AD3-925D-01EE21B43D7A}">
    <filterColumn colId="0" hiddenButton="1"/>
    <filterColumn colId="1" hiddenButton="1"/>
  </autoFilter>
  <tableColumns count="2">
    <tableColumn id="1" xr3:uid="{56F20BC2-56F5-427B-8FF1-7EF09C514D4E}" name="Gas">
      <calculatedColumnFormula array="1">Common_InputFunctions.Utility_DisplayArrayInTable(Common_SourceData.Common_SourceData_GWP_Data(), Table_GWPData[[#Headers],[Gas]], 0)</calculatedColumnFormula>
    </tableColumn>
    <tableColumn id="2" xr3:uid="{C03A9D3C-DC7B-4F14-83E7-72FA50D1D978}"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2AF2589-D67C-4A7B-8DF4-E3C3EA7870C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F494CD3D-C587-4121-ACC7-41E23F5D8191}" name="Gas">
      <calculatedColumnFormula array="1">Common_InputFunctions.Utility_DisplayArrayInTable(Common_SourceData.Common_SourceData_ConvertGasElementalToMolecular_Data(),Table_GasToMolecularConversionFactor[[#Headers],[Gas]], 0)</calculatedColumnFormula>
    </tableColumn>
    <tableColumn id="5" xr3:uid="{259B97AB-2FE6-4FFB-A603-AD4E4F868E5E}" name="Conversion factor">
      <calculatedColumnFormula array="1">Common_InputFunctions.Utility_DisplayArrayInTable(Common_SourceData.Common_SourceData_ConvertGasElementalToMolecular_Data(),Table_GasToMolecularConversionFactor[[#Headers],[Gas]], 0)</calculatedColumnFormula>
    </tableColumn>
    <tableColumn id="2" xr3:uid="{20CFD2D3-87F3-4A7E-8D15-1F864616438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76ABA1C2-D154-4611-93A1-492948E1A4E1}"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61BB90F-07C1-464B-861B-4976CFBE2EEC}"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3E8EA07-16D0-4744-9285-B13305AFD092}"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AA8187F8-0042-4C0E-A158-2B1DDD89C55E}"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EAA8886F-E011-45A8-B808-0BEFAC3A35DF}" name="MAT"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3" xr3:uid="{AA7B88F7-095C-4E16-9CF8-A98235D82885}" name="MA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4" xr3:uid="{0ECBB133-8208-4BC5-87AC-C9A17199BA63}" name="Frost days per year"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5" xr3:uid="{3D9AC821-75C8-4D27-BCEF-C2056472F642}" name="Elevation"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6" xr3:uid="{D643E4EB-D004-46BD-9D3C-B84163D0D6FB}" name="MAP:PET"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7" xr3:uid="{12A07609-F08E-4413-B6D3-C87FDF66E215}" name="Min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8" xr3:uid="{F102AF9F-9FEA-40DD-AF28-041C1461D83E}" name="Max tem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9" xr3:uid="{90A51AC4-8B22-4441-A14C-E02D0326E5F8}" name="Min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0" xr3:uid="{3FD86231-C6F8-4A32-80AD-5D4060FD1B31}" name="Max rainfall"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1" xr3:uid="{73D202BF-BFCE-42FA-9D0F-2DA13C4481FC}" name="Min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5" xr3:uid="{F3AAFA92-EA40-43BB-8481-31088FE8F2A5}" name="Max frost days"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2" xr3:uid="{EFBF1273-7CCE-435E-9C54-D0FC021C2D12}" name="Min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6" xr3:uid="{35C9987E-D507-47A4-9DE5-D9177126FF2D}" name="Max elevation"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3" xr3:uid="{F27CE1D5-2216-4EDB-B3ED-8A6CCE6C7142}" name="Min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7" xr3:uid="{520A4B37-7DA2-48BF-AF37-03D14FA097BC}" name="Max MAP:PET" totalsRowDxfId="33"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AAD80A4-98CA-4A77-AF91-D13C800FBEDB}"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4EF58733-2135-49D9-856E-9C4907356A09}"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F7659FA5-BEFD-4223-A8BA-0F0B54D3C77A}" name="Wet or Dry Zone" totalsRowDxfId="32"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4EF9EAB-A496-4FA6-9FF3-9C2DA7DF988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692CCA7F-354D-4462-A5CC-B470737A3175}" name="Temperature Zone">
      <calculatedColumnFormula array="1">Common_InputFunctions.Utility_DisplayArrayInTable(Common_SourceData.Common_SourceData_TemperatureZones_Data(),Table_SourceData_TemperatureZones[[#Headers],[Temperature Zone]],0)</calculatedColumnFormula>
    </tableColumn>
    <tableColumn id="2" xr3:uid="{9417D96B-90BA-4033-B9C6-FDA813678B4C}" name="MAT">
      <calculatedColumnFormula array="1">Common_InputFunctions.Utility_DisplayArrayInTable(Common_SourceData.Common_SourceData_TemperatureZones_Data(),Table_SourceData_TemperatureZones[[#Headers],[Temperature Zone]],0)</calculatedColumnFormula>
    </tableColumn>
    <tableColumn id="3" xr3:uid="{F61EA434-BCC2-42F2-8919-8D2C0B407D0C}" name="Min MAT">
      <calculatedColumnFormula array="1">Common_InputFunctions.Utility_DisplayArrayInTable(Common_SourceData.Common_SourceData_TemperatureZones_Data(),Table_SourceData_TemperatureZones[[#Headers],[Temperature Zone]],0)</calculatedColumnFormula>
    </tableColumn>
    <tableColumn id="4" xr3:uid="{ECBB14F8-F7FB-45E5-B482-8ACA32BD90F9}"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F1750BE-922B-48E8-ADA4-66091A5A0FE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4F8142C1-4652-4EFB-ACD0-F33E4ADF1A95}" name="Rainfall Zone">
      <calculatedColumnFormula array="1">Common_InputFunctions.Utility_DisplayArrayInTable(Common_SourceData.Common_SourceData_RainfallZones_Data(),Table_SourceData_RainfallZones[[#Headers],[Rainfall Zone]],0)</calculatedColumnFormula>
    </tableColumn>
    <tableColumn id="2" xr3:uid="{C4EAC22C-2A06-49E0-913C-77E92F7B10F6}" name="Annual rainfall">
      <calculatedColumnFormula array="1">Common_InputFunctions.Utility_DisplayArrayInTable(Common_SourceData.Common_SourceData_RainfallZones_Data(),Table_SourceData_RainfallZones[[#Headers],[Rainfall Zone]],0)</calculatedColumnFormula>
    </tableColumn>
    <tableColumn id="3" xr3:uid="{433AECB9-327A-4C6E-8EE9-E1448F5E2DBE}" name="Min rainfall">
      <calculatedColumnFormula array="1">Common_InputFunctions.Utility_DisplayArrayInTable(Common_SourceData.Common_SourceData_RainfallZones_Data(),Table_SourceData_RainfallZones[[#Headers],[Rainfall Zone]],0)</calculatedColumnFormula>
    </tableColumn>
    <tableColumn id="4" xr3:uid="{2AA94844-B51B-405E-B9AD-53CEE3499D09}"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96BD446-2F05-45FD-83F3-42F2F34B5B9E}"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3FBF0D07-67BB-436A-9984-469656A28704}" name="Leaching Zone">
      <calculatedColumnFormula array="1">Common_InputFunctions.Utility_DisplayArrayInTable(Common_SourceData.Common_SourceData_LeachingZones_Data(), Table_SourceData_LeachingZones[[#Headers],[Leaching Zone]], 0)</calculatedColumnFormula>
    </tableColumn>
    <tableColumn id="2" xr3:uid="{EC0DCA32-396C-478E-90F8-04A7BED9BB16}"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90FA27C-33C1-4662-9AFF-006C08A4211E}"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F71770D4-9368-4676-B714-C7475FF89B62}" name="Data source">
      <calculatedColumnFormula array="1">Common_InputFunctions.Utility_DisplayArrayInTable(Common_SourceData.Common_SourceData_DataScores_Scope3_Data(), Table_SourceData_DataScores_Scope3[[#Headers],[Data source]], 0)</calculatedColumnFormula>
    </tableColumn>
    <tableColumn id="2" xr3:uid="{0C157665-6F13-4351-A6EB-9119D273426C}"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B5F685E-7CFD-4B01-8F98-11C78979ED5D}" name="Table_SourceData_FracWET" displayName="Table_SourceData_FracWET" ref="D134:E136" totalsRowShown="0">
  <autoFilter ref="D134:E136" xr:uid="{308E99BE-FE1F-47A4-B2CA-97217277C4E9}">
    <filterColumn colId="0" hiddenButton="1"/>
    <filterColumn colId="1" hiddenButton="1"/>
  </autoFilter>
  <tableColumns count="2">
    <tableColumn id="1" xr3:uid="{75BEBE37-39B4-4E59-A52E-53C1E93F718F}" name="Is in leaching zone">
      <calculatedColumnFormula array="1">Common_InputFunctions.Utility_DisplayArrayInTable(Common_SourceData.Common_SourceData_FracWET_Data(),Table_SourceData_FracWET[[#Headers],[Is in leaching zone]],0)</calculatedColumnFormula>
    </tableColumn>
    <tableColumn id="2" xr3:uid="{C0D50F48-A838-46A3-8B4E-BD74578D5EA5}" name="FracWET" dataDxfId="31">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38EC5FD-5E4F-4880-BB81-BDF89DA918CA}"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CFB3196B-0D9B-41E0-81A6-84DA7CAE04DD}" name="Production system j">
      <calculatedColumnFormula array="1">Common_InputFunctions.Utility_DisplayArrayInTable(Common_SourceData.Common_SourceData_EFN2O_Data(), Table_SourceData_Common_EFN2O[[#Headers],[Production system j]], 0)</calculatedColumnFormula>
    </tableColumn>
    <tableColumn id="2" xr3:uid="{209F7857-519C-48A2-BB2E-9BCB020F651D}" name="EFN2O">
      <calculatedColumnFormula array="1">Common_InputFunctions.Utility_DisplayArrayInTable(Common_SourceData.Common_SourceData_EFN2O_Data(), Table_SourceData_Common_EFN2O[[#Headers],[Production system j]], 0)</calculatedColumnFormula>
    </tableColumn>
    <tableColumn id="3" xr3:uid="{5DF0D2F4-5F2B-4DE6-ADC7-CD7463078EEE}" name="Production system only">
      <calculatedColumnFormula array="1">Common_InputFunctions.Utility_DisplayArrayInTable(Common_SourceData.Common_SourceData_EFN2O_Data(), Table_SourceData_Common_EFN2O[[#Headers],[Production system j]], 0)</calculatedColumnFormula>
    </tableColumn>
    <tableColumn id="4" xr3:uid="{EC04533A-568D-4D72-AC19-2C7248B47182}" name="Irrigation method">
      <calculatedColumnFormula array="1">Common_InputFunctions.Utility_DisplayArrayInTable(Common_SourceData.Common_SourceData_EFN2O_Data(), Table_SourceData_Common_EFN2O[[#Headers],[Production system j]], 0)</calculatedColumnFormula>
    </tableColumn>
    <tableColumn id="5" xr3:uid="{C32F65B2-1CB1-4ABE-9FC4-BE4364E12ECE}"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89729ED1-E86C-4E41-B0BE-BE545A1501D2}"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058EE474-821C-46B8-B9DB-A856FC27B7A9}" name="Irrigation type i">
      <calculatedColumnFormula array="1">Common_InputFunctions.Utility_DisplayArrayInTable(Common_SourceData.Common_SourceData_FracWETIrrigation_Data(), Table_SourceData_FracWETIrrigation[[#Headers],[Irrigation type i]], 0)</calculatedColumnFormula>
    </tableColumn>
    <tableColumn id="2" xr3:uid="{64C441F6-07CD-4748-BEAE-C8625EB5AEF9}" name="FracWET" dataDxfId="30"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578524F2-0357-449F-ABA2-BC0D3754A4D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A9D82E06-BBC8-48FF-87E0-4E5D302CD314}"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6B8B8187-2CE6-4828-B655-AC0E679BD856}" name="EFPRP" dataDxfId="29"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7C71CAF-1371-452F-BE5F-BBFF68E929C1}"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DB86F89E-F0C6-4E23-84FA-724586BBF2C0}" name="Month">
      <calculatedColumnFormula array="1">Common_InputFunctions.Utility_DisplayArrayInTable(Common_SourceData.Common_SourceData_MonthsToSeasons_Data(), Table_SourceData_Common_MonthToSeason[[#Headers],[Month]], 0)</calculatedColumnFormula>
    </tableColumn>
    <tableColumn id="2" xr3:uid="{E19CC679-0382-4B3E-B2BA-CA84BD9BEC57}" name="Season" dataDxfId="28"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3E8C17E0-8327-49FB-920D-57E9236C3ACA}"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D282435-2C2B-4691-B43F-3A454A86ADF0}"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9F6E82C4-3071-42FC-93D6-968F926A0031}" name="MAT (ºC)"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B27891F1-2A40-4958-9F1E-6BEBC12FF7C4}" name="Anaerobic lagoon"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5662A798-B4DE-4CC1-A843-7A6191D9632B}" name="Digester / covered lagoon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05030C8-492D-4496-BF8E-7FA67C7FE1EA}" name="Liquid systems"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0002A82C-EACF-411E-A58B-682D7665BB39}" name="Daily spread"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4BF9F484-91EC-450F-8028-73876D34E694}" name="Composting (passive windrow)"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8A5C68A4-F5AA-4764-A03E-2279AB444523}" name="Solid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123BF989-3B2E-4BA3-8E54-20C4BE277CFE}" name="Pit storage"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DAAE1D4-960B-4197-A78A-30E617DF6E41}" name="Deep litter"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34450AE7-D05C-4631-8EE5-4679D80792CD}" name="Poultry manure with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3C9DF90B-C67E-43D8-8207-6500A71BC3F4}" name="Poultry manure without bedd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89E1FE1C-A229-4E74-BA5A-27BCE54D61FC}" name="Direct processing"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12B2DF86-A0C2-49AA-921F-AD97795AEDAB}" name="Direct applicati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782429A0-44D3-4681-BFA0-84CC3419FDAC}" name="Pasture range and paddock"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FF208E44-6053-4431-AA07-E648AB1553AE}" name="MAT raw"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D5D4212-3420-44AD-9282-E9DBF49BF3A5}"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27068885-8281-4700-BCD0-1F0F37B151C2}"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4BCC72ED-670B-4B3C-AECD-20306DA91098}" name="EFNi &amp; EFN2Oi" dataDxfId="12"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6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4" Type="http://schemas.openxmlformats.org/officeDocument/2006/relationships/table" Target="../tables/table5.xml"/></Relationships>
</file>

<file path=xl/worksheets/_rels/sheet7.xml.rels><?xml version="1.0" encoding="UTF-8" standalone="yes"?>
<Relationships xmlns="http://schemas.openxmlformats.org/package/2006/relationships"><Relationship Id="rId8" Type="http://schemas.openxmlformats.org/officeDocument/2006/relationships/table" Target="../tables/table12.xml"/><Relationship Id="rId13" Type="http://schemas.openxmlformats.org/officeDocument/2006/relationships/table" Target="../tables/table17.xml"/><Relationship Id="rId18" Type="http://schemas.openxmlformats.org/officeDocument/2006/relationships/table" Target="../tables/table22.xml"/><Relationship Id="rId3" Type="http://schemas.openxmlformats.org/officeDocument/2006/relationships/table" Target="../tables/table7.xml"/><Relationship Id="rId7" Type="http://schemas.openxmlformats.org/officeDocument/2006/relationships/table" Target="../tables/table11.xml"/><Relationship Id="rId12" Type="http://schemas.openxmlformats.org/officeDocument/2006/relationships/table" Target="../tables/table16.xml"/><Relationship Id="rId17" Type="http://schemas.openxmlformats.org/officeDocument/2006/relationships/table" Target="../tables/table21.xml"/><Relationship Id="rId2" Type="http://schemas.openxmlformats.org/officeDocument/2006/relationships/table" Target="../tables/table6.xml"/><Relationship Id="rId16" Type="http://schemas.openxmlformats.org/officeDocument/2006/relationships/table" Target="../tables/table20.xml"/><Relationship Id="rId1" Type="http://schemas.openxmlformats.org/officeDocument/2006/relationships/printerSettings" Target="../printerSettings/printerSettings3.bin"/><Relationship Id="rId6" Type="http://schemas.openxmlformats.org/officeDocument/2006/relationships/table" Target="../tables/table10.xml"/><Relationship Id="rId11" Type="http://schemas.openxmlformats.org/officeDocument/2006/relationships/table" Target="../tables/table15.xml"/><Relationship Id="rId5" Type="http://schemas.openxmlformats.org/officeDocument/2006/relationships/table" Target="../tables/table9.xml"/><Relationship Id="rId15" Type="http://schemas.openxmlformats.org/officeDocument/2006/relationships/table" Target="../tables/table19.xml"/><Relationship Id="rId10" Type="http://schemas.openxmlformats.org/officeDocument/2006/relationships/table" Target="../tables/table14.xml"/><Relationship Id="rId4" Type="http://schemas.openxmlformats.org/officeDocument/2006/relationships/table" Target="../tables/table8.xml"/><Relationship Id="rId9" Type="http://schemas.openxmlformats.org/officeDocument/2006/relationships/table" Target="../tables/table13.xml"/><Relationship Id="rId14" Type="http://schemas.openxmlformats.org/officeDocument/2006/relationships/table" Target="../tables/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W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15" width="9.140625" style="1"/>
    <col min="16" max="16" width="4.7109375" style="1" customWidth="1"/>
  </cols>
  <sheetData>
    <row r="1" spans="1:17" ht="30" customHeight="1" x14ac:dyDescent="0.35">
      <c r="A1" s="33" t="e" vm="1">
        <v>#VALUE!</v>
      </c>
      <c r="C1" s="60" t="s">
        <v>149</v>
      </c>
      <c r="D1" s="61"/>
      <c r="E1" s="61"/>
      <c r="F1" s="61"/>
      <c r="G1" s="61"/>
      <c r="H1" s="61"/>
      <c r="I1" s="61"/>
      <c r="J1" s="61"/>
      <c r="K1" s="61"/>
      <c r="L1" s="61"/>
      <c r="M1" s="61"/>
      <c r="N1" s="61"/>
      <c r="O1" s="61"/>
      <c r="P1" s="61"/>
    </row>
    <row r="2" spans="1:17" ht="20.100000000000001" customHeight="1" x14ac:dyDescent="0.25">
      <c r="A2" s="8"/>
      <c r="C2" s="61"/>
      <c r="D2" s="61"/>
      <c r="E2" s="61"/>
      <c r="F2" s="61"/>
      <c r="G2" s="61"/>
      <c r="H2" s="61"/>
      <c r="I2" s="61"/>
      <c r="J2" s="61"/>
      <c r="K2" s="61"/>
      <c r="L2" s="61"/>
      <c r="M2" s="61"/>
      <c r="N2" s="61"/>
      <c r="O2" s="61"/>
      <c r="P2" s="61"/>
      <c r="Q2" s="62"/>
    </row>
    <row r="3" spans="1:17" ht="20.100000000000001" customHeight="1" x14ac:dyDescent="0.25">
      <c r="A3" s="13" t="str">
        <f>HYPERLINK("#'Home'!A1", "Home")</f>
        <v>Home</v>
      </c>
      <c r="C3" s="63"/>
      <c r="D3" s="63"/>
      <c r="E3" s="63"/>
      <c r="F3" s="63"/>
      <c r="G3" s="63"/>
      <c r="H3" s="63"/>
      <c r="I3" s="63"/>
      <c r="J3" s="63"/>
      <c r="K3" s="63"/>
      <c r="L3" s="63"/>
      <c r="M3" s="63"/>
      <c r="N3" s="63"/>
      <c r="O3" s="63"/>
      <c r="P3" s="63"/>
    </row>
    <row r="4" spans="1:17" ht="20.100000000000001" customHeight="1" x14ac:dyDescent="0.25">
      <c r="A4" s="47" t="str">
        <f>HYPERLINK("#'Overview'!A1", "Overview")</f>
        <v>Overview</v>
      </c>
    </row>
    <row r="5" spans="1:17" ht="20.100000000000001" customHeight="1" x14ac:dyDescent="0.25">
      <c r="A5" s="13" t="str">
        <f>HYPERLINK("#'Results'!A1", "Results")</f>
        <v>Results</v>
      </c>
      <c r="D5" s="45" t="s">
        <v>84</v>
      </c>
      <c r="E5" s="37"/>
      <c r="F5" s="37"/>
      <c r="G5" s="37"/>
      <c r="H5" s="37"/>
      <c r="I5" s="37"/>
      <c r="J5" s="37"/>
      <c r="K5" s="37"/>
      <c r="L5" s="37"/>
      <c r="M5" s="37"/>
      <c r="N5" s="37"/>
      <c r="O5" s="34"/>
    </row>
    <row r="6" spans="1:17" ht="20.100000000000001" customHeight="1" x14ac:dyDescent="0.25">
      <c r="A6" s="12"/>
      <c r="D6" s="64" t="s">
        <v>85</v>
      </c>
      <c r="E6" s="36"/>
      <c r="F6" s="36"/>
      <c r="G6" s="36"/>
      <c r="H6" s="36"/>
      <c r="I6" s="36"/>
      <c r="J6" s="36"/>
      <c r="K6" s="36"/>
      <c r="L6" s="36"/>
      <c r="M6" s="36"/>
      <c r="N6" s="36"/>
      <c r="O6" s="35"/>
    </row>
    <row r="7" spans="1:17" ht="20.100000000000001" customHeight="1" x14ac:dyDescent="0.25">
      <c r="A7" s="16" t="s">
        <v>1</v>
      </c>
    </row>
    <row r="8" spans="1:17" ht="20.100000000000001" customHeight="1" x14ac:dyDescent="0.25">
      <c r="A8" s="13" t="str">
        <f>HYPERLINK("#'Input - Refrigerants'!A1", "Refrigerants")</f>
        <v>Refrigerants</v>
      </c>
    </row>
    <row r="9" spans="1:17" ht="20.100000000000001" customHeight="1" x14ac:dyDescent="0.25">
      <c r="A9" s="13"/>
    </row>
    <row r="10" spans="1:17" ht="20.100000000000001" customHeight="1" x14ac:dyDescent="0.25">
      <c r="A10" s="15" t="s">
        <v>45</v>
      </c>
    </row>
    <row r="11" spans="1:17" ht="20.100000000000001" customHeight="1" x14ac:dyDescent="0.25">
      <c r="A11" s="13" t="str">
        <f>HYPERLINK("#'9.1.1.1-2 Refrigerant use'!A1", "9.1.1.1-2 Refrigerant use")</f>
        <v>9.1.1.1-2 Refrigerant use</v>
      </c>
    </row>
    <row r="12" spans="1:17" ht="20.100000000000001" customHeight="1" x14ac:dyDescent="0.25">
      <c r="A12" s="13"/>
    </row>
    <row r="13" spans="1:17" ht="20.100000000000001" customHeight="1" x14ac:dyDescent="0.25">
      <c r="A13" s="14" t="s">
        <v>2</v>
      </c>
    </row>
    <row r="14" spans="1:17" ht="20.100000000000001" customHeight="1" x14ac:dyDescent="0.25">
      <c r="A14" s="13" t="str">
        <f>HYPERLINK("#'Constants - Refrigerants'!A1", "Constants - Refrigerants")</f>
        <v>Constants - Refrigerants</v>
      </c>
      <c r="O14" s="1" t="s">
        <v>87</v>
      </c>
    </row>
    <row r="15" spans="1:17" ht="20.100000000000001" customHeight="1" x14ac:dyDescent="0.25">
      <c r="A15" s="13" t="str">
        <f>HYPERLINK("#'Constants - Common'!A1", "Constants - Common")</f>
        <v>Constants - Common</v>
      </c>
    </row>
    <row r="16" spans="1:17" ht="20.100000000000001" customHeight="1" x14ac:dyDescent="0.25"/>
    <row r="17" spans="1:1" ht="20.100000000000001" customHeight="1" x14ac:dyDescent="0.25"/>
    <row r="18" spans="1:1" ht="20.100000000000001" customHeight="1" x14ac:dyDescent="0.25"/>
    <row r="19" spans="1:1" ht="20.100000000000001" customHeight="1" x14ac:dyDescent="0.25"/>
    <row r="20" spans="1:1" ht="20.100000000000001" customHeight="1" x14ac:dyDescent="0.25">
      <c r="A20" s="13"/>
    </row>
    <row r="21" spans="1:1" ht="20.100000000000001" customHeight="1" x14ac:dyDescent="0.25">
      <c r="A21" s="13"/>
    </row>
    <row r="22" spans="1:1" ht="20.100000000000001" customHeight="1" x14ac:dyDescent="0.25"/>
    <row r="23" spans="1:1" ht="20.100000000000001" customHeight="1" x14ac:dyDescent="0.25">
      <c r="A23" s="13"/>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23" ht="20.100000000000001" customHeight="1" x14ac:dyDescent="0.25"/>
    <row r="34" spans="12:23" ht="20.100000000000001" customHeight="1" x14ac:dyDescent="0.25"/>
    <row r="35" spans="12:23" ht="20.100000000000001" customHeight="1" x14ac:dyDescent="0.25"/>
    <row r="36" spans="12:23" ht="20.100000000000001" customHeight="1" x14ac:dyDescent="0.25"/>
    <row r="37" spans="12:23" ht="20.100000000000001" customHeight="1" x14ac:dyDescent="0.25">
      <c r="L37" s="1" t="s">
        <v>82</v>
      </c>
    </row>
    <row r="38" spans="12:23" ht="20.100000000000001" customHeight="1" x14ac:dyDescent="0.25"/>
    <row r="39" spans="12:23" ht="20.100000000000001" customHeight="1" x14ac:dyDescent="0.25"/>
    <row r="40" spans="12:23" ht="20.100000000000001" customHeight="1" x14ac:dyDescent="0.25"/>
    <row r="41" spans="12:23" ht="20.100000000000001" customHeight="1" x14ac:dyDescent="0.25"/>
    <row r="42" spans="12:23" ht="20.100000000000001" customHeight="1" x14ac:dyDescent="0.25"/>
    <row r="45" spans="12:23" x14ac:dyDescent="0.25">
      <c r="W45" t="s">
        <v>83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tabSelected="1" zoomScaleNormal="100" workbookViewId="0">
      <selection activeCell="G13" sqref="G13"/>
    </sheetView>
  </sheetViews>
  <sheetFormatPr defaultRowHeight="15" x14ac:dyDescent="0.25"/>
  <cols>
    <col min="1" max="1" width="30.7109375" customWidth="1"/>
    <col min="2" max="3" width="2.7109375" customWidth="1"/>
    <col min="4" max="4" width="62.42578125" customWidth="1"/>
    <col min="5" max="10" width="30.7109375" customWidth="1"/>
    <col min="11" max="11" width="7.42578125" customWidth="1"/>
    <col min="12" max="26" width="28.7109375" customWidth="1"/>
  </cols>
  <sheetData>
    <row r="1" spans="1:11" ht="30" customHeight="1" x14ac:dyDescent="0.35">
      <c r="A1" s="33" t="e" vm="1">
        <v>#VALUE!</v>
      </c>
      <c r="C1" s="60" t="s">
        <v>150</v>
      </c>
    </row>
    <row r="2" spans="1:11" ht="20.100000000000001" customHeight="1" x14ac:dyDescent="0.25">
      <c r="A2" s="8"/>
      <c r="C2" s="8"/>
    </row>
    <row r="3" spans="1:11" ht="20.100000000000001" customHeight="1" x14ac:dyDescent="0.25">
      <c r="A3" s="13" t="str">
        <f>HYPERLINK("#'Home'!A1", "Home")</f>
        <v>Home</v>
      </c>
      <c r="C3" s="17"/>
      <c r="D3" s="17"/>
      <c r="E3" s="17"/>
      <c r="F3" s="17"/>
      <c r="G3" s="17"/>
      <c r="H3" s="17"/>
      <c r="I3" s="17"/>
      <c r="J3" s="17"/>
      <c r="K3" s="17"/>
    </row>
    <row r="4" spans="1:11" ht="20.100000000000001" customHeight="1" x14ac:dyDescent="0.25">
      <c r="A4" s="13" t="str">
        <f>HYPERLINK("#'Overview'!A1", "Overview")</f>
        <v>Overview</v>
      </c>
      <c r="C4" s="17"/>
      <c r="D4" s="5" t="s">
        <v>3</v>
      </c>
      <c r="E4" s="18"/>
      <c r="F4" s="18"/>
      <c r="G4" s="18"/>
      <c r="H4" s="18"/>
      <c r="I4" s="18"/>
      <c r="J4" s="18"/>
      <c r="K4" s="19"/>
    </row>
    <row r="5" spans="1:11" ht="20.100000000000001" customHeight="1" x14ac:dyDescent="0.3">
      <c r="A5" s="47" t="str">
        <f>HYPERLINK("#'Results'!A1", "Results")</f>
        <v>Results</v>
      </c>
      <c r="C5" s="17"/>
      <c r="D5" s="20"/>
      <c r="E5" s="21"/>
      <c r="F5" s="21"/>
      <c r="G5" s="21"/>
      <c r="H5" s="21"/>
      <c r="I5" s="21"/>
      <c r="J5" s="21"/>
      <c r="K5" s="17"/>
    </row>
    <row r="6" spans="1:11" ht="20.100000000000001" customHeight="1" x14ac:dyDescent="0.25">
      <c r="A6" s="12"/>
      <c r="C6" s="17"/>
      <c r="D6" s="67" t="s">
        <v>81</v>
      </c>
      <c r="E6" s="69"/>
      <c r="F6" s="17"/>
      <c r="G6" s="17"/>
      <c r="H6" s="17"/>
      <c r="I6" s="17"/>
      <c r="J6" s="17"/>
      <c r="K6" s="17"/>
    </row>
    <row r="7" spans="1:11" ht="20.100000000000001" customHeight="1" x14ac:dyDescent="0.25">
      <c r="A7" s="16" t="s">
        <v>1</v>
      </c>
      <c r="C7" s="17"/>
      <c r="D7" s="17"/>
      <c r="E7" s="17"/>
      <c r="F7" s="17"/>
      <c r="G7" s="17"/>
      <c r="H7" s="17"/>
      <c r="I7" s="17"/>
      <c r="J7" s="17"/>
      <c r="K7" s="17"/>
    </row>
    <row r="8" spans="1:11" ht="20.100000000000001" customHeight="1" x14ac:dyDescent="0.25">
      <c r="A8" s="13" t="str">
        <f>HYPERLINK("#'Input - Refrigerants'!A1", "Refrigerants")</f>
        <v>Refrigerants</v>
      </c>
      <c r="C8" s="17"/>
      <c r="D8" s="43" t="s">
        <v>50</v>
      </c>
      <c r="E8" s="43" t="s">
        <v>61</v>
      </c>
      <c r="F8" s="43" t="s">
        <v>62</v>
      </c>
      <c r="G8" s="43" t="s">
        <v>56</v>
      </c>
      <c r="H8" s="43" t="s">
        <v>135</v>
      </c>
      <c r="I8" s="43" t="s">
        <v>136</v>
      </c>
      <c r="J8" s="43"/>
      <c r="K8" s="17"/>
    </row>
    <row r="9" spans="1:11" ht="20.100000000000001" customHeight="1" x14ac:dyDescent="0.25">
      <c r="A9" s="13"/>
      <c r="C9" s="17"/>
      <c r="D9" s="1" t="s">
        <v>151</v>
      </c>
      <c r="E9" s="59">
        <f>'9.1.1.1-2 Refrigerant use'!E36</f>
        <v>8.5000000000000006E-4</v>
      </c>
      <c r="F9" s="59">
        <f>E9</f>
        <v>8.5000000000000006E-4</v>
      </c>
      <c r="G9" s="30" t="str">
        <f>IF(ISBLANK('9.1.1.1-2 Refrigerant use'!D36), "", "t " &amp; '9.1.1.1-2 Refrigerant use'!D36)</f>
        <v>t R-402A</v>
      </c>
      <c r="H9" s="59">
        <f>'9.1.1.1-2 Refrigerant use'!G62</f>
        <v>1.1860424000000003</v>
      </c>
      <c r="I9" s="59">
        <f>H9</f>
        <v>1.1860424000000003</v>
      </c>
      <c r="J9" s="30" t="str">
        <f>IF(ISBLANK('9.1.1.1-2 Refrigerant use'!D36), "", "t CO2e")</f>
        <v>t CO2e</v>
      </c>
      <c r="K9" s="17"/>
    </row>
    <row r="10" spans="1:11" ht="20.100000000000001" customHeight="1" x14ac:dyDescent="0.25">
      <c r="A10" s="15" t="s">
        <v>45</v>
      </c>
      <c r="C10" s="17"/>
      <c r="D10" s="1"/>
      <c r="E10" s="59">
        <f>'9.1.1.1-2 Refrigerant use'!E37</f>
        <v>1.7500000000000003E-3</v>
      </c>
      <c r="F10" s="59">
        <f t="shared" ref="F10:F18" si="0">E10</f>
        <v>1.7500000000000003E-3</v>
      </c>
      <c r="G10" s="30" t="str">
        <f>IF(ISBLANK('9.1.1.1-2 Refrigerant use'!D37), "", "t " &amp; '9.1.1.1-2 Refrigerant use'!D37)</f>
        <v>t R-422B</v>
      </c>
      <c r="H10" s="59">
        <f>'9.1.1.1-2 Refrigerant use'!G63</f>
        <v>2.0794287500000004</v>
      </c>
      <c r="I10" s="59">
        <f t="shared" ref="I10:I18" si="1">H10</f>
        <v>2.0794287500000004</v>
      </c>
      <c r="J10" s="30" t="str">
        <f>IF(ISBLANK('9.1.1.1-2 Refrigerant use'!D37), "", "t CO2e")</f>
        <v>t CO2e</v>
      </c>
      <c r="K10" s="17"/>
    </row>
    <row r="11" spans="1:11" ht="20.100000000000001" customHeight="1" x14ac:dyDescent="0.25">
      <c r="A11" s="13" t="str">
        <f>HYPERLINK("#'9.1.1.1-2 Refrigerant use'!A1", "9.1.1.1-2 Refrigerant use")</f>
        <v>9.1.1.1-2 Refrigerant use</v>
      </c>
      <c r="C11" s="17"/>
      <c r="D11" s="1"/>
      <c r="E11" s="59">
        <f>'9.1.1.1-2 Refrigerant use'!E38</f>
        <v>1.2210000000000002E-2</v>
      </c>
      <c r="F11" s="59">
        <f t="shared" si="0"/>
        <v>1.2210000000000002E-2</v>
      </c>
      <c r="G11" s="30" t="str">
        <f>IF(ISBLANK('9.1.1.1-2 Refrigerant use'!D38), "", "t " &amp; '9.1.1.1-2 Refrigerant use'!D38)</f>
        <v>t R-400 60/40</v>
      </c>
      <c r="H11" s="59">
        <f>'9.1.1.1-2 Refrigerant use'!G64</f>
        <v>70.007256000000027</v>
      </c>
      <c r="I11" s="59">
        <f t="shared" si="1"/>
        <v>70.007256000000027</v>
      </c>
      <c r="J11" s="30" t="str">
        <f>IF(ISBLANK('9.1.1.1-2 Refrigerant use'!D38), "", "t CO2e")</f>
        <v>t CO2e</v>
      </c>
      <c r="K11" s="17"/>
    </row>
    <row r="12" spans="1:11" ht="20.100000000000001" customHeight="1" x14ac:dyDescent="0.25">
      <c r="A12" s="13"/>
      <c r="C12" s="17"/>
      <c r="D12" s="1"/>
      <c r="E12" s="59">
        <f>'9.1.1.1-2 Refrigerant use'!E39</f>
        <v>1.5699999999999999E-2</v>
      </c>
      <c r="F12" s="59">
        <f t="shared" si="0"/>
        <v>1.5699999999999999E-2</v>
      </c>
      <c r="G12" s="30" t="str">
        <f>IF(ISBLANK('9.1.1.1-2 Refrigerant use'!D39), "", "t " &amp; '9.1.1.1-2 Refrigerant use'!D39)</f>
        <v>t R-504</v>
      </c>
      <c r="H12" s="59">
        <f>'9.1.1.1-2 Refrigerant use'!G65</f>
        <v>34.780656319599998</v>
      </c>
      <c r="I12" s="59">
        <f t="shared" si="1"/>
        <v>34.780656319599998</v>
      </c>
      <c r="J12" s="30" t="str">
        <f>IF(ISBLANK('9.1.1.1-2 Refrigerant use'!D39), "", "t CO2e")</f>
        <v>t CO2e</v>
      </c>
      <c r="K12" s="17"/>
    </row>
    <row r="13" spans="1:11" ht="20.100000000000001" customHeight="1" x14ac:dyDescent="0.25">
      <c r="A13" s="14" t="s">
        <v>2</v>
      </c>
      <c r="C13" s="17"/>
      <c r="D13" s="1"/>
      <c r="E13" s="59">
        <f>'9.1.1.1-2 Refrigerant use'!E40</f>
        <v>0</v>
      </c>
      <c r="F13" s="59">
        <f t="shared" si="0"/>
        <v>0</v>
      </c>
      <c r="G13" s="30" t="str">
        <f>IF(ISBLANK('9.1.1.1-2 Refrigerant use'!D40), "", "t " &amp; '9.1.1.1-2 Refrigerant use'!D40)</f>
        <v/>
      </c>
      <c r="H13" s="59">
        <f>'9.1.1.1-2 Refrigerant use'!G66</f>
        <v>0</v>
      </c>
      <c r="I13" s="59">
        <f t="shared" si="1"/>
        <v>0</v>
      </c>
      <c r="J13" s="30" t="str">
        <f>IF(ISBLANK('9.1.1.1-2 Refrigerant use'!D40), "", "t CO2e")</f>
        <v/>
      </c>
      <c r="K13" s="17"/>
    </row>
    <row r="14" spans="1:11" ht="20.100000000000001" customHeight="1" x14ac:dyDescent="0.25">
      <c r="A14" s="13" t="str">
        <f>HYPERLINK("#'Constants - Refrigerants'!A1", "Constants - Refrigerants")</f>
        <v>Constants - Refrigerants</v>
      </c>
      <c r="C14" s="17"/>
      <c r="D14" s="1"/>
      <c r="E14" s="59">
        <f>'9.1.1.1-2 Refrigerant use'!E41</f>
        <v>0</v>
      </c>
      <c r="F14" s="59">
        <f t="shared" si="0"/>
        <v>0</v>
      </c>
      <c r="G14" s="30" t="str">
        <f>IF(ISBLANK('9.1.1.1-2 Refrigerant use'!D41), "", "t " &amp; '9.1.1.1-2 Refrigerant use'!D41)</f>
        <v/>
      </c>
      <c r="H14" s="59">
        <f>'9.1.1.1-2 Refrigerant use'!G67</f>
        <v>0</v>
      </c>
      <c r="I14" s="59">
        <f t="shared" si="1"/>
        <v>0</v>
      </c>
      <c r="J14" s="30" t="str">
        <f>IF(ISBLANK('9.1.1.1-2 Refrigerant use'!D41), "", "t CO2e")</f>
        <v/>
      </c>
      <c r="K14" s="17"/>
    </row>
    <row r="15" spans="1:11" ht="20.100000000000001" customHeight="1" x14ac:dyDescent="0.25">
      <c r="A15" s="13" t="str">
        <f>HYPERLINK("#'Constants - Common'!A1", "Constants - Common")</f>
        <v>Constants - Common</v>
      </c>
      <c r="C15" s="17"/>
      <c r="D15" s="1"/>
      <c r="E15" s="59">
        <f>'9.1.1.1-2 Refrigerant use'!E42</f>
        <v>0</v>
      </c>
      <c r="F15" s="59">
        <f t="shared" si="0"/>
        <v>0</v>
      </c>
      <c r="G15" s="30" t="str">
        <f>IF(ISBLANK('9.1.1.1-2 Refrigerant use'!D42), "", "t " &amp; '9.1.1.1-2 Refrigerant use'!D42)</f>
        <v/>
      </c>
      <c r="H15" s="59">
        <f>'9.1.1.1-2 Refrigerant use'!G68</f>
        <v>0</v>
      </c>
      <c r="I15" s="59">
        <f t="shared" si="1"/>
        <v>0</v>
      </c>
      <c r="J15" s="30" t="str">
        <f>IF(ISBLANK('9.1.1.1-2 Refrigerant use'!D42), "", "t CO2e")</f>
        <v/>
      </c>
      <c r="K15" s="17"/>
    </row>
    <row r="16" spans="1:11" ht="20.100000000000001" customHeight="1" x14ac:dyDescent="0.25">
      <c r="C16" s="17"/>
      <c r="D16" s="1"/>
      <c r="E16" s="59">
        <f>'9.1.1.1-2 Refrigerant use'!E43</f>
        <v>0</v>
      </c>
      <c r="F16" s="59">
        <f t="shared" si="0"/>
        <v>0</v>
      </c>
      <c r="G16" s="30" t="str">
        <f>IF(ISBLANK('9.1.1.1-2 Refrigerant use'!D43), "", "t " &amp; '9.1.1.1-2 Refrigerant use'!D43)</f>
        <v/>
      </c>
      <c r="H16" s="59">
        <f>'9.1.1.1-2 Refrigerant use'!G69</f>
        <v>0</v>
      </c>
      <c r="I16" s="59">
        <f t="shared" si="1"/>
        <v>0</v>
      </c>
      <c r="J16" s="30" t="str">
        <f>IF(ISBLANK('9.1.1.1-2 Refrigerant use'!D43), "", "t CO2e")</f>
        <v/>
      </c>
      <c r="K16" s="17"/>
    </row>
    <row r="17" spans="1:11" ht="20.100000000000001" customHeight="1" x14ac:dyDescent="0.25">
      <c r="C17" s="17"/>
      <c r="D17" s="1"/>
      <c r="E17" s="59">
        <f>'9.1.1.1-2 Refrigerant use'!E44</f>
        <v>0</v>
      </c>
      <c r="F17" s="59">
        <f t="shared" si="0"/>
        <v>0</v>
      </c>
      <c r="G17" s="30" t="str">
        <f>IF(ISBLANK('9.1.1.1-2 Refrigerant use'!D44), "", "t " &amp; '9.1.1.1-2 Refrigerant use'!D44)</f>
        <v/>
      </c>
      <c r="H17" s="59">
        <f>'9.1.1.1-2 Refrigerant use'!G70</f>
        <v>0</v>
      </c>
      <c r="I17" s="59">
        <f t="shared" si="1"/>
        <v>0</v>
      </c>
      <c r="J17" s="30" t="str">
        <f>IF(ISBLANK('9.1.1.1-2 Refrigerant use'!D44), "", "t CO2e")</f>
        <v/>
      </c>
      <c r="K17" s="17"/>
    </row>
    <row r="18" spans="1:11" ht="20.100000000000001" customHeight="1" x14ac:dyDescent="0.25">
      <c r="C18" s="17"/>
      <c r="D18" s="1"/>
      <c r="E18" s="59">
        <f>'9.1.1.1-2 Refrigerant use'!E45</f>
        <v>0</v>
      </c>
      <c r="F18" s="59">
        <f t="shared" si="0"/>
        <v>0</v>
      </c>
      <c r="G18" s="30" t="str">
        <f>IF(ISBLANK('9.1.1.1-2 Refrigerant use'!D45), "", "t " &amp; '9.1.1.1-2 Refrigerant use'!D45)</f>
        <v/>
      </c>
      <c r="H18" s="59">
        <f>'9.1.1.1-2 Refrigerant use'!G71</f>
        <v>0</v>
      </c>
      <c r="I18" s="59">
        <f t="shared" si="1"/>
        <v>0</v>
      </c>
      <c r="J18" s="30" t="str">
        <f>IF(ISBLANK('9.1.1.1-2 Refrigerant use'!D45), "", "t CO2e")</f>
        <v/>
      </c>
      <c r="K18" s="17"/>
    </row>
    <row r="19" spans="1:11" ht="20.100000000000001" customHeight="1" x14ac:dyDescent="0.3">
      <c r="C19" s="17"/>
      <c r="D19" s="23" t="s">
        <v>55</v>
      </c>
      <c r="E19" s="42"/>
      <c r="F19" s="42"/>
      <c r="G19" s="42"/>
      <c r="H19" s="42">
        <f>SUM(H9:H18)</f>
        <v>108.05338346960002</v>
      </c>
      <c r="I19" s="42">
        <f>SUM(I9:I18)</f>
        <v>108.05338346960002</v>
      </c>
      <c r="J19" s="40" t="s">
        <v>59</v>
      </c>
      <c r="K19" s="17"/>
    </row>
    <row r="20" spans="1:11" ht="20.100000000000001" customHeight="1" x14ac:dyDescent="0.25">
      <c r="A20" s="13"/>
      <c r="C20" s="17"/>
      <c r="D20" s="1"/>
      <c r="E20" s="1"/>
      <c r="F20" s="1"/>
      <c r="G20" s="1"/>
      <c r="H20" s="1"/>
      <c r="I20" s="1"/>
      <c r="J20" s="1"/>
      <c r="K20" s="17"/>
    </row>
    <row r="21" spans="1:11" ht="20.100000000000001" customHeight="1" x14ac:dyDescent="0.25">
      <c r="A21" s="13"/>
      <c r="C21" s="17"/>
      <c r="D21" s="1"/>
      <c r="E21" s="44"/>
      <c r="F21" s="30"/>
      <c r="G21" s="1"/>
      <c r="H21" s="1"/>
      <c r="I21" s="1"/>
      <c r="J21" s="1"/>
      <c r="K21" s="17"/>
    </row>
    <row r="22" spans="1:11" ht="20.100000000000001" customHeight="1" x14ac:dyDescent="0.25">
      <c r="C22" s="17"/>
      <c r="D22" s="1"/>
      <c r="E22" s="44"/>
      <c r="F22" s="30"/>
      <c r="G22" s="1"/>
      <c r="H22" s="1"/>
      <c r="I22" s="1"/>
      <c r="J22" s="1"/>
      <c r="K22" s="17"/>
    </row>
    <row r="23" spans="1:11" ht="20.100000000000001" customHeight="1" x14ac:dyDescent="0.25">
      <c r="A23" s="13"/>
      <c r="C23" s="17"/>
      <c r="D23" s="1"/>
      <c r="E23" s="1"/>
      <c r="F23" s="1"/>
      <c r="G23" s="1"/>
      <c r="H23" s="1"/>
      <c r="I23" s="1"/>
      <c r="J23" s="1"/>
      <c r="K23" s="17"/>
    </row>
    <row r="24" spans="1:11" ht="20.100000000000001" customHeight="1" x14ac:dyDescent="0.25">
      <c r="C24" s="17"/>
      <c r="D24" s="1"/>
      <c r="E24" s="1"/>
      <c r="F24" s="1"/>
      <c r="G24" s="1"/>
      <c r="H24" s="1"/>
      <c r="I24" s="1"/>
      <c r="J24" s="1"/>
      <c r="K24" s="17"/>
    </row>
    <row r="25" spans="1:11" ht="20.100000000000001" customHeight="1" x14ac:dyDescent="0.25">
      <c r="C25" s="17"/>
      <c r="D25" s="1"/>
      <c r="E25" s="1"/>
      <c r="F25" s="1"/>
      <c r="G25" s="1"/>
      <c r="H25" s="1"/>
      <c r="I25" s="1"/>
      <c r="J25" s="1"/>
      <c r="K25" s="17"/>
    </row>
    <row r="26" spans="1:11" ht="20.100000000000001" customHeight="1" x14ac:dyDescent="0.25">
      <c r="C26" s="17"/>
      <c r="D26" s="1"/>
      <c r="E26" s="1"/>
      <c r="F26" s="1"/>
      <c r="G26" s="1"/>
      <c r="H26" s="1"/>
      <c r="I26" s="1"/>
      <c r="J26" s="1"/>
      <c r="K26" s="17"/>
    </row>
    <row r="27" spans="1:11" ht="20.100000000000001" customHeight="1" x14ac:dyDescent="0.25">
      <c r="C27" s="17"/>
      <c r="D27" s="1"/>
      <c r="E27" s="1"/>
      <c r="F27" s="1"/>
      <c r="G27" s="1"/>
      <c r="H27" s="1"/>
      <c r="I27" s="1"/>
      <c r="J27" s="1"/>
      <c r="K27" s="17"/>
    </row>
    <row r="28" spans="1:11" ht="20.100000000000001" customHeight="1" x14ac:dyDescent="0.25">
      <c r="C28" s="17"/>
      <c r="D28" s="1"/>
      <c r="E28" s="1"/>
      <c r="F28" s="1"/>
      <c r="G28" s="1"/>
      <c r="H28" s="1"/>
      <c r="I28" s="1"/>
      <c r="J28" s="1"/>
      <c r="K28" s="17"/>
    </row>
    <row r="29" spans="1:11" ht="20.100000000000001" customHeight="1" x14ac:dyDescent="0.25">
      <c r="C29" s="17"/>
      <c r="D29" s="1"/>
      <c r="E29" s="1"/>
      <c r="F29" s="1"/>
      <c r="G29" s="1"/>
      <c r="H29" s="1"/>
      <c r="I29" s="1"/>
      <c r="J29" s="1"/>
      <c r="K29" s="17"/>
    </row>
    <row r="30" spans="1:11" ht="20.100000000000001" customHeight="1" x14ac:dyDescent="0.25">
      <c r="C30" s="17"/>
      <c r="D30" s="1"/>
      <c r="E30" s="1"/>
      <c r="F30" s="1"/>
      <c r="G30" s="1"/>
      <c r="H30" s="1"/>
      <c r="I30" s="1"/>
      <c r="J30" s="1"/>
      <c r="K30" s="17"/>
    </row>
    <row r="31" spans="1:11" ht="20.100000000000001" customHeight="1" x14ac:dyDescent="0.25">
      <c r="C31" s="17"/>
      <c r="D31" s="1"/>
      <c r="E31" s="1"/>
      <c r="F31" s="1"/>
      <c r="G31" s="1"/>
      <c r="H31" s="1"/>
      <c r="I31" s="1"/>
      <c r="J31" s="1"/>
      <c r="K31" s="17"/>
    </row>
    <row r="32" spans="1:11" ht="20.100000000000001" customHeight="1" x14ac:dyDescent="0.25">
      <c r="C32" s="17"/>
      <c r="D32" s="1"/>
      <c r="E32" s="1"/>
      <c r="F32" s="1"/>
      <c r="G32" s="1"/>
      <c r="H32" s="1"/>
      <c r="I32" s="1"/>
      <c r="J32" s="1"/>
      <c r="K32" s="17"/>
    </row>
    <row r="33" spans="3:11" ht="20.100000000000001" customHeight="1" x14ac:dyDescent="0.25">
      <c r="C33" s="17"/>
      <c r="D33" s="1"/>
      <c r="E33" s="1"/>
      <c r="F33" s="1"/>
      <c r="G33" s="1"/>
      <c r="H33" s="1"/>
      <c r="I33" s="1"/>
      <c r="J33" s="1"/>
      <c r="K33" s="17"/>
    </row>
    <row r="34" spans="3:11" ht="20.100000000000001" customHeight="1" x14ac:dyDescent="0.25">
      <c r="C34" s="17"/>
      <c r="D34" s="1"/>
      <c r="E34" s="1"/>
      <c r="F34" s="1"/>
      <c r="G34" s="1"/>
      <c r="H34" s="1"/>
      <c r="I34" s="1"/>
      <c r="J34" s="1"/>
      <c r="K34" s="17"/>
    </row>
    <row r="35" spans="3:11" ht="20.100000000000001" customHeight="1" x14ac:dyDescent="0.25">
      <c r="C35" s="17"/>
      <c r="D35" s="1"/>
      <c r="E35" s="1"/>
      <c r="F35" s="1"/>
      <c r="G35" s="1"/>
      <c r="H35" s="1"/>
      <c r="I35" s="1"/>
      <c r="J35" s="1"/>
      <c r="K35" s="17"/>
    </row>
    <row r="36" spans="3:11" ht="20.100000000000001" customHeight="1" x14ac:dyDescent="0.25">
      <c r="C36" s="17"/>
      <c r="D36" s="1"/>
      <c r="E36" s="1"/>
      <c r="F36" s="1"/>
      <c r="G36" s="1"/>
      <c r="H36" s="1"/>
      <c r="I36" s="1"/>
      <c r="J36" s="1"/>
      <c r="K36" s="17"/>
    </row>
    <row r="37" spans="3:11" ht="20.100000000000001" customHeight="1" x14ac:dyDescent="0.25">
      <c r="C37" s="17"/>
      <c r="D37" s="1"/>
      <c r="E37" s="1"/>
      <c r="F37" s="1"/>
      <c r="G37" s="1"/>
      <c r="H37" s="1"/>
      <c r="I37" s="1"/>
      <c r="J37" s="1"/>
      <c r="K37" s="17"/>
    </row>
    <row r="38" spans="3:11" ht="20.100000000000001" customHeight="1" x14ac:dyDescent="0.25">
      <c r="C38" s="17"/>
      <c r="D38" s="1"/>
      <c r="E38" s="1"/>
      <c r="F38" s="1"/>
      <c r="G38" s="1"/>
      <c r="H38" s="1"/>
      <c r="I38" s="1"/>
      <c r="J38" s="1"/>
      <c r="K38" s="17"/>
    </row>
    <row r="39" spans="3:11" ht="20.100000000000001" customHeight="1" x14ac:dyDescent="0.25">
      <c r="C39" s="17"/>
      <c r="D39" s="1"/>
      <c r="E39" s="1"/>
      <c r="F39" s="1"/>
      <c r="G39" s="1"/>
      <c r="H39" s="1"/>
      <c r="I39" s="1"/>
      <c r="J39" s="1"/>
      <c r="K39" s="17"/>
    </row>
    <row r="40" spans="3:11" ht="20.100000000000001" customHeight="1" x14ac:dyDescent="0.25">
      <c r="C40" s="17"/>
      <c r="D40" s="1"/>
      <c r="E40" s="1"/>
      <c r="F40" s="1"/>
      <c r="G40" s="1"/>
      <c r="H40" s="1"/>
      <c r="I40" s="1"/>
      <c r="J40" s="1"/>
      <c r="K40" s="17"/>
    </row>
    <row r="41" spans="3:11" ht="20.100000000000001" customHeight="1" x14ac:dyDescent="0.25">
      <c r="C41" s="17"/>
      <c r="D41" s="1"/>
      <c r="E41" s="1"/>
      <c r="F41" s="1"/>
      <c r="G41" s="1"/>
      <c r="H41" s="1"/>
      <c r="I41" s="1"/>
      <c r="J41" s="1"/>
      <c r="K41" s="17"/>
    </row>
    <row r="42" spans="3:11" ht="20.100000000000001" customHeight="1" x14ac:dyDescent="0.25">
      <c r="C42" s="17"/>
      <c r="D42" s="1"/>
      <c r="E42" s="1"/>
      <c r="F42" s="1"/>
      <c r="G42" s="1"/>
      <c r="H42" s="1"/>
      <c r="I42" s="1"/>
      <c r="J42" s="1"/>
      <c r="K42" s="17"/>
    </row>
    <row r="43" spans="3:11" ht="20.100000000000001" customHeight="1" x14ac:dyDescent="0.25">
      <c r="C43" s="17"/>
      <c r="D43" s="1"/>
      <c r="E43" s="1"/>
      <c r="F43" s="1"/>
      <c r="G43" s="1"/>
      <c r="H43" s="1"/>
      <c r="I43" s="1"/>
      <c r="J43" s="1"/>
      <c r="K43" s="17"/>
    </row>
    <row r="44" spans="3:11" ht="20.100000000000001" customHeight="1" x14ac:dyDescent="0.25">
      <c r="C44" s="17"/>
      <c r="D44" s="1"/>
      <c r="E44" s="1"/>
      <c r="F44" s="1"/>
      <c r="G44" s="1"/>
      <c r="H44" s="1"/>
      <c r="I44" s="1"/>
      <c r="J44" s="1"/>
      <c r="K44" s="17"/>
    </row>
    <row r="45" spans="3:11" ht="20.100000000000001" customHeight="1" x14ac:dyDescent="0.25">
      <c r="C45" s="17"/>
      <c r="D45" s="1"/>
      <c r="E45" s="1"/>
      <c r="F45" s="1"/>
      <c r="G45" s="1"/>
      <c r="H45" s="1"/>
      <c r="I45" s="1"/>
      <c r="J45" s="1"/>
      <c r="K45" s="17"/>
    </row>
    <row r="46" spans="3:11" ht="20.100000000000001" customHeight="1" x14ac:dyDescent="0.25">
      <c r="C46" s="17"/>
      <c r="D46" s="1"/>
      <c r="E46" s="1"/>
      <c r="F46" s="1"/>
      <c r="G46" s="1"/>
      <c r="H46" s="1"/>
      <c r="I46" s="1"/>
      <c r="J46" s="1"/>
      <c r="K46" s="17"/>
    </row>
    <row r="47" spans="3:11" ht="20.100000000000001" customHeight="1" x14ac:dyDescent="0.25">
      <c r="C47" s="17"/>
      <c r="D47" s="1"/>
      <c r="E47" s="1"/>
      <c r="F47" s="1"/>
      <c r="G47" s="1"/>
      <c r="H47" s="1"/>
      <c r="I47" s="1"/>
      <c r="J47" s="1"/>
      <c r="K47" s="17"/>
    </row>
    <row r="48" spans="3:11" ht="20.100000000000001" customHeight="1" x14ac:dyDescent="0.25">
      <c r="C48" s="17"/>
      <c r="D48" s="1"/>
      <c r="E48" s="1"/>
      <c r="F48" s="1"/>
      <c r="G48" s="1"/>
      <c r="H48" s="1"/>
      <c r="I48" s="1"/>
      <c r="J48" s="1"/>
      <c r="K48" s="17"/>
    </row>
    <row r="49" spans="3:11" ht="20.100000000000001" customHeight="1" x14ac:dyDescent="0.25">
      <c r="C49" s="17"/>
      <c r="D49" s="1"/>
      <c r="E49" s="1"/>
      <c r="F49" s="1"/>
      <c r="G49" s="1"/>
      <c r="H49" s="1"/>
      <c r="I49" s="1"/>
      <c r="J49" s="1"/>
      <c r="K49" s="17"/>
    </row>
    <row r="50" spans="3:11" ht="20.100000000000001" customHeight="1" x14ac:dyDescent="0.25">
      <c r="C50" s="17"/>
      <c r="D50" s="1"/>
      <c r="E50" s="1"/>
      <c r="F50" s="1"/>
      <c r="G50" s="1"/>
      <c r="H50" s="1"/>
      <c r="I50" s="1"/>
      <c r="J50" s="1"/>
      <c r="K50" s="17"/>
    </row>
    <row r="51" spans="3:11" ht="20.100000000000001" customHeight="1" x14ac:dyDescent="0.25">
      <c r="C51" s="17"/>
      <c r="D51" s="1"/>
      <c r="E51" s="1"/>
      <c r="F51" s="1"/>
      <c r="G51" s="1"/>
      <c r="H51" s="1"/>
      <c r="I51" s="1"/>
      <c r="J51" s="1"/>
      <c r="K51" s="17"/>
    </row>
    <row r="52" spans="3:11" ht="20.100000000000001" customHeight="1" x14ac:dyDescent="0.25">
      <c r="C52" s="17"/>
      <c r="D52" s="1"/>
      <c r="E52" s="1"/>
      <c r="F52" s="1"/>
      <c r="G52" s="1"/>
      <c r="H52" s="1"/>
      <c r="I52" s="1"/>
      <c r="J52" s="1"/>
      <c r="K52" s="17"/>
    </row>
    <row r="53" spans="3:11" ht="20.100000000000001" customHeight="1" x14ac:dyDescent="0.25">
      <c r="C53" s="17"/>
      <c r="D53" s="1"/>
      <c r="E53" s="1"/>
      <c r="F53" s="1"/>
      <c r="G53" s="1"/>
      <c r="H53" s="1"/>
      <c r="I53" s="1"/>
      <c r="J53" s="1"/>
      <c r="K53" s="17"/>
    </row>
    <row r="54" spans="3:11" ht="20.100000000000001" customHeight="1" x14ac:dyDescent="0.25">
      <c r="C54" s="17"/>
      <c r="D54" s="1"/>
      <c r="E54" s="1"/>
      <c r="F54" s="1"/>
      <c r="G54" s="1"/>
      <c r="H54" s="1"/>
      <c r="I54" s="1"/>
      <c r="J54" s="1"/>
      <c r="K54" s="17"/>
    </row>
    <row r="55" spans="3:11" ht="20.100000000000001" customHeight="1" x14ac:dyDescent="0.25">
      <c r="C55" s="17"/>
      <c r="D55" s="1"/>
      <c r="E55" s="1"/>
      <c r="F55" s="1"/>
      <c r="G55" s="1"/>
      <c r="H55" s="1"/>
      <c r="I55" s="1"/>
      <c r="J55" s="1"/>
      <c r="K55" s="17"/>
    </row>
    <row r="56" spans="3:11" ht="20.100000000000001" customHeight="1" x14ac:dyDescent="0.25">
      <c r="C56" s="17"/>
      <c r="D56" s="1"/>
      <c r="E56" s="1"/>
      <c r="F56" s="1"/>
      <c r="G56" s="1"/>
      <c r="H56" s="1"/>
      <c r="I56" s="1"/>
      <c r="J56" s="1"/>
      <c r="K56" s="17"/>
    </row>
    <row r="57" spans="3:11" ht="20.100000000000001" customHeight="1" x14ac:dyDescent="0.25">
      <c r="C57" s="17"/>
      <c r="D57" s="1"/>
      <c r="E57" s="1"/>
      <c r="F57" s="1"/>
      <c r="G57" s="1"/>
      <c r="H57" s="1"/>
      <c r="I57" s="1"/>
      <c r="J57" s="1"/>
      <c r="K57" s="17"/>
    </row>
    <row r="58" spans="3:11" ht="20.100000000000001" customHeight="1" x14ac:dyDescent="0.25">
      <c r="C58" s="17"/>
      <c r="D58" s="1"/>
      <c r="E58" s="24"/>
      <c r="F58" s="22"/>
      <c r="G58" s="17"/>
      <c r="H58" s="17"/>
      <c r="I58" s="17"/>
      <c r="J58" s="17"/>
      <c r="K58" s="17"/>
    </row>
    <row r="59" spans="3:11" ht="20.100000000000001" customHeight="1" x14ac:dyDescent="0.25">
      <c r="C59" s="17"/>
      <c r="D59" s="1"/>
      <c r="E59" s="1"/>
      <c r="F59" s="1"/>
      <c r="G59" s="1"/>
      <c r="H59" s="1"/>
      <c r="I59" s="1"/>
      <c r="J59" s="1"/>
      <c r="K59" s="17"/>
    </row>
    <row r="60" spans="3:11" ht="20.100000000000001" customHeight="1" x14ac:dyDescent="0.25">
      <c r="C60" s="17"/>
      <c r="D60" s="1"/>
      <c r="E60" s="1"/>
      <c r="F60" s="1"/>
      <c r="G60" s="1"/>
      <c r="H60" s="1"/>
      <c r="I60" s="1"/>
      <c r="J60" s="1"/>
      <c r="K60" s="17"/>
    </row>
    <row r="61" spans="3:11" ht="20.100000000000001" customHeight="1" x14ac:dyDescent="0.25">
      <c r="C61" s="17"/>
      <c r="D61" s="1"/>
      <c r="E61" s="1"/>
      <c r="F61" s="1"/>
      <c r="G61" s="1"/>
      <c r="H61" s="1"/>
      <c r="I61" s="1"/>
      <c r="J61" s="1"/>
      <c r="K61" s="17"/>
    </row>
    <row r="62" spans="3:11" ht="20.100000000000001" customHeight="1" x14ac:dyDescent="0.25">
      <c r="C62" s="17"/>
      <c r="D62" s="1"/>
      <c r="E62" s="1"/>
      <c r="F62" s="1"/>
      <c r="G62" s="1"/>
      <c r="H62" s="1"/>
      <c r="I62" s="1"/>
      <c r="J62" s="1"/>
      <c r="K62" s="17"/>
    </row>
    <row r="63" spans="3:11" ht="20.100000000000001" customHeight="1" x14ac:dyDescent="0.25">
      <c r="C63" s="17"/>
      <c r="D63" s="1"/>
      <c r="E63" s="1"/>
      <c r="F63" s="1"/>
      <c r="G63" s="1"/>
      <c r="H63" s="1"/>
      <c r="I63" s="1"/>
      <c r="J63" s="1"/>
      <c r="K63" s="17"/>
    </row>
    <row r="64" spans="3:11" ht="20.100000000000001" customHeight="1" x14ac:dyDescent="0.25">
      <c r="C64" s="17"/>
      <c r="D64" s="1"/>
      <c r="E64" s="1"/>
      <c r="F64" s="1"/>
      <c r="G64" s="1"/>
      <c r="H64" s="1"/>
      <c r="I64" s="1"/>
      <c r="J64" s="1"/>
      <c r="K64" s="17"/>
    </row>
    <row r="65" spans="3:11" ht="20.100000000000001" customHeight="1" x14ac:dyDescent="0.25">
      <c r="C65" s="17"/>
      <c r="D65" s="1"/>
      <c r="E65" s="1"/>
      <c r="F65" s="1"/>
      <c r="G65" s="1"/>
      <c r="H65" s="1"/>
      <c r="I65" s="1"/>
      <c r="J65" s="1"/>
      <c r="K65" s="17"/>
    </row>
    <row r="66" spans="3:11" ht="20.100000000000001" customHeight="1" x14ac:dyDescent="0.25">
      <c r="C66" s="17"/>
      <c r="D66" s="1"/>
      <c r="E66" s="1"/>
      <c r="F66" s="1"/>
      <c r="G66" s="1"/>
      <c r="H66" s="1"/>
      <c r="I66" s="1"/>
      <c r="J66" s="1"/>
      <c r="K66" s="17"/>
    </row>
    <row r="67" spans="3:11" ht="20.100000000000001" customHeight="1" x14ac:dyDescent="0.25">
      <c r="C67" s="17"/>
      <c r="D67" s="1"/>
      <c r="E67" s="1"/>
      <c r="F67" s="1"/>
      <c r="G67" s="1"/>
      <c r="H67" s="1"/>
      <c r="I67" s="1"/>
      <c r="J67" s="1"/>
      <c r="K67" s="17"/>
    </row>
    <row r="68" spans="3:11" ht="20.100000000000001" customHeight="1" x14ac:dyDescent="0.25">
      <c r="C68" s="17"/>
      <c r="D68" s="1"/>
      <c r="E68" s="1"/>
      <c r="F68" s="1"/>
      <c r="G68" s="1"/>
      <c r="H68" s="1"/>
      <c r="I68" s="1"/>
      <c r="J68" s="1"/>
      <c r="K68" s="17"/>
    </row>
    <row r="69" spans="3:11" ht="20.100000000000001" customHeight="1" x14ac:dyDescent="0.25">
      <c r="C69" s="17"/>
      <c r="D69" s="1"/>
      <c r="E69" s="1"/>
      <c r="F69" s="1"/>
      <c r="G69" s="1"/>
      <c r="H69" s="1"/>
      <c r="I69" s="1"/>
      <c r="J69" s="1"/>
      <c r="K69" s="17"/>
    </row>
    <row r="70" spans="3:11" ht="20.100000000000001" customHeight="1" x14ac:dyDescent="0.25">
      <c r="C70" s="17"/>
      <c r="D70" s="1"/>
      <c r="E70" s="1"/>
      <c r="F70" s="1"/>
      <c r="G70" s="1"/>
      <c r="H70" s="1"/>
      <c r="I70" s="1"/>
      <c r="J70" s="1"/>
      <c r="K70" s="17"/>
    </row>
    <row r="71" spans="3:11" ht="20.100000000000001" customHeight="1" x14ac:dyDescent="0.25">
      <c r="C71" s="17"/>
      <c r="D71" s="1"/>
      <c r="E71" s="1"/>
      <c r="F71" s="1"/>
      <c r="G71" s="1"/>
      <c r="H71" s="1"/>
      <c r="I71" s="1"/>
      <c r="J71" s="1"/>
      <c r="K71" s="17"/>
    </row>
    <row r="72" spans="3:11" ht="20.100000000000001" customHeight="1" x14ac:dyDescent="0.25">
      <c r="C72" s="17"/>
      <c r="D72" s="1"/>
      <c r="E72" s="1"/>
      <c r="F72" s="1"/>
      <c r="G72" s="1"/>
      <c r="H72" s="1"/>
      <c r="I72" s="1"/>
      <c r="J72" s="1"/>
      <c r="K72" s="17"/>
    </row>
    <row r="73" spans="3:11" ht="20.100000000000001" customHeight="1" x14ac:dyDescent="0.25">
      <c r="C73" s="17"/>
      <c r="D73" s="1"/>
      <c r="E73" s="1"/>
      <c r="F73" s="1"/>
      <c r="G73" s="1"/>
      <c r="H73" s="1"/>
      <c r="I73" s="1"/>
      <c r="J73" s="1"/>
      <c r="K73" s="17"/>
    </row>
    <row r="74" spans="3:11" ht="20.100000000000001" customHeight="1" x14ac:dyDescent="0.25">
      <c r="C74" s="17"/>
      <c r="D74" s="1"/>
      <c r="E74" s="1"/>
      <c r="F74" s="1"/>
      <c r="G74" s="1"/>
      <c r="H74" s="1"/>
      <c r="I74" s="1"/>
      <c r="J74" s="1"/>
      <c r="K74" s="17"/>
    </row>
    <row r="75" spans="3:11" ht="20.100000000000001" customHeight="1" x14ac:dyDescent="0.25">
      <c r="C75" s="17"/>
      <c r="D75" s="1"/>
      <c r="E75" s="1"/>
      <c r="F75" s="1"/>
      <c r="G75" s="1"/>
      <c r="H75" s="1"/>
      <c r="I75" s="1"/>
      <c r="J75" s="1"/>
      <c r="K75" s="17"/>
    </row>
    <row r="76" spans="3:11" ht="15.75" x14ac:dyDescent="0.25">
      <c r="C76" s="17"/>
      <c r="D76" s="1"/>
      <c r="E76" s="1"/>
      <c r="F76" s="1"/>
      <c r="G76" s="1"/>
      <c r="H76" s="1"/>
      <c r="I76" s="1"/>
      <c r="J76" s="1"/>
      <c r="K76" s="17"/>
    </row>
    <row r="77" spans="3:11" ht="15.75" x14ac:dyDescent="0.25">
      <c r="C77" s="17"/>
      <c r="D77" s="1"/>
      <c r="E77" s="1"/>
      <c r="F77" s="1"/>
      <c r="G77" s="1"/>
      <c r="H77" s="1"/>
      <c r="I77" s="1"/>
      <c r="J77" s="1"/>
      <c r="K77" s="17"/>
    </row>
    <row r="78" spans="3:11" ht="15.75" x14ac:dyDescent="0.25">
      <c r="C78" s="17"/>
      <c r="D78" s="1"/>
      <c r="E78" s="1"/>
      <c r="F78" s="1"/>
      <c r="G78" s="1"/>
      <c r="H78" s="1"/>
      <c r="I78" s="1"/>
      <c r="J78" s="1"/>
      <c r="K78" s="17"/>
    </row>
    <row r="79" spans="3:11" ht="15.75" x14ac:dyDescent="0.25">
      <c r="C79" s="17"/>
      <c r="D79" s="1"/>
      <c r="E79" s="1"/>
      <c r="F79" s="1"/>
      <c r="G79" s="1"/>
      <c r="H79" s="1"/>
      <c r="I79" s="1"/>
      <c r="J79" s="1"/>
      <c r="K79" s="17"/>
    </row>
    <row r="80" spans="3:11" ht="15.75" x14ac:dyDescent="0.25">
      <c r="C80" s="17"/>
      <c r="D80" s="1"/>
      <c r="E80" s="1"/>
      <c r="F80" s="1"/>
      <c r="G80" s="1"/>
      <c r="H80" s="1"/>
      <c r="I80" s="1"/>
      <c r="J80" s="1"/>
      <c r="K80" s="17"/>
    </row>
    <row r="81" spans="3:11" ht="15.75" x14ac:dyDescent="0.25">
      <c r="C81" s="17"/>
      <c r="D81" s="1"/>
      <c r="E81" s="1"/>
      <c r="F81" s="1"/>
      <c r="G81" s="1"/>
      <c r="H81" s="1"/>
      <c r="I81" s="1"/>
      <c r="J81" s="1"/>
      <c r="K81" s="17"/>
    </row>
    <row r="82" spans="3:11" ht="15.75" x14ac:dyDescent="0.25">
      <c r="C82" s="17"/>
      <c r="D82" s="1"/>
      <c r="E82" s="1"/>
      <c r="F82" s="1"/>
      <c r="G82" s="1"/>
      <c r="H82" s="1"/>
      <c r="I82" s="1"/>
      <c r="J82" s="1"/>
      <c r="K82" s="17"/>
    </row>
    <row r="83" spans="3:11" ht="15.75" x14ac:dyDescent="0.25">
      <c r="C83" s="17"/>
      <c r="D83" s="1"/>
      <c r="E83" s="1"/>
      <c r="F83" s="1"/>
      <c r="G83" s="1"/>
      <c r="H83" s="1"/>
      <c r="I83" s="1"/>
      <c r="J83" s="1"/>
      <c r="K83" s="17"/>
    </row>
    <row r="84" spans="3:11" ht="15.75" x14ac:dyDescent="0.25">
      <c r="C84" s="17"/>
      <c r="D84" s="1"/>
      <c r="E84" s="1"/>
      <c r="F84" s="1"/>
      <c r="G84" s="1"/>
      <c r="H84" s="1"/>
      <c r="I84" s="1"/>
      <c r="J84" s="1"/>
      <c r="K84" s="17"/>
    </row>
    <row r="85" spans="3:11" ht="15.75" x14ac:dyDescent="0.25">
      <c r="C85" s="17"/>
      <c r="D85" s="1"/>
      <c r="E85" s="1"/>
      <c r="F85" s="1"/>
      <c r="G85" s="1"/>
      <c r="H85" s="1"/>
      <c r="I85" s="1"/>
      <c r="J85" s="1"/>
      <c r="K85" s="17"/>
    </row>
    <row r="86" spans="3:11" x14ac:dyDescent="0.25">
      <c r="C86" s="17"/>
      <c r="D86" s="17"/>
      <c r="E86" s="17"/>
      <c r="F86" s="17"/>
      <c r="G86" s="17"/>
      <c r="H86" s="17"/>
      <c r="I86" s="17"/>
      <c r="J86" s="17"/>
      <c r="K86" s="17"/>
    </row>
    <row r="87" spans="3:11" x14ac:dyDescent="0.25">
      <c r="C87" s="17"/>
      <c r="D87" s="17"/>
      <c r="E87" s="17"/>
      <c r="F87" s="17"/>
      <c r="G87" s="17"/>
      <c r="H87" s="17"/>
      <c r="I87" s="17"/>
      <c r="J87" s="17"/>
      <c r="K87" s="1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I363"/>
  <sheetViews>
    <sheetView showGridLines="0" zoomScale="85" zoomScaleNormal="85" workbookViewId="0">
      <selection activeCell="L17" sqref="L17"/>
    </sheetView>
  </sheetViews>
  <sheetFormatPr defaultRowHeight="15.75" x14ac:dyDescent="0.25"/>
  <cols>
    <col min="1" max="1" width="30.7109375" customWidth="1"/>
    <col min="2" max="2" width="4.7109375" customWidth="1"/>
    <col min="3" max="3" width="4.7109375" style="1" customWidth="1"/>
    <col min="4" max="4" width="52.140625" style="1" customWidth="1"/>
    <col min="5" max="5" width="47" style="1" customWidth="1"/>
    <col min="6" max="8" width="24.85546875" style="1" customWidth="1"/>
    <col min="9" max="9" width="4.7109375" style="1" customWidth="1"/>
    <col min="10" max="10" width="4.7109375" customWidth="1"/>
  </cols>
  <sheetData>
    <row r="1" spans="1:9" s="33" customFormat="1" ht="30" customHeight="1" x14ac:dyDescent="0.35">
      <c r="A1" s="33" t="e" vm="1">
        <v>#VALUE!</v>
      </c>
      <c r="C1" s="33" t="s">
        <v>152</v>
      </c>
    </row>
    <row r="2" spans="1:9" s="8" customFormat="1" ht="20.100000000000001" customHeight="1" x14ac:dyDescent="0.25"/>
    <row r="3" spans="1:9" ht="20.100000000000001" customHeight="1" x14ac:dyDescent="0.25">
      <c r="A3" s="13" t="str">
        <f>HYPERLINK("#'Home'!A1", "Home")</f>
        <v>Home</v>
      </c>
      <c r="C3" s="11"/>
      <c r="D3" s="11"/>
      <c r="E3" s="11"/>
      <c r="F3" s="11"/>
      <c r="G3" s="11"/>
      <c r="H3" s="11"/>
      <c r="I3" s="11"/>
    </row>
    <row r="4" spans="1:9" ht="20.100000000000001" customHeight="1" x14ac:dyDescent="0.25">
      <c r="A4" s="13" t="str">
        <f>HYPERLINK("#'Overview'!A1", "Overview")</f>
        <v>Overview</v>
      </c>
    </row>
    <row r="5" spans="1:9" ht="20.100000000000001" customHeight="1" x14ac:dyDescent="0.25">
      <c r="A5" s="13" t="str">
        <f>HYPERLINK("#'Results'!A1", "Results")</f>
        <v>Results</v>
      </c>
      <c r="D5" s="5" t="s">
        <v>88</v>
      </c>
    </row>
    <row r="6" spans="1:9" ht="20.100000000000001" customHeight="1" x14ac:dyDescent="0.25">
      <c r="A6" s="12"/>
      <c r="D6" s="17"/>
      <c r="E6" s="17"/>
      <c r="F6" s="17"/>
      <c r="G6" s="17"/>
      <c r="H6" s="17"/>
    </row>
    <row r="7" spans="1:9" ht="20.100000000000001" customHeight="1" x14ac:dyDescent="0.25">
      <c r="A7" s="16" t="s">
        <v>1</v>
      </c>
      <c r="D7" s="67" t="s">
        <v>86</v>
      </c>
      <c r="E7" s="68"/>
      <c r="F7" s="68"/>
      <c r="G7" s="69"/>
      <c r="H7" s="2"/>
    </row>
    <row r="8" spans="1:9" ht="20.100000000000001" customHeight="1" x14ac:dyDescent="0.25">
      <c r="A8" s="46" t="str">
        <f>HYPERLINK("#'Input - Refrigerants'!A1", "Refrigerants")</f>
        <v>Refrigerants</v>
      </c>
      <c r="E8" s="2"/>
      <c r="F8" s="2"/>
      <c r="G8" s="2"/>
      <c r="H8" s="2"/>
    </row>
    <row r="9" spans="1:9" ht="20.100000000000001" customHeight="1" x14ac:dyDescent="0.25">
      <c r="A9" s="13"/>
      <c r="D9" s="48" t="s">
        <v>89</v>
      </c>
      <c r="E9" s="48" t="s">
        <v>90</v>
      </c>
      <c r="F9" s="48" t="s">
        <v>91</v>
      </c>
      <c r="G9" s="48" t="s">
        <v>92</v>
      </c>
      <c r="H9" s="48" t="s">
        <v>93</v>
      </c>
    </row>
    <row r="10" spans="1:9" ht="20.100000000000001" customHeight="1" x14ac:dyDescent="0.25">
      <c r="A10" s="15" t="s">
        <v>45</v>
      </c>
      <c r="D10" s="82" t="s">
        <v>94</v>
      </c>
      <c r="E10" s="27" t="s">
        <v>95</v>
      </c>
      <c r="F10" s="27" t="s">
        <v>96</v>
      </c>
      <c r="G10" s="70">
        <v>10</v>
      </c>
      <c r="H10" s="70">
        <v>5</v>
      </c>
    </row>
    <row r="11" spans="1:9" ht="20.100000000000001" customHeight="1" x14ac:dyDescent="0.25">
      <c r="A11" s="13" t="str">
        <f>HYPERLINK("#'9.1.1.1-2 Refrigerant use'!A1", "9.1.1.1-2 Refrigerant use")</f>
        <v>9.1.1.1-2 Refrigerant use</v>
      </c>
      <c r="D11" s="82" t="s">
        <v>145</v>
      </c>
      <c r="E11" s="27" t="s">
        <v>132</v>
      </c>
      <c r="F11" s="27" t="s">
        <v>97</v>
      </c>
      <c r="G11" s="70">
        <v>10</v>
      </c>
      <c r="H11" s="70">
        <v>5</v>
      </c>
    </row>
    <row r="12" spans="1:9" ht="20.100000000000001" customHeight="1" x14ac:dyDescent="0.25">
      <c r="A12" s="13"/>
      <c r="D12" s="82" t="s">
        <v>98</v>
      </c>
      <c r="E12" s="27" t="s">
        <v>99</v>
      </c>
      <c r="F12" s="27" t="s">
        <v>100</v>
      </c>
      <c r="G12" s="70">
        <v>10</v>
      </c>
      <c r="H12" s="70">
        <v>13</v>
      </c>
    </row>
    <row r="13" spans="1:9" ht="20.100000000000001" customHeight="1" x14ac:dyDescent="0.25">
      <c r="A13" s="14" t="s">
        <v>2</v>
      </c>
      <c r="D13" s="82" t="s">
        <v>146</v>
      </c>
      <c r="E13" s="27" t="s">
        <v>132</v>
      </c>
      <c r="F13" s="27" t="s">
        <v>100</v>
      </c>
      <c r="G13" s="70">
        <v>10</v>
      </c>
      <c r="H13" s="70">
        <v>10</v>
      </c>
    </row>
    <row r="14" spans="1:9" ht="20.100000000000001" customHeight="1" x14ac:dyDescent="0.25">
      <c r="A14" s="13" t="str">
        <f>HYPERLINK("#'Constants - Refrigerants'!A1", "Constants - Refrigerants")</f>
        <v>Constants - Refrigerants</v>
      </c>
      <c r="D14" s="82" t="s">
        <v>147</v>
      </c>
      <c r="E14" s="27" t="s">
        <v>137</v>
      </c>
      <c r="F14" s="27" t="s">
        <v>148</v>
      </c>
      <c r="G14" s="70">
        <v>10</v>
      </c>
      <c r="H14" s="70">
        <v>10</v>
      </c>
    </row>
    <row r="15" spans="1:9" ht="20.100000000000001" customHeight="1" x14ac:dyDescent="0.25">
      <c r="A15" s="13" t="str">
        <f>HYPERLINK("#'Constants - Common'!A1", "Constants - Common")</f>
        <v>Constants - Common</v>
      </c>
      <c r="D15" s="82"/>
      <c r="E15" s="80"/>
      <c r="F15" s="80"/>
      <c r="G15" s="81"/>
      <c r="H15" s="81"/>
    </row>
    <row r="16" spans="1:9" ht="20.100000000000001" customHeight="1" x14ac:dyDescent="0.25">
      <c r="D16" s="82"/>
      <c r="E16" s="80"/>
      <c r="F16" s="80"/>
      <c r="G16" s="81"/>
      <c r="H16" s="81"/>
    </row>
    <row r="17" spans="1:8" ht="20.100000000000001" customHeight="1" x14ac:dyDescent="0.25">
      <c r="D17" s="82"/>
      <c r="E17" s="80"/>
      <c r="F17" s="80"/>
      <c r="G17" s="81"/>
      <c r="H17" s="81"/>
    </row>
    <row r="18" spans="1:8" ht="20.100000000000001" customHeight="1" x14ac:dyDescent="0.25">
      <c r="D18" s="82"/>
      <c r="E18" s="80"/>
      <c r="F18" s="80"/>
      <c r="G18" s="81"/>
      <c r="H18" s="81"/>
    </row>
    <row r="19" spans="1:8" ht="20.100000000000001" customHeight="1" x14ac:dyDescent="0.25">
      <c r="D19" s="82"/>
      <c r="E19" s="80"/>
      <c r="F19" s="80"/>
      <c r="G19" s="81"/>
      <c r="H19" s="81"/>
    </row>
    <row r="20" spans="1:8" ht="20.100000000000001" customHeight="1" x14ac:dyDescent="0.25">
      <c r="A20" s="13"/>
    </row>
    <row r="21" spans="1:8" ht="20.100000000000001" customHeight="1" x14ac:dyDescent="0.25">
      <c r="A21" s="13"/>
    </row>
    <row r="22" spans="1:8" ht="20.100000000000001" customHeight="1" x14ac:dyDescent="0.25"/>
    <row r="23" spans="1:8" ht="20.100000000000001" customHeight="1" x14ac:dyDescent="0.25">
      <c r="A23" s="13"/>
    </row>
    <row r="24" spans="1:8" ht="20.100000000000001" customHeight="1" x14ac:dyDescent="0.25"/>
    <row r="25" spans="1:8" ht="20.100000000000001" customHeight="1" x14ac:dyDescent="0.25"/>
    <row r="26" spans="1:8" ht="20.100000000000001" customHeight="1" x14ac:dyDescent="0.25"/>
    <row r="27" spans="1:8" ht="20.100000000000001" customHeight="1" x14ac:dyDescent="0.25"/>
    <row r="28" spans="1:8" ht="20.100000000000001" customHeight="1" x14ac:dyDescent="0.25"/>
    <row r="29" spans="1:8" ht="20.100000000000001" customHeight="1" x14ac:dyDescent="0.25">
      <c r="A29" s="13"/>
    </row>
    <row r="30" spans="1:8" ht="20.100000000000001" customHeight="1" x14ac:dyDescent="0.25">
      <c r="A30" s="13"/>
    </row>
    <row r="31" spans="1:8" ht="20.100000000000001" customHeight="1" x14ac:dyDescent="0.25">
      <c r="A31" s="32"/>
    </row>
    <row r="32" spans="1:8" ht="20.100000000000001" customHeight="1" x14ac:dyDescent="0.25">
      <c r="A32" s="32"/>
    </row>
    <row r="33" spans="1:9" ht="20.100000000000001" customHeight="1" x14ac:dyDescent="0.25">
      <c r="A33" s="13"/>
    </row>
    <row r="34" spans="1:9" ht="20.100000000000001" customHeight="1" x14ac:dyDescent="0.25"/>
    <row r="35" spans="1:9" ht="20.100000000000001" customHeight="1" x14ac:dyDescent="0.25"/>
    <row r="36" spans="1:9" ht="20.100000000000001" customHeight="1" x14ac:dyDescent="0.25"/>
    <row r="37" spans="1:9" ht="20.100000000000001" customHeight="1" x14ac:dyDescent="0.25"/>
    <row r="38" spans="1:9" ht="20.100000000000001" customHeight="1" x14ac:dyDescent="0.25">
      <c r="C38" s="51"/>
      <c r="I38" s="51"/>
    </row>
    <row r="39" spans="1:9" ht="20.100000000000001" customHeight="1" x14ac:dyDescent="0.25">
      <c r="A39" s="13"/>
      <c r="C39" s="51"/>
      <c r="I39" s="51"/>
    </row>
    <row r="40" spans="1:9" s="52" customFormat="1" ht="20.100000000000001" customHeight="1" x14ac:dyDescent="0.25">
      <c r="C40" s="1"/>
      <c r="D40" s="1"/>
      <c r="E40" s="1"/>
      <c r="F40" s="1"/>
      <c r="G40" s="1"/>
      <c r="H40" s="1"/>
      <c r="I40" s="1"/>
    </row>
    <row r="41" spans="1:9" s="52" customFormat="1" ht="20.100000000000001" customHeight="1" x14ac:dyDescent="0.25">
      <c r="A41" s="53"/>
      <c r="C41" s="1"/>
      <c r="D41" s="1"/>
      <c r="E41" s="1"/>
      <c r="F41" s="1"/>
      <c r="G41" s="1"/>
      <c r="H41" s="1"/>
      <c r="I41" s="1"/>
    </row>
    <row r="42" spans="1:9" ht="20.100000000000001" customHeight="1" x14ac:dyDescent="0.25"/>
    <row r="43" spans="1:9" ht="20.100000000000001" customHeight="1" x14ac:dyDescent="0.25"/>
    <row r="44" spans="1:9" ht="20.100000000000001" customHeight="1" x14ac:dyDescent="0.25">
      <c r="A44" s="58"/>
    </row>
    <row r="45" spans="1:9" ht="20.100000000000001" customHeight="1" x14ac:dyDescent="0.25"/>
    <row r="46" spans="1:9" ht="20.100000000000001" customHeight="1" x14ac:dyDescent="0.25"/>
    <row r="47" spans="1:9" ht="20.100000000000001" customHeight="1" x14ac:dyDescent="0.25"/>
    <row r="48" spans="1:9"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3" spans="4:4" x14ac:dyDescent="0.25">
      <c r="D363" s="41"/>
    </row>
  </sheetData>
  <conditionalFormatting sqref="F49">
    <cfRule type="cellIs" dxfId="11" priority="62" operator="lessThan">
      <formula>0</formula>
    </cfRule>
  </conditionalFormatting>
  <conditionalFormatting sqref="F128:F129">
    <cfRule type="cellIs" dxfId="10" priority="21" operator="lessThan">
      <formula>0</formula>
    </cfRule>
  </conditionalFormatting>
  <conditionalFormatting sqref="F140:F141">
    <cfRule type="cellIs" dxfId="9" priority="20" operator="lessThan">
      <formula>0</formula>
    </cfRule>
  </conditionalFormatting>
  <conditionalFormatting sqref="F152:F153">
    <cfRule type="cellIs" dxfId="8" priority="19" operator="lessThan">
      <formula>0</formula>
    </cfRule>
  </conditionalFormatting>
  <conditionalFormatting sqref="F164:F165">
    <cfRule type="cellIs" dxfId="7" priority="18" operator="lessThan">
      <formula>0</formula>
    </cfRule>
  </conditionalFormatting>
  <conditionalFormatting sqref="F252:F253">
    <cfRule type="cellIs" dxfId="6" priority="93" operator="lessThan">
      <formula>0</formula>
    </cfRule>
  </conditionalFormatting>
  <conditionalFormatting sqref="F257:F258">
    <cfRule type="cellIs" dxfId="5" priority="92" operator="lessThan">
      <formula>0</formula>
    </cfRule>
  </conditionalFormatting>
  <conditionalFormatting sqref="F262:F263">
    <cfRule type="cellIs" dxfId="4" priority="91" operator="lessThan">
      <formula>0</formula>
    </cfRule>
  </conditionalFormatting>
  <conditionalFormatting sqref="F286:F287">
    <cfRule type="cellIs" dxfId="3" priority="85" operator="lessThan">
      <formula>0</formula>
    </cfRule>
  </conditionalFormatting>
  <conditionalFormatting sqref="F291:F292">
    <cfRule type="cellIs" dxfId="2" priority="84" operator="lessThan">
      <formula>0</formula>
    </cfRule>
  </conditionalFormatting>
  <conditionalFormatting sqref="F296:F297">
    <cfRule type="cellIs" dxfId="1" priority="83" operator="lessThan">
      <formula>0</formula>
    </cfRule>
  </conditionalFormatting>
  <conditionalFormatting sqref="H45:H47 E212:G212">
    <cfRule type="cellIs" dxfId="0" priority="79" operator="lessThan">
      <formula>0</formula>
    </cfRule>
  </conditionalFormatting>
  <dataValidations count="8">
    <dataValidation type="list" allowBlank="1" showInputMessage="1" showErrorMessage="1" sqref="D279" xr:uid="{4E913AB3-F90B-4C35-BCE1-5DBB8FC05107}">
      <formula1>INDIRECT("Table_SourceData_PoultryMMSStage1[MMS]")</formula1>
    </dataValidation>
    <dataValidation type="list" allowBlank="1" showInputMessage="1" showErrorMessage="1" sqref="E227" xr:uid="{9FB53635-991F-44AA-A123-E8ABEF9EE0A6}">
      <formula1>INDIRECT("Table_SourceData_Dairy_ProductionSystemTemplates[Area]")</formula1>
    </dataValidation>
    <dataValidation type="list" allowBlank="1" showInputMessage="1" showErrorMessage="1" sqref="E251 E256 E261 E295 E290 E285 E163 E151 E127 E139" xr:uid="{00A4EA4C-90D3-4150-979D-4D71C7F37A31}">
      <formula1>"Yes, No"</formula1>
    </dataValidation>
    <dataValidation type="list" allowBlank="1" showInputMessage="1" showErrorMessage="1" sqref="E67" xr:uid="{DBA884B0-B52E-420E-8FD2-21B082EB75E2}">
      <formula1>INDIRECT("Table_SourceData_Swine_IrrigationMethods[Irrigation method]")</formula1>
    </dataValidation>
    <dataValidation type="list" allowBlank="1" showInputMessage="1" showErrorMessage="1" sqref="E66" xr:uid="{B95E29DC-96D0-4475-A29E-3F3A3B60CEA1}">
      <formula1>INDIRECT("Table_SourceData_Swine_CropProdSystems[Production system]")</formula1>
    </dataValidation>
    <dataValidation type="list" allowBlank="1" showInputMessage="1" showErrorMessage="1" sqref="D46:D47" xr:uid="{23F8C720-A764-46DD-9B01-B7EA3D86E5AB}">
      <formula1>INDIRECT("Table_SourceData_OrganicFertiliserTypes[Organic fertiliser type]")</formula1>
    </dataValidation>
    <dataValidation type="list" allowBlank="1" showInputMessage="1" showErrorMessage="1" sqref="F10:F19" xr:uid="{23277720-0332-4416-A6AF-2DA9CB20A246}">
      <formula1>INDIRECT("Table_RefrigerantBlends_Cleaned[Blend]")</formula1>
    </dataValidation>
    <dataValidation type="list" allowBlank="1" showInputMessage="1" showErrorMessage="1" sqref="E10:E19" xr:uid="{101D112D-006B-4A7F-919E-39E781ABCEE3}">
      <formula1>INDIRECT("Table_Refrigerants_LeakageRates[Product]")</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M342"/>
  <sheetViews>
    <sheetView showGridLines="0" topLeftCell="A17" zoomScale="85" zoomScaleNormal="85" workbookViewId="0">
      <selection activeCell="E73" sqref="E73"/>
    </sheetView>
  </sheetViews>
  <sheetFormatPr defaultRowHeight="15.75" x14ac:dyDescent="0.25"/>
  <cols>
    <col min="1" max="1" width="30.7109375" customWidth="1"/>
    <col min="2" max="2" width="4.7109375" customWidth="1"/>
    <col min="3" max="3" width="4.7109375" style="1" customWidth="1"/>
    <col min="4" max="4" width="46.28515625" style="1" customWidth="1"/>
    <col min="5" max="12" width="30.7109375" style="1" customWidth="1"/>
    <col min="13" max="13" width="4.7109375" style="1" customWidth="1"/>
  </cols>
  <sheetData>
    <row r="1" spans="1:13" s="7" customFormat="1" ht="30" customHeight="1" x14ac:dyDescent="0.35">
      <c r="A1" s="33" t="e" vm="1">
        <v>#VALUE!</v>
      </c>
      <c r="C1" s="7" t="s">
        <v>125</v>
      </c>
    </row>
    <row r="2" spans="1:13" s="8" customFormat="1" ht="20.100000000000001" customHeight="1" x14ac:dyDescent="0.25"/>
    <row r="3" spans="1:13" ht="20.100000000000001" customHeight="1" x14ac:dyDescent="0.25">
      <c r="A3" s="13" t="str">
        <f>HYPERLINK("#'Home'!A1", "Home")</f>
        <v>Home</v>
      </c>
      <c r="C3" s="3"/>
      <c r="D3" s="3" t="s">
        <v>49</v>
      </c>
      <c r="E3" s="3"/>
      <c r="F3" s="3"/>
      <c r="G3" s="3"/>
      <c r="H3" s="3"/>
      <c r="I3" s="3"/>
      <c r="J3" s="3"/>
      <c r="K3" s="3"/>
      <c r="L3" s="3"/>
      <c r="M3" s="3"/>
    </row>
    <row r="4" spans="1:13" ht="20.100000000000001" customHeight="1" x14ac:dyDescent="0.25">
      <c r="A4" s="13" t="str">
        <f>HYPERLINK("#'Overview'!A1", "Overview")</f>
        <v>Overview</v>
      </c>
    </row>
    <row r="5" spans="1:13" ht="20.100000000000001" customHeight="1" x14ac:dyDescent="0.25">
      <c r="A5" s="13" t="str">
        <f>HYPERLINK("#'Results'!A1", "Results")</f>
        <v>Results</v>
      </c>
      <c r="D5" s="5" t="str" cm="1">
        <f t="array" ref="D5">Refrigerants_Equations.VEERG_9_1_1__1_RefrigerantLeaking_Title()</f>
        <v>The total emissions of refrigerant leaking during operation (not during installation or disposal)</v>
      </c>
    </row>
    <row r="6" spans="1:13" ht="20.100000000000001" customHeight="1" x14ac:dyDescent="0.25">
      <c r="A6" s="12"/>
      <c r="D6" s="4" t="str" cm="1">
        <f t="array" ref="D6">Refrigerants_Equations.VEERG_9_1_1__1_RefrigerantLeaking_Source()</f>
        <v>VEERG 2026: 9.1.1, Equation (1)</v>
      </c>
      <c r="E6" s="71"/>
      <c r="F6" s="71"/>
      <c r="G6" s="71"/>
      <c r="H6" s="71"/>
      <c r="I6" s="71"/>
      <c r="J6" s="71"/>
      <c r="K6" s="71"/>
      <c r="L6" s="71"/>
    </row>
    <row r="7" spans="1:13" ht="20.100000000000001" customHeight="1" x14ac:dyDescent="0.25">
      <c r="A7" s="16" t="s">
        <v>1</v>
      </c>
      <c r="D7" s="31" t="str" cm="1">
        <f t="array" ref="D7">Refrigerants_Equations.VEERG_9_1_1__1_RefrigerantLeaking_Variation()</f>
        <v>VARIATION ON SOURCE: Added equation to convert refrigerant R to CO2-e using the refrigerant's global warming potential (GWP).</v>
      </c>
      <c r="F7" s="71"/>
      <c r="G7" s="71"/>
      <c r="H7" s="71"/>
      <c r="I7" s="71"/>
      <c r="J7" s="71"/>
      <c r="K7" s="71"/>
      <c r="L7" s="71"/>
    </row>
    <row r="8" spans="1:13" ht="20.100000000000001" customHeight="1" x14ac:dyDescent="0.25">
      <c r="A8" s="13" t="str">
        <f>HYPERLINK("#'Input - Refrigerants'!A1", "Refrigerants")</f>
        <v>Refrigerants</v>
      </c>
      <c r="D8" s="10" t="s">
        <v>10</v>
      </c>
      <c r="E8" s="10" t="str" cm="1">
        <f t="array" aca="1" ref="E8" ca="1">Common_InputFunctions.Utility_DisplayFunctionName(K22)</f>
        <v>=Refrigerants_Equations.VEERG_9_1_1__1_RefrigerantLeaking</v>
      </c>
      <c r="F8" s="71"/>
      <c r="G8" s="71"/>
      <c r="H8" s="71"/>
      <c r="I8" s="71"/>
      <c r="J8" s="71"/>
      <c r="K8" s="71"/>
      <c r="L8" s="71"/>
    </row>
    <row r="9" spans="1:13" ht="20.100000000000001" customHeight="1" x14ac:dyDescent="0.25">
      <c r="A9" s="13"/>
      <c r="G9" s="71"/>
      <c r="H9" s="71"/>
      <c r="I9" s="71"/>
      <c r="J9" s="71"/>
      <c r="K9" s="71"/>
      <c r="L9" s="71"/>
    </row>
    <row r="10" spans="1:13" ht="20.100000000000001" customHeight="1" x14ac:dyDescent="0.25">
      <c r="A10" s="15" t="s">
        <v>45</v>
      </c>
      <c r="G10" s="71"/>
      <c r="H10" s="71"/>
      <c r="I10" s="71"/>
      <c r="J10" s="71"/>
      <c r="K10" s="71"/>
      <c r="L10" s="71"/>
    </row>
    <row r="11" spans="1:13" ht="20.100000000000001" customHeight="1" x14ac:dyDescent="0.25">
      <c r="A11" s="65" t="str">
        <f>HYPERLINK("#'9.1.1.1-2 Refrigerant use'!A1", "9.1.1.1-2 Refrigerant use")</f>
        <v>9.1.1.1-2 Refrigerant use</v>
      </c>
      <c r="D11" s="2" t="s">
        <v>13</v>
      </c>
      <c r="E11" s="1" t="str" cm="1">
        <f t="array" ref="E11">Refrigerants_Equations.VEERG_9_1_1__1_RefrigerantLeaking_Variable()</f>
        <v>E_R</v>
      </c>
      <c r="G11" s="71"/>
      <c r="H11" s="71"/>
      <c r="I11" s="71"/>
      <c r="J11" s="71"/>
      <c r="K11" s="71"/>
      <c r="L11" s="71"/>
    </row>
    <row r="12" spans="1:13" ht="20.100000000000001" customHeight="1" x14ac:dyDescent="0.25">
      <c r="A12" s="13"/>
      <c r="D12" s="2" t="s">
        <v>5</v>
      </c>
      <c r="E12" s="30" t="str" cm="1">
        <f t="array" ref="E12">Refrigerants_Equations.VEERG_9_1_1__1_RefrigerantLeaking_Unit()</f>
        <v>t refrigerant gas</v>
      </c>
      <c r="F12" s="71"/>
      <c r="G12" s="71"/>
      <c r="H12" s="71"/>
      <c r="I12" s="71"/>
      <c r="J12" s="71"/>
      <c r="K12" s="71"/>
      <c r="L12" s="71"/>
    </row>
    <row r="13" spans="1:13" ht="20.100000000000001" customHeight="1" x14ac:dyDescent="0.25">
      <c r="A13" s="14" t="s">
        <v>2</v>
      </c>
      <c r="D13" s="71"/>
      <c r="E13" s="71"/>
      <c r="F13" s="71"/>
      <c r="G13" s="71"/>
      <c r="H13" s="71"/>
      <c r="I13" s="71"/>
      <c r="J13" s="71"/>
      <c r="K13" s="71"/>
      <c r="L13" s="71"/>
    </row>
    <row r="14" spans="1:13" ht="20.100000000000001" customHeight="1" x14ac:dyDescent="0.25">
      <c r="A14" s="13" t="str">
        <f>HYPERLINK("#'Constants - Refrigerants'!A1", "Constants - Refrigerants")</f>
        <v>Constants - Refrigerants</v>
      </c>
      <c r="D14" s="55" t="str" cm="1">
        <f t="array" ref="D14:E17">_xlfn.CHOOSECOLS(Refrigerants_Equations.VEERG_9_1_1__1_RefrigerantLeaking_Arguments(), 1, 2)</f>
        <v>charge_Ra</v>
      </c>
      <c r="E14" s="57" t="str">
        <v>Amount of refrigerant R contained in appliance a</v>
      </c>
      <c r="F14" s="56"/>
      <c r="G14" s="55" t="str" cm="1">
        <f t="array" ref="G14:H17">_xlfn.CHOOSECOLS(Refrigerants_Equations.VEERG_9_1_1__1_RefrigerantLeaking_Arguments(), 3,4)</f>
        <v>kg</v>
      </c>
      <c r="H14" s="50" t="str">
        <v>Input</v>
      </c>
      <c r="I14" s="71"/>
      <c r="J14" s="71"/>
      <c r="K14" s="71"/>
      <c r="L14" s="71"/>
    </row>
    <row r="15" spans="1:13" ht="20.100000000000001" customHeight="1" x14ac:dyDescent="0.25">
      <c r="A15" s="13" t="str">
        <f>HYPERLINK("#'Constants - Common'!A1", "Constants - Common")</f>
        <v>Constants - Common</v>
      </c>
      <c r="D15" s="55" t="str">
        <v>leakagerate_a</v>
      </c>
      <c r="E15" s="57" t="str">
        <v>Prcentage of total charge leaked from appliance a each year</v>
      </c>
      <c r="F15" s="56"/>
      <c r="G15" s="55" t="str">
        <v>Percent</v>
      </c>
      <c r="H15" s="49" t="str">
        <v>Constant</v>
      </c>
      <c r="I15" s="71"/>
      <c r="J15" s="71"/>
      <c r="K15" s="71"/>
      <c r="L15" s="71"/>
    </row>
    <row r="16" spans="1:13" ht="20.100000000000001" customHeight="1" x14ac:dyDescent="0.25">
      <c r="D16" s="55" t="str">
        <v>a</v>
      </c>
      <c r="E16" s="57" t="str">
        <v>Appliance type</v>
      </c>
      <c r="F16" s="56"/>
      <c r="G16" s="55" t="str">
        <v/>
      </c>
      <c r="H16" s="50" t="str">
        <v>Input</v>
      </c>
      <c r="I16" s="71"/>
      <c r="J16" s="71"/>
      <c r="K16" s="71"/>
      <c r="L16" s="71"/>
    </row>
    <row r="17" spans="1:12" ht="20.100000000000001" customHeight="1" x14ac:dyDescent="0.25">
      <c r="D17" s="55" t="str">
        <v>R</v>
      </c>
      <c r="E17" s="57" t="str">
        <v>Refrigerant</v>
      </c>
      <c r="F17" s="56"/>
      <c r="G17" s="55" t="str">
        <v/>
      </c>
      <c r="H17" s="50" t="str">
        <v>Input</v>
      </c>
      <c r="I17" s="71"/>
      <c r="J17" s="71"/>
      <c r="K17" s="71"/>
      <c r="L17" s="71"/>
    </row>
    <row r="18" spans="1:12" ht="20.100000000000001" customHeight="1" x14ac:dyDescent="0.25">
      <c r="G18" s="71"/>
      <c r="H18" s="71"/>
      <c r="I18" s="71"/>
      <c r="J18" s="71"/>
      <c r="K18" s="71"/>
      <c r="L18" s="71"/>
    </row>
    <row r="19" spans="1:12" ht="20.100000000000001" customHeight="1" x14ac:dyDescent="0.25">
      <c r="D19" s="71" t="s">
        <v>140</v>
      </c>
      <c r="E19" s="71"/>
      <c r="F19" s="71"/>
      <c r="G19" s="71"/>
      <c r="H19" s="71"/>
      <c r="I19" s="71"/>
      <c r="J19" s="71"/>
      <c r="K19" s="71"/>
      <c r="L19" s="71"/>
    </row>
    <row r="20" spans="1:12" ht="20.100000000000001" customHeight="1" x14ac:dyDescent="0.25">
      <c r="A20" s="13"/>
      <c r="D20" s="38" t="s">
        <v>141</v>
      </c>
    </row>
    <row r="21" spans="1:12" ht="20.100000000000001" customHeight="1" x14ac:dyDescent="0.25">
      <c r="A21" s="13"/>
      <c r="D21" s="28" t="s">
        <v>89</v>
      </c>
      <c r="E21" s="48" t="s">
        <v>134</v>
      </c>
      <c r="F21" s="48" t="s">
        <v>130</v>
      </c>
      <c r="G21" s="48" t="s">
        <v>92</v>
      </c>
      <c r="H21" s="48" t="s">
        <v>93</v>
      </c>
      <c r="I21" s="28" t="s">
        <v>126</v>
      </c>
      <c r="J21" s="28" t="s">
        <v>127</v>
      </c>
      <c r="K21" s="28" t="s">
        <v>131</v>
      </c>
      <c r="L21" s="28" t="s">
        <v>129</v>
      </c>
    </row>
    <row r="22" spans="1:12" ht="20.100000000000001" customHeight="1" x14ac:dyDescent="0.25">
      <c r="D22" s="29" t="str" cm="1">
        <f t="array" ref="D22:D31">IFERROR(INDEX(Table_Input_Refrigerant[Refrigeration unit name], _xlfn.SEQUENCE(10)),"")</f>
        <v>Cool room</v>
      </c>
      <c r="E22" s="29" t="str" cm="1">
        <f t="array" ref="E22:E31">IFERROR(INDEX(Table_Input_Refrigerant[Appliance type (select)], _xlfn.SEQUENCE(10)),"")</f>
        <v>Domestic refrigerators</v>
      </c>
      <c r="F22" s="29" t="str" cm="1">
        <f t="array" ref="F22:F31">IFERROR(INDEX(Table_Input_Refrigerant[Refrigerant used (select)], _xlfn.SEQUENCE(10)),"")</f>
        <v>R-402A</v>
      </c>
      <c r="G22" s="29" cm="1">
        <f t="array" ref="G22:G31">IFERROR(INDEX(Table_Input_Refrigerant[Unit refrigerant gas capacity (kg)], _xlfn.SEQUENCE(10)),0)</f>
        <v>10</v>
      </c>
      <c r="H22" s="29" cm="1">
        <f t="array" ref="H22:H31">IFERROR(INDEX(Table_Input_Refrigerant[Number of units in use], _xlfn.SEQUENCE(10)),0)</f>
        <v>5</v>
      </c>
      <c r="I22" s="29">
        <f t="shared" ref="I22:I31" si="0">G22*H22</f>
        <v>50</v>
      </c>
      <c r="J22" s="29" cm="1">
        <f t="array" ref="J22">Common_InputFunctions.Utility_LookupValueInTableNumber(E22,Table_Refrigerants_LeakageRates[Product],Table_Refrigerants_LeakageRates[Annual leakage rate (%)])</f>
        <v>1.7</v>
      </c>
      <c r="K22" s="29" cm="1">
        <f t="array" ref="K22">Refrigerants_Equations.VEERG_9_1_1__1_RefrigerantLeaking(G22,J22)</f>
        <v>1.7000000000000001E-4</v>
      </c>
      <c r="L22" s="76">
        <f t="shared" ref="L22:L31" si="1">K22*H22</f>
        <v>8.5000000000000006E-4</v>
      </c>
    </row>
    <row r="23" spans="1:12" ht="20.100000000000001" customHeight="1" x14ac:dyDescent="0.25">
      <c r="A23" s="13"/>
      <c r="D23" s="29" t="str">
        <v>Office air con units</v>
      </c>
      <c r="E23" s="29" t="str">
        <v>Domestic A/C split</v>
      </c>
      <c r="F23" s="29" t="str">
        <v>R-422B</v>
      </c>
      <c r="G23" s="29">
        <v>10</v>
      </c>
      <c r="H23" s="29">
        <v>5</v>
      </c>
      <c r="I23" s="29">
        <f t="shared" si="0"/>
        <v>50</v>
      </c>
      <c r="J23" s="29" cm="1">
        <f t="array" ref="J23">Common_InputFunctions.Utility_LookupValueInTableNumber(E23,Table_Refrigerants_LeakageRates[Product],Table_Refrigerants_LeakageRates[Annual leakage rate (%)])</f>
        <v>3.5</v>
      </c>
      <c r="K23" s="29" cm="1">
        <f t="array" ref="K23">Refrigerants_Equations.VEERG_9_1_1__1_RefrigerantLeaking(G23,J23)</f>
        <v>3.5000000000000005E-4</v>
      </c>
      <c r="L23" s="76">
        <f t="shared" si="1"/>
        <v>1.7500000000000003E-3</v>
      </c>
    </row>
    <row r="24" spans="1:12" ht="20.100000000000001" customHeight="1" x14ac:dyDescent="0.25">
      <c r="D24" s="29" t="str">
        <v>Car AC</v>
      </c>
      <c r="E24" s="29" t="str">
        <v>Light vehicle A/C</v>
      </c>
      <c r="F24" s="29" t="str">
        <v>R-400 60/40</v>
      </c>
      <c r="G24" s="29">
        <v>10</v>
      </c>
      <c r="H24" s="29">
        <v>13</v>
      </c>
      <c r="I24" s="29">
        <f t="shared" si="0"/>
        <v>130</v>
      </c>
      <c r="J24" s="29" cm="1">
        <f t="array" ref="J24">Common_InputFunctions.Utility_LookupValueInTableNumber(E24,Table_Refrigerants_LeakageRates[Product],Table_Refrigerants_LeakageRates[Annual leakage rate (%)])</f>
        <v>6.7</v>
      </c>
      <c r="K24" s="29" cm="1">
        <f t="array" ref="K24">Refrigerants_Equations.VEERG_9_1_1__1_RefrigerantLeaking(G24,J24)</f>
        <v>6.7000000000000002E-4</v>
      </c>
      <c r="L24" s="76">
        <f t="shared" si="1"/>
        <v>8.7100000000000007E-3</v>
      </c>
    </row>
    <row r="25" spans="1:12" ht="20.100000000000001" customHeight="1" x14ac:dyDescent="0.25">
      <c r="D25" s="29" t="str">
        <v>Storage AC</v>
      </c>
      <c r="E25" s="29" t="str">
        <v>Domestic A/C split</v>
      </c>
      <c r="F25" s="29" t="str">
        <v>R-400 60/40</v>
      </c>
      <c r="G25" s="29">
        <v>10</v>
      </c>
      <c r="H25" s="29">
        <v>10</v>
      </c>
      <c r="I25" s="29">
        <f t="shared" si="0"/>
        <v>100</v>
      </c>
      <c r="J25" s="29" cm="1">
        <f t="array" ref="J25">Common_InputFunctions.Utility_LookupValueInTableNumber(E25,Table_Refrigerants_LeakageRates[Product],Table_Refrigerants_LeakageRates[Annual leakage rate (%)])</f>
        <v>3.5</v>
      </c>
      <c r="K25" s="29" cm="1">
        <f t="array" ref="K25">Refrigerants_Equations.VEERG_9_1_1__1_RefrigerantLeaking(G25,J25)</f>
        <v>3.5000000000000005E-4</v>
      </c>
      <c r="L25" s="76">
        <f t="shared" si="1"/>
        <v>3.5000000000000005E-3</v>
      </c>
    </row>
    <row r="26" spans="1:12" ht="20.100000000000001" customHeight="1" x14ac:dyDescent="0.25">
      <c r="D26" s="29" t="str">
        <v>Refrigerated trucks</v>
      </c>
      <c r="E26" s="29" t="str">
        <v>Transport refrigeration</v>
      </c>
      <c r="F26" s="29" t="str">
        <v>R-504</v>
      </c>
      <c r="G26" s="29">
        <v>10</v>
      </c>
      <c r="H26" s="29">
        <v>10</v>
      </c>
      <c r="I26" s="29">
        <f t="shared" si="0"/>
        <v>100</v>
      </c>
      <c r="J26" s="29" cm="1">
        <f t="array" ref="J26">Common_InputFunctions.Utility_LookupValueInTableNumber(E26,Table_Refrigerants_LeakageRates[Product],Table_Refrigerants_LeakageRates[Annual leakage rate (%)])</f>
        <v>15.7</v>
      </c>
      <c r="K26" s="29" cm="1">
        <f t="array" ref="K26">Refrigerants_Equations.VEERG_9_1_1__1_RefrigerantLeaking(G26,J26)</f>
        <v>1.57E-3</v>
      </c>
      <c r="L26" s="76">
        <f t="shared" si="1"/>
        <v>1.5699999999999999E-2</v>
      </c>
    </row>
    <row r="27" spans="1:12" ht="20.100000000000001" customHeight="1" x14ac:dyDescent="0.25">
      <c r="D27" s="29">
        <v>0</v>
      </c>
      <c r="E27" s="29">
        <v>0</v>
      </c>
      <c r="F27" s="29">
        <v>0</v>
      </c>
      <c r="G27" s="29">
        <v>0</v>
      </c>
      <c r="H27" s="29">
        <v>0</v>
      </c>
      <c r="I27" s="29">
        <f t="shared" si="0"/>
        <v>0</v>
      </c>
      <c r="J27" s="29" cm="1">
        <f t="array" ref="J27">Common_InputFunctions.Utility_LookupValueInTableNumber(E27,Table_Refrigerants_LeakageRates[Product],Table_Refrigerants_LeakageRates[Annual leakage rate (%)])</f>
        <v>0</v>
      </c>
      <c r="K27" s="29" cm="1">
        <f t="array" ref="K27">Refrigerants_Equations.VEERG_9_1_1__1_RefrigerantLeaking(G27,J27)</f>
        <v>0</v>
      </c>
      <c r="L27" s="76">
        <f t="shared" si="1"/>
        <v>0</v>
      </c>
    </row>
    <row r="28" spans="1:12" ht="20.100000000000001" customHeight="1" x14ac:dyDescent="0.25">
      <c r="D28" s="29">
        <v>0</v>
      </c>
      <c r="E28" s="29">
        <v>0</v>
      </c>
      <c r="F28" s="29">
        <v>0</v>
      </c>
      <c r="G28" s="29">
        <v>0</v>
      </c>
      <c r="H28" s="29">
        <v>0</v>
      </c>
      <c r="I28" s="29">
        <f t="shared" si="0"/>
        <v>0</v>
      </c>
      <c r="J28" s="29" cm="1">
        <f t="array" ref="J28">Common_InputFunctions.Utility_LookupValueInTableNumber(E28,Table_Refrigerants_LeakageRates[Product],Table_Refrigerants_LeakageRates[Annual leakage rate (%)])</f>
        <v>0</v>
      </c>
      <c r="K28" s="29" cm="1">
        <f t="array" ref="K28">Refrigerants_Equations.VEERG_9_1_1__1_RefrigerantLeaking(G28,J28)</f>
        <v>0</v>
      </c>
      <c r="L28" s="76">
        <f t="shared" si="1"/>
        <v>0</v>
      </c>
    </row>
    <row r="29" spans="1:12" ht="20.100000000000001" customHeight="1" x14ac:dyDescent="0.25">
      <c r="D29" s="29">
        <v>0</v>
      </c>
      <c r="E29" s="29">
        <v>0</v>
      </c>
      <c r="F29" s="29">
        <v>0</v>
      </c>
      <c r="G29" s="29">
        <v>0</v>
      </c>
      <c r="H29" s="29">
        <v>0</v>
      </c>
      <c r="I29" s="29">
        <f t="shared" si="0"/>
        <v>0</v>
      </c>
      <c r="J29" s="29" cm="1">
        <f t="array" ref="J29">Common_InputFunctions.Utility_LookupValueInTableNumber(E29,Table_Refrigerants_LeakageRates[Product],Table_Refrigerants_LeakageRates[Annual leakage rate (%)])</f>
        <v>0</v>
      </c>
      <c r="K29" s="29" cm="1">
        <f t="array" ref="K29">Refrigerants_Equations.VEERG_9_1_1__1_RefrigerantLeaking(G29,J29)</f>
        <v>0</v>
      </c>
      <c r="L29" s="76">
        <f t="shared" si="1"/>
        <v>0</v>
      </c>
    </row>
    <row r="30" spans="1:12" ht="20.100000000000001" customHeight="1" x14ac:dyDescent="0.25">
      <c r="D30" s="29">
        <v>0</v>
      </c>
      <c r="E30" s="29">
        <v>0</v>
      </c>
      <c r="F30" s="29">
        <v>0</v>
      </c>
      <c r="G30" s="29">
        <v>0</v>
      </c>
      <c r="H30" s="29">
        <v>0</v>
      </c>
      <c r="I30" s="29">
        <f t="shared" si="0"/>
        <v>0</v>
      </c>
      <c r="J30" s="29" cm="1">
        <f t="array" ref="J30">Common_InputFunctions.Utility_LookupValueInTableNumber(E30,Table_Refrigerants_LeakageRates[Product],Table_Refrigerants_LeakageRates[Annual leakage rate (%)])</f>
        <v>0</v>
      </c>
      <c r="K30" s="29" cm="1">
        <f t="array" ref="K30">Refrigerants_Equations.VEERG_9_1_1__1_RefrigerantLeaking(G30,J30)</f>
        <v>0</v>
      </c>
      <c r="L30" s="76">
        <f t="shared" si="1"/>
        <v>0</v>
      </c>
    </row>
    <row r="31" spans="1:12" ht="20.100000000000001" customHeight="1" x14ac:dyDescent="0.25">
      <c r="D31" s="29">
        <v>0</v>
      </c>
      <c r="E31" s="29">
        <v>0</v>
      </c>
      <c r="F31" s="29">
        <v>0</v>
      </c>
      <c r="G31" s="29">
        <v>0</v>
      </c>
      <c r="H31" s="29">
        <v>0</v>
      </c>
      <c r="I31" s="29">
        <f t="shared" si="0"/>
        <v>0</v>
      </c>
      <c r="J31" s="29" cm="1">
        <f t="array" ref="J31">Common_InputFunctions.Utility_LookupValueInTableNumber(E31,Table_Refrigerants_LeakageRates[Product],Table_Refrigerants_LeakageRates[Annual leakage rate (%)])</f>
        <v>0</v>
      </c>
      <c r="K31" s="29" cm="1">
        <f t="array" ref="K31">Refrigerants_Equations.VEERG_9_1_1__1_RefrigerantLeaking(G31,J31)</f>
        <v>0</v>
      </c>
      <c r="L31" s="76">
        <f t="shared" si="1"/>
        <v>0</v>
      </c>
    </row>
    <row r="32" spans="1:12" ht="20.100000000000001" customHeight="1" x14ac:dyDescent="0.25"/>
    <row r="33" spans="1:13" ht="20.100000000000001" customHeight="1" x14ac:dyDescent="0.25">
      <c r="D33" s="39" t="s">
        <v>142</v>
      </c>
    </row>
    <row r="34" spans="1:13" ht="20.100000000000001" customHeight="1" x14ac:dyDescent="0.25">
      <c r="D34" s="38" t="s">
        <v>143</v>
      </c>
    </row>
    <row r="35" spans="1:13" ht="20.100000000000001" customHeight="1" x14ac:dyDescent="0.25">
      <c r="D35" s="28" t="s">
        <v>130</v>
      </c>
      <c r="E35" s="28" t="s">
        <v>129</v>
      </c>
    </row>
    <row r="36" spans="1:13" ht="20.100000000000001" customHeight="1" x14ac:dyDescent="0.25">
      <c r="D36" s="29" t="str" cm="1">
        <f t="array" ref="D36:D39">_xlfn.UNIQUE(_xlfn._xlws.FILTER(F22:F31, (F22:F31&lt;&gt;"") * (F22:F31&lt;&gt;0)))</f>
        <v>R-402A</v>
      </c>
      <c r="E36" s="29">
        <f t="shared" ref="E36:E45" si="2">SUMIF($F$22:$F$31,D36,$L$22:$L$31)</f>
        <v>8.5000000000000006E-4</v>
      </c>
      <c r="H36" s="71"/>
      <c r="I36" s="71"/>
      <c r="K36" s="71"/>
      <c r="L36" s="71"/>
    </row>
    <row r="37" spans="1:13" ht="20.100000000000001" customHeight="1" x14ac:dyDescent="0.25">
      <c r="D37" s="29" t="str">
        <v>R-422B</v>
      </c>
      <c r="E37" s="29">
        <f t="shared" si="2"/>
        <v>1.7500000000000003E-3</v>
      </c>
      <c r="H37" s="71"/>
      <c r="I37" s="71"/>
      <c r="K37" s="71"/>
      <c r="L37" s="71"/>
    </row>
    <row r="38" spans="1:13" ht="20.100000000000001" customHeight="1" x14ac:dyDescent="0.25">
      <c r="D38" s="29" t="str">
        <v>R-400 60/40</v>
      </c>
      <c r="E38" s="29">
        <f t="shared" si="2"/>
        <v>1.2210000000000002E-2</v>
      </c>
      <c r="H38" s="71"/>
      <c r="I38" s="71"/>
      <c r="K38" s="71"/>
      <c r="L38" s="71"/>
    </row>
    <row r="39" spans="1:13" ht="20.100000000000001" customHeight="1" x14ac:dyDescent="0.25">
      <c r="D39" s="29" t="str">
        <v>R-504</v>
      </c>
      <c r="E39" s="29">
        <f t="shared" si="2"/>
        <v>1.5699999999999999E-2</v>
      </c>
      <c r="H39" s="71"/>
      <c r="I39" s="71"/>
    </row>
    <row r="40" spans="1:13" ht="20.100000000000001" customHeight="1" x14ac:dyDescent="0.25">
      <c r="D40" s="29"/>
      <c r="E40" s="29">
        <f t="shared" si="2"/>
        <v>0</v>
      </c>
      <c r="H40" s="71"/>
      <c r="I40" s="71"/>
    </row>
    <row r="41" spans="1:13" ht="20.100000000000001" customHeight="1" x14ac:dyDescent="0.25">
      <c r="D41" s="29"/>
      <c r="E41" s="29">
        <f t="shared" si="2"/>
        <v>0</v>
      </c>
      <c r="H41" s="71"/>
      <c r="I41" s="71"/>
    </row>
    <row r="42" spans="1:13" ht="20.100000000000001" customHeight="1" x14ac:dyDescent="0.25">
      <c r="D42" s="29"/>
      <c r="E42" s="29">
        <f t="shared" si="2"/>
        <v>0</v>
      </c>
      <c r="H42" s="71"/>
      <c r="I42" s="71"/>
    </row>
    <row r="43" spans="1:13" ht="20.100000000000001" customHeight="1" x14ac:dyDescent="0.25">
      <c r="D43" s="29"/>
      <c r="E43" s="29">
        <f t="shared" si="2"/>
        <v>0</v>
      </c>
      <c r="H43" s="71"/>
      <c r="I43" s="71"/>
    </row>
    <row r="44" spans="1:13" ht="20.100000000000001" customHeight="1" x14ac:dyDescent="0.25">
      <c r="D44" s="29"/>
      <c r="E44" s="29">
        <f t="shared" si="2"/>
        <v>0</v>
      </c>
      <c r="H44" s="71"/>
      <c r="I44" s="71"/>
    </row>
    <row r="45" spans="1:13" ht="20.100000000000001" customHeight="1" x14ac:dyDescent="0.25">
      <c r="D45" s="29"/>
      <c r="E45" s="29">
        <f t="shared" si="2"/>
        <v>0</v>
      </c>
      <c r="H45" s="71"/>
      <c r="I45" s="71"/>
    </row>
    <row r="46" spans="1:13" ht="20.100000000000001" customHeight="1" x14ac:dyDescent="0.25"/>
    <row r="47" spans="1:13" ht="20.100000000000001" customHeight="1" x14ac:dyDescent="0.25">
      <c r="A47" s="58" t="str">
        <f>HYPERLINK("#A1", "▲ Back to top")</f>
        <v>▲ Back to top</v>
      </c>
    </row>
    <row r="48" spans="1:13" ht="20.100000000000001" customHeight="1" x14ac:dyDescent="0.25">
      <c r="C48" s="74"/>
      <c r="D48" s="74"/>
      <c r="E48" s="74"/>
      <c r="F48" s="74"/>
      <c r="G48" s="74"/>
      <c r="H48" s="74"/>
      <c r="I48" s="74"/>
      <c r="J48" s="74"/>
      <c r="K48" s="74"/>
      <c r="L48" s="74"/>
      <c r="M48" s="74"/>
    </row>
    <row r="49" spans="4:9" ht="20.100000000000001" customHeight="1" x14ac:dyDescent="0.25">
      <c r="D49" s="5" t="str" cm="1">
        <f t="array" ref="D49">Refrigerants_Equations.VEERG_9_1_1__1_RefrigerantLeakingGWP_Title()</f>
        <v>Refrigerant leakage emissions converted to CO2-e</v>
      </c>
    </row>
    <row r="50" spans="4:9" ht="20.100000000000001" customHeight="1" x14ac:dyDescent="0.25">
      <c r="D50" s="10" t="s">
        <v>10</v>
      </c>
      <c r="E50" s="10" t="str" cm="1">
        <f t="array" aca="1" ref="E50" ca="1">Common_InputFunctions.Utility_DisplayFunctionName(G62)</f>
        <v>=Refrigerants_Equations.VEERG_9_1_1__1_RefrigerantLeakingGWP</v>
      </c>
    </row>
    <row r="51" spans="4:9" ht="20.100000000000001" customHeight="1" x14ac:dyDescent="0.25"/>
    <row r="52" spans="4:9" ht="20.100000000000001" customHeight="1" x14ac:dyDescent="0.25"/>
    <row r="53" spans="4:9" ht="20.100000000000001" customHeight="1" x14ac:dyDescent="0.25">
      <c r="D53" s="2" t="s">
        <v>13</v>
      </c>
      <c r="E53" s="1" t="str" cm="1">
        <f t="array" ref="E53">Refrigerants_Equations.VEERG_9_1_1__1_RefrigerantLeakingGWP_Variable()</f>
        <v>E_CO2e</v>
      </c>
    </row>
    <row r="54" spans="4:9" ht="20.100000000000001" customHeight="1" x14ac:dyDescent="0.25">
      <c r="D54" s="2" t="s">
        <v>5</v>
      </c>
      <c r="E54" s="30" t="str" cm="1">
        <f t="array" ref="E54">Refrigerants_Equations.VEERG_9_1_1__1_RefrigerantLeakingGWP_Unit()</f>
        <v>t CO2-e</v>
      </c>
    </row>
    <row r="55" spans="4:9" ht="20.100000000000001" customHeight="1" x14ac:dyDescent="0.25"/>
    <row r="56" spans="4:9" ht="20.100000000000001" customHeight="1" x14ac:dyDescent="0.25">
      <c r="D56" s="55" t="str" cm="1">
        <f t="array" ref="D56:E57">_xlfn.CHOOSECOLS(Refrigerants_Equations.VEERG_9_1_1__1_RefrigerantLeakingGWP_Arguments(), 1,2)</f>
        <v>E_R</v>
      </c>
      <c r="E56" s="57" t="str">
        <v>Total emissions of refrigerant R</v>
      </c>
      <c r="F56" s="56"/>
      <c r="G56" s="55" t="str" cm="1">
        <f t="array" ref="G56:H57">_xlfn.CHOOSECOLS(Refrigerants_Equations.VEERG_9_1_1__1_RefrigerantLeakingGWP_Arguments(), 3,4)</f>
        <v>t refrigerant gas</v>
      </c>
      <c r="H56" s="49" t="str">
        <v>Calculated from 9.1.1 (1)</v>
      </c>
      <c r="I56" s="54" t="str" cm="1">
        <f t="array" aca="1" ref="I56" ca="1">HYPERLINK(Common_InputFunctions.Utility_SourceHyperlink($D$33), $D$33)</f>
        <v>Table_E_R</v>
      </c>
    </row>
    <row r="57" spans="4:9" ht="20.100000000000001" customHeight="1" x14ac:dyDescent="0.25">
      <c r="D57" s="55" t="str">
        <v>GWP_R</v>
      </c>
      <c r="E57" s="57" t="str">
        <v>Global warming potential of refrigerant R</v>
      </c>
      <c r="F57" s="56"/>
      <c r="G57" s="55" t="str">
        <v>Dimensionless</v>
      </c>
      <c r="H57" s="49" t="str">
        <v>Constant</v>
      </c>
      <c r="I57" s="54" t="str" cm="1">
        <f t="array" aca="1" ref="I57" ca="1">HYPERLINK(Common_InputFunctions.Utility_SourceHyperlink($D$59), $D$59)</f>
        <v>Table_E_CO2e</v>
      </c>
    </row>
    <row r="58" spans="4:9" ht="20.100000000000001" customHeight="1" x14ac:dyDescent="0.25"/>
    <row r="59" spans="4:9" ht="20.100000000000001" customHeight="1" x14ac:dyDescent="0.25">
      <c r="D59" s="39" t="s">
        <v>139</v>
      </c>
    </row>
    <row r="60" spans="4:9" ht="20.100000000000001" customHeight="1" x14ac:dyDescent="0.25">
      <c r="D60" s="38" t="s">
        <v>144</v>
      </c>
    </row>
    <row r="61" spans="4:9" ht="20.100000000000001" customHeight="1" x14ac:dyDescent="0.25">
      <c r="D61" s="28" t="s">
        <v>130</v>
      </c>
      <c r="E61" s="28" t="s">
        <v>129</v>
      </c>
      <c r="F61" s="28" t="s">
        <v>128</v>
      </c>
      <c r="G61" s="28" t="s">
        <v>133</v>
      </c>
    </row>
    <row r="62" spans="4:9" ht="20.100000000000001" customHeight="1" x14ac:dyDescent="0.25">
      <c r="D62" s="29" t="str">
        <f>D36</f>
        <v>R-402A</v>
      </c>
      <c r="E62" s="29">
        <f>E36</f>
        <v>8.5000000000000006E-4</v>
      </c>
      <c r="F62" s="29" cm="1">
        <f t="array" ref="F62">Common_InputFunctions.Utility_LookupValueInTableNumber(D62,Table_RefrigerantBlends_Cleaned[Blend],Table_RefrigerantBlends_Cleaned[Blend GWP])</f>
        <v>1395.3440000000001</v>
      </c>
      <c r="G62" s="29" cm="1">
        <f t="array" ref="G62">Refrigerants_Equations.VEERG_9_1_1__1_RefrigerantLeakingGWP(E62,F62)</f>
        <v>1.1860424000000003</v>
      </c>
    </row>
    <row r="63" spans="4:9" ht="20.100000000000001" customHeight="1" x14ac:dyDescent="0.25">
      <c r="D63" s="29" t="str">
        <f t="shared" ref="D63:D71" si="3">D37</f>
        <v>R-422B</v>
      </c>
      <c r="E63" s="29">
        <f t="shared" ref="E63:E71" si="4">E37</f>
        <v>1.7500000000000003E-3</v>
      </c>
      <c r="F63" s="29" cm="1">
        <f t="array" ref="F63">Common_InputFunctions.Utility_LookupValueInTableNumber(D63,Table_RefrigerantBlends_Cleaned[Blend],Table_RefrigerantBlends_Cleaned[Blend GWP])</f>
        <v>1188.2450000000001</v>
      </c>
      <c r="G63" s="29" cm="1">
        <f t="array" ref="G63">Refrigerants_Equations.VEERG_9_1_1__1_RefrigerantLeakingGWP(E63,F63)</f>
        <v>2.0794287500000004</v>
      </c>
    </row>
    <row r="64" spans="4:9" ht="20.100000000000001" customHeight="1" x14ac:dyDescent="0.25">
      <c r="D64" s="29" t="str">
        <f t="shared" si="3"/>
        <v>R-400 60/40</v>
      </c>
      <c r="E64" s="29">
        <f t="shared" si="4"/>
        <v>1.2210000000000002E-2</v>
      </c>
      <c r="F64" s="29" cm="1">
        <f t="array" ref="F64">Common_InputFunctions.Utility_LookupValueInTableNumber(D64,Table_RefrigerantBlends_Cleaned[Blend],Table_RefrigerantBlends_Cleaned[Blend GWP])</f>
        <v>5733.6</v>
      </c>
      <c r="G64" s="29" cm="1">
        <f t="array" ref="G64">Refrigerants_Equations.VEERG_9_1_1__1_RefrigerantLeakingGWP(E64,F64)</f>
        <v>70.007256000000027</v>
      </c>
    </row>
    <row r="65" spans="1:7" ht="20.100000000000001" customHeight="1" x14ac:dyDescent="0.25">
      <c r="D65" s="29" t="str">
        <f t="shared" si="3"/>
        <v>R-504</v>
      </c>
      <c r="E65" s="29">
        <f t="shared" si="4"/>
        <v>1.5699999999999999E-2</v>
      </c>
      <c r="F65" s="29" cm="1">
        <f t="array" ref="F65">Common_InputFunctions.Utility_LookupValueInTableNumber(D65,Table_RefrigerantBlends_Cleaned[Blend],Table_RefrigerantBlends_Cleaned[Blend GWP])</f>
        <v>2215.3284279999998</v>
      </c>
      <c r="G65" s="29" cm="1">
        <f t="array" ref="G65">Refrigerants_Equations.VEERG_9_1_1__1_RefrigerantLeakingGWP(E65,F65)</f>
        <v>34.780656319599998</v>
      </c>
    </row>
    <row r="66" spans="1:7" ht="20.100000000000001" customHeight="1" x14ac:dyDescent="0.25">
      <c r="D66" s="29">
        <f t="shared" si="3"/>
        <v>0</v>
      </c>
      <c r="E66" s="29">
        <f t="shared" si="4"/>
        <v>0</v>
      </c>
      <c r="F66" s="29" cm="1">
        <f t="array" ref="F66">Common_InputFunctions.Utility_LookupValueInTableNumber(D66,Table_RefrigerantBlends_Cleaned[Blend],Table_RefrigerantBlends_Cleaned[Blend GWP])</f>
        <v>0</v>
      </c>
      <c r="G66" s="29" cm="1">
        <f t="array" ref="G66">Refrigerants_Equations.VEERG_9_1_1__1_RefrigerantLeakingGWP(E66,F66)</f>
        <v>0</v>
      </c>
    </row>
    <row r="67" spans="1:7" ht="20.100000000000001" customHeight="1" x14ac:dyDescent="0.25">
      <c r="D67" s="29">
        <f t="shared" si="3"/>
        <v>0</v>
      </c>
      <c r="E67" s="29">
        <f t="shared" si="4"/>
        <v>0</v>
      </c>
      <c r="F67" s="29" cm="1">
        <f t="array" ref="F67">Common_InputFunctions.Utility_LookupValueInTableNumber(D67,Table_RefrigerantBlends_Cleaned[Blend],Table_RefrigerantBlends_Cleaned[Blend GWP])</f>
        <v>0</v>
      </c>
      <c r="G67" s="29" cm="1">
        <f t="array" ref="G67">Refrigerants_Equations.VEERG_9_1_1__1_RefrigerantLeakingGWP(E67,F67)</f>
        <v>0</v>
      </c>
    </row>
    <row r="68" spans="1:7" ht="20.100000000000001" customHeight="1" x14ac:dyDescent="0.25">
      <c r="D68" s="29">
        <f t="shared" si="3"/>
        <v>0</v>
      </c>
      <c r="E68" s="29">
        <f t="shared" si="4"/>
        <v>0</v>
      </c>
      <c r="F68" s="29" cm="1">
        <f t="array" ref="F68">Common_InputFunctions.Utility_LookupValueInTableNumber(D68,Table_RefrigerantBlends_Cleaned[Blend],Table_RefrigerantBlends_Cleaned[Blend GWP])</f>
        <v>0</v>
      </c>
      <c r="G68" s="29" cm="1">
        <f t="array" ref="G68">Refrigerants_Equations.VEERG_9_1_1__1_RefrigerantLeakingGWP(E68,F68)</f>
        <v>0</v>
      </c>
    </row>
    <row r="69" spans="1:7" ht="20.100000000000001" customHeight="1" x14ac:dyDescent="0.25">
      <c r="D69" s="29">
        <f t="shared" si="3"/>
        <v>0</v>
      </c>
      <c r="E69" s="29">
        <f t="shared" si="4"/>
        <v>0</v>
      </c>
      <c r="F69" s="29" cm="1">
        <f t="array" ref="F69">Common_InputFunctions.Utility_LookupValueInTableNumber(D69,Table_RefrigerantBlends_Cleaned[Blend],Table_RefrigerantBlends_Cleaned[Blend GWP])</f>
        <v>0</v>
      </c>
      <c r="G69" s="29" cm="1">
        <f t="array" ref="G69">Refrigerants_Equations.VEERG_9_1_1__1_RefrigerantLeakingGWP(E69,F69)</f>
        <v>0</v>
      </c>
    </row>
    <row r="70" spans="1:7" ht="20.100000000000001" customHeight="1" x14ac:dyDescent="0.25">
      <c r="D70" s="29">
        <f t="shared" si="3"/>
        <v>0</v>
      </c>
      <c r="E70" s="29">
        <f t="shared" si="4"/>
        <v>0</v>
      </c>
      <c r="F70" s="29" cm="1">
        <f t="array" ref="F70">Common_InputFunctions.Utility_LookupValueInTableNumber(D70,Table_RefrigerantBlends_Cleaned[Blend],Table_RefrigerantBlends_Cleaned[Blend GWP])</f>
        <v>0</v>
      </c>
      <c r="G70" s="29" cm="1">
        <f t="array" ref="G70">Refrigerants_Equations.VEERG_9_1_1__1_RefrigerantLeakingGWP(E70,F70)</f>
        <v>0</v>
      </c>
    </row>
    <row r="71" spans="1:7" ht="20.100000000000001" customHeight="1" x14ac:dyDescent="0.25">
      <c r="D71" s="29">
        <f t="shared" si="3"/>
        <v>0</v>
      </c>
      <c r="E71" s="29">
        <f t="shared" si="4"/>
        <v>0</v>
      </c>
      <c r="F71" s="29" cm="1">
        <f t="array" ref="F71">Common_InputFunctions.Utility_LookupValueInTableNumber(D71,Table_RefrigerantBlends_Cleaned[Blend],Table_RefrigerantBlends_Cleaned[Blend GWP])</f>
        <v>0</v>
      </c>
      <c r="G71" s="29" cm="1">
        <f t="array" ref="G71">Refrigerants_Equations.VEERG_9_1_1__1_RefrigerantLeakingGWP(E71,F71)</f>
        <v>0</v>
      </c>
    </row>
    <row r="72" spans="1:7" ht="20.100000000000001" customHeight="1" x14ac:dyDescent="0.25"/>
    <row r="73" spans="1:7" ht="20.100000000000001" customHeight="1" x14ac:dyDescent="0.25">
      <c r="A73" s="58" t="str">
        <f>HYPERLINK("#A1", "▲ Back to top")</f>
        <v>▲ Back to top</v>
      </c>
      <c r="D73" s="77" t="s">
        <v>138</v>
      </c>
      <c r="E73" s="78">
        <f>SUM(G62:G71)</f>
        <v>108.05338346960002</v>
      </c>
      <c r="F73" s="79" t="str">
        <f>E54</f>
        <v>t CO2-e</v>
      </c>
    </row>
    <row r="74" spans="1:7" ht="20.100000000000001" customHeight="1" x14ac:dyDescent="0.25"/>
    <row r="75" spans="1:7" ht="20.100000000000001" customHeight="1" x14ac:dyDescent="0.25"/>
    <row r="76" spans="1:7" ht="20.100000000000001" customHeight="1" x14ac:dyDescent="0.25"/>
    <row r="77" spans="1:7" ht="20.100000000000001" customHeight="1" x14ac:dyDescent="0.25"/>
    <row r="78" spans="1:7" ht="20.100000000000001" customHeight="1" x14ac:dyDescent="0.25"/>
    <row r="79" spans="1:7" ht="20.100000000000001" customHeight="1" x14ac:dyDescent="0.25"/>
    <row r="80" spans="1:7" ht="20.100000000000001" customHeight="1" x14ac:dyDescent="0.25"/>
    <row r="81" spans="1:1" ht="20.100000000000001" customHeight="1" x14ac:dyDescent="0.25"/>
    <row r="82" spans="1:1" ht="20.100000000000001" customHeight="1" x14ac:dyDescent="0.25"/>
    <row r="83" spans="1:1" ht="20.100000000000001" customHeight="1" x14ac:dyDescent="0.25">
      <c r="A83" s="58"/>
    </row>
    <row r="84" spans="1:1" ht="20.100000000000001" customHeight="1" x14ac:dyDescent="0.25"/>
    <row r="85" spans="1:1" ht="20.100000000000001" customHeight="1" x14ac:dyDescent="0.25"/>
    <row r="86" spans="1:1" ht="20.100000000000001" customHeight="1" x14ac:dyDescent="0.25"/>
    <row r="87" spans="1:1" ht="20.100000000000001" customHeight="1" x14ac:dyDescent="0.25"/>
    <row r="88" spans="1:1" ht="20.100000000000001" customHeight="1" x14ac:dyDescent="0.25"/>
    <row r="89" spans="1:1" ht="20.100000000000001" customHeight="1" x14ac:dyDescent="0.25"/>
    <row r="90" spans="1:1" ht="20.100000000000001" customHeight="1" x14ac:dyDescent="0.25"/>
    <row r="91" spans="1:1" ht="20.100000000000001" customHeight="1" x14ac:dyDescent="0.25"/>
    <row r="92" spans="1:1" ht="20.100000000000001" customHeight="1" x14ac:dyDescent="0.25"/>
    <row r="93" spans="1:1" ht="20.100000000000001" customHeight="1" x14ac:dyDescent="0.25"/>
    <row r="94" spans="1:1" ht="20.100000000000001" customHeight="1" x14ac:dyDescent="0.25"/>
    <row r="95" spans="1:1" ht="20.100000000000001" customHeight="1" x14ac:dyDescent="0.25"/>
    <row r="96" spans="1:1"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7"/>
    </row>
    <row r="342" spans="8:8" x14ac:dyDescent="0.25">
      <c r="H342" s="17"/>
    </row>
  </sheetData>
  <dataValidations disablePrompts="1" count="1">
    <dataValidation operator="equal" allowBlank="1" showInputMessage="1" showErrorMessage="1" sqref="E269 E228 G132 I129:I133 F134:I134 F129:F132 H128:H132 G129 F148:I148 I149 F150:I150"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80"/>
  <sheetViews>
    <sheetView showGridLines="0" topLeftCell="A145" zoomScaleNormal="100" workbookViewId="0">
      <selection activeCell="O106" sqref="O106"/>
    </sheetView>
  </sheetViews>
  <sheetFormatPr defaultRowHeight="15.75" x14ac:dyDescent="0.25"/>
  <cols>
    <col min="1" max="1" width="30.7109375" customWidth="1"/>
    <col min="2" max="2" width="4.7109375" customWidth="1"/>
    <col min="3" max="3" width="4.7109375" style="1" customWidth="1"/>
    <col min="4" max="4" width="39.140625" style="1" customWidth="1"/>
    <col min="5" max="5" width="20.7109375" style="1" customWidth="1"/>
    <col min="6" max="6" width="21.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7" customFormat="1" ht="30" customHeight="1" x14ac:dyDescent="0.35">
      <c r="A1" s="7" t="e" vm="1">
        <v>#VALUE!</v>
      </c>
      <c r="C1" s="7" t="s">
        <v>124</v>
      </c>
      <c r="AG1"/>
      <c r="AH1"/>
      <c r="AI1"/>
    </row>
    <row r="2" spans="1:35" s="8" customFormat="1" ht="20.100000000000001" customHeight="1" x14ac:dyDescent="0.25">
      <c r="A2"/>
      <c r="AG2"/>
      <c r="AH2"/>
      <c r="AI2"/>
    </row>
    <row r="3" spans="1:35" ht="20.100000000000001" customHeight="1" x14ac:dyDescent="0.25">
      <c r="A3" s="13" t="str">
        <f>HYPERLINK("#'Home'!A1", "Home")</f>
        <v>Home</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row>
    <row r="4" spans="1:35" ht="20.100000000000001" customHeight="1" x14ac:dyDescent="0.25">
      <c r="A4" s="13" t="str">
        <f>HYPERLINK("#'Overview'!A1", "Overview")</f>
        <v>Overview</v>
      </c>
    </row>
    <row r="5" spans="1:35" ht="20.100000000000001" customHeight="1" x14ac:dyDescent="0.25">
      <c r="A5" s="13" t="str">
        <f>HYPERLINK("#'Results'!A1", "Results")</f>
        <v>Results</v>
      </c>
      <c r="D5" s="5" t="str" cm="1">
        <f t="array" ref="D5">Refrigerants_SourceData.Refrigerants_ChemicalGWP_Title()</f>
        <v>Global Warming Potentials</v>
      </c>
      <c r="H5" s="71"/>
      <c r="I5" s="71"/>
      <c r="J5" s="71"/>
      <c r="K5" s="71"/>
      <c r="L5" s="71"/>
      <c r="M5" s="71"/>
      <c r="N5" s="71"/>
      <c r="O5" s="71"/>
      <c r="P5" s="71"/>
      <c r="Q5" s="71"/>
    </row>
    <row r="6" spans="1:35" ht="20.100000000000001" customHeight="1" x14ac:dyDescent="0.25">
      <c r="A6" s="12"/>
      <c r="D6" s="4" t="str" cm="1">
        <f t="array" ref="D6">Refrigerants_SourceData.Refrigerants_ChemicalGWP_Source()</f>
        <v>Australian National Greenhouse Accounts Factors 2025 - Appendix 2 - Table 23</v>
      </c>
      <c r="E6" s="71"/>
      <c r="F6" s="71"/>
      <c r="G6" s="71"/>
      <c r="H6" s="71"/>
      <c r="I6" s="71"/>
      <c r="J6" s="71"/>
      <c r="K6" s="71"/>
      <c r="L6" s="71"/>
      <c r="M6" s="71"/>
      <c r="N6" s="71"/>
      <c r="O6" s="71"/>
      <c r="P6" s="71"/>
      <c r="Q6" s="71"/>
    </row>
    <row r="7" spans="1:35" ht="20.100000000000001" customHeight="1" x14ac:dyDescent="0.25">
      <c r="A7" s="16" t="s">
        <v>1</v>
      </c>
      <c r="D7" s="31" t="str" cm="1">
        <f t="array" ref="D7">"⚠️" &amp; Refrigerants_SourceData.Refrigerants_ChemicalGWP_Variation()</f>
        <v>⚠️VARIATION OF SOURCE DATA: Added 'GAS - FC name' column with truncated gas name to allow matching with other tables. Added extra gases from IPCC Global Warming Potential Values v2.0 - (AR5). Added 'Additional data source' column.</v>
      </c>
      <c r="H7" s="71"/>
      <c r="I7" s="71"/>
      <c r="J7" s="71"/>
      <c r="K7" s="71"/>
      <c r="L7" s="71"/>
      <c r="M7" s="71"/>
      <c r="N7" s="71"/>
      <c r="O7" s="71"/>
      <c r="P7" s="71"/>
      <c r="Q7" s="71"/>
    </row>
    <row r="8" spans="1:35" ht="20.100000000000001" customHeight="1" x14ac:dyDescent="0.25">
      <c r="A8" s="13" t="str">
        <f>HYPERLINK("#'Input - Refrigerants'!A1", "Refrigerants")</f>
        <v>Refrigerants</v>
      </c>
      <c r="D8" s="26" t="s">
        <v>11</v>
      </c>
      <c r="E8" s="26" t="s">
        <v>101</v>
      </c>
      <c r="F8" s="26" t="s">
        <v>102</v>
      </c>
      <c r="G8" s="72" t="s">
        <v>103</v>
      </c>
      <c r="H8" s="73" t="s">
        <v>104</v>
      </c>
      <c r="I8" s="71"/>
      <c r="J8" s="71"/>
      <c r="K8" s="71"/>
      <c r="L8" s="71"/>
      <c r="M8" s="71"/>
      <c r="N8" s="71"/>
      <c r="O8" s="71"/>
      <c r="P8" s="71"/>
      <c r="Q8" s="71"/>
    </row>
    <row r="9" spans="1:35" ht="20.100000000000001" customHeight="1" x14ac:dyDescent="0.25">
      <c r="A9" s="13"/>
      <c r="D9" s="26" t="str" cm="1">
        <f t="array" ref="D9">Common_InputFunctions.Utility_DisplayArrayInTable(Refrigerants_SourceData.Refrigerants_ChemicalGWP_Data(), Table_RefrigerantChemicalGWP[[#Headers],[Gas]], 0)</f>
        <v>Carbon dioxide</v>
      </c>
      <c r="E9" s="26" t="str" cm="1">
        <f t="array" ref="E9">Common_InputFunctions.Utility_DisplayArrayInTable(Refrigerants_SourceData.Refrigerants_ChemicalGWP_Data(), Table_RefrigerantChemicalGWP[[#Headers],[Gas]], 0)</f>
        <v>CO2</v>
      </c>
      <c r="F9" s="26" cm="1">
        <f t="array" ref="F9">Common_InputFunctions.Utility_DisplayArrayInTable(Refrigerants_SourceData.Refrigerants_ChemicalGWP_Data(), Table_RefrigerantChemicalGWP[[#Headers],[Gas]], 0)</f>
        <v>1</v>
      </c>
      <c r="G9" s="26" t="str" cm="1">
        <f t="array" ref="G9">Common_InputFunctions.Utility_DisplayArrayInTable(Refrigerants_SourceData.Refrigerants_ChemicalGWP_Data(), Table_RefrigerantChemicalGWP[[#Headers],[Gas]], 0)</f>
        <v>CO2</v>
      </c>
      <c r="H9" s="73" t="str" cm="1">
        <f t="array" ref="H9">Common_InputFunctions.Utility_DisplayArrayInTable(Refrigerants_SourceData.Refrigerants_ChemicalGWP_Data(), Table_RefrigerantChemicalGWP[[#Headers],[Gas]], 0)</f>
        <v/>
      </c>
      <c r="I9" s="71"/>
      <c r="J9" s="71"/>
      <c r="K9" s="71"/>
      <c r="L9" s="71"/>
      <c r="M9" s="71"/>
      <c r="N9" s="71"/>
      <c r="O9" s="71"/>
      <c r="P9" s="71"/>
      <c r="Q9" s="71"/>
    </row>
    <row r="10" spans="1:35" ht="20.100000000000001" customHeight="1" x14ac:dyDescent="0.25">
      <c r="A10" s="15" t="s">
        <v>45</v>
      </c>
      <c r="D10" s="26" t="str" cm="1">
        <f t="array" ref="D10">Common_InputFunctions.Utility_DisplayArrayInTable(Refrigerants_SourceData.Refrigerants_ChemicalGWP_Data(), Table_RefrigerantChemicalGWP[[#Headers],[Gas]], 0)</f>
        <v>Methane</v>
      </c>
      <c r="E10" s="26" t="str" cm="1">
        <f t="array" ref="E10">Common_InputFunctions.Utility_DisplayArrayInTable(Refrigerants_SourceData.Refrigerants_ChemicalGWP_Data(), Table_RefrigerantChemicalGWP[[#Headers],[Gas]], 0)</f>
        <v>CH4</v>
      </c>
      <c r="F10" s="26" cm="1">
        <f t="array" ref="F10">Common_InputFunctions.Utility_DisplayArrayInTable(Refrigerants_SourceData.Refrigerants_ChemicalGWP_Data(), Table_RefrigerantChemicalGWP[[#Headers],[Gas]], 0)</f>
        <v>28</v>
      </c>
      <c r="G10" s="26" t="str" cm="1">
        <f t="array" ref="G10">Common_InputFunctions.Utility_DisplayArrayInTable(Refrigerants_SourceData.Refrigerants_ChemicalGWP_Data(), Table_RefrigerantChemicalGWP[[#Headers],[Gas]], 0)</f>
        <v>CH4</v>
      </c>
      <c r="H10" s="73" t="str" cm="1">
        <f t="array" ref="H10">Common_InputFunctions.Utility_DisplayArrayInTable(Refrigerants_SourceData.Refrigerants_ChemicalGWP_Data(), Table_RefrigerantChemicalGWP[[#Headers],[Gas]], 0)</f>
        <v/>
      </c>
      <c r="I10" s="71"/>
      <c r="J10" s="71"/>
      <c r="K10" s="71"/>
      <c r="L10" s="71"/>
      <c r="M10" s="71"/>
      <c r="N10" s="71"/>
      <c r="O10" s="71"/>
      <c r="P10" s="71"/>
      <c r="Q10" s="71"/>
    </row>
    <row r="11" spans="1:35" ht="20.100000000000001" customHeight="1" x14ac:dyDescent="0.25">
      <c r="A11" s="13" t="str">
        <f>HYPERLINK("#'9.1.1.1-2 Refrigerant use'!A1", "9.1.1.1-2 Refrigerant use")</f>
        <v>9.1.1.1-2 Refrigerant use</v>
      </c>
      <c r="D11" s="26" t="str" cm="1">
        <f t="array" ref="D11">Common_InputFunctions.Utility_DisplayArrayInTable(Refrigerants_SourceData.Refrigerants_ChemicalGWP_Data(), Table_RefrigerantChemicalGWP[[#Headers],[Gas]], 0)</f>
        <v>Nitrous oxide</v>
      </c>
      <c r="E11" s="26" t="str" cm="1">
        <f t="array" ref="E11">Common_InputFunctions.Utility_DisplayArrayInTable(Refrigerants_SourceData.Refrigerants_ChemicalGWP_Data(), Table_RefrigerantChemicalGWP[[#Headers],[Gas]], 0)</f>
        <v>N2O</v>
      </c>
      <c r="F11" s="26" cm="1">
        <f t="array" ref="F11">Common_InputFunctions.Utility_DisplayArrayInTable(Refrigerants_SourceData.Refrigerants_ChemicalGWP_Data(), Table_RefrigerantChemicalGWP[[#Headers],[Gas]], 0)</f>
        <v>265</v>
      </c>
      <c r="G11" s="26" t="str" cm="1">
        <f t="array" ref="G11">Common_InputFunctions.Utility_DisplayArrayInTable(Refrigerants_SourceData.Refrigerants_ChemicalGWP_Data(), Table_RefrigerantChemicalGWP[[#Headers],[Gas]], 0)</f>
        <v>N2O</v>
      </c>
      <c r="H11" s="73" t="str" cm="1">
        <f t="array" ref="H11">Common_InputFunctions.Utility_DisplayArrayInTable(Refrigerants_SourceData.Refrigerants_ChemicalGWP_Data(), Table_RefrigerantChemicalGWP[[#Headers],[Gas]], 0)</f>
        <v/>
      </c>
      <c r="I11" s="71"/>
      <c r="J11" s="71"/>
      <c r="K11" s="71"/>
      <c r="L11" s="71"/>
      <c r="M11" s="71"/>
      <c r="N11" s="71"/>
      <c r="O11" s="71"/>
      <c r="P11" s="71"/>
      <c r="Q11" s="71"/>
    </row>
    <row r="12" spans="1:35" ht="20.100000000000001" customHeight="1" x14ac:dyDescent="0.25">
      <c r="A12" s="13"/>
      <c r="D12" s="26" t="str" cm="1">
        <f t="array" ref="D12">Common_InputFunctions.Utility_DisplayArrayInTable(Refrigerants_SourceData.Refrigerants_ChemicalGWP_Data(), Table_RefrigerantChemicalGWP[[#Headers],[Gas]], 0)</f>
        <v>Sulphur hexafluoride</v>
      </c>
      <c r="E12" s="26" t="str" cm="1">
        <f t="array" ref="E12">Common_InputFunctions.Utility_DisplayArrayInTable(Refrigerants_SourceData.Refrigerants_ChemicalGWP_Data(), Table_RefrigerantChemicalGWP[[#Headers],[Gas]], 0)</f>
        <v>SF6</v>
      </c>
      <c r="F12" s="26" cm="1">
        <f t="array" ref="F12">Common_InputFunctions.Utility_DisplayArrayInTable(Refrigerants_SourceData.Refrigerants_ChemicalGWP_Data(), Table_RefrigerantChemicalGWP[[#Headers],[Gas]], 0)</f>
        <v>23500</v>
      </c>
      <c r="G12" s="26" t="str" cm="1">
        <f t="array" ref="G12">Common_InputFunctions.Utility_DisplayArrayInTable(Refrigerants_SourceData.Refrigerants_ChemicalGWP_Data(), Table_RefrigerantChemicalGWP[[#Headers],[Gas]], 0)</f>
        <v>SF6</v>
      </c>
      <c r="H12" s="73" t="str" cm="1">
        <f t="array" ref="H12">Common_InputFunctions.Utility_DisplayArrayInTable(Refrigerants_SourceData.Refrigerants_ChemicalGWP_Data(), Table_RefrigerantChemicalGWP[[#Headers],[Gas]], 0)</f>
        <v/>
      </c>
      <c r="I12" s="71"/>
      <c r="J12" s="71"/>
      <c r="K12" s="71"/>
      <c r="L12" s="71"/>
      <c r="M12" s="71"/>
      <c r="N12" s="71"/>
      <c r="O12" s="71"/>
      <c r="P12" s="71"/>
      <c r="Q12" s="71"/>
    </row>
    <row r="13" spans="1:35" ht="20.100000000000001" customHeight="1" x14ac:dyDescent="0.25">
      <c r="A13" s="14" t="s">
        <v>2</v>
      </c>
      <c r="D13" s="26" t="str" cm="1">
        <f t="array" ref="D13">Common_InputFunctions.Utility_DisplayArrayInTable(Refrigerants_SourceData.Refrigerants_ChemicalGWP_Data(), Table_RefrigerantChemicalGWP[[#Headers],[Gas]], 0)</f>
        <v>HFC-23 (R-23)</v>
      </c>
      <c r="E13" s="26" t="str" cm="1">
        <f t="array" ref="E13">Common_InputFunctions.Utility_DisplayArrayInTable(Refrigerants_SourceData.Refrigerants_ChemicalGWP_Data(), Table_RefrigerantChemicalGWP[[#Headers],[Gas]], 0)</f>
        <v>CHF3</v>
      </c>
      <c r="F13" s="26" cm="1">
        <f t="array" ref="F13">Common_InputFunctions.Utility_DisplayArrayInTable(Refrigerants_SourceData.Refrigerants_ChemicalGWP_Data(), Table_RefrigerantChemicalGWP[[#Headers],[Gas]], 0)</f>
        <v>12400</v>
      </c>
      <c r="G13" s="26" t="str" cm="1">
        <f t="array" ref="G13">Common_InputFunctions.Utility_DisplayArrayInTable(Refrigerants_SourceData.Refrigerants_ChemicalGWP_Data(), Table_RefrigerantChemicalGWP[[#Headers],[Gas]], 0)</f>
        <v>HFC-23</v>
      </c>
      <c r="H13" s="73" t="str" cm="1">
        <f t="array" ref="H13">Common_InputFunctions.Utility_DisplayArrayInTable(Refrigerants_SourceData.Refrigerants_ChemicalGWP_Data(), Table_RefrigerantChemicalGWP[[#Headers],[Gas]], 0)</f>
        <v/>
      </c>
      <c r="I13" s="71"/>
      <c r="J13" s="71"/>
      <c r="K13" s="71"/>
      <c r="L13" s="71"/>
      <c r="M13" s="71"/>
      <c r="N13" s="71"/>
      <c r="O13" s="71"/>
      <c r="P13" s="71"/>
      <c r="Q13" s="71"/>
    </row>
    <row r="14" spans="1:35" ht="20.100000000000001" customHeight="1" x14ac:dyDescent="0.25">
      <c r="A14" s="66" t="str">
        <f>HYPERLINK("#'Constants - Refrigerants'!A1", "Constants - Refrigerants")</f>
        <v>Constants - Refrigerants</v>
      </c>
      <c r="D14" s="26" t="str" cm="1">
        <f t="array" ref="D14">Common_InputFunctions.Utility_DisplayArrayInTable(Refrigerants_SourceData.Refrigerants_ChemicalGWP_Data(), Table_RefrigerantChemicalGWP[[#Headers],[Gas]], 0)</f>
        <v>HFC-32 (R-32)</v>
      </c>
      <c r="E14" s="26" t="str" cm="1">
        <f t="array" ref="E14">Common_InputFunctions.Utility_DisplayArrayInTable(Refrigerants_SourceData.Refrigerants_ChemicalGWP_Data(), Table_RefrigerantChemicalGWP[[#Headers],[Gas]], 0)</f>
        <v>CH2F2</v>
      </c>
      <c r="F14" s="26" cm="1">
        <f t="array" ref="F14">Common_InputFunctions.Utility_DisplayArrayInTable(Refrigerants_SourceData.Refrigerants_ChemicalGWP_Data(), Table_RefrigerantChemicalGWP[[#Headers],[Gas]], 0)</f>
        <v>677</v>
      </c>
      <c r="G14" s="26" t="str" cm="1">
        <f t="array" ref="G14">Common_InputFunctions.Utility_DisplayArrayInTable(Refrigerants_SourceData.Refrigerants_ChemicalGWP_Data(), Table_RefrigerantChemicalGWP[[#Headers],[Gas]], 0)</f>
        <v>HFC-32</v>
      </c>
      <c r="H14" s="73" t="str" cm="1">
        <f t="array" ref="H14">Common_InputFunctions.Utility_DisplayArrayInTable(Refrigerants_SourceData.Refrigerants_ChemicalGWP_Data(), Table_RefrigerantChemicalGWP[[#Headers],[Gas]], 0)</f>
        <v/>
      </c>
      <c r="I14" s="71"/>
      <c r="J14" s="71"/>
      <c r="K14" s="71"/>
      <c r="L14" s="71"/>
      <c r="M14" s="71"/>
      <c r="N14" s="71"/>
      <c r="O14" s="71"/>
      <c r="P14" s="71"/>
      <c r="Q14" s="71"/>
    </row>
    <row r="15" spans="1:35" ht="20.100000000000001" customHeight="1" x14ac:dyDescent="0.25">
      <c r="A15" s="13" t="str">
        <f>HYPERLINK("#'Constants - Common'!A1", "Constants - Common")</f>
        <v>Constants - Common</v>
      </c>
      <c r="D15" s="26" t="str" cm="1">
        <f t="array" ref="D15">Common_InputFunctions.Utility_DisplayArrayInTable(Refrigerants_SourceData.Refrigerants_ChemicalGWP_Data(), Table_RefrigerantChemicalGWP[[#Headers],[Gas]], 0)</f>
        <v>HFC-41 (R-41)</v>
      </c>
      <c r="E15" s="26" t="str" cm="1">
        <f t="array" ref="E15">Common_InputFunctions.Utility_DisplayArrayInTable(Refrigerants_SourceData.Refrigerants_ChemicalGWP_Data(), Table_RefrigerantChemicalGWP[[#Headers],[Gas]], 0)</f>
        <v>CH3F</v>
      </c>
      <c r="F15" s="26" cm="1">
        <f t="array" ref="F15">Common_InputFunctions.Utility_DisplayArrayInTable(Refrigerants_SourceData.Refrigerants_ChemicalGWP_Data(), Table_RefrigerantChemicalGWP[[#Headers],[Gas]], 0)</f>
        <v>116</v>
      </c>
      <c r="G15" s="26" t="str" cm="1">
        <f t="array" ref="G15">Common_InputFunctions.Utility_DisplayArrayInTable(Refrigerants_SourceData.Refrigerants_ChemicalGWP_Data(), Table_RefrigerantChemicalGWP[[#Headers],[Gas]], 0)</f>
        <v>HFC-41</v>
      </c>
      <c r="H15" s="73" t="str" cm="1">
        <f t="array" ref="H15">Common_InputFunctions.Utility_DisplayArrayInTable(Refrigerants_SourceData.Refrigerants_ChemicalGWP_Data(), Table_RefrigerantChemicalGWP[[#Headers],[Gas]], 0)</f>
        <v/>
      </c>
      <c r="I15" s="71"/>
      <c r="J15" s="71"/>
      <c r="K15" s="71"/>
      <c r="L15" s="71"/>
      <c r="M15" s="71"/>
      <c r="N15" s="71"/>
      <c r="O15" s="71"/>
      <c r="P15" s="71"/>
      <c r="Q15" s="71"/>
    </row>
    <row r="16" spans="1:35" ht="20.100000000000001" customHeight="1" x14ac:dyDescent="0.25">
      <c r="D16" s="26" t="str" cm="1">
        <f t="array" ref="D16">Common_InputFunctions.Utility_DisplayArrayInTable(Refrigerants_SourceData.Refrigerants_ChemicalGWP_Data(), Table_RefrigerantChemicalGWP[[#Headers],[Gas]], 0)</f>
        <v>HFC-43-10mee (R-4310mee)</v>
      </c>
      <c r="E16" s="26" t="str" cm="1">
        <f t="array" ref="E16">Common_InputFunctions.Utility_DisplayArrayInTable(Refrigerants_SourceData.Refrigerants_ChemicalGWP_Data(), Table_RefrigerantChemicalGWP[[#Headers],[Gas]], 0)</f>
        <v>C5H2F10</v>
      </c>
      <c r="F16" s="26" cm="1">
        <f t="array" ref="F16">Common_InputFunctions.Utility_DisplayArrayInTable(Refrigerants_SourceData.Refrigerants_ChemicalGWP_Data(), Table_RefrigerantChemicalGWP[[#Headers],[Gas]], 0)</f>
        <v>1650</v>
      </c>
      <c r="G16" s="26" t="str" cm="1">
        <f t="array" ref="G16">Common_InputFunctions.Utility_DisplayArrayInTable(Refrigerants_SourceData.Refrigerants_ChemicalGWP_Data(), Table_RefrigerantChemicalGWP[[#Headers],[Gas]], 0)</f>
        <v>HFC-43-10mee</v>
      </c>
      <c r="H16" s="73" t="str" cm="1">
        <f t="array" ref="H16">Common_InputFunctions.Utility_DisplayArrayInTable(Refrigerants_SourceData.Refrigerants_ChemicalGWP_Data(), Table_RefrigerantChemicalGWP[[#Headers],[Gas]], 0)</f>
        <v/>
      </c>
      <c r="I16" s="71"/>
      <c r="J16" s="71"/>
      <c r="K16" s="71"/>
      <c r="L16" s="71"/>
      <c r="M16" s="71"/>
      <c r="N16" s="71"/>
      <c r="O16" s="71"/>
      <c r="P16" s="71"/>
      <c r="Q16" s="71"/>
    </row>
    <row r="17" spans="1:17" ht="20.100000000000001" customHeight="1" x14ac:dyDescent="0.25">
      <c r="D17" s="26" t="str" cm="1">
        <f t="array" ref="D17">Common_InputFunctions.Utility_DisplayArrayInTable(Refrigerants_SourceData.Refrigerants_ChemicalGWP_Data(), Table_RefrigerantChemicalGWP[[#Headers],[Gas]], 0)</f>
        <v>HFC-125 (R-125)</v>
      </c>
      <c r="E17" s="26" t="str" cm="1">
        <f t="array" ref="E17">Common_InputFunctions.Utility_DisplayArrayInTable(Refrigerants_SourceData.Refrigerants_ChemicalGWP_Data(), Table_RefrigerantChemicalGWP[[#Headers],[Gas]], 0)</f>
        <v>C2HF5</v>
      </c>
      <c r="F17" s="26" cm="1">
        <f t="array" ref="F17">Common_InputFunctions.Utility_DisplayArrayInTable(Refrigerants_SourceData.Refrigerants_ChemicalGWP_Data(), Table_RefrigerantChemicalGWP[[#Headers],[Gas]], 0)</f>
        <v>3170</v>
      </c>
      <c r="G17" s="26" t="str" cm="1">
        <f t="array" ref="G17">Common_InputFunctions.Utility_DisplayArrayInTable(Refrigerants_SourceData.Refrigerants_ChemicalGWP_Data(), Table_RefrigerantChemicalGWP[[#Headers],[Gas]], 0)</f>
        <v>HFC-125</v>
      </c>
      <c r="H17" s="73" t="str" cm="1">
        <f t="array" ref="H17">Common_InputFunctions.Utility_DisplayArrayInTable(Refrigerants_SourceData.Refrigerants_ChemicalGWP_Data(), Table_RefrigerantChemicalGWP[[#Headers],[Gas]], 0)</f>
        <v/>
      </c>
      <c r="I17" s="71"/>
      <c r="J17" s="71"/>
      <c r="K17" s="71"/>
      <c r="L17" s="71"/>
      <c r="M17" s="71"/>
      <c r="N17" s="71"/>
      <c r="O17" s="71"/>
      <c r="P17" s="71"/>
      <c r="Q17" s="71"/>
    </row>
    <row r="18" spans="1:17" ht="20.100000000000001" customHeight="1" x14ac:dyDescent="0.25">
      <c r="D18" s="26" t="str" cm="1">
        <f t="array" ref="D18">Common_InputFunctions.Utility_DisplayArrayInTable(Refrigerants_SourceData.Refrigerants_ChemicalGWP_Data(), Table_RefrigerantChemicalGWP[[#Headers],[Gas]], 0)</f>
        <v>HFC-134 (R-134)</v>
      </c>
      <c r="E18" s="26" t="str" cm="1">
        <f t="array" ref="E18">Common_InputFunctions.Utility_DisplayArrayInTable(Refrigerants_SourceData.Refrigerants_ChemicalGWP_Data(), Table_RefrigerantChemicalGWP[[#Headers],[Gas]], 0)</f>
        <v>C2H2F4 (CHF2CHF2)</v>
      </c>
      <c r="F18" s="26" cm="1">
        <f t="array" ref="F18">Common_InputFunctions.Utility_DisplayArrayInTable(Refrigerants_SourceData.Refrigerants_ChemicalGWP_Data(), Table_RefrigerantChemicalGWP[[#Headers],[Gas]], 0)</f>
        <v>1120</v>
      </c>
      <c r="G18" s="26" t="str" cm="1">
        <f t="array" ref="G18">Common_InputFunctions.Utility_DisplayArrayInTable(Refrigerants_SourceData.Refrigerants_ChemicalGWP_Data(), Table_RefrigerantChemicalGWP[[#Headers],[Gas]], 0)</f>
        <v>HFC-134</v>
      </c>
      <c r="H18" s="73" t="str" cm="1">
        <f t="array" ref="H18">Common_InputFunctions.Utility_DisplayArrayInTable(Refrigerants_SourceData.Refrigerants_ChemicalGWP_Data(), Table_RefrigerantChemicalGWP[[#Headers],[Gas]], 0)</f>
        <v/>
      </c>
      <c r="I18" s="71"/>
      <c r="J18" s="71"/>
      <c r="K18" s="71"/>
      <c r="L18" s="71"/>
      <c r="M18" s="71"/>
      <c r="N18" s="71"/>
      <c r="O18" s="71"/>
      <c r="P18" s="71"/>
      <c r="Q18" s="71"/>
    </row>
    <row r="19" spans="1:17" ht="20.100000000000001" customHeight="1" x14ac:dyDescent="0.25">
      <c r="D19" s="26" t="str" cm="1">
        <f t="array" ref="D19">Common_InputFunctions.Utility_DisplayArrayInTable(Refrigerants_SourceData.Refrigerants_ChemicalGWP_Data(), Table_RefrigerantChemicalGWP[[#Headers],[Gas]], 0)</f>
        <v>HFC-134a (R-134a)</v>
      </c>
      <c r="E19" s="26" t="str" cm="1">
        <f t="array" ref="E19">Common_InputFunctions.Utility_DisplayArrayInTable(Refrigerants_SourceData.Refrigerants_ChemicalGWP_Data(), Table_RefrigerantChemicalGWP[[#Headers],[Gas]], 0)</f>
        <v>C2H2F4 (CH2FCF3)</v>
      </c>
      <c r="F19" s="26" cm="1">
        <f t="array" ref="F19">Common_InputFunctions.Utility_DisplayArrayInTable(Refrigerants_SourceData.Refrigerants_ChemicalGWP_Data(), Table_RefrigerantChemicalGWP[[#Headers],[Gas]], 0)</f>
        <v>1300</v>
      </c>
      <c r="G19" s="26" t="str" cm="1">
        <f t="array" ref="G19">Common_InputFunctions.Utility_DisplayArrayInTable(Refrigerants_SourceData.Refrigerants_ChemicalGWP_Data(), Table_RefrigerantChemicalGWP[[#Headers],[Gas]], 0)</f>
        <v>HFC-134a</v>
      </c>
      <c r="H19" s="73" t="str" cm="1">
        <f t="array" ref="H19">Common_InputFunctions.Utility_DisplayArrayInTable(Refrigerants_SourceData.Refrigerants_ChemicalGWP_Data(), Table_RefrigerantChemicalGWP[[#Headers],[Gas]], 0)</f>
        <v/>
      </c>
      <c r="I19" s="71"/>
      <c r="J19" s="71"/>
      <c r="K19" s="71"/>
      <c r="L19" s="71"/>
      <c r="M19" s="71"/>
      <c r="N19" s="71"/>
      <c r="O19" s="71"/>
      <c r="P19" s="71"/>
      <c r="Q19" s="71"/>
    </row>
    <row r="20" spans="1:17" ht="20.100000000000001" customHeight="1" x14ac:dyDescent="0.25">
      <c r="A20" s="13"/>
      <c r="D20" s="26" t="str" cm="1">
        <f t="array" ref="D20">Common_InputFunctions.Utility_DisplayArrayInTable(Refrigerants_SourceData.Refrigerants_ChemicalGWP_Data(), Table_RefrigerantChemicalGWP[[#Headers],[Gas]], 0)</f>
        <v>HFC-143 (R-143)</v>
      </c>
      <c r="E20" s="26" t="str" cm="1">
        <f t="array" ref="E20">Common_InputFunctions.Utility_DisplayArrayInTable(Refrigerants_SourceData.Refrigerants_ChemicalGWP_Data(), Table_RefrigerantChemicalGWP[[#Headers],[Gas]], 0)</f>
        <v>C2H3F3 (CHF2CH2F)</v>
      </c>
      <c r="F20" s="26" cm="1">
        <f t="array" ref="F20">Common_InputFunctions.Utility_DisplayArrayInTable(Refrigerants_SourceData.Refrigerants_ChemicalGWP_Data(), Table_RefrigerantChemicalGWP[[#Headers],[Gas]], 0)</f>
        <v>328</v>
      </c>
      <c r="G20" s="26" t="str" cm="1">
        <f t="array" ref="G20">Common_InputFunctions.Utility_DisplayArrayInTable(Refrigerants_SourceData.Refrigerants_ChemicalGWP_Data(), Table_RefrigerantChemicalGWP[[#Headers],[Gas]], 0)</f>
        <v>HFC-143</v>
      </c>
      <c r="H20" s="73" t="str" cm="1">
        <f t="array" ref="H20">Common_InputFunctions.Utility_DisplayArrayInTable(Refrigerants_SourceData.Refrigerants_ChemicalGWP_Data(), Table_RefrigerantChemicalGWP[[#Headers],[Gas]], 0)</f>
        <v/>
      </c>
      <c r="I20" s="71"/>
      <c r="J20" s="71"/>
      <c r="K20" s="71"/>
      <c r="L20" s="71"/>
      <c r="M20" s="71"/>
      <c r="N20" s="71"/>
      <c r="O20" s="71"/>
      <c r="P20" s="71"/>
      <c r="Q20" s="71"/>
    </row>
    <row r="21" spans="1:17" ht="20.100000000000001" customHeight="1" x14ac:dyDescent="0.25">
      <c r="A21" s="13"/>
      <c r="D21" s="26" t="str" cm="1">
        <f t="array" ref="D21">Common_InputFunctions.Utility_DisplayArrayInTable(Refrigerants_SourceData.Refrigerants_ChemicalGWP_Data(), Table_RefrigerantChemicalGWP[[#Headers],[Gas]], 0)</f>
        <v>HFC-143a (R-143a)</v>
      </c>
      <c r="E21" s="26" t="str" cm="1">
        <f t="array" ref="E21">Common_InputFunctions.Utility_DisplayArrayInTable(Refrigerants_SourceData.Refrigerants_ChemicalGWP_Data(), Table_RefrigerantChemicalGWP[[#Headers],[Gas]], 0)</f>
        <v>C2H3F3 (CF3CH3)</v>
      </c>
      <c r="F21" s="26" cm="1">
        <f t="array" ref="F21">Common_InputFunctions.Utility_DisplayArrayInTable(Refrigerants_SourceData.Refrigerants_ChemicalGWP_Data(), Table_RefrigerantChemicalGWP[[#Headers],[Gas]], 0)</f>
        <v>4800</v>
      </c>
      <c r="G21" s="26" t="str" cm="1">
        <f t="array" ref="G21">Common_InputFunctions.Utility_DisplayArrayInTable(Refrigerants_SourceData.Refrigerants_ChemicalGWP_Data(), Table_RefrigerantChemicalGWP[[#Headers],[Gas]], 0)</f>
        <v>HFC-143a</v>
      </c>
      <c r="H21" s="73" t="str" cm="1">
        <f t="array" ref="H21">Common_InputFunctions.Utility_DisplayArrayInTable(Refrigerants_SourceData.Refrigerants_ChemicalGWP_Data(), Table_RefrigerantChemicalGWP[[#Headers],[Gas]], 0)</f>
        <v/>
      </c>
      <c r="I21" s="71"/>
      <c r="J21" s="71"/>
      <c r="K21" s="71"/>
      <c r="L21" s="71"/>
      <c r="M21" s="71"/>
      <c r="N21" s="71"/>
      <c r="O21" s="71"/>
      <c r="P21" s="71"/>
      <c r="Q21" s="71"/>
    </row>
    <row r="22" spans="1:17" ht="20.100000000000001" customHeight="1" x14ac:dyDescent="0.25">
      <c r="D22" s="26" t="str" cm="1">
        <f t="array" ref="D22">Common_InputFunctions.Utility_DisplayArrayInTable(Refrigerants_SourceData.Refrigerants_ChemicalGWP_Data(), Table_RefrigerantChemicalGWP[[#Headers],[Gas]], 0)</f>
        <v>HFC-152a (R-152a)</v>
      </c>
      <c r="E22" s="26" t="str" cm="1">
        <f t="array" ref="E22">Common_InputFunctions.Utility_DisplayArrayInTable(Refrigerants_SourceData.Refrigerants_ChemicalGWP_Data(), Table_RefrigerantChemicalGWP[[#Headers],[Gas]], 0)</f>
        <v>C2H4F2 (CH3CHF2)</v>
      </c>
      <c r="F22" s="26" cm="1">
        <f t="array" ref="F22">Common_InputFunctions.Utility_DisplayArrayInTable(Refrigerants_SourceData.Refrigerants_ChemicalGWP_Data(), Table_RefrigerantChemicalGWP[[#Headers],[Gas]], 0)</f>
        <v>138</v>
      </c>
      <c r="G22" s="26" t="str" cm="1">
        <f t="array" ref="G22">Common_InputFunctions.Utility_DisplayArrayInTable(Refrigerants_SourceData.Refrigerants_ChemicalGWP_Data(), Table_RefrigerantChemicalGWP[[#Headers],[Gas]], 0)</f>
        <v>HFC-152a</v>
      </c>
      <c r="H22" s="73" t="str" cm="1">
        <f t="array" ref="H22">Common_InputFunctions.Utility_DisplayArrayInTable(Refrigerants_SourceData.Refrigerants_ChemicalGWP_Data(), Table_RefrigerantChemicalGWP[[#Headers],[Gas]], 0)</f>
        <v/>
      </c>
      <c r="I22" s="71"/>
      <c r="J22" s="71"/>
      <c r="K22" s="71"/>
      <c r="L22" s="71"/>
      <c r="M22" s="71"/>
      <c r="N22" s="71"/>
      <c r="O22" s="71"/>
      <c r="P22" s="71"/>
      <c r="Q22" s="71"/>
    </row>
    <row r="23" spans="1:17" ht="20.100000000000001" customHeight="1" x14ac:dyDescent="0.25">
      <c r="A23" s="13"/>
      <c r="D23" s="26" t="str" cm="1">
        <f t="array" ref="D23">Common_InputFunctions.Utility_DisplayArrayInTable(Refrigerants_SourceData.Refrigerants_ChemicalGWP_Data(), Table_RefrigerantChemicalGWP[[#Headers],[Gas]], 0)</f>
        <v>HFC-227ea (R-227ea)</v>
      </c>
      <c r="E23" s="26" t="str" cm="1">
        <f t="array" ref="E23">Common_InputFunctions.Utility_DisplayArrayInTable(Refrigerants_SourceData.Refrigerants_ChemicalGWP_Data(), Table_RefrigerantChemicalGWP[[#Headers],[Gas]], 0)</f>
        <v>C3HF7</v>
      </c>
      <c r="F23" s="26" cm="1">
        <f t="array" ref="F23">Common_InputFunctions.Utility_DisplayArrayInTable(Refrigerants_SourceData.Refrigerants_ChemicalGWP_Data(), Table_RefrigerantChemicalGWP[[#Headers],[Gas]], 0)</f>
        <v>3350</v>
      </c>
      <c r="G23" s="26" t="str" cm="1">
        <f t="array" ref="G23">Common_InputFunctions.Utility_DisplayArrayInTable(Refrigerants_SourceData.Refrigerants_ChemicalGWP_Data(), Table_RefrigerantChemicalGWP[[#Headers],[Gas]], 0)</f>
        <v>HFC-227ea</v>
      </c>
      <c r="H23" s="73" t="str" cm="1">
        <f t="array" ref="H23">Common_InputFunctions.Utility_DisplayArrayInTable(Refrigerants_SourceData.Refrigerants_ChemicalGWP_Data(), Table_RefrigerantChemicalGWP[[#Headers],[Gas]], 0)</f>
        <v/>
      </c>
      <c r="I23" s="71"/>
      <c r="J23" s="71"/>
      <c r="K23" s="71"/>
      <c r="L23" s="71"/>
      <c r="M23" s="71"/>
      <c r="N23" s="71"/>
      <c r="O23" s="71"/>
      <c r="P23" s="71"/>
      <c r="Q23" s="71"/>
    </row>
    <row r="24" spans="1:17" ht="20.100000000000001" customHeight="1" x14ac:dyDescent="0.25">
      <c r="D24" s="26" t="str" cm="1">
        <f t="array" ref="D24">Common_InputFunctions.Utility_DisplayArrayInTable(Refrigerants_SourceData.Refrigerants_ChemicalGWP_Data(), Table_RefrigerantChemicalGWP[[#Headers],[Gas]], 0)</f>
        <v>HFC-236fa (R-236fa)</v>
      </c>
      <c r="E24" s="26" t="str" cm="1">
        <f t="array" ref="E24">Common_InputFunctions.Utility_DisplayArrayInTable(Refrigerants_SourceData.Refrigerants_ChemicalGWP_Data(), Table_RefrigerantChemicalGWP[[#Headers],[Gas]], 0)</f>
        <v>C3H2F6</v>
      </c>
      <c r="F24" s="26" cm="1">
        <f t="array" ref="F24">Common_InputFunctions.Utility_DisplayArrayInTable(Refrigerants_SourceData.Refrigerants_ChemicalGWP_Data(), Table_RefrigerantChemicalGWP[[#Headers],[Gas]], 0)</f>
        <v>8060</v>
      </c>
      <c r="G24" s="26" t="str" cm="1">
        <f t="array" ref="G24">Common_InputFunctions.Utility_DisplayArrayInTable(Refrigerants_SourceData.Refrigerants_ChemicalGWP_Data(), Table_RefrigerantChemicalGWP[[#Headers],[Gas]], 0)</f>
        <v>HFC-236fa</v>
      </c>
      <c r="H24" s="73" t="str" cm="1">
        <f t="array" ref="H24">Common_InputFunctions.Utility_DisplayArrayInTable(Refrigerants_SourceData.Refrigerants_ChemicalGWP_Data(), Table_RefrigerantChemicalGWP[[#Headers],[Gas]], 0)</f>
        <v/>
      </c>
      <c r="I24" s="71"/>
      <c r="J24" s="71"/>
      <c r="K24" s="71"/>
      <c r="L24" s="71"/>
      <c r="M24" s="71"/>
      <c r="N24" s="71"/>
      <c r="O24" s="71"/>
      <c r="P24" s="71"/>
      <c r="Q24" s="71"/>
    </row>
    <row r="25" spans="1:17" ht="20.100000000000001" customHeight="1" x14ac:dyDescent="0.25">
      <c r="D25" s="26" t="str" cm="1">
        <f t="array" ref="D25">Common_InputFunctions.Utility_DisplayArrayInTable(Refrigerants_SourceData.Refrigerants_ChemicalGWP_Data(), Table_RefrigerantChemicalGWP[[#Headers],[Gas]], 0)</f>
        <v>HFC-245ca (R-245ca)</v>
      </c>
      <c r="E25" s="26" t="str" cm="1">
        <f t="array" ref="E25">Common_InputFunctions.Utility_DisplayArrayInTable(Refrigerants_SourceData.Refrigerants_ChemicalGWP_Data(), Table_RefrigerantChemicalGWP[[#Headers],[Gas]], 0)</f>
        <v>C3H3F5</v>
      </c>
      <c r="F25" s="26" cm="1">
        <f t="array" ref="F25">Common_InputFunctions.Utility_DisplayArrayInTable(Refrigerants_SourceData.Refrigerants_ChemicalGWP_Data(), Table_RefrigerantChemicalGWP[[#Headers],[Gas]], 0)</f>
        <v>716</v>
      </c>
      <c r="G25" s="26" t="str" cm="1">
        <f t="array" ref="G25">Common_InputFunctions.Utility_DisplayArrayInTable(Refrigerants_SourceData.Refrigerants_ChemicalGWP_Data(), Table_RefrigerantChemicalGWP[[#Headers],[Gas]], 0)</f>
        <v>HFC-245ca</v>
      </c>
      <c r="H25" s="73" t="str" cm="1">
        <f t="array" ref="H25">Common_InputFunctions.Utility_DisplayArrayInTable(Refrigerants_SourceData.Refrigerants_ChemicalGWP_Data(), Table_RefrigerantChemicalGWP[[#Headers],[Gas]], 0)</f>
        <v/>
      </c>
      <c r="I25" s="71"/>
      <c r="J25" s="71"/>
      <c r="K25" s="71"/>
      <c r="L25" s="71"/>
      <c r="M25" s="71"/>
      <c r="N25" s="71"/>
      <c r="O25" s="71"/>
      <c r="P25" s="71"/>
      <c r="Q25" s="71"/>
    </row>
    <row r="26" spans="1:17" ht="20.100000000000001" customHeight="1" x14ac:dyDescent="0.25">
      <c r="D26" s="26" t="str" cm="1">
        <f t="array" ref="D26">Common_InputFunctions.Utility_DisplayArrayInTable(Refrigerants_SourceData.Refrigerants_ChemicalGWP_Data(), Table_RefrigerantChemicalGWP[[#Headers],[Gas]], 0)</f>
        <v>HFC-245fa (R-245fa)</v>
      </c>
      <c r="E26" s="26" t="str" cm="1">
        <f t="array" ref="E26">Common_InputFunctions.Utility_DisplayArrayInTable(Refrigerants_SourceData.Refrigerants_ChemicalGWP_Data(), Table_RefrigerantChemicalGWP[[#Headers],[Gas]], 0)</f>
        <v>CHF2CH2CF3</v>
      </c>
      <c r="F26" s="26" cm="1">
        <f t="array" ref="F26">Common_InputFunctions.Utility_DisplayArrayInTable(Refrigerants_SourceData.Refrigerants_ChemicalGWP_Data(), Table_RefrigerantChemicalGWP[[#Headers],[Gas]], 0)</f>
        <v>858</v>
      </c>
      <c r="G26" s="26" t="str" cm="1">
        <f t="array" ref="G26">Common_InputFunctions.Utility_DisplayArrayInTable(Refrigerants_SourceData.Refrigerants_ChemicalGWP_Data(), Table_RefrigerantChemicalGWP[[#Headers],[Gas]], 0)</f>
        <v>HFC-245fa</v>
      </c>
      <c r="H26" s="73" t="str" cm="1">
        <f t="array" ref="H26">Common_InputFunctions.Utility_DisplayArrayInTable(Refrigerants_SourceData.Refrigerants_ChemicalGWP_Data(), Table_RefrigerantChemicalGWP[[#Headers],[Gas]], 0)</f>
        <v/>
      </c>
      <c r="I26" s="71"/>
      <c r="J26" s="71"/>
      <c r="K26" s="71"/>
      <c r="L26" s="71"/>
      <c r="M26" s="71"/>
      <c r="N26" s="71"/>
      <c r="O26" s="71"/>
      <c r="P26" s="71"/>
      <c r="Q26" s="71"/>
    </row>
    <row r="27" spans="1:17" ht="20.100000000000001" customHeight="1" x14ac:dyDescent="0.25">
      <c r="D27" s="26" t="str" cm="1">
        <f t="array" ref="D27">Common_InputFunctions.Utility_DisplayArrayInTable(Refrigerants_SourceData.Refrigerants_ChemicalGWP_Data(), Table_RefrigerantChemicalGWP[[#Headers],[Gas]], 0)</f>
        <v>HFC-365mfc (R-365mfc)</v>
      </c>
      <c r="E27" s="26" t="str" cm="1">
        <f t="array" ref="E27">Common_InputFunctions.Utility_DisplayArrayInTable(Refrigerants_SourceData.Refrigerants_ChemicalGWP_Data(), Table_RefrigerantChemicalGWP[[#Headers],[Gas]], 0)</f>
        <v>CH3CF2CH2CF3</v>
      </c>
      <c r="F27" s="26" cm="1">
        <f t="array" ref="F27">Common_InputFunctions.Utility_DisplayArrayInTable(Refrigerants_SourceData.Refrigerants_ChemicalGWP_Data(), Table_RefrigerantChemicalGWP[[#Headers],[Gas]], 0)</f>
        <v>804</v>
      </c>
      <c r="G27" s="26" t="str" cm="1">
        <f t="array" ref="G27">Common_InputFunctions.Utility_DisplayArrayInTable(Refrigerants_SourceData.Refrigerants_ChemicalGWP_Data(), Table_RefrigerantChemicalGWP[[#Headers],[Gas]], 0)</f>
        <v>HFC-365mfc</v>
      </c>
      <c r="H27" s="73" t="str" cm="1">
        <f t="array" ref="H27">Common_InputFunctions.Utility_DisplayArrayInTable(Refrigerants_SourceData.Refrigerants_ChemicalGWP_Data(), Table_RefrigerantChemicalGWP[[#Headers],[Gas]], 0)</f>
        <v/>
      </c>
      <c r="I27" s="71"/>
      <c r="J27" s="71"/>
      <c r="K27" s="71"/>
      <c r="L27" s="71"/>
      <c r="M27" s="71"/>
      <c r="N27" s="71"/>
      <c r="O27" s="71"/>
      <c r="P27" s="71"/>
      <c r="Q27" s="71"/>
    </row>
    <row r="28" spans="1:17" ht="20.100000000000001" customHeight="1" x14ac:dyDescent="0.25">
      <c r="D28" s="26" t="str" cm="1">
        <f t="array" ref="D28">Common_InputFunctions.Utility_DisplayArrayInTable(Refrigerants_SourceData.Refrigerants_ChemicalGWP_Data(), Table_RefrigerantChemicalGWP[[#Headers],[Gas]], 0)</f>
        <v>HCFC-22 (R-22)</v>
      </c>
      <c r="E28" s="26" t="str" cm="1">
        <f t="array" ref="E28">Common_InputFunctions.Utility_DisplayArrayInTable(Refrigerants_SourceData.Refrigerants_ChemicalGWP_Data(), Table_RefrigerantChemicalGWP[[#Headers],[Gas]], 0)</f>
        <v>CHClF2</v>
      </c>
      <c r="F28" s="26" cm="1">
        <f t="array" ref="F28">Common_InputFunctions.Utility_DisplayArrayInTable(Refrigerants_SourceData.Refrigerants_ChemicalGWP_Data(), Table_RefrigerantChemicalGWP[[#Headers],[Gas]], 0)</f>
        <v>1760</v>
      </c>
      <c r="G28" s="26" t="str" cm="1">
        <f t="array" ref="G28">Common_InputFunctions.Utility_DisplayArrayInTable(Refrigerants_SourceData.Refrigerants_ChemicalGWP_Data(), Table_RefrigerantChemicalGWP[[#Headers],[Gas]], 0)</f>
        <v>HCFC-22</v>
      </c>
      <c r="H28" s="73" t="str" cm="1">
        <f t="array" ref="H28">Common_InputFunctions.Utility_DisplayArrayInTable(Refrigerants_SourceData.Refrigerants_ChemicalGWP_Data(), Table_RefrigerantChemicalGWP[[#Headers],[Gas]], 0)</f>
        <v/>
      </c>
      <c r="I28" s="71"/>
      <c r="J28" s="71"/>
      <c r="K28" s="71"/>
      <c r="L28" s="71"/>
      <c r="M28" s="71"/>
      <c r="N28" s="71"/>
      <c r="O28" s="71"/>
      <c r="P28" s="71"/>
      <c r="Q28" s="71"/>
    </row>
    <row r="29" spans="1:17" ht="20.100000000000001" customHeight="1" x14ac:dyDescent="0.25">
      <c r="D29" s="73" t="str" cm="1">
        <f t="array" ref="D29">Common_InputFunctions.Utility_DisplayArrayInTable(Refrigerants_SourceData.Refrigerants_ChemicalGWP_Data(), Table_RefrigerantChemicalGWP[[#Headers],[Gas]], 0)</f>
        <v>HCFC-123 (R-123)</v>
      </c>
      <c r="E29" s="26" t="str" cm="1">
        <f t="array" ref="E29">Common_InputFunctions.Utility_DisplayArrayInTable(Refrigerants_SourceData.Refrigerants_ChemicalGWP_Data(), Table_RefrigerantChemicalGWP[[#Headers],[Gas]], 0)</f>
        <v>CHCl22CF3</v>
      </c>
      <c r="F29" s="26" cm="1">
        <f t="array" ref="F29">Common_InputFunctions.Utility_DisplayArrayInTable(Refrigerants_SourceData.Refrigerants_ChemicalGWP_Data(), Table_RefrigerantChemicalGWP[[#Headers],[Gas]], 0)</f>
        <v>79</v>
      </c>
      <c r="G29" s="26" t="str" cm="1">
        <f t="array" ref="G29">Common_InputFunctions.Utility_DisplayArrayInTable(Refrigerants_SourceData.Refrigerants_ChemicalGWP_Data(), Table_RefrigerantChemicalGWP[[#Headers],[Gas]], 0)</f>
        <v>HCFC-123</v>
      </c>
      <c r="H29" s="73" t="str" cm="1">
        <f t="array" ref="H29">Common_InputFunctions.Utility_DisplayArrayInTable(Refrigerants_SourceData.Refrigerants_ChemicalGWP_Data(), Table_RefrigerantChemicalGWP[[#Headers],[Gas]], 0)</f>
        <v/>
      </c>
      <c r="I29" s="71"/>
      <c r="J29" s="71"/>
      <c r="K29" s="71"/>
      <c r="L29" s="71"/>
      <c r="M29" s="71"/>
      <c r="N29" s="71"/>
      <c r="O29" s="71"/>
      <c r="P29" s="71"/>
      <c r="Q29" s="71"/>
    </row>
    <row r="30" spans="1:17" ht="20.100000000000001" customHeight="1" x14ac:dyDescent="0.25">
      <c r="D30" s="73" t="str" cm="1">
        <f t="array" ref="D30">Common_InputFunctions.Utility_DisplayArrayInTable(Refrigerants_SourceData.Refrigerants_ChemicalGWP_Data(), Table_RefrigerantChemicalGWP[[#Headers],[Gas]], 0)</f>
        <v>HCFC-124 (R-124)</v>
      </c>
      <c r="E30" s="26" t="str" cm="1">
        <f t="array" ref="E30">Common_InputFunctions.Utility_DisplayArrayInTable(Refrigerants_SourceData.Refrigerants_ChemicalGWP_Data(), Table_RefrigerantChemicalGWP[[#Headers],[Gas]], 0)</f>
        <v>CHClFCF3</v>
      </c>
      <c r="F30" s="26" cm="1">
        <f t="array" ref="F30">Common_InputFunctions.Utility_DisplayArrayInTable(Refrigerants_SourceData.Refrigerants_ChemicalGWP_Data(), Table_RefrigerantChemicalGWP[[#Headers],[Gas]], 0)</f>
        <v>527</v>
      </c>
      <c r="G30" s="26" t="str" cm="1">
        <f t="array" ref="G30">Common_InputFunctions.Utility_DisplayArrayInTable(Refrigerants_SourceData.Refrigerants_ChemicalGWP_Data(), Table_RefrigerantChemicalGWP[[#Headers],[Gas]], 0)</f>
        <v>HCFC-124</v>
      </c>
      <c r="H30" s="73" t="str" cm="1">
        <f t="array" ref="H30">Common_InputFunctions.Utility_DisplayArrayInTable(Refrigerants_SourceData.Refrigerants_ChemicalGWP_Data(), Table_RefrigerantChemicalGWP[[#Headers],[Gas]], 0)</f>
        <v/>
      </c>
      <c r="I30" s="71"/>
      <c r="J30" s="71"/>
      <c r="K30" s="71"/>
      <c r="L30" s="71"/>
      <c r="M30" s="71"/>
      <c r="N30" s="71"/>
      <c r="O30" s="71"/>
      <c r="P30" s="71"/>
      <c r="Q30" s="71"/>
    </row>
    <row r="31" spans="1:17" ht="20.100000000000001" customHeight="1" x14ac:dyDescent="0.25">
      <c r="D31" s="73" t="str" cm="1">
        <f t="array" ref="D31">Common_InputFunctions.Utility_DisplayArrayInTable(Refrigerants_SourceData.Refrigerants_ChemicalGWP_Data(), Table_RefrigerantChemicalGWP[[#Headers],[Gas]], 0)</f>
        <v>HCFC-141b (R-141b)</v>
      </c>
      <c r="E31" s="26" t="str" cm="1">
        <f t="array" ref="E31">Common_InputFunctions.Utility_DisplayArrayInTable(Refrigerants_SourceData.Refrigerants_ChemicalGWP_Data(), Table_RefrigerantChemicalGWP[[#Headers],[Gas]], 0)</f>
        <v>CH3CCl2F</v>
      </c>
      <c r="F31" s="26" cm="1">
        <f t="array" ref="F31">Common_InputFunctions.Utility_DisplayArrayInTable(Refrigerants_SourceData.Refrigerants_ChemicalGWP_Data(), Table_RefrigerantChemicalGWP[[#Headers],[Gas]], 0)</f>
        <v>782</v>
      </c>
      <c r="G31" s="26" t="str" cm="1">
        <f t="array" ref="G31">Common_InputFunctions.Utility_DisplayArrayInTable(Refrigerants_SourceData.Refrigerants_ChemicalGWP_Data(), Table_RefrigerantChemicalGWP[[#Headers],[Gas]], 0)</f>
        <v>HCFC-141b</v>
      </c>
      <c r="H31" s="73" t="str" cm="1">
        <f t="array" ref="H31">Common_InputFunctions.Utility_DisplayArrayInTable(Refrigerants_SourceData.Refrigerants_ChemicalGWP_Data(), Table_RefrigerantChemicalGWP[[#Headers],[Gas]], 0)</f>
        <v/>
      </c>
      <c r="I31" s="71"/>
      <c r="J31" s="71"/>
      <c r="K31" s="71"/>
      <c r="L31" s="71"/>
      <c r="M31" s="71"/>
      <c r="N31" s="71"/>
      <c r="O31" s="71"/>
      <c r="P31" s="71"/>
      <c r="Q31" s="71"/>
    </row>
    <row r="32" spans="1:17" ht="20.100000000000001" customHeight="1" x14ac:dyDescent="0.25">
      <c r="D32" s="73" t="str" cm="1">
        <f t="array" ref="D32">Common_InputFunctions.Utility_DisplayArrayInTable(Refrigerants_SourceData.Refrigerants_ChemicalGWP_Data(), Table_RefrigerantChemicalGWP[[#Headers],[Gas]], 0)</f>
        <v>HCFC-142b (R-142b)</v>
      </c>
      <c r="E32" s="26" t="str" cm="1">
        <f t="array" ref="E32">Common_InputFunctions.Utility_DisplayArrayInTable(Refrigerants_SourceData.Refrigerants_ChemicalGWP_Data(), Table_RefrigerantChemicalGWP[[#Headers],[Gas]], 0)</f>
        <v>CH2CClF2</v>
      </c>
      <c r="F32" s="26" cm="1">
        <f t="array" ref="F32">Common_InputFunctions.Utility_DisplayArrayInTable(Refrigerants_SourceData.Refrigerants_ChemicalGWP_Data(), Table_RefrigerantChemicalGWP[[#Headers],[Gas]], 0)</f>
        <v>1980</v>
      </c>
      <c r="G32" s="26" t="str" cm="1">
        <f t="array" ref="G32">Common_InputFunctions.Utility_DisplayArrayInTable(Refrigerants_SourceData.Refrigerants_ChemicalGWP_Data(), Table_RefrigerantChemicalGWP[[#Headers],[Gas]], 0)</f>
        <v>HCFC-142b</v>
      </c>
      <c r="H32" s="73" t="str" cm="1">
        <f t="array" ref="H32">Common_InputFunctions.Utility_DisplayArrayInTable(Refrigerants_SourceData.Refrigerants_ChemicalGWP_Data(), Table_RefrigerantChemicalGWP[[#Headers],[Gas]], 0)</f>
        <v/>
      </c>
      <c r="I32" s="71"/>
      <c r="J32" s="71"/>
      <c r="K32" s="71"/>
      <c r="L32" s="71"/>
      <c r="M32" s="71"/>
      <c r="N32" s="71"/>
      <c r="O32" s="71"/>
      <c r="P32" s="71"/>
      <c r="Q32" s="71"/>
    </row>
    <row r="33" spans="4:17" ht="20.100000000000001" customHeight="1" x14ac:dyDescent="0.25">
      <c r="D33" s="73" t="str" cm="1">
        <f t="array" ref="D33">Common_InputFunctions.Utility_DisplayArrayInTable(Refrigerants_SourceData.Refrigerants_ChemicalGWP_Data(), Table_RefrigerantChemicalGWP[[#Headers],[Gas]], 0)</f>
        <v>HCFC-225ca (R-225ca)</v>
      </c>
      <c r="E33" s="26" t="str" cm="1">
        <f t="array" ref="E33">Common_InputFunctions.Utility_DisplayArrayInTable(Refrigerants_SourceData.Refrigerants_ChemicalGWP_Data(), Table_RefrigerantChemicalGWP[[#Headers],[Gas]], 0)</f>
        <v>CHCl2CF2CF3</v>
      </c>
      <c r="F33" s="26" cm="1">
        <f t="array" ref="F33">Common_InputFunctions.Utility_DisplayArrayInTable(Refrigerants_SourceData.Refrigerants_ChemicalGWP_Data(), Table_RefrigerantChemicalGWP[[#Headers],[Gas]], 0)</f>
        <v>127</v>
      </c>
      <c r="G33" s="26" t="str" cm="1">
        <f t="array" ref="G33">Common_InputFunctions.Utility_DisplayArrayInTable(Refrigerants_SourceData.Refrigerants_ChemicalGWP_Data(), Table_RefrigerantChemicalGWP[[#Headers],[Gas]], 0)</f>
        <v>HCFC-225ca</v>
      </c>
      <c r="H33" s="73" t="str" cm="1">
        <f t="array" ref="H33">Common_InputFunctions.Utility_DisplayArrayInTable(Refrigerants_SourceData.Refrigerants_ChemicalGWP_Data(), Table_RefrigerantChemicalGWP[[#Headers],[Gas]], 0)</f>
        <v/>
      </c>
      <c r="I33" s="71"/>
      <c r="J33" s="71"/>
      <c r="K33" s="71"/>
      <c r="L33" s="71"/>
      <c r="M33" s="71"/>
      <c r="N33" s="71"/>
      <c r="O33" s="71"/>
      <c r="P33" s="71"/>
      <c r="Q33" s="71"/>
    </row>
    <row r="34" spans="4:17" ht="20.100000000000001" customHeight="1" x14ac:dyDescent="0.25">
      <c r="D34" s="73" t="str" cm="1">
        <f t="array" ref="D34">Common_InputFunctions.Utility_DisplayArrayInTable(Refrigerants_SourceData.Refrigerants_ChemicalGWP_Data(), Table_RefrigerantChemicalGWP[[#Headers],[Gas]], 0)</f>
        <v>HCFC-225cb (R-225cb)</v>
      </c>
      <c r="E34" s="26" t="str" cm="1">
        <f t="array" ref="E34">Common_InputFunctions.Utility_DisplayArrayInTable(Refrigerants_SourceData.Refrigerants_ChemicalGWP_Data(), Table_RefrigerantChemicalGWP[[#Headers],[Gas]], 0)</f>
        <v>CHClFCF2CCIF2</v>
      </c>
      <c r="F34" s="26" cm="1">
        <f t="array" ref="F34">Common_InputFunctions.Utility_DisplayArrayInTable(Refrigerants_SourceData.Refrigerants_ChemicalGWP_Data(), Table_RefrigerantChemicalGWP[[#Headers],[Gas]], 0)</f>
        <v>525</v>
      </c>
      <c r="G34" s="26" t="str" cm="1">
        <f t="array" ref="G34">Common_InputFunctions.Utility_DisplayArrayInTable(Refrigerants_SourceData.Refrigerants_ChemicalGWP_Data(), Table_RefrigerantChemicalGWP[[#Headers],[Gas]], 0)</f>
        <v>HCFC-225cb</v>
      </c>
      <c r="H34" s="73" t="str" cm="1">
        <f t="array" ref="H34">Common_InputFunctions.Utility_DisplayArrayInTable(Refrigerants_SourceData.Refrigerants_ChemicalGWP_Data(), Table_RefrigerantChemicalGWP[[#Headers],[Gas]], 0)</f>
        <v/>
      </c>
      <c r="I34" s="71"/>
      <c r="J34" s="71"/>
      <c r="K34" s="71"/>
      <c r="L34" s="71"/>
      <c r="M34" s="71"/>
      <c r="N34" s="71"/>
      <c r="O34" s="71"/>
      <c r="P34" s="71"/>
      <c r="Q34" s="71"/>
    </row>
    <row r="35" spans="4:17" ht="20.100000000000001" customHeight="1" x14ac:dyDescent="0.25">
      <c r="D35" s="73" t="str" cm="1">
        <f t="array" ref="D35">Common_InputFunctions.Utility_DisplayArrayInTable(Refrigerants_SourceData.Refrigerants_ChemicalGWP_Data(), Table_RefrigerantChemicalGWP[[#Headers],[Gas]], 0)</f>
        <v>PFC-14 Perfluoromethane (tetrafluoromethane)</v>
      </c>
      <c r="E35" s="26" t="str" cm="1">
        <f t="array" ref="E35">Common_InputFunctions.Utility_DisplayArrayInTable(Refrigerants_SourceData.Refrigerants_ChemicalGWP_Data(), Table_RefrigerantChemicalGWP[[#Headers],[Gas]], 0)</f>
        <v>CF4</v>
      </c>
      <c r="F35" s="26" cm="1">
        <f t="array" ref="F35">Common_InputFunctions.Utility_DisplayArrayInTable(Refrigerants_SourceData.Refrigerants_ChemicalGWP_Data(), Table_RefrigerantChemicalGWP[[#Headers],[Gas]], 0)</f>
        <v>6630</v>
      </c>
      <c r="G35" s="26" t="str" cm="1">
        <f t="array" ref="G35">Common_InputFunctions.Utility_DisplayArrayInTable(Refrigerants_SourceData.Refrigerants_ChemicalGWP_Data(), Table_RefrigerantChemicalGWP[[#Headers],[Gas]], 0)</f>
        <v>PFC-14</v>
      </c>
      <c r="H35" s="73" t="str" cm="1">
        <f t="array" ref="H35">Common_InputFunctions.Utility_DisplayArrayInTable(Refrigerants_SourceData.Refrigerants_ChemicalGWP_Data(), Table_RefrigerantChemicalGWP[[#Headers],[Gas]], 0)</f>
        <v/>
      </c>
      <c r="I35" s="71"/>
      <c r="J35" s="71"/>
      <c r="K35" s="71"/>
      <c r="L35" s="71"/>
      <c r="M35" s="71"/>
      <c r="N35" s="71"/>
      <c r="O35" s="71"/>
      <c r="P35" s="71"/>
      <c r="Q35" s="71"/>
    </row>
    <row r="36" spans="4:17" ht="20.100000000000001" customHeight="1" x14ac:dyDescent="0.25">
      <c r="D36" s="73" t="str" cm="1">
        <f t="array" ref="D36">Common_InputFunctions.Utility_DisplayArrayInTable(Refrigerants_SourceData.Refrigerants_ChemicalGWP_Data(), Table_RefrigerantChemicalGWP[[#Headers],[Gas]], 0)</f>
        <v>PFC-116 Perfluoroethane (hexafluoroethane)</v>
      </c>
      <c r="E36" s="26" t="str" cm="1">
        <f t="array" ref="E36">Common_InputFunctions.Utility_DisplayArrayInTable(Refrigerants_SourceData.Refrigerants_ChemicalGWP_Data(), Table_RefrigerantChemicalGWP[[#Headers],[Gas]], 0)</f>
        <v>C2F6</v>
      </c>
      <c r="F36" s="26" cm="1">
        <f t="array" ref="F36">Common_InputFunctions.Utility_DisplayArrayInTable(Refrigerants_SourceData.Refrigerants_ChemicalGWP_Data(), Table_RefrigerantChemicalGWP[[#Headers],[Gas]], 0)</f>
        <v>11100</v>
      </c>
      <c r="G36" s="26" t="str" cm="1">
        <f t="array" ref="G36">Common_InputFunctions.Utility_DisplayArrayInTable(Refrigerants_SourceData.Refrigerants_ChemicalGWP_Data(), Table_RefrigerantChemicalGWP[[#Headers],[Gas]], 0)</f>
        <v>PFC-116</v>
      </c>
      <c r="H36" s="73" t="str" cm="1">
        <f t="array" ref="H36">Common_InputFunctions.Utility_DisplayArrayInTable(Refrigerants_SourceData.Refrigerants_ChemicalGWP_Data(), Table_RefrigerantChemicalGWP[[#Headers],[Gas]], 0)</f>
        <v/>
      </c>
      <c r="I36" s="71"/>
      <c r="J36" s="71"/>
      <c r="K36" s="71"/>
      <c r="L36" s="71"/>
      <c r="M36" s="71"/>
      <c r="N36" s="71"/>
      <c r="O36" s="71"/>
      <c r="P36" s="71"/>
      <c r="Q36" s="71"/>
    </row>
    <row r="37" spans="4:17" ht="20.100000000000001" customHeight="1" x14ac:dyDescent="0.25">
      <c r="D37" s="73" t="str" cm="1">
        <f t="array" ref="D37">Common_InputFunctions.Utility_DisplayArrayInTable(Refrigerants_SourceData.Refrigerants_ChemicalGWP_Data(), Table_RefrigerantChemicalGWP[[#Headers],[Gas]], 0)</f>
        <v>PFC-218 Perfluoropropane</v>
      </c>
      <c r="E37" s="26" t="str" cm="1">
        <f t="array" ref="E37">Common_InputFunctions.Utility_DisplayArrayInTable(Refrigerants_SourceData.Refrigerants_ChemicalGWP_Data(), Table_RefrigerantChemicalGWP[[#Headers],[Gas]], 0)</f>
        <v>C3F8</v>
      </c>
      <c r="F37" s="26" cm="1">
        <f t="array" ref="F37">Common_InputFunctions.Utility_DisplayArrayInTable(Refrigerants_SourceData.Refrigerants_ChemicalGWP_Data(), Table_RefrigerantChemicalGWP[[#Headers],[Gas]], 0)</f>
        <v>8900</v>
      </c>
      <c r="G37" s="26" t="str" cm="1">
        <f t="array" ref="G37">Common_InputFunctions.Utility_DisplayArrayInTable(Refrigerants_SourceData.Refrigerants_ChemicalGWP_Data(), Table_RefrigerantChemicalGWP[[#Headers],[Gas]], 0)</f>
        <v>PFC-218</v>
      </c>
      <c r="H37" s="73" t="str" cm="1">
        <f t="array" ref="H37">Common_InputFunctions.Utility_DisplayArrayInTable(Refrigerants_SourceData.Refrigerants_ChemicalGWP_Data(), Table_RefrigerantChemicalGWP[[#Headers],[Gas]], 0)</f>
        <v/>
      </c>
      <c r="I37" s="71"/>
      <c r="J37" s="71"/>
      <c r="K37" s="71"/>
      <c r="L37" s="71"/>
      <c r="M37" s="71"/>
      <c r="N37" s="71"/>
      <c r="O37" s="71"/>
      <c r="P37" s="71"/>
      <c r="Q37" s="71"/>
    </row>
    <row r="38" spans="4:17" ht="20.100000000000001" customHeight="1" x14ac:dyDescent="0.25">
      <c r="D38" s="73" t="str" cm="1">
        <f t="array" ref="D38">Common_InputFunctions.Utility_DisplayArrayInTable(Refrigerants_SourceData.Refrigerants_ChemicalGWP_Data(), Table_RefrigerantChemicalGWP[[#Headers],[Gas]], 0)</f>
        <v>PFC-31-10 Perfluorobutane</v>
      </c>
      <c r="E38" s="26" t="str" cm="1">
        <f t="array" ref="E38">Common_InputFunctions.Utility_DisplayArrayInTable(Refrigerants_SourceData.Refrigerants_ChemicalGWP_Data(), Table_RefrigerantChemicalGWP[[#Headers],[Gas]], 0)</f>
        <v>C4F10</v>
      </c>
      <c r="F38" s="26" cm="1">
        <f t="array" ref="F38">Common_InputFunctions.Utility_DisplayArrayInTable(Refrigerants_SourceData.Refrigerants_ChemicalGWP_Data(), Table_RefrigerantChemicalGWP[[#Headers],[Gas]], 0)</f>
        <v>9200</v>
      </c>
      <c r="G38" s="26" t="str" cm="1">
        <f t="array" ref="G38">Common_InputFunctions.Utility_DisplayArrayInTable(Refrigerants_SourceData.Refrigerants_ChemicalGWP_Data(), Table_RefrigerantChemicalGWP[[#Headers],[Gas]], 0)</f>
        <v>PFC-31-10</v>
      </c>
      <c r="H38" s="73" t="str" cm="1">
        <f t="array" ref="H38">Common_InputFunctions.Utility_DisplayArrayInTable(Refrigerants_SourceData.Refrigerants_ChemicalGWP_Data(), Table_RefrigerantChemicalGWP[[#Headers],[Gas]], 0)</f>
        <v/>
      </c>
      <c r="I38" s="71"/>
      <c r="J38" s="71"/>
      <c r="K38" s="71"/>
      <c r="L38" s="71"/>
      <c r="M38" s="71"/>
      <c r="N38" s="71"/>
      <c r="O38" s="71"/>
      <c r="P38" s="71"/>
      <c r="Q38" s="71"/>
    </row>
    <row r="39" spans="4:17" ht="20.100000000000001" customHeight="1" x14ac:dyDescent="0.25">
      <c r="D39" s="73" t="str" cm="1">
        <f t="array" ref="D39">Common_InputFunctions.Utility_DisplayArrayInTable(Refrigerants_SourceData.Refrigerants_ChemicalGWP_Data(), Table_RefrigerantChemicalGWP[[#Headers],[Gas]], 0)</f>
        <v>PFC-318 Perfluorocyclobutane</v>
      </c>
      <c r="E39" s="26" t="str" cm="1">
        <f t="array" ref="E39">Common_InputFunctions.Utility_DisplayArrayInTable(Refrigerants_SourceData.Refrigerants_ChemicalGWP_Data(), Table_RefrigerantChemicalGWP[[#Headers],[Gas]], 0)</f>
        <v>c-C4F8</v>
      </c>
      <c r="F39" s="26" cm="1">
        <f t="array" ref="F39">Common_InputFunctions.Utility_DisplayArrayInTable(Refrigerants_SourceData.Refrigerants_ChemicalGWP_Data(), Table_RefrigerantChemicalGWP[[#Headers],[Gas]], 0)</f>
        <v>9540</v>
      </c>
      <c r="G39" s="26" t="str" cm="1">
        <f t="array" ref="G39">Common_InputFunctions.Utility_DisplayArrayInTable(Refrigerants_SourceData.Refrigerants_ChemicalGWP_Data(), Table_RefrigerantChemicalGWP[[#Headers],[Gas]], 0)</f>
        <v>PFC-318</v>
      </c>
      <c r="H39" s="73" t="str" cm="1">
        <f t="array" ref="H39">Common_InputFunctions.Utility_DisplayArrayInTable(Refrigerants_SourceData.Refrigerants_ChemicalGWP_Data(), Table_RefrigerantChemicalGWP[[#Headers],[Gas]], 0)</f>
        <v/>
      </c>
      <c r="I39" s="71"/>
      <c r="J39" s="71"/>
      <c r="K39" s="71"/>
      <c r="L39" s="71"/>
      <c r="M39" s="71"/>
      <c r="N39" s="71"/>
      <c r="O39" s="71"/>
      <c r="P39" s="71"/>
      <c r="Q39" s="71"/>
    </row>
    <row r="40" spans="4:17" ht="20.100000000000001" customHeight="1" x14ac:dyDescent="0.25">
      <c r="D40" s="73" t="str" cm="1">
        <f t="array" ref="D40">Common_InputFunctions.Utility_DisplayArrayInTable(Refrigerants_SourceData.Refrigerants_ChemicalGWP_Data(), Table_RefrigerantChemicalGWP[[#Headers],[Gas]], 0)</f>
        <v>PFC-41-12 Perfluoropentane</v>
      </c>
      <c r="E40" s="26" t="str" cm="1">
        <f t="array" ref="E40">Common_InputFunctions.Utility_DisplayArrayInTable(Refrigerants_SourceData.Refrigerants_ChemicalGWP_Data(), Table_RefrigerantChemicalGWP[[#Headers],[Gas]], 0)</f>
        <v>C5F12</v>
      </c>
      <c r="F40" s="26" cm="1">
        <f t="array" ref="F40">Common_InputFunctions.Utility_DisplayArrayInTable(Refrigerants_SourceData.Refrigerants_ChemicalGWP_Data(), Table_RefrigerantChemicalGWP[[#Headers],[Gas]], 0)</f>
        <v>8550</v>
      </c>
      <c r="G40" s="26" t="str" cm="1">
        <f t="array" ref="G40">Common_InputFunctions.Utility_DisplayArrayInTable(Refrigerants_SourceData.Refrigerants_ChemicalGWP_Data(), Table_RefrigerantChemicalGWP[[#Headers],[Gas]], 0)</f>
        <v>PFC-41-12</v>
      </c>
      <c r="H40" s="73" t="str" cm="1">
        <f t="array" ref="H40">Common_InputFunctions.Utility_DisplayArrayInTable(Refrigerants_SourceData.Refrigerants_ChemicalGWP_Data(), Table_RefrigerantChemicalGWP[[#Headers],[Gas]], 0)</f>
        <v/>
      </c>
      <c r="I40" s="71"/>
      <c r="J40" s="71"/>
      <c r="K40" s="71"/>
      <c r="L40" s="71"/>
      <c r="M40" s="71"/>
      <c r="N40" s="71"/>
      <c r="O40" s="71"/>
      <c r="P40" s="71"/>
      <c r="Q40" s="71"/>
    </row>
    <row r="41" spans="4:17" ht="20.100000000000001" customHeight="1" x14ac:dyDescent="0.25">
      <c r="D41" s="73" t="str" cm="1">
        <f t="array" ref="D41">Common_InputFunctions.Utility_DisplayArrayInTable(Refrigerants_SourceData.Refrigerants_ChemicalGWP_Data(), Table_RefrigerantChemicalGWP[[#Headers],[Gas]], 0)</f>
        <v>PFC-51-14 Perfluorohexane</v>
      </c>
      <c r="E41" s="26" t="str" cm="1">
        <f t="array" ref="E41">Common_InputFunctions.Utility_DisplayArrayInTable(Refrigerants_SourceData.Refrigerants_ChemicalGWP_Data(), Table_RefrigerantChemicalGWP[[#Headers],[Gas]], 0)</f>
        <v>C6F14</v>
      </c>
      <c r="F41" s="26" cm="1">
        <f t="array" ref="F41">Common_InputFunctions.Utility_DisplayArrayInTable(Refrigerants_SourceData.Refrigerants_ChemicalGWP_Data(), Table_RefrigerantChemicalGWP[[#Headers],[Gas]], 0)</f>
        <v>7910</v>
      </c>
      <c r="G41" s="26" t="str" cm="1">
        <f t="array" ref="G41">Common_InputFunctions.Utility_DisplayArrayInTable(Refrigerants_SourceData.Refrigerants_ChemicalGWP_Data(), Table_RefrigerantChemicalGWP[[#Headers],[Gas]], 0)</f>
        <v>PFC-51-14</v>
      </c>
      <c r="H41" s="73" t="str" cm="1">
        <f t="array" ref="H41">Common_InputFunctions.Utility_DisplayArrayInTable(Refrigerants_SourceData.Refrigerants_ChemicalGWP_Data(), Table_RefrigerantChemicalGWP[[#Headers],[Gas]], 0)</f>
        <v/>
      </c>
      <c r="I41" s="71"/>
      <c r="J41" s="71"/>
      <c r="K41" s="71"/>
      <c r="L41" s="71"/>
      <c r="M41" s="71"/>
      <c r="N41" s="71"/>
      <c r="O41" s="71"/>
      <c r="P41" s="71"/>
      <c r="Q41" s="71"/>
    </row>
    <row r="42" spans="4:17" ht="20.100000000000001" customHeight="1" x14ac:dyDescent="0.25">
      <c r="D42" s="73" t="str" cm="1">
        <f t="array" ref="D42">Common_InputFunctions.Utility_DisplayArrayInTable(Refrigerants_SourceData.Refrigerants_ChemicalGWP_Data(), Table_RefrigerantChemicalGWP[[#Headers],[Gas]], 0)</f>
        <v>PFC-91-18 Perflunafene</v>
      </c>
      <c r="E42" s="26" t="str" cm="1">
        <f t="array" ref="E42">Common_InputFunctions.Utility_DisplayArrayInTable(Refrigerants_SourceData.Refrigerants_ChemicalGWP_Data(), Table_RefrigerantChemicalGWP[[#Headers],[Gas]], 0)</f>
        <v>C10F18</v>
      </c>
      <c r="F42" s="26" cm="1">
        <f t="array" ref="F42">Common_InputFunctions.Utility_DisplayArrayInTable(Refrigerants_SourceData.Refrigerants_ChemicalGWP_Data(), Table_RefrigerantChemicalGWP[[#Headers],[Gas]], 0)</f>
        <v>7190</v>
      </c>
      <c r="G42" s="26" t="str" cm="1">
        <f t="array" ref="G42">Common_InputFunctions.Utility_DisplayArrayInTable(Refrigerants_SourceData.Refrigerants_ChemicalGWP_Data(), Table_RefrigerantChemicalGWP[[#Headers],[Gas]], 0)</f>
        <v>PFC-91-18</v>
      </c>
      <c r="H42" s="73" t="str" cm="1">
        <f t="array" ref="H42">Common_InputFunctions.Utility_DisplayArrayInTable(Refrigerants_SourceData.Refrigerants_ChemicalGWP_Data(), Table_RefrigerantChemicalGWP[[#Headers],[Gas]], 0)</f>
        <v/>
      </c>
      <c r="I42" s="71"/>
      <c r="J42" s="71"/>
      <c r="K42" s="71"/>
      <c r="L42" s="71"/>
      <c r="M42" s="71"/>
      <c r="N42" s="71"/>
      <c r="O42" s="71"/>
      <c r="P42" s="71"/>
      <c r="Q42" s="71"/>
    </row>
    <row r="43" spans="4:17" ht="20.100000000000001" customHeight="1" x14ac:dyDescent="0.25">
      <c r="D43" s="73" t="str" cm="1">
        <f t="array" ref="D43">Common_InputFunctions.Utility_DisplayArrayInTable(Refrigerants_SourceData.Refrigerants_ChemicalGWP_Data(), Table_RefrigerantChemicalGWP[[#Headers],[Gas]], 0)</f>
        <v>CFC-12</v>
      </c>
      <c r="E43" s="73" t="str" cm="1">
        <f t="array" ref="E43">Common_InputFunctions.Utility_DisplayArrayInTable(Refrigerants_SourceData.Refrigerants_ChemicalGWP_Data(), Table_RefrigerantChemicalGWP[[#Headers],[Gas]], 0)</f>
        <v>CCl2F2</v>
      </c>
      <c r="F43" s="73" cm="1">
        <f t="array" ref="F43">Common_InputFunctions.Utility_DisplayArrayInTable(Refrigerants_SourceData.Refrigerants_ChemicalGWP_Data(), Table_RefrigerantChemicalGWP[[#Headers],[Gas]], 0)</f>
        <v>10200</v>
      </c>
      <c r="G43" s="73" t="str" cm="1">
        <f t="array" ref="G43">Common_InputFunctions.Utility_DisplayArrayInTable(Refrigerants_SourceData.Refrigerants_ChemicalGWP_Data(), Table_RefrigerantChemicalGWP[[#Headers],[Gas]], 0)</f>
        <v>CFC-12</v>
      </c>
      <c r="H43" s="73" t="str" cm="1">
        <f t="array" ref="H43">Common_InputFunctions.Utility_DisplayArrayInTable(Refrigerants_SourceData.Refrigerants_ChemicalGWP_Data(), Table_RefrigerantChemicalGWP[[#Headers],[Gas]], 0)</f>
        <v>IPCC Global Warming Potential Values v2.0 - (AR5)</v>
      </c>
      <c r="I43" s="71"/>
      <c r="J43" s="71"/>
      <c r="K43" s="71"/>
      <c r="L43" s="71"/>
      <c r="M43" s="71"/>
      <c r="N43" s="71"/>
      <c r="O43" s="71"/>
      <c r="P43" s="71"/>
      <c r="Q43" s="71"/>
    </row>
    <row r="44" spans="4:17" ht="20.100000000000001" customHeight="1" x14ac:dyDescent="0.25">
      <c r="D44" s="73" t="str" cm="1">
        <f t="array" ref="D44">Common_InputFunctions.Utility_DisplayArrayInTable(Refrigerants_SourceData.Refrigerants_ChemicalGWP_Data(), Table_RefrigerantChemicalGWP[[#Headers],[Gas]], 0)</f>
        <v>CFC-13</v>
      </c>
      <c r="E44" s="73" t="str" cm="1">
        <f t="array" ref="E44">Common_InputFunctions.Utility_DisplayArrayInTable(Refrigerants_SourceData.Refrigerants_ChemicalGWP_Data(), Table_RefrigerantChemicalGWP[[#Headers],[Gas]], 0)</f>
        <v>CClF3</v>
      </c>
      <c r="F44" s="73" cm="1">
        <f t="array" ref="F44">Common_InputFunctions.Utility_DisplayArrayInTable(Refrigerants_SourceData.Refrigerants_ChemicalGWP_Data(), Table_RefrigerantChemicalGWP[[#Headers],[Gas]], 0)</f>
        <v>13900</v>
      </c>
      <c r="G44" s="73" t="str" cm="1">
        <f t="array" ref="G44">Common_InputFunctions.Utility_DisplayArrayInTable(Refrigerants_SourceData.Refrigerants_ChemicalGWP_Data(), Table_RefrigerantChemicalGWP[[#Headers],[Gas]], 0)</f>
        <v>CFC-13</v>
      </c>
      <c r="H44" s="73" t="str" cm="1">
        <f t="array" ref="H44">Common_InputFunctions.Utility_DisplayArrayInTable(Refrigerants_SourceData.Refrigerants_ChemicalGWP_Data(), Table_RefrigerantChemicalGWP[[#Headers],[Gas]], 0)</f>
        <v>IPCC Global Warming Potential Values v2.0 - (AR5)</v>
      </c>
      <c r="I44" s="71"/>
      <c r="J44" s="71"/>
      <c r="K44" s="71"/>
      <c r="L44" s="71"/>
      <c r="M44" s="71"/>
      <c r="N44" s="71"/>
      <c r="O44" s="71"/>
      <c r="P44" s="71"/>
      <c r="Q44" s="71"/>
    </row>
    <row r="45" spans="4:17" ht="20.100000000000001" customHeight="1" x14ac:dyDescent="0.25">
      <c r="D45" s="73" t="str" cm="1">
        <f t="array" ref="D45">Common_InputFunctions.Utility_DisplayArrayInTable(Refrigerants_SourceData.Refrigerants_ChemicalGWP_Data(), Table_RefrigerantChemicalGWP[[#Headers],[Gas]], 0)</f>
        <v>CFC-114</v>
      </c>
      <c r="E45" s="73" t="str" cm="1">
        <f t="array" ref="E45">Common_InputFunctions.Utility_DisplayArrayInTable(Refrigerants_SourceData.Refrigerants_ChemicalGWP_Data(), Table_RefrigerantChemicalGWP[[#Headers],[Gas]], 0)</f>
        <v>CClF2CClF2</v>
      </c>
      <c r="F45" s="73" cm="1">
        <f t="array" ref="F45">Common_InputFunctions.Utility_DisplayArrayInTable(Refrigerants_SourceData.Refrigerants_ChemicalGWP_Data(), Table_RefrigerantChemicalGWP[[#Headers],[Gas]], 0)</f>
        <v>8590</v>
      </c>
      <c r="G45" s="73" t="str" cm="1">
        <f t="array" ref="G45">Common_InputFunctions.Utility_DisplayArrayInTable(Refrigerants_SourceData.Refrigerants_ChemicalGWP_Data(), Table_RefrigerantChemicalGWP[[#Headers],[Gas]], 0)</f>
        <v>CFC-114</v>
      </c>
      <c r="H45" s="73" t="str" cm="1">
        <f t="array" ref="H45">Common_InputFunctions.Utility_DisplayArrayInTable(Refrigerants_SourceData.Refrigerants_ChemicalGWP_Data(), Table_RefrigerantChemicalGWP[[#Headers],[Gas]], 0)</f>
        <v>IPCC Global Warming Potential Values v2.0 - (AR5)</v>
      </c>
      <c r="I45" s="71"/>
      <c r="J45" s="71"/>
      <c r="K45" s="71"/>
      <c r="L45" s="71"/>
      <c r="M45" s="71"/>
      <c r="N45" s="71"/>
      <c r="O45" s="71"/>
      <c r="P45" s="71"/>
      <c r="Q45" s="71"/>
    </row>
    <row r="46" spans="4:17" ht="20.100000000000001" customHeight="1" x14ac:dyDescent="0.25">
      <c r="D46" s="73" t="str" cm="1">
        <f t="array" ref="D46">Common_InputFunctions.Utility_DisplayArrayInTable(Refrigerants_SourceData.Refrigerants_ChemicalGWP_Data(), Table_RefrigerantChemicalGWP[[#Headers],[Gas]], 0)</f>
        <v>CFC-115</v>
      </c>
      <c r="E46" s="73" t="str" cm="1">
        <f t="array" ref="E46">Common_InputFunctions.Utility_DisplayArrayInTable(Refrigerants_SourceData.Refrigerants_ChemicalGWP_Data(), Table_RefrigerantChemicalGWP[[#Headers],[Gas]], 0)</f>
        <v>CClF2CF3</v>
      </c>
      <c r="F46" s="73" cm="1">
        <f t="array" ref="F46">Common_InputFunctions.Utility_DisplayArrayInTable(Refrigerants_SourceData.Refrigerants_ChemicalGWP_Data(), Table_RefrigerantChemicalGWP[[#Headers],[Gas]], 0)</f>
        <v>7670</v>
      </c>
      <c r="G46" s="73" t="str" cm="1">
        <f t="array" ref="G46">Common_InputFunctions.Utility_DisplayArrayInTable(Refrigerants_SourceData.Refrigerants_ChemicalGWP_Data(), Table_RefrigerantChemicalGWP[[#Headers],[Gas]], 0)</f>
        <v>CFC-115</v>
      </c>
      <c r="H46" s="73" t="str" cm="1">
        <f t="array" ref="H46">Common_InputFunctions.Utility_DisplayArrayInTable(Refrigerants_SourceData.Refrigerants_ChemicalGWP_Data(), Table_RefrigerantChemicalGWP[[#Headers],[Gas]], 0)</f>
        <v>IPCC Global Warming Potential Values v2.0 - (AR5)</v>
      </c>
      <c r="I46" s="71"/>
      <c r="J46" s="71"/>
      <c r="K46" s="71"/>
      <c r="L46" s="71"/>
      <c r="M46" s="71"/>
      <c r="N46" s="71"/>
      <c r="O46" s="71"/>
      <c r="P46" s="71"/>
      <c r="Q46" s="71"/>
    </row>
    <row r="47" spans="4:17" ht="20.100000000000001" customHeight="1" x14ac:dyDescent="0.25">
      <c r="D47" s="71"/>
      <c r="E47" s="71"/>
      <c r="F47" s="71"/>
      <c r="G47" s="71"/>
      <c r="H47" s="71"/>
      <c r="I47" s="71"/>
      <c r="J47" s="71"/>
      <c r="K47" s="71"/>
      <c r="L47" s="71"/>
      <c r="M47" s="71"/>
      <c r="N47" s="71"/>
      <c r="O47" s="71"/>
      <c r="P47" s="71"/>
      <c r="Q47" s="71"/>
    </row>
    <row r="48" spans="4:17" ht="20.100000000000001" customHeight="1" x14ac:dyDescent="0.25">
      <c r="D48" s="74"/>
      <c r="E48" s="74"/>
      <c r="F48" s="74"/>
      <c r="G48" s="74"/>
      <c r="H48" s="75"/>
      <c r="I48" s="75"/>
      <c r="J48" s="75"/>
      <c r="K48" s="75"/>
      <c r="L48" s="75"/>
      <c r="M48" s="75"/>
      <c r="N48" s="75"/>
      <c r="O48" s="75"/>
      <c r="P48" s="75"/>
      <c r="Q48" s="75"/>
    </row>
    <row r="49" spans="4:17" ht="20.100000000000001" customHeight="1" x14ac:dyDescent="0.25">
      <c r="D49" s="5" t="str" cm="1">
        <f t="array" ref="D49">Refrigerants_SourceData.Refrigerants_ChemicalBlends_Title()</f>
        <v>Blended refrigerants (many containing HFCS and/or PFCS)</v>
      </c>
      <c r="H49" s="71"/>
      <c r="I49" s="71"/>
      <c r="J49" s="71"/>
      <c r="K49" s="71"/>
      <c r="L49" s="71"/>
      <c r="M49" s="71"/>
      <c r="N49" s="71"/>
      <c r="O49" s="71"/>
      <c r="P49" s="71"/>
      <c r="Q49" s="71"/>
    </row>
    <row r="50" spans="4:17" ht="20.100000000000001" customHeight="1" x14ac:dyDescent="0.25">
      <c r="D50" s="4" t="str" cm="1">
        <f t="array" ref="D50">Refrigerants_SourceData.Refrigerants_ChemicalBlends_Source()</f>
        <v>Australian National Greenhouse Accounts Factors 2025 - Appendix 2 - Table 24</v>
      </c>
      <c r="E50" s="71"/>
      <c r="F50" s="71"/>
      <c r="G50" s="71"/>
      <c r="H50" s="71"/>
      <c r="I50" s="71"/>
      <c r="J50" s="71"/>
      <c r="K50" s="71"/>
      <c r="L50" s="71"/>
      <c r="M50" s="71"/>
      <c r="N50" s="71"/>
      <c r="O50" s="71"/>
      <c r="P50" s="71"/>
      <c r="Q50" s="71"/>
    </row>
    <row r="51" spans="4:17" ht="20.100000000000001" customHeight="1" x14ac:dyDescent="0.25">
      <c r="D51" s="31" t="str" cm="1">
        <f t="array" ref="D51">"⚠️" &amp; Refrigerants_SourceData.Refrigerants_ChemicalBlends_Variation()</f>
        <v>⚠️VARIATION OF SOURCE DATA: Fixed typo - changed HC600a to HC-600a for blend R-414B. Fixed typo for blend R-405A - Changed HCFC142b to HCFC-142b.</v>
      </c>
      <c r="H51" s="71"/>
      <c r="I51" s="71"/>
      <c r="J51" s="71"/>
      <c r="K51" s="71"/>
      <c r="L51" s="71"/>
      <c r="M51" s="71"/>
      <c r="N51" s="71"/>
      <c r="O51" s="71"/>
      <c r="P51" s="71"/>
      <c r="Q51" s="71"/>
    </row>
    <row r="52" spans="4:17" ht="20.100000000000001" customHeight="1" x14ac:dyDescent="0.25">
      <c r="D52" s="73" t="s">
        <v>105</v>
      </c>
      <c r="E52" s="73" t="s">
        <v>106</v>
      </c>
      <c r="F52" s="73" t="s">
        <v>107</v>
      </c>
      <c r="G52" s="71"/>
      <c r="H52" s="71"/>
      <c r="I52" s="71"/>
      <c r="J52" s="71"/>
      <c r="K52" s="71"/>
      <c r="L52" s="71"/>
      <c r="M52" s="71"/>
      <c r="N52" s="71"/>
      <c r="O52" s="71"/>
      <c r="P52" s="71"/>
      <c r="Q52" s="71"/>
    </row>
    <row r="53" spans="4:17" ht="20.100000000000001" customHeight="1" x14ac:dyDescent="0.25">
      <c r="D53" s="73" t="str" cm="1">
        <f t="array" ref="D53">Common_InputFunctions.Utility_DisplayArrayInTable(Refrigerants_SourceData.Refrigerants_ChemicalBlends_Data(), Table_RefrigerantBlends[[#Headers],[Blend]], 0)</f>
        <v>R-400</v>
      </c>
      <c r="E53" s="73" t="str" cm="1">
        <f t="array" ref="E53">Common_InputFunctions.Utility_DisplayArrayInTable(Refrigerants_SourceData.Refrigerants_ChemicalBlends_Data(), Table_RefrigerantBlends[[#Headers],[Blend]], 0)</f>
        <v>CFC-12/CFC-114</v>
      </c>
      <c r="F53" s="73" t="str" cm="1">
        <f t="array" ref="F53">Common_InputFunctions.Utility_DisplayArrayInTable(Refrigerants_SourceData.Refrigerants_ChemicalBlends_Data(), Table_RefrigerantBlends[[#Headers],[Blend]], 0)</f>
        <v>R-400 can have various proportions of CFC-12 and CFC-114. The exact composition needs to be specified, e.g., R-400 (60/40).</v>
      </c>
      <c r="G53" s="71"/>
      <c r="H53" s="71"/>
      <c r="I53" s="71"/>
      <c r="J53" s="71"/>
      <c r="K53" s="71"/>
      <c r="L53" s="71"/>
      <c r="M53" s="71"/>
      <c r="N53" s="71"/>
      <c r="O53" s="71"/>
      <c r="P53" s="71"/>
      <c r="Q53" s="71"/>
    </row>
    <row r="54" spans="4:17" ht="20.100000000000001" customHeight="1" x14ac:dyDescent="0.25">
      <c r="D54" s="73" t="str" cm="1">
        <f t="array" ref="D54">Common_InputFunctions.Utility_DisplayArrayInTable(Refrigerants_SourceData.Refrigerants_ChemicalBlends_Data(), Table_RefrigerantBlends[[#Headers],[Blend]], 0)</f>
        <v>R-401A</v>
      </c>
      <c r="E54" s="73" t="str" cm="1">
        <f t="array" ref="E54">Common_InputFunctions.Utility_DisplayArrayInTable(Refrigerants_SourceData.Refrigerants_ChemicalBlends_Data(), Table_RefrigerantBlends[[#Headers],[Blend]], 0)</f>
        <v>HCFC-22/HFC-152a/HCFC-124</v>
      </c>
      <c r="F54" s="73" t="str" cm="1">
        <f t="array" ref="F54">Common_InputFunctions.Utility_DisplayArrayInTable(Refrigerants_SourceData.Refrigerants_ChemicalBlends_Data(), Table_RefrigerantBlends[[#Headers],[Blend]], 0)</f>
        <v>(53.0/13.0/34.0)</v>
      </c>
      <c r="G54" s="71"/>
      <c r="H54" s="71"/>
      <c r="I54" s="71"/>
      <c r="J54" s="71"/>
      <c r="K54" s="71"/>
      <c r="L54" s="71"/>
      <c r="M54" s="71"/>
      <c r="N54" s="71"/>
      <c r="O54" s="71"/>
      <c r="P54" s="71"/>
      <c r="Q54" s="71"/>
    </row>
    <row r="55" spans="4:17" ht="20.100000000000001" customHeight="1" x14ac:dyDescent="0.25">
      <c r="D55" s="73" t="str" cm="1">
        <f t="array" ref="D55">Common_InputFunctions.Utility_DisplayArrayInTable(Refrigerants_SourceData.Refrigerants_ChemicalBlends_Data(), Table_RefrigerantBlends[[#Headers],[Blend]], 0)</f>
        <v>R-401B</v>
      </c>
      <c r="E55" s="73" t="str" cm="1">
        <f t="array" ref="E55">Common_InputFunctions.Utility_DisplayArrayInTable(Refrigerants_SourceData.Refrigerants_ChemicalBlends_Data(), Table_RefrigerantBlends[[#Headers],[Blend]], 0)</f>
        <v>HCFC-22/HFC-152a/HCFC-124</v>
      </c>
      <c r="F55" s="73" t="str" cm="1">
        <f t="array" ref="F55">Common_InputFunctions.Utility_DisplayArrayInTable(Refrigerants_SourceData.Refrigerants_ChemicalBlends_Data(), Table_RefrigerantBlends[[#Headers],[Blend]], 0)</f>
        <v>(61.0/11.0/28.0)</v>
      </c>
      <c r="G55" s="71"/>
      <c r="H55" s="71"/>
      <c r="I55" s="71"/>
      <c r="J55" s="71"/>
      <c r="K55" s="71"/>
      <c r="L55" s="71"/>
      <c r="M55" s="71"/>
      <c r="N55" s="71"/>
      <c r="O55" s="71"/>
      <c r="P55" s="71"/>
      <c r="Q55" s="71"/>
    </row>
    <row r="56" spans="4:17" ht="20.100000000000001" customHeight="1" x14ac:dyDescent="0.25">
      <c r="D56" s="73" t="str" cm="1">
        <f t="array" ref="D56">Common_InputFunctions.Utility_DisplayArrayInTable(Refrigerants_SourceData.Refrigerants_ChemicalBlends_Data(), Table_RefrigerantBlends[[#Headers],[Blend]], 0)</f>
        <v>R-401C</v>
      </c>
      <c r="E56" s="73" t="str" cm="1">
        <f t="array" ref="E56">Common_InputFunctions.Utility_DisplayArrayInTable(Refrigerants_SourceData.Refrigerants_ChemicalBlends_Data(), Table_RefrigerantBlends[[#Headers],[Blend]], 0)</f>
        <v>HCFC-22/HFC-152a/HCFC-124</v>
      </c>
      <c r="F56" s="73" t="str" cm="1">
        <f t="array" ref="F56">Common_InputFunctions.Utility_DisplayArrayInTable(Refrigerants_SourceData.Refrigerants_ChemicalBlends_Data(), Table_RefrigerantBlends[[#Headers],[Blend]], 0)</f>
        <v>(33.0/15.0/52.0)</v>
      </c>
      <c r="G56" s="71"/>
      <c r="H56" s="71"/>
      <c r="I56" s="71"/>
      <c r="J56" s="71"/>
      <c r="K56" s="71"/>
      <c r="L56" s="71"/>
      <c r="M56" s="71"/>
      <c r="N56" s="71"/>
      <c r="O56" s="71"/>
      <c r="P56" s="71"/>
      <c r="Q56" s="71"/>
    </row>
    <row r="57" spans="4:17" ht="20.100000000000001" customHeight="1" x14ac:dyDescent="0.25">
      <c r="D57" s="73" t="str" cm="1">
        <f t="array" ref="D57">Common_InputFunctions.Utility_DisplayArrayInTable(Refrigerants_SourceData.Refrigerants_ChemicalBlends_Data(), Table_RefrigerantBlends[[#Headers],[Blend]], 0)</f>
        <v>R-402A</v>
      </c>
      <c r="E57" s="73" t="str" cm="1">
        <f t="array" ref="E57">Common_InputFunctions.Utility_DisplayArrayInTable(Refrigerants_SourceData.Refrigerants_ChemicalBlends_Data(), Table_RefrigerantBlends[[#Headers],[Blend]], 0)</f>
        <v>HFC-125/HC-290/HCFC-22</v>
      </c>
      <c r="F57" s="73" t="str" cm="1">
        <f t="array" ref="F57">Common_InputFunctions.Utility_DisplayArrayInTable(Refrigerants_SourceData.Refrigerants_ChemicalBlends_Data(), Table_RefrigerantBlends[[#Headers],[Blend]], 0)</f>
        <v>(60.0/2.0/38.0)</v>
      </c>
      <c r="G57" s="71"/>
      <c r="H57" s="71"/>
      <c r="I57" s="71"/>
      <c r="J57" s="71"/>
      <c r="K57" s="71"/>
      <c r="L57" s="71"/>
      <c r="M57" s="71"/>
      <c r="N57" s="71"/>
      <c r="O57" s="71"/>
      <c r="P57" s="71"/>
      <c r="Q57" s="71"/>
    </row>
    <row r="58" spans="4:17" ht="20.100000000000001" customHeight="1" x14ac:dyDescent="0.25">
      <c r="D58" s="73" t="str" cm="1">
        <f t="array" ref="D58">Common_InputFunctions.Utility_DisplayArrayInTable(Refrigerants_SourceData.Refrigerants_ChemicalBlends_Data(), Table_RefrigerantBlends[[#Headers],[Blend]], 0)</f>
        <v>R-402B</v>
      </c>
      <c r="E58" s="73" t="str" cm="1">
        <f t="array" ref="E58">Common_InputFunctions.Utility_DisplayArrayInTable(Refrigerants_SourceData.Refrigerants_ChemicalBlends_Data(), Table_RefrigerantBlends[[#Headers],[Blend]], 0)</f>
        <v>HFC-125/HC-290/HCFC-22</v>
      </c>
      <c r="F58" s="73" t="str" cm="1">
        <f t="array" ref="F58">Common_InputFunctions.Utility_DisplayArrayInTable(Refrigerants_SourceData.Refrigerants_ChemicalBlends_Data(), Table_RefrigerantBlends[[#Headers],[Blend]], 0)</f>
        <v>(38.0/2.0/60.0)</v>
      </c>
      <c r="G58" s="71"/>
      <c r="H58" s="71"/>
      <c r="I58" s="71"/>
      <c r="J58" s="71"/>
      <c r="K58" s="71"/>
      <c r="L58" s="71"/>
      <c r="M58" s="71"/>
      <c r="N58" s="71"/>
      <c r="O58" s="71"/>
      <c r="P58" s="71"/>
      <c r="Q58" s="71"/>
    </row>
    <row r="59" spans="4:17" ht="20.100000000000001" customHeight="1" x14ac:dyDescent="0.25">
      <c r="D59" s="73" t="str" cm="1">
        <f t="array" ref="D59">Common_InputFunctions.Utility_DisplayArrayInTable(Refrigerants_SourceData.Refrigerants_ChemicalBlends_Data(), Table_RefrigerantBlends[[#Headers],[Blend]], 0)</f>
        <v>R-403A</v>
      </c>
      <c r="E59" s="73" t="str" cm="1">
        <f t="array" ref="E59">Common_InputFunctions.Utility_DisplayArrayInTable(Refrigerants_SourceData.Refrigerants_ChemicalBlends_Data(), Table_RefrigerantBlends[[#Headers],[Blend]], 0)</f>
        <v>HC-290/HCFC-22/PFC-218</v>
      </c>
      <c r="F59" s="73" t="str" cm="1">
        <f t="array" ref="F59">Common_InputFunctions.Utility_DisplayArrayInTable(Refrigerants_SourceData.Refrigerants_ChemicalBlends_Data(), Table_RefrigerantBlends[[#Headers],[Blend]], 0)</f>
        <v>(5.0/75.0/20.0)</v>
      </c>
      <c r="G59" s="71"/>
      <c r="H59" s="71"/>
      <c r="I59" s="71"/>
      <c r="J59" s="71"/>
      <c r="K59" s="71"/>
      <c r="L59" s="71"/>
      <c r="M59" s="71"/>
      <c r="N59" s="71"/>
      <c r="O59" s="71"/>
      <c r="P59" s="71"/>
      <c r="Q59" s="71"/>
    </row>
    <row r="60" spans="4:17" ht="20.100000000000001" customHeight="1" x14ac:dyDescent="0.25">
      <c r="D60" s="73" t="str" cm="1">
        <f t="array" ref="D60">Common_InputFunctions.Utility_DisplayArrayInTable(Refrigerants_SourceData.Refrigerants_ChemicalBlends_Data(), Table_RefrigerantBlends[[#Headers],[Blend]], 0)</f>
        <v>R-403B</v>
      </c>
      <c r="E60" s="73" t="str" cm="1">
        <f t="array" ref="E60">Common_InputFunctions.Utility_DisplayArrayInTable(Refrigerants_SourceData.Refrigerants_ChemicalBlends_Data(), Table_RefrigerantBlends[[#Headers],[Blend]], 0)</f>
        <v>HC-290/HCFC-22/PFC-218</v>
      </c>
      <c r="F60" s="73" t="str" cm="1">
        <f t="array" ref="F60">Common_InputFunctions.Utility_DisplayArrayInTable(Refrigerants_SourceData.Refrigerants_ChemicalBlends_Data(), Table_RefrigerantBlends[[#Headers],[Blend]], 0)</f>
        <v>(5.0/56.0/39.0)</v>
      </c>
      <c r="G60" s="71"/>
      <c r="H60" s="71"/>
      <c r="I60" s="71"/>
      <c r="J60" s="71"/>
      <c r="K60" s="71"/>
      <c r="L60" s="71"/>
      <c r="M60" s="71"/>
      <c r="N60" s="71"/>
      <c r="O60" s="71"/>
      <c r="P60" s="71"/>
      <c r="Q60" s="71"/>
    </row>
    <row r="61" spans="4:17" ht="20.100000000000001" customHeight="1" x14ac:dyDescent="0.25">
      <c r="D61" s="73" t="str" cm="1">
        <f t="array" ref="D61">Common_InputFunctions.Utility_DisplayArrayInTable(Refrigerants_SourceData.Refrigerants_ChemicalBlends_Data(), Table_RefrigerantBlends[[#Headers],[Blend]], 0)</f>
        <v>R-404A</v>
      </c>
      <c r="E61" s="73" t="str" cm="1">
        <f t="array" ref="E61">Common_InputFunctions.Utility_DisplayArrayInTable(Refrigerants_SourceData.Refrigerants_ChemicalBlends_Data(), Table_RefrigerantBlends[[#Headers],[Blend]], 0)</f>
        <v>HFC-125/HFC-143a/HFC-134a</v>
      </c>
      <c r="F61" s="73" t="str" cm="1">
        <f t="array" ref="F61">Common_InputFunctions.Utility_DisplayArrayInTable(Refrigerants_SourceData.Refrigerants_ChemicalBlends_Data(), Table_RefrigerantBlends[[#Headers],[Blend]], 0)</f>
        <v>(44.0/52.0/4.0)</v>
      </c>
      <c r="G61" s="71"/>
      <c r="H61" s="71"/>
      <c r="I61" s="71"/>
      <c r="J61" s="71"/>
      <c r="K61" s="71"/>
      <c r="L61" s="71"/>
      <c r="M61" s="71"/>
      <c r="N61" s="71"/>
      <c r="O61" s="71"/>
      <c r="P61" s="71"/>
      <c r="Q61" s="71"/>
    </row>
    <row r="62" spans="4:17" ht="20.100000000000001" customHeight="1" x14ac:dyDescent="0.25">
      <c r="D62" s="73" t="str" cm="1">
        <f t="array" ref="D62">Common_InputFunctions.Utility_DisplayArrayInTable(Refrigerants_SourceData.Refrigerants_ChemicalBlends_Data(), Table_RefrigerantBlends[[#Headers],[Blend]], 0)</f>
        <v>R-405A</v>
      </c>
      <c r="E62" s="73" t="str" cm="1">
        <f t="array" ref="E62">Common_InputFunctions.Utility_DisplayArrayInTable(Refrigerants_SourceData.Refrigerants_ChemicalBlends_Data(), Table_RefrigerantBlends[[#Headers],[Blend]], 0)</f>
        <v>HCFC-22/ HFC-152a/HCFC-142b/PFC-318</v>
      </c>
      <c r="F62" s="73" t="str" cm="1">
        <f t="array" ref="F62">Common_InputFunctions.Utility_DisplayArrayInTable(Refrigerants_SourceData.Refrigerants_ChemicalBlends_Data(), Table_RefrigerantBlends[[#Headers],[Blend]], 0)</f>
        <v>(45.0/7.0/5.5/42.5)</v>
      </c>
      <c r="G62" s="71"/>
      <c r="H62" s="71"/>
      <c r="I62" s="71"/>
      <c r="J62" s="71"/>
      <c r="K62" s="71"/>
      <c r="L62" s="71"/>
      <c r="M62" s="71"/>
      <c r="N62" s="71"/>
      <c r="O62" s="71"/>
      <c r="P62" s="71"/>
      <c r="Q62" s="71"/>
    </row>
    <row r="63" spans="4:17" ht="20.100000000000001" customHeight="1" x14ac:dyDescent="0.25">
      <c r="D63" s="73" t="str" cm="1">
        <f t="array" ref="D63">Common_InputFunctions.Utility_DisplayArrayInTable(Refrigerants_SourceData.Refrigerants_ChemicalBlends_Data(), Table_RefrigerantBlends[[#Headers],[Blend]], 0)</f>
        <v>R-406A</v>
      </c>
      <c r="E63" s="73" t="str" cm="1">
        <f t="array" ref="E63">Common_InputFunctions.Utility_DisplayArrayInTable(Refrigerants_SourceData.Refrigerants_ChemicalBlends_Data(), Table_RefrigerantBlends[[#Headers],[Blend]], 0)</f>
        <v>HCFC-22/HC-600a/HCFC-142b</v>
      </c>
      <c r="F63" s="73" t="str" cm="1">
        <f t="array" ref="F63">Common_InputFunctions.Utility_DisplayArrayInTable(Refrigerants_SourceData.Refrigerants_ChemicalBlends_Data(), Table_RefrigerantBlends[[#Headers],[Blend]], 0)</f>
        <v>(55.0/14.0/41.0)</v>
      </c>
      <c r="G63" s="71"/>
      <c r="H63" s="71"/>
      <c r="I63" s="71"/>
      <c r="J63" s="71"/>
      <c r="K63" s="71"/>
      <c r="L63" s="71"/>
      <c r="M63" s="71"/>
      <c r="N63" s="71"/>
      <c r="O63" s="71"/>
      <c r="P63" s="71"/>
      <c r="Q63" s="71"/>
    </row>
    <row r="64" spans="4:17" ht="20.100000000000001" customHeight="1" x14ac:dyDescent="0.25">
      <c r="D64" s="73" t="str" cm="1">
        <f t="array" ref="D64">Common_InputFunctions.Utility_DisplayArrayInTable(Refrigerants_SourceData.Refrigerants_ChemicalBlends_Data(), Table_RefrigerantBlends[[#Headers],[Blend]], 0)</f>
        <v>R-407A</v>
      </c>
      <c r="E64" s="73" t="str" cm="1">
        <f t="array" ref="E64">Common_InputFunctions.Utility_DisplayArrayInTable(Refrigerants_SourceData.Refrigerants_ChemicalBlends_Data(), Table_RefrigerantBlends[[#Headers],[Blend]], 0)</f>
        <v>HFC-32/HFC-125/HFC-134a</v>
      </c>
      <c r="F64" s="73" t="str" cm="1">
        <f t="array" ref="F64">Common_InputFunctions.Utility_DisplayArrayInTable(Refrigerants_SourceData.Refrigerants_ChemicalBlends_Data(), Table_RefrigerantBlends[[#Headers],[Blend]], 0)</f>
        <v>(20.0/40.0/40.0)</v>
      </c>
      <c r="G64" s="71"/>
      <c r="H64" s="71"/>
      <c r="I64" s="71"/>
      <c r="J64" s="71"/>
      <c r="K64" s="71"/>
      <c r="L64" s="71"/>
      <c r="M64" s="71"/>
      <c r="N64" s="71"/>
      <c r="O64" s="71"/>
      <c r="P64" s="71"/>
      <c r="Q64" s="71"/>
    </row>
    <row r="65" spans="4:17" ht="20.100000000000001" customHeight="1" x14ac:dyDescent="0.25">
      <c r="D65" s="73" t="str" cm="1">
        <f t="array" ref="D65">Common_InputFunctions.Utility_DisplayArrayInTable(Refrigerants_SourceData.Refrigerants_ChemicalBlends_Data(), Table_RefrigerantBlends[[#Headers],[Blend]], 0)</f>
        <v>R-407B</v>
      </c>
      <c r="E65" s="73" t="str" cm="1">
        <f t="array" ref="E65">Common_InputFunctions.Utility_DisplayArrayInTable(Refrigerants_SourceData.Refrigerants_ChemicalBlends_Data(), Table_RefrigerantBlends[[#Headers],[Blend]], 0)</f>
        <v>HFC-32/HFC-125/HFC-134a</v>
      </c>
      <c r="F65" s="73" t="str" cm="1">
        <f t="array" ref="F65">Common_InputFunctions.Utility_DisplayArrayInTable(Refrigerants_SourceData.Refrigerants_ChemicalBlends_Data(), Table_RefrigerantBlends[[#Headers],[Blend]], 0)</f>
        <v>(10.0/70.0/20.0)</v>
      </c>
      <c r="G65" s="71"/>
      <c r="H65" s="71"/>
      <c r="I65" s="71"/>
      <c r="J65" s="71"/>
      <c r="K65" s="71"/>
      <c r="L65" s="71"/>
      <c r="M65" s="71"/>
      <c r="N65" s="71"/>
      <c r="O65" s="71"/>
      <c r="P65" s="71"/>
      <c r="Q65" s="71"/>
    </row>
    <row r="66" spans="4:17" ht="20.100000000000001" customHeight="1" x14ac:dyDescent="0.25">
      <c r="D66" s="73" t="str" cm="1">
        <f t="array" ref="D66">Common_InputFunctions.Utility_DisplayArrayInTable(Refrigerants_SourceData.Refrigerants_ChemicalBlends_Data(), Table_RefrigerantBlends[[#Headers],[Blend]], 0)</f>
        <v>R-407C</v>
      </c>
      <c r="E66" s="73" t="str" cm="1">
        <f t="array" ref="E66">Common_InputFunctions.Utility_DisplayArrayInTable(Refrigerants_SourceData.Refrigerants_ChemicalBlends_Data(), Table_RefrigerantBlends[[#Headers],[Blend]], 0)</f>
        <v>HFC-32/HFC-125/HFC-134a</v>
      </c>
      <c r="F66" s="73" t="str" cm="1">
        <f t="array" ref="F66">Common_InputFunctions.Utility_DisplayArrayInTable(Refrigerants_SourceData.Refrigerants_ChemicalBlends_Data(), Table_RefrigerantBlends[[#Headers],[Blend]], 0)</f>
        <v>(23.0/25.0/52.0)</v>
      </c>
      <c r="G66" s="71"/>
      <c r="H66" s="71"/>
      <c r="I66" s="71"/>
      <c r="J66" s="71"/>
      <c r="K66" s="71"/>
      <c r="L66" s="71"/>
      <c r="M66" s="71"/>
      <c r="N66" s="71"/>
      <c r="O66" s="71"/>
      <c r="P66" s="71"/>
      <c r="Q66" s="71"/>
    </row>
    <row r="67" spans="4:17" ht="20.100000000000001" customHeight="1" x14ac:dyDescent="0.25">
      <c r="D67" s="73" t="str" cm="1">
        <f t="array" ref="D67">Common_InputFunctions.Utility_DisplayArrayInTable(Refrigerants_SourceData.Refrigerants_ChemicalBlends_Data(), Table_RefrigerantBlends[[#Headers],[Blend]], 0)</f>
        <v>R-407D</v>
      </c>
      <c r="E67" s="73" t="str" cm="1">
        <f t="array" ref="E67">Common_InputFunctions.Utility_DisplayArrayInTable(Refrigerants_SourceData.Refrigerants_ChemicalBlends_Data(), Table_RefrigerantBlends[[#Headers],[Blend]], 0)</f>
        <v>HFC-32/HFC-125/HFC-134a</v>
      </c>
      <c r="F67" s="73" t="str" cm="1">
        <f t="array" ref="F67">Common_InputFunctions.Utility_DisplayArrayInTable(Refrigerants_SourceData.Refrigerants_ChemicalBlends_Data(), Table_RefrigerantBlends[[#Headers],[Blend]], 0)</f>
        <v>(15.0/15.0/70.0)</v>
      </c>
      <c r="G67" s="71"/>
      <c r="H67" s="71"/>
      <c r="I67" s="71"/>
      <c r="J67" s="71"/>
      <c r="K67" s="71"/>
      <c r="L67" s="71"/>
      <c r="M67" s="71"/>
      <c r="N67" s="71"/>
      <c r="O67" s="71"/>
      <c r="P67" s="71"/>
      <c r="Q67" s="71"/>
    </row>
    <row r="68" spans="4:17" ht="20.100000000000001" customHeight="1" x14ac:dyDescent="0.25">
      <c r="D68" s="73" t="str" cm="1">
        <f t="array" ref="D68">Common_InputFunctions.Utility_DisplayArrayInTable(Refrigerants_SourceData.Refrigerants_ChemicalBlends_Data(), Table_RefrigerantBlends[[#Headers],[Blend]], 0)</f>
        <v>R-407E</v>
      </c>
      <c r="E68" s="73" t="str" cm="1">
        <f t="array" ref="E68">Common_InputFunctions.Utility_DisplayArrayInTable(Refrigerants_SourceData.Refrigerants_ChemicalBlends_Data(), Table_RefrigerantBlends[[#Headers],[Blend]], 0)</f>
        <v>HFC-32/HFC-125/HFC-134a</v>
      </c>
      <c r="F68" s="73" t="str" cm="1">
        <f t="array" ref="F68">Common_InputFunctions.Utility_DisplayArrayInTable(Refrigerants_SourceData.Refrigerants_ChemicalBlends_Data(), Table_RefrigerantBlends[[#Headers],[Blend]], 0)</f>
        <v>(25.0/15.0/60.0)</v>
      </c>
      <c r="G68" s="71"/>
      <c r="H68" s="71"/>
      <c r="I68" s="71"/>
      <c r="J68" s="71"/>
      <c r="K68" s="71"/>
      <c r="L68" s="71"/>
      <c r="M68" s="71"/>
      <c r="N68" s="71"/>
      <c r="O68" s="71"/>
      <c r="P68" s="71"/>
      <c r="Q68" s="71"/>
    </row>
    <row r="69" spans="4:17" ht="20.100000000000001" customHeight="1" x14ac:dyDescent="0.25">
      <c r="D69" s="73" t="str" cm="1">
        <f t="array" ref="D69">Common_InputFunctions.Utility_DisplayArrayInTable(Refrigerants_SourceData.Refrigerants_ChemicalBlends_Data(), Table_RefrigerantBlends[[#Headers],[Blend]], 0)</f>
        <v>R-408A</v>
      </c>
      <c r="E69" s="73" t="str" cm="1">
        <f t="array" ref="E69">Common_InputFunctions.Utility_DisplayArrayInTable(Refrigerants_SourceData.Refrigerants_ChemicalBlends_Data(), Table_RefrigerantBlends[[#Headers],[Blend]], 0)</f>
        <v>HFC-125/HFC-143a/HCFC-22</v>
      </c>
      <c r="F69" s="73" t="str" cm="1">
        <f t="array" ref="F69">Common_InputFunctions.Utility_DisplayArrayInTable(Refrigerants_SourceData.Refrigerants_ChemicalBlends_Data(), Table_RefrigerantBlends[[#Headers],[Blend]], 0)</f>
        <v>(7.0/46.0/47.0)</v>
      </c>
      <c r="G69" s="71"/>
      <c r="H69" s="71"/>
      <c r="I69" s="71"/>
      <c r="J69" s="71"/>
      <c r="K69" s="71"/>
      <c r="L69" s="71"/>
      <c r="M69" s="71"/>
      <c r="N69" s="71"/>
      <c r="O69" s="71"/>
      <c r="P69" s="71"/>
      <c r="Q69" s="71"/>
    </row>
    <row r="70" spans="4:17" ht="20.100000000000001" customHeight="1" x14ac:dyDescent="0.25">
      <c r="D70" s="73" t="str" cm="1">
        <f t="array" ref="D70">Common_InputFunctions.Utility_DisplayArrayInTable(Refrigerants_SourceData.Refrigerants_ChemicalBlends_Data(), Table_RefrigerantBlends[[#Headers],[Blend]], 0)</f>
        <v>R-409A</v>
      </c>
      <c r="E70" s="73" t="str" cm="1">
        <f t="array" ref="E70">Common_InputFunctions.Utility_DisplayArrayInTable(Refrigerants_SourceData.Refrigerants_ChemicalBlends_Data(), Table_RefrigerantBlends[[#Headers],[Blend]], 0)</f>
        <v>HCFC-22/HCFC-124/HCFC-142b</v>
      </c>
      <c r="F70" s="73" t="str" cm="1">
        <f t="array" ref="F70">Common_InputFunctions.Utility_DisplayArrayInTable(Refrigerants_SourceData.Refrigerants_ChemicalBlends_Data(), Table_RefrigerantBlends[[#Headers],[Blend]], 0)</f>
        <v>(60.0/25.0/15.0)</v>
      </c>
      <c r="G70" s="71"/>
      <c r="H70" s="71"/>
      <c r="I70" s="71"/>
      <c r="J70" s="71"/>
      <c r="K70" s="71"/>
      <c r="L70" s="71"/>
      <c r="M70" s="71"/>
      <c r="N70" s="71"/>
      <c r="O70" s="71"/>
      <c r="P70" s="71"/>
      <c r="Q70" s="71"/>
    </row>
    <row r="71" spans="4:17" ht="20.100000000000001" customHeight="1" x14ac:dyDescent="0.25">
      <c r="D71" s="73" t="str" cm="1">
        <f t="array" ref="D71">Common_InputFunctions.Utility_DisplayArrayInTable(Refrigerants_SourceData.Refrigerants_ChemicalBlends_Data(), Table_RefrigerantBlends[[#Headers],[Blend]], 0)</f>
        <v>R-409B</v>
      </c>
      <c r="E71" s="73" t="str" cm="1">
        <f t="array" ref="E71">Common_InputFunctions.Utility_DisplayArrayInTable(Refrigerants_SourceData.Refrigerants_ChemicalBlends_Data(), Table_RefrigerantBlends[[#Headers],[Blend]], 0)</f>
        <v>HCFC-22/HCFC-124/HCFC-142b</v>
      </c>
      <c r="F71" s="73" t="str" cm="1">
        <f t="array" ref="F71">Common_InputFunctions.Utility_DisplayArrayInTable(Refrigerants_SourceData.Refrigerants_ChemicalBlends_Data(), Table_RefrigerantBlends[[#Headers],[Blend]], 0)</f>
        <v>(65.0/25.0/10.0)</v>
      </c>
      <c r="G71" s="71"/>
      <c r="H71" s="71"/>
      <c r="I71" s="71"/>
      <c r="J71" s="71"/>
      <c r="K71" s="71"/>
      <c r="L71" s="71"/>
      <c r="M71" s="71"/>
      <c r="N71" s="71"/>
      <c r="O71" s="71"/>
      <c r="P71" s="71"/>
      <c r="Q71" s="71"/>
    </row>
    <row r="72" spans="4:17" ht="20.100000000000001" customHeight="1" x14ac:dyDescent="0.25">
      <c r="D72" s="73" t="str" cm="1">
        <f t="array" ref="D72">Common_InputFunctions.Utility_DisplayArrayInTable(Refrigerants_SourceData.Refrigerants_ChemicalBlends_Data(), Table_RefrigerantBlends[[#Headers],[Blend]], 0)</f>
        <v>R-410A</v>
      </c>
      <c r="E72" s="73" t="str" cm="1">
        <f t="array" ref="E72">Common_InputFunctions.Utility_DisplayArrayInTable(Refrigerants_SourceData.Refrigerants_ChemicalBlends_Data(), Table_RefrigerantBlends[[#Headers],[Blend]], 0)</f>
        <v>HFC-32/HFC-125</v>
      </c>
      <c r="F72" s="73" t="str" cm="1">
        <f t="array" ref="F72">Common_InputFunctions.Utility_DisplayArrayInTable(Refrigerants_SourceData.Refrigerants_ChemicalBlends_Data(), Table_RefrigerantBlends[[#Headers],[Blend]], 0)</f>
        <v>(50.0/50.0)</v>
      </c>
      <c r="G72" s="71"/>
      <c r="H72" s="71"/>
      <c r="I72" s="71"/>
      <c r="J72" s="71"/>
      <c r="K72" s="71"/>
      <c r="L72" s="71"/>
      <c r="M72" s="71"/>
      <c r="N72" s="71"/>
      <c r="O72" s="71"/>
      <c r="P72" s="71"/>
      <c r="Q72" s="71"/>
    </row>
    <row r="73" spans="4:17" ht="20.100000000000001" customHeight="1" x14ac:dyDescent="0.25">
      <c r="D73" s="73" t="str" cm="1">
        <f t="array" ref="D73">Common_InputFunctions.Utility_DisplayArrayInTable(Refrigerants_SourceData.Refrigerants_ChemicalBlends_Data(), Table_RefrigerantBlends[[#Headers],[Blend]], 0)</f>
        <v>R-410B</v>
      </c>
      <c r="E73" s="73" t="str" cm="1">
        <f t="array" ref="E73">Common_InputFunctions.Utility_DisplayArrayInTable(Refrigerants_SourceData.Refrigerants_ChemicalBlends_Data(), Table_RefrigerantBlends[[#Headers],[Blend]], 0)</f>
        <v>HFC-32/HFC-125</v>
      </c>
      <c r="F73" s="73" t="str" cm="1">
        <f t="array" ref="F73">Common_InputFunctions.Utility_DisplayArrayInTable(Refrigerants_SourceData.Refrigerants_ChemicalBlends_Data(), Table_RefrigerantBlends[[#Headers],[Blend]], 0)</f>
        <v>(45.0/55.0)</v>
      </c>
      <c r="G73" s="71"/>
      <c r="H73" s="71"/>
      <c r="I73" s="71"/>
      <c r="J73" s="71"/>
      <c r="K73" s="71"/>
      <c r="L73" s="71"/>
      <c r="M73" s="71"/>
      <c r="N73" s="71"/>
      <c r="O73" s="71"/>
      <c r="P73" s="71"/>
      <c r="Q73" s="71"/>
    </row>
    <row r="74" spans="4:17" ht="20.100000000000001" customHeight="1" x14ac:dyDescent="0.25">
      <c r="D74" s="73" t="str" cm="1">
        <f t="array" ref="D74">Common_InputFunctions.Utility_DisplayArrayInTable(Refrigerants_SourceData.Refrigerants_ChemicalBlends_Data(), Table_RefrigerantBlends[[#Headers],[Blend]], 0)</f>
        <v>R-411A</v>
      </c>
      <c r="E74" s="73" t="str" cm="1">
        <f t="array" ref="E74">Common_InputFunctions.Utility_DisplayArrayInTable(Refrigerants_SourceData.Refrigerants_ChemicalBlends_Data(), Table_RefrigerantBlends[[#Headers],[Blend]], 0)</f>
        <v>HC-1270/HCFC-22/HFC-152a</v>
      </c>
      <c r="F74" s="73" t="str" cm="1">
        <f t="array" ref="F74">Common_InputFunctions.Utility_DisplayArrayInTable(Refrigerants_SourceData.Refrigerants_ChemicalBlends_Data(), Table_RefrigerantBlends[[#Headers],[Blend]], 0)</f>
        <v>(1.5/87.5/11.0)</v>
      </c>
      <c r="G74" s="71"/>
      <c r="H74" s="71"/>
      <c r="I74" s="71"/>
      <c r="J74" s="71"/>
      <c r="K74" s="71"/>
      <c r="L74" s="71"/>
      <c r="M74" s="71"/>
      <c r="N74" s="71"/>
      <c r="O74" s="71"/>
      <c r="P74" s="71"/>
      <c r="Q74" s="71"/>
    </row>
    <row r="75" spans="4:17" ht="20.100000000000001" customHeight="1" x14ac:dyDescent="0.25">
      <c r="D75" s="73" t="str" cm="1">
        <f t="array" ref="D75">Common_InputFunctions.Utility_DisplayArrayInTable(Refrigerants_SourceData.Refrigerants_ChemicalBlends_Data(), Table_RefrigerantBlends[[#Headers],[Blend]], 0)</f>
        <v>R-411B</v>
      </c>
      <c r="E75" s="73" t="str" cm="1">
        <f t="array" ref="E75">Common_InputFunctions.Utility_DisplayArrayInTable(Refrigerants_SourceData.Refrigerants_ChemicalBlends_Data(), Table_RefrigerantBlends[[#Headers],[Blend]], 0)</f>
        <v>HC-1270/HCFC-22/HFC-152a</v>
      </c>
      <c r="F75" s="73" t="str" cm="1">
        <f t="array" ref="F75">Common_InputFunctions.Utility_DisplayArrayInTable(Refrigerants_SourceData.Refrigerants_ChemicalBlends_Data(), Table_RefrigerantBlends[[#Headers],[Blend]], 0)</f>
        <v>(3.0/94.0/3.0)</v>
      </c>
      <c r="G75" s="71"/>
      <c r="H75" s="71"/>
      <c r="I75" s="71"/>
      <c r="J75" s="71"/>
      <c r="K75" s="71"/>
      <c r="L75" s="71"/>
      <c r="M75" s="71"/>
      <c r="N75" s="71"/>
      <c r="O75" s="71"/>
      <c r="P75" s="71"/>
      <c r="Q75" s="71"/>
    </row>
    <row r="76" spans="4:17" ht="20.100000000000001" customHeight="1" x14ac:dyDescent="0.25">
      <c r="D76" s="73" t="str" cm="1">
        <f t="array" ref="D76">Common_InputFunctions.Utility_DisplayArrayInTable(Refrigerants_SourceData.Refrigerants_ChemicalBlends_Data(), Table_RefrigerantBlends[[#Headers],[Blend]], 0)</f>
        <v>R-411C</v>
      </c>
      <c r="E76" s="73" t="str" cm="1">
        <f t="array" ref="E76">Common_InputFunctions.Utility_DisplayArrayInTable(Refrigerants_SourceData.Refrigerants_ChemicalBlends_Data(), Table_RefrigerantBlends[[#Headers],[Blend]], 0)</f>
        <v>HC-1270/HCFC-22/HFC-152a</v>
      </c>
      <c r="F76" s="73" t="str" cm="1">
        <f t="array" ref="F76">Common_InputFunctions.Utility_DisplayArrayInTable(Refrigerants_SourceData.Refrigerants_ChemicalBlends_Data(), Table_RefrigerantBlends[[#Headers],[Blend]], 0)</f>
        <v>(3.0/95.5/1.5)</v>
      </c>
      <c r="G76" s="71"/>
      <c r="H76" s="71"/>
      <c r="I76" s="71"/>
      <c r="J76" s="71"/>
      <c r="K76" s="71"/>
      <c r="L76" s="71"/>
      <c r="M76" s="71"/>
      <c r="N76" s="71"/>
      <c r="O76" s="71"/>
      <c r="P76" s="71"/>
      <c r="Q76" s="71"/>
    </row>
    <row r="77" spans="4:17" ht="20.100000000000001" customHeight="1" x14ac:dyDescent="0.25">
      <c r="D77" s="73" t="str" cm="1">
        <f t="array" ref="D77">Common_InputFunctions.Utility_DisplayArrayInTable(Refrigerants_SourceData.Refrigerants_ChemicalBlends_Data(), Table_RefrigerantBlends[[#Headers],[Blend]], 0)</f>
        <v>R-412A</v>
      </c>
      <c r="E77" s="73" t="str" cm="1">
        <f t="array" ref="E77">Common_InputFunctions.Utility_DisplayArrayInTable(Refrigerants_SourceData.Refrigerants_ChemicalBlends_Data(), Table_RefrigerantBlends[[#Headers],[Blend]], 0)</f>
        <v>HCFC-22/PFC-218/HCFC-142b</v>
      </c>
      <c r="F77" s="73" t="str" cm="1">
        <f t="array" ref="F77">Common_InputFunctions.Utility_DisplayArrayInTable(Refrigerants_SourceData.Refrigerants_ChemicalBlends_Data(), Table_RefrigerantBlends[[#Headers],[Blend]], 0)</f>
        <v>(70.0/5.0/25.0)</v>
      </c>
      <c r="G77" s="71"/>
      <c r="H77" s="71"/>
      <c r="I77" s="71"/>
      <c r="J77" s="71"/>
      <c r="K77" s="71"/>
      <c r="L77" s="71"/>
      <c r="M77" s="71"/>
      <c r="N77" s="71"/>
      <c r="O77" s="71"/>
      <c r="P77" s="71"/>
      <c r="Q77" s="71"/>
    </row>
    <row r="78" spans="4:17" ht="20.100000000000001" customHeight="1" x14ac:dyDescent="0.25">
      <c r="D78" s="73" t="str" cm="1">
        <f t="array" ref="D78">Common_InputFunctions.Utility_DisplayArrayInTable(Refrigerants_SourceData.Refrigerants_ChemicalBlends_Data(), Table_RefrigerantBlends[[#Headers],[Blend]], 0)</f>
        <v>R-413A</v>
      </c>
      <c r="E78" s="73" t="str" cm="1">
        <f t="array" ref="E78">Common_InputFunctions.Utility_DisplayArrayInTable(Refrigerants_SourceData.Refrigerants_ChemicalBlends_Data(), Table_RefrigerantBlends[[#Headers],[Blend]], 0)</f>
        <v>PFC-218/HFC-134a/HC-600a</v>
      </c>
      <c r="F78" s="73" t="str" cm="1">
        <f t="array" ref="F78">Common_InputFunctions.Utility_DisplayArrayInTable(Refrigerants_SourceData.Refrigerants_ChemicalBlends_Data(), Table_RefrigerantBlends[[#Headers],[Blend]], 0)</f>
        <v>(9.0/88.0/3.0)</v>
      </c>
      <c r="G78" s="71"/>
      <c r="H78" s="71"/>
      <c r="I78" s="71"/>
      <c r="J78" s="71"/>
      <c r="K78" s="71"/>
      <c r="L78" s="71"/>
      <c r="M78" s="71"/>
      <c r="N78" s="71"/>
      <c r="O78" s="71"/>
      <c r="P78" s="71"/>
      <c r="Q78" s="71"/>
    </row>
    <row r="79" spans="4:17" ht="20.100000000000001" customHeight="1" x14ac:dyDescent="0.25">
      <c r="D79" s="73" t="str" cm="1">
        <f t="array" ref="D79">Common_InputFunctions.Utility_DisplayArrayInTable(Refrigerants_SourceData.Refrigerants_ChemicalBlends_Data(), Table_RefrigerantBlends[[#Headers],[Blend]], 0)</f>
        <v>R-414A</v>
      </c>
      <c r="E79" s="73" t="str" cm="1">
        <f t="array" ref="E79">Common_InputFunctions.Utility_DisplayArrayInTable(Refrigerants_SourceData.Refrigerants_ChemicalBlends_Data(), Table_RefrigerantBlends[[#Headers],[Blend]], 0)</f>
        <v>HCFC-22/HCFC-124/HC-600a/HCFC-142b</v>
      </c>
      <c r="F79" s="73" t="str" cm="1">
        <f t="array" ref="F79">Common_InputFunctions.Utility_DisplayArrayInTable(Refrigerants_SourceData.Refrigerants_ChemicalBlends_Data(), Table_RefrigerantBlends[[#Headers],[Blend]], 0)</f>
        <v>(51.0/28.5/4.0/16.5)</v>
      </c>
      <c r="G79" s="71"/>
      <c r="H79" s="71"/>
      <c r="I79" s="71"/>
      <c r="J79" s="71"/>
      <c r="K79" s="71"/>
      <c r="L79" s="71"/>
      <c r="M79" s="71"/>
      <c r="N79" s="71"/>
      <c r="O79" s="71"/>
      <c r="P79" s="71"/>
      <c r="Q79" s="71"/>
    </row>
    <row r="80" spans="4:17" ht="20.100000000000001" customHeight="1" x14ac:dyDescent="0.25">
      <c r="D80" s="73" t="str" cm="1">
        <f t="array" ref="D80">Common_InputFunctions.Utility_DisplayArrayInTable(Refrigerants_SourceData.Refrigerants_ChemicalBlends_Data(), Table_RefrigerantBlends[[#Headers],[Blend]], 0)</f>
        <v>R-414B</v>
      </c>
      <c r="E80" s="73" t="str" cm="1">
        <f t="array" ref="E80">Common_InputFunctions.Utility_DisplayArrayInTable(Refrigerants_SourceData.Refrigerants_ChemicalBlends_Data(), Table_RefrigerantBlends[[#Headers],[Blend]], 0)</f>
        <v>HCFC-22/HCFC-124/HC-600a/HCFC-142b</v>
      </c>
      <c r="F80" s="73" t="str" cm="1">
        <f t="array" ref="F80">Common_InputFunctions.Utility_DisplayArrayInTable(Refrigerants_SourceData.Refrigerants_ChemicalBlends_Data(), Table_RefrigerantBlends[[#Headers],[Blend]], 0)</f>
        <v>(50.0/39.0/1.5/9.5)</v>
      </c>
      <c r="G80" s="71"/>
      <c r="H80" s="71"/>
      <c r="I80" s="71"/>
      <c r="J80" s="71"/>
      <c r="K80" s="71"/>
      <c r="L80" s="71"/>
      <c r="M80" s="71"/>
      <c r="N80" s="71"/>
      <c r="O80" s="71"/>
      <c r="P80" s="71"/>
      <c r="Q80" s="71"/>
    </row>
    <row r="81" spans="4:17" ht="20.100000000000001" customHeight="1" x14ac:dyDescent="0.25">
      <c r="D81" s="73" t="str" cm="1">
        <f t="array" ref="D81">Common_InputFunctions.Utility_DisplayArrayInTable(Refrigerants_SourceData.Refrigerants_ChemicalBlends_Data(), Table_RefrigerantBlends[[#Headers],[Blend]], 0)</f>
        <v>R-415A</v>
      </c>
      <c r="E81" s="73" t="str" cm="1">
        <f t="array" ref="E81">Common_InputFunctions.Utility_DisplayArrayInTable(Refrigerants_SourceData.Refrigerants_ChemicalBlends_Data(), Table_RefrigerantBlends[[#Headers],[Blend]], 0)</f>
        <v>HCFC-22/HFC-152a</v>
      </c>
      <c r="F81" s="73" t="str" cm="1">
        <f t="array" ref="F81">Common_InputFunctions.Utility_DisplayArrayInTable(Refrigerants_SourceData.Refrigerants_ChemicalBlends_Data(), Table_RefrigerantBlends[[#Headers],[Blend]], 0)</f>
        <v>(82.0/18.0)</v>
      </c>
      <c r="G81" s="71"/>
      <c r="H81" s="71"/>
      <c r="I81" s="71"/>
      <c r="J81" s="71"/>
      <c r="K81" s="71"/>
      <c r="L81" s="71"/>
      <c r="M81" s="71"/>
      <c r="N81" s="71"/>
      <c r="O81" s="71"/>
      <c r="P81" s="71"/>
      <c r="Q81" s="71"/>
    </row>
    <row r="82" spans="4:17" ht="20.100000000000001" customHeight="1" x14ac:dyDescent="0.25">
      <c r="D82" s="73" t="str" cm="1">
        <f t="array" ref="D82">Common_InputFunctions.Utility_DisplayArrayInTable(Refrigerants_SourceData.Refrigerants_ChemicalBlends_Data(), Table_RefrigerantBlends[[#Headers],[Blend]], 0)</f>
        <v>R-415B</v>
      </c>
      <c r="E82" s="73" t="str" cm="1">
        <f t="array" ref="E82">Common_InputFunctions.Utility_DisplayArrayInTable(Refrigerants_SourceData.Refrigerants_ChemicalBlends_Data(), Table_RefrigerantBlends[[#Headers],[Blend]], 0)</f>
        <v>HCFC-22/HFC-152a</v>
      </c>
      <c r="F82" s="73" t="str" cm="1">
        <f t="array" ref="F82">Common_InputFunctions.Utility_DisplayArrayInTable(Refrigerants_SourceData.Refrigerants_ChemicalBlends_Data(), Table_RefrigerantBlends[[#Headers],[Blend]], 0)</f>
        <v>(25.0/75.0)</v>
      </c>
      <c r="G82" s="71"/>
      <c r="H82" s="71"/>
      <c r="I82" s="71"/>
      <c r="J82" s="71"/>
      <c r="K82" s="71"/>
      <c r="L82" s="71"/>
      <c r="M82" s="71"/>
      <c r="N82" s="71"/>
      <c r="O82" s="71"/>
      <c r="P82" s="71"/>
      <c r="Q82" s="71"/>
    </row>
    <row r="83" spans="4:17" ht="20.100000000000001" customHeight="1" x14ac:dyDescent="0.25">
      <c r="D83" s="73" t="str" cm="1">
        <f t="array" ref="D83">Common_InputFunctions.Utility_DisplayArrayInTable(Refrigerants_SourceData.Refrigerants_ChemicalBlends_Data(), Table_RefrigerantBlends[[#Headers],[Blend]], 0)</f>
        <v>R-416A</v>
      </c>
      <c r="E83" s="73" t="str" cm="1">
        <f t="array" ref="E83">Common_InputFunctions.Utility_DisplayArrayInTable(Refrigerants_SourceData.Refrigerants_ChemicalBlends_Data(), Table_RefrigerantBlends[[#Headers],[Blend]], 0)</f>
        <v>HFC-134a/HCFC-124/HC-600</v>
      </c>
      <c r="F83" s="73" t="str" cm="1">
        <f t="array" ref="F83">Common_InputFunctions.Utility_DisplayArrayInTable(Refrigerants_SourceData.Refrigerants_ChemicalBlends_Data(), Table_RefrigerantBlends[[#Headers],[Blend]], 0)</f>
        <v>(59.0/39.5/1.5)</v>
      </c>
      <c r="G83" s="71"/>
      <c r="H83" s="71"/>
      <c r="I83" s="71"/>
      <c r="J83" s="71"/>
      <c r="K83" s="71"/>
      <c r="L83" s="71"/>
      <c r="M83" s="71"/>
      <c r="N83" s="71"/>
      <c r="O83" s="71"/>
      <c r="P83" s="71"/>
      <c r="Q83" s="71"/>
    </row>
    <row r="84" spans="4:17" ht="20.100000000000001" customHeight="1" x14ac:dyDescent="0.25">
      <c r="D84" s="73" t="str" cm="1">
        <f t="array" ref="D84">Common_InputFunctions.Utility_DisplayArrayInTable(Refrigerants_SourceData.Refrigerants_ChemicalBlends_Data(), Table_RefrigerantBlends[[#Headers],[Blend]], 0)</f>
        <v>R-417A</v>
      </c>
      <c r="E84" s="73" t="str" cm="1">
        <f t="array" ref="E84">Common_InputFunctions.Utility_DisplayArrayInTable(Refrigerants_SourceData.Refrigerants_ChemicalBlends_Data(), Table_RefrigerantBlends[[#Headers],[Blend]], 0)</f>
        <v>HFC-125/HFC-134a/HC-600</v>
      </c>
      <c r="F84" s="73" t="str" cm="1">
        <f t="array" ref="F84">Common_InputFunctions.Utility_DisplayArrayInTable(Refrigerants_SourceData.Refrigerants_ChemicalBlends_Data(), Table_RefrigerantBlends[[#Headers],[Blend]], 0)</f>
        <v>(46.6/50.0/3.4)</v>
      </c>
      <c r="G84" s="71"/>
      <c r="H84" s="71"/>
      <c r="I84" s="71"/>
      <c r="J84" s="71"/>
      <c r="K84" s="71"/>
      <c r="L84" s="71"/>
      <c r="M84" s="71"/>
      <c r="N84" s="71"/>
      <c r="O84" s="71"/>
      <c r="P84" s="71"/>
      <c r="Q84" s="71"/>
    </row>
    <row r="85" spans="4:17" ht="20.100000000000001" customHeight="1" x14ac:dyDescent="0.25">
      <c r="D85" s="73" t="str" cm="1">
        <f t="array" ref="D85">Common_InputFunctions.Utility_DisplayArrayInTable(Refrigerants_SourceData.Refrigerants_ChemicalBlends_Data(), Table_RefrigerantBlends[[#Headers],[Blend]], 0)</f>
        <v>R-418A</v>
      </c>
      <c r="E85" s="73" t="str" cm="1">
        <f t="array" ref="E85">Common_InputFunctions.Utility_DisplayArrayInTable(Refrigerants_SourceData.Refrigerants_ChemicalBlends_Data(), Table_RefrigerantBlends[[#Headers],[Blend]], 0)</f>
        <v>HC-290/HCFC-22/HFC-152a</v>
      </c>
      <c r="F85" s="73" t="str" cm="1">
        <f t="array" ref="F85">Common_InputFunctions.Utility_DisplayArrayInTable(Refrigerants_SourceData.Refrigerants_ChemicalBlends_Data(), Table_RefrigerantBlends[[#Headers],[Blend]], 0)</f>
        <v>(1.5/96.0/2.5)</v>
      </c>
      <c r="G85" s="71"/>
      <c r="H85" s="71"/>
      <c r="I85" s="71"/>
      <c r="J85" s="71"/>
      <c r="K85" s="71"/>
      <c r="L85" s="71"/>
      <c r="M85" s="71"/>
      <c r="N85" s="71"/>
      <c r="O85" s="71"/>
      <c r="P85" s="71"/>
      <c r="Q85" s="71"/>
    </row>
    <row r="86" spans="4:17" ht="20.100000000000001" customHeight="1" x14ac:dyDescent="0.25">
      <c r="D86" s="73" t="str" cm="1">
        <f t="array" ref="D86">Common_InputFunctions.Utility_DisplayArrayInTable(Refrigerants_SourceData.Refrigerants_ChemicalBlends_Data(), Table_RefrigerantBlends[[#Headers],[Blend]], 0)</f>
        <v>R-419A</v>
      </c>
      <c r="E86" s="73" t="str" cm="1">
        <f t="array" ref="E86">Common_InputFunctions.Utility_DisplayArrayInTable(Refrigerants_SourceData.Refrigerants_ChemicalBlends_Data(), Table_RefrigerantBlends[[#Headers],[Blend]], 0)</f>
        <v>HFC-125/HFC-134a/HE-E170</v>
      </c>
      <c r="F86" s="73" t="str" cm="1">
        <f t="array" ref="F86">Common_InputFunctions.Utility_DisplayArrayInTable(Refrigerants_SourceData.Refrigerants_ChemicalBlends_Data(), Table_RefrigerantBlends[[#Headers],[Blend]], 0)</f>
        <v>(77.0/19.0/4.0)</v>
      </c>
      <c r="G86" s="71"/>
      <c r="H86" s="71"/>
      <c r="I86" s="71"/>
      <c r="J86" s="71"/>
      <c r="K86" s="71"/>
      <c r="L86" s="71"/>
      <c r="M86" s="71"/>
      <c r="N86" s="71"/>
      <c r="O86" s="71"/>
      <c r="P86" s="71"/>
      <c r="Q86" s="71"/>
    </row>
    <row r="87" spans="4:17" ht="20.100000000000001" customHeight="1" x14ac:dyDescent="0.25">
      <c r="D87" s="73" t="str" cm="1">
        <f t="array" ref="D87">Common_InputFunctions.Utility_DisplayArrayInTable(Refrigerants_SourceData.Refrigerants_ChemicalBlends_Data(), Table_RefrigerantBlends[[#Headers],[Blend]], 0)</f>
        <v>R-420A</v>
      </c>
      <c r="E87" s="73" t="str" cm="1">
        <f t="array" ref="E87">Common_InputFunctions.Utility_DisplayArrayInTable(Refrigerants_SourceData.Refrigerants_ChemicalBlends_Data(), Table_RefrigerantBlends[[#Headers],[Blend]], 0)</f>
        <v>HFC-134a/HCFC-142b</v>
      </c>
      <c r="F87" s="73" t="str" cm="1">
        <f t="array" ref="F87">Common_InputFunctions.Utility_DisplayArrayInTable(Refrigerants_SourceData.Refrigerants_ChemicalBlends_Data(), Table_RefrigerantBlends[[#Headers],[Blend]], 0)</f>
        <v>(88.0/12.0)</v>
      </c>
      <c r="G87" s="71"/>
      <c r="H87" s="71"/>
      <c r="I87" s="71"/>
      <c r="J87" s="71"/>
      <c r="K87" s="71"/>
      <c r="L87" s="71"/>
      <c r="M87" s="71"/>
      <c r="N87" s="71"/>
      <c r="O87" s="71"/>
      <c r="P87" s="71"/>
      <c r="Q87" s="71"/>
    </row>
    <row r="88" spans="4:17" ht="20.100000000000001" customHeight="1" x14ac:dyDescent="0.25">
      <c r="D88" s="73" t="str" cm="1">
        <f t="array" ref="D88">Common_InputFunctions.Utility_DisplayArrayInTable(Refrigerants_SourceData.Refrigerants_ChemicalBlends_Data(), Table_RefrigerantBlends[[#Headers],[Blend]], 0)</f>
        <v>R-421A</v>
      </c>
      <c r="E88" s="73" t="str" cm="1">
        <f t="array" ref="E88">Common_InputFunctions.Utility_DisplayArrayInTable(Refrigerants_SourceData.Refrigerants_ChemicalBlends_Data(), Table_RefrigerantBlends[[#Headers],[Blend]], 0)</f>
        <v>HFC-125/HFC-134a</v>
      </c>
      <c r="F88" s="73" t="str" cm="1">
        <f t="array" ref="F88">Common_InputFunctions.Utility_DisplayArrayInTable(Refrigerants_SourceData.Refrigerants_ChemicalBlends_Data(), Table_RefrigerantBlends[[#Headers],[Blend]], 0)</f>
        <v>(58.0/42.0)</v>
      </c>
      <c r="G88" s="71"/>
      <c r="H88" s="71"/>
      <c r="I88" s="71"/>
      <c r="J88" s="71"/>
      <c r="K88" s="71"/>
      <c r="L88" s="71"/>
      <c r="M88" s="71"/>
      <c r="N88" s="71"/>
      <c r="O88" s="71"/>
      <c r="P88" s="71"/>
      <c r="Q88" s="71"/>
    </row>
    <row r="89" spans="4:17" ht="20.100000000000001" customHeight="1" x14ac:dyDescent="0.25">
      <c r="D89" s="73" t="str" cm="1">
        <f t="array" ref="D89">Common_InputFunctions.Utility_DisplayArrayInTable(Refrigerants_SourceData.Refrigerants_ChemicalBlends_Data(), Table_RefrigerantBlends[[#Headers],[Blend]], 0)</f>
        <v>R-422A</v>
      </c>
      <c r="E89" s="73" t="str" cm="1">
        <f t="array" ref="E89">Common_InputFunctions.Utility_DisplayArrayInTable(Refrigerants_SourceData.Refrigerants_ChemicalBlends_Data(), Table_RefrigerantBlends[[#Headers],[Blend]], 0)</f>
        <v>HFC-125/HFC-134a/HC-600a</v>
      </c>
      <c r="F89" s="73" t="str" cm="1">
        <f t="array" ref="F89">Common_InputFunctions.Utility_DisplayArrayInTable(Refrigerants_SourceData.Refrigerants_ChemicalBlends_Data(), Table_RefrigerantBlends[[#Headers],[Blend]], 0)</f>
        <v>(85.1/11.5/3.4)</v>
      </c>
      <c r="G89" s="71"/>
      <c r="H89" s="71"/>
      <c r="I89" s="71"/>
      <c r="J89" s="71"/>
      <c r="K89" s="71"/>
      <c r="L89" s="71"/>
      <c r="M89" s="71"/>
      <c r="N89" s="71"/>
      <c r="O89" s="71"/>
      <c r="P89" s="71"/>
      <c r="Q89" s="71"/>
    </row>
    <row r="90" spans="4:17" ht="20.100000000000001" customHeight="1" x14ac:dyDescent="0.25">
      <c r="D90" s="73" t="str" cm="1">
        <f t="array" ref="D90">Common_InputFunctions.Utility_DisplayArrayInTable(Refrigerants_SourceData.Refrigerants_ChemicalBlends_Data(), Table_RefrigerantBlends[[#Headers],[Blend]], 0)</f>
        <v>R-422B</v>
      </c>
      <c r="E90" s="73" t="str" cm="1">
        <f t="array" ref="E90">Common_InputFunctions.Utility_DisplayArrayInTable(Refrigerants_SourceData.Refrigerants_ChemicalBlends_Data(), Table_RefrigerantBlends[[#Headers],[Blend]], 0)</f>
        <v>HFC-125/HFC-134a/HC-600a</v>
      </c>
      <c r="F90" s="73" t="str" cm="1">
        <f t="array" ref="F90">Common_InputFunctions.Utility_DisplayArrayInTable(Refrigerants_SourceData.Refrigerants_ChemicalBlends_Data(), Table_RefrigerantBlends[[#Headers],[Blend]], 0)</f>
        <v>(55.0/42.0/3.0)</v>
      </c>
      <c r="G90" s="71"/>
      <c r="H90" s="71"/>
      <c r="I90" s="71"/>
      <c r="J90" s="71"/>
      <c r="K90" s="71"/>
      <c r="L90" s="71"/>
      <c r="M90" s="71"/>
      <c r="N90" s="71"/>
      <c r="O90" s="71"/>
      <c r="P90" s="71"/>
      <c r="Q90" s="71"/>
    </row>
    <row r="91" spans="4:17" ht="20.100000000000001" customHeight="1" x14ac:dyDescent="0.25">
      <c r="D91" s="73" t="str" cm="1">
        <f t="array" ref="D91">Common_InputFunctions.Utility_DisplayArrayInTable(Refrigerants_SourceData.Refrigerants_ChemicalBlends_Data(), Table_RefrigerantBlends[[#Headers],[Blend]], 0)</f>
        <v>R-422C</v>
      </c>
      <c r="E91" s="73" t="str" cm="1">
        <f t="array" ref="E91">Common_InputFunctions.Utility_DisplayArrayInTable(Refrigerants_SourceData.Refrigerants_ChemicalBlends_Data(), Table_RefrigerantBlends[[#Headers],[Blend]], 0)</f>
        <v>HFC-125/HFC-134a/HC-600a</v>
      </c>
      <c r="F91" s="73" t="str" cm="1">
        <f t="array" ref="F91">Common_InputFunctions.Utility_DisplayArrayInTable(Refrigerants_SourceData.Refrigerants_ChemicalBlends_Data(), Table_RefrigerantBlends[[#Headers],[Blend]], 0)</f>
        <v>(82.0/15.0/3.0)</v>
      </c>
      <c r="G91" s="71"/>
      <c r="H91" s="71"/>
      <c r="I91" s="71"/>
      <c r="J91" s="71"/>
      <c r="K91" s="71"/>
      <c r="L91" s="71"/>
      <c r="M91" s="71"/>
      <c r="N91" s="71"/>
      <c r="O91" s="71"/>
      <c r="P91" s="71"/>
      <c r="Q91" s="71"/>
    </row>
    <row r="92" spans="4:17" ht="20.100000000000001" customHeight="1" x14ac:dyDescent="0.25">
      <c r="D92" s="73" t="str" cm="1">
        <f t="array" ref="D92">Common_InputFunctions.Utility_DisplayArrayInTable(Refrigerants_SourceData.Refrigerants_ChemicalBlends_Data(), Table_RefrigerantBlends[[#Headers],[Blend]], 0)</f>
        <v>R-500</v>
      </c>
      <c r="E92" s="73" t="str" cm="1">
        <f t="array" ref="E92">Common_InputFunctions.Utility_DisplayArrayInTable(Refrigerants_SourceData.Refrigerants_ChemicalBlends_Data(), Table_RefrigerantBlends[[#Headers],[Blend]], 0)</f>
        <v>CFC-12/HFC-152a</v>
      </c>
      <c r="F92" s="73" t="str" cm="1">
        <f t="array" ref="F92">Common_InputFunctions.Utility_DisplayArrayInTable(Refrigerants_SourceData.Refrigerants_ChemicalBlends_Data(), Table_RefrigerantBlends[[#Headers],[Blend]], 0)</f>
        <v>(73.8/26.2)</v>
      </c>
      <c r="G92" s="71"/>
      <c r="H92" s="71"/>
      <c r="I92" s="71"/>
      <c r="J92" s="71"/>
      <c r="K92" s="71"/>
      <c r="L92" s="71"/>
      <c r="M92" s="71"/>
      <c r="N92" s="71"/>
      <c r="O92" s="71"/>
      <c r="P92" s="71"/>
      <c r="Q92" s="71"/>
    </row>
    <row r="93" spans="4:17" ht="20.100000000000001" customHeight="1" x14ac:dyDescent="0.25">
      <c r="D93" s="73" t="str" cm="1">
        <f t="array" ref="D93">Common_InputFunctions.Utility_DisplayArrayInTable(Refrigerants_SourceData.Refrigerants_ChemicalBlends_Data(), Table_RefrigerantBlends[[#Headers],[Blend]], 0)</f>
        <v>R-501</v>
      </c>
      <c r="E93" s="73" t="str" cm="1">
        <f t="array" ref="E93">Common_InputFunctions.Utility_DisplayArrayInTable(Refrigerants_SourceData.Refrigerants_ChemicalBlends_Data(), Table_RefrigerantBlends[[#Headers],[Blend]], 0)</f>
        <v>HCFC-22/CFC-12</v>
      </c>
      <c r="F93" s="73" t="str" cm="1">
        <f t="array" ref="F93">Common_InputFunctions.Utility_DisplayArrayInTable(Refrigerants_SourceData.Refrigerants_ChemicalBlends_Data(), Table_RefrigerantBlends[[#Headers],[Blend]], 0)</f>
        <v>(75.0/25.0)</v>
      </c>
      <c r="G93" s="71"/>
      <c r="H93" s="71"/>
      <c r="I93" s="71"/>
      <c r="J93" s="71"/>
      <c r="K93" s="71"/>
      <c r="L93" s="71"/>
      <c r="M93" s="71"/>
      <c r="N93" s="71"/>
      <c r="O93" s="71"/>
      <c r="P93" s="71"/>
      <c r="Q93" s="71"/>
    </row>
    <row r="94" spans="4:17" ht="20.100000000000001" customHeight="1" x14ac:dyDescent="0.25">
      <c r="D94" s="73" t="str" cm="1">
        <f t="array" ref="D94">Common_InputFunctions.Utility_DisplayArrayInTable(Refrigerants_SourceData.Refrigerants_ChemicalBlends_Data(), Table_RefrigerantBlends[[#Headers],[Blend]], 0)</f>
        <v>R-502</v>
      </c>
      <c r="E94" s="73" t="str" cm="1">
        <f t="array" ref="E94">Common_InputFunctions.Utility_DisplayArrayInTable(Refrigerants_SourceData.Refrigerants_ChemicalBlends_Data(), Table_RefrigerantBlends[[#Headers],[Blend]], 0)</f>
        <v>HCFC-22/CFC-115</v>
      </c>
      <c r="F94" s="73" t="str" cm="1">
        <f t="array" ref="F94">Common_InputFunctions.Utility_DisplayArrayInTable(Refrigerants_SourceData.Refrigerants_ChemicalBlends_Data(), Table_RefrigerantBlends[[#Headers],[Blend]], 0)</f>
        <v>(48.8/51.2)</v>
      </c>
      <c r="G94" s="71"/>
      <c r="H94" s="71"/>
      <c r="I94" s="71"/>
      <c r="J94" s="71"/>
      <c r="K94" s="71"/>
      <c r="L94" s="71"/>
      <c r="M94" s="71"/>
      <c r="N94" s="71"/>
      <c r="O94" s="71"/>
      <c r="P94" s="71"/>
      <c r="Q94" s="71"/>
    </row>
    <row r="95" spans="4:17" ht="20.100000000000001" customHeight="1" x14ac:dyDescent="0.25">
      <c r="D95" s="73" t="str" cm="1">
        <f t="array" ref="D95">Common_InputFunctions.Utility_DisplayArrayInTable(Refrigerants_SourceData.Refrigerants_ChemicalBlends_Data(), Table_RefrigerantBlends[[#Headers],[Blend]], 0)</f>
        <v>R-503</v>
      </c>
      <c r="E95" s="73" t="str" cm="1">
        <f t="array" ref="E95">Common_InputFunctions.Utility_DisplayArrayInTable(Refrigerants_SourceData.Refrigerants_ChemicalBlends_Data(), Table_RefrigerantBlends[[#Headers],[Blend]], 0)</f>
        <v>HFC-23/CFC-13</v>
      </c>
      <c r="F95" s="73" t="str" cm="1">
        <f t="array" ref="F95">Common_InputFunctions.Utility_DisplayArrayInTable(Refrigerants_SourceData.Refrigerants_ChemicalBlends_Data(), Table_RefrigerantBlends[[#Headers],[Blend]], 0)</f>
        <v>(40.1/59.9)</v>
      </c>
      <c r="G95" s="71"/>
      <c r="H95" s="71"/>
      <c r="I95" s="71"/>
      <c r="J95" s="71"/>
      <c r="K95" s="71"/>
      <c r="L95" s="71"/>
      <c r="M95" s="71"/>
      <c r="N95" s="71"/>
      <c r="O95" s="71"/>
      <c r="P95" s="71"/>
      <c r="Q95" s="71"/>
    </row>
    <row r="96" spans="4:17" ht="20.100000000000001" customHeight="1" x14ac:dyDescent="0.25">
      <c r="D96" s="73" t="str" cm="1">
        <f t="array" ref="D96">Common_InputFunctions.Utility_DisplayArrayInTable(Refrigerants_SourceData.Refrigerants_ChemicalBlends_Data(), Table_RefrigerantBlends[[#Headers],[Blend]], 0)</f>
        <v>R-504</v>
      </c>
      <c r="E96" s="73" t="str" cm="1">
        <f t="array" ref="E96">Common_InputFunctions.Utility_DisplayArrayInTable(Refrigerants_SourceData.Refrigerants_ChemicalBlends_Data(), Table_RefrigerantBlends[[#Headers],[Blend]], 0)</f>
        <v>HFC-32/CFC-115</v>
      </c>
      <c r="F96" s="73" t="str" cm="1">
        <f t="array" ref="F96">Common_InputFunctions.Utility_DisplayArrayInTable(Refrigerants_SourceData.Refrigerants_ChemicalBlends_Data(), Table_RefrigerantBlends[[#Headers],[Blend]], 0)</f>
        <v>(48.2/51.8)</v>
      </c>
      <c r="G96" s="71"/>
      <c r="H96" s="71"/>
      <c r="I96" s="71"/>
      <c r="J96" s="71"/>
      <c r="K96" s="71"/>
      <c r="L96" s="71"/>
      <c r="M96" s="71"/>
      <c r="N96" s="71"/>
      <c r="O96" s="71"/>
      <c r="P96" s="71"/>
      <c r="Q96" s="71"/>
    </row>
    <row r="97" spans="4:17" ht="20.100000000000001" customHeight="1" x14ac:dyDescent="0.25">
      <c r="D97" s="73" t="str" cm="1">
        <f t="array" ref="D97">Common_InputFunctions.Utility_DisplayArrayInTable(Refrigerants_SourceData.Refrigerants_ChemicalBlends_Data(), Table_RefrigerantBlends[[#Headers],[Blend]], 0)</f>
        <v>R-505</v>
      </c>
      <c r="E97" s="73" t="str" cm="1">
        <f t="array" ref="E97">Common_InputFunctions.Utility_DisplayArrayInTable(Refrigerants_SourceData.Refrigerants_ChemicalBlends_Data(), Table_RefrigerantBlends[[#Headers],[Blend]], 0)</f>
        <v>CFC-12/HCFC-31</v>
      </c>
      <c r="F97" s="73" t="str" cm="1">
        <f t="array" ref="F97">Common_InputFunctions.Utility_DisplayArrayInTable(Refrigerants_SourceData.Refrigerants_ChemicalBlends_Data(), Table_RefrigerantBlends[[#Headers],[Blend]], 0)</f>
        <v>(78.0/22.0)</v>
      </c>
      <c r="G97" s="71"/>
      <c r="H97" s="71"/>
      <c r="I97" s="71"/>
      <c r="J97" s="71"/>
      <c r="K97" s="71"/>
      <c r="L97" s="71"/>
      <c r="M97" s="71"/>
      <c r="N97" s="71"/>
      <c r="O97" s="71"/>
      <c r="P97" s="71"/>
      <c r="Q97" s="71"/>
    </row>
    <row r="98" spans="4:17" ht="20.100000000000001" customHeight="1" x14ac:dyDescent="0.25">
      <c r="D98" s="73" t="str" cm="1">
        <f t="array" ref="D98">Common_InputFunctions.Utility_DisplayArrayInTable(Refrigerants_SourceData.Refrigerants_ChemicalBlends_Data(), Table_RefrigerantBlends[[#Headers],[Blend]], 0)</f>
        <v>R-506</v>
      </c>
      <c r="E98" s="73" t="str" cm="1">
        <f t="array" ref="E98">Common_InputFunctions.Utility_DisplayArrayInTable(Refrigerants_SourceData.Refrigerants_ChemicalBlends_Data(), Table_RefrigerantBlends[[#Headers],[Blend]], 0)</f>
        <v>CFC-31/CFC-114</v>
      </c>
      <c r="F98" s="73" t="str" cm="1">
        <f t="array" ref="F98">Common_InputFunctions.Utility_DisplayArrayInTable(Refrigerants_SourceData.Refrigerants_ChemicalBlends_Data(), Table_RefrigerantBlends[[#Headers],[Blend]], 0)</f>
        <v>(55.1/44.9)</v>
      </c>
      <c r="G98" s="71"/>
      <c r="H98" s="71"/>
      <c r="I98" s="71"/>
      <c r="J98" s="71"/>
      <c r="K98" s="71"/>
      <c r="L98" s="71"/>
      <c r="M98" s="71"/>
      <c r="N98" s="71"/>
      <c r="O98" s="71"/>
      <c r="P98" s="71"/>
      <c r="Q98" s="71"/>
    </row>
    <row r="99" spans="4:17" ht="20.100000000000001" customHeight="1" x14ac:dyDescent="0.25">
      <c r="D99" s="73" t="str" cm="1">
        <f t="array" ref="D99">Common_InputFunctions.Utility_DisplayArrayInTable(Refrigerants_SourceData.Refrigerants_ChemicalBlends_Data(), Table_RefrigerantBlends[[#Headers],[Blend]], 0)</f>
        <v>R-507A</v>
      </c>
      <c r="E99" s="73" t="str" cm="1">
        <f t="array" ref="E99">Common_InputFunctions.Utility_DisplayArrayInTable(Refrigerants_SourceData.Refrigerants_ChemicalBlends_Data(), Table_RefrigerantBlends[[#Headers],[Blend]], 0)</f>
        <v>HFC-125/HFC-143a</v>
      </c>
      <c r="F99" s="73" t="str" cm="1">
        <f t="array" ref="F99">Common_InputFunctions.Utility_DisplayArrayInTable(Refrigerants_SourceData.Refrigerants_ChemicalBlends_Data(), Table_RefrigerantBlends[[#Headers],[Blend]], 0)</f>
        <v>(50.0/50.0)</v>
      </c>
      <c r="G99" s="71"/>
      <c r="H99" s="71"/>
      <c r="I99" s="71"/>
      <c r="J99" s="71"/>
      <c r="K99" s="71"/>
      <c r="L99" s="71"/>
      <c r="M99" s="71"/>
      <c r="N99" s="71"/>
      <c r="O99" s="71"/>
      <c r="P99" s="71"/>
      <c r="Q99" s="71"/>
    </row>
    <row r="100" spans="4:17" ht="20.100000000000001" customHeight="1" x14ac:dyDescent="0.25">
      <c r="D100" s="73" t="str" cm="1">
        <f t="array" ref="D100">Common_InputFunctions.Utility_DisplayArrayInTable(Refrigerants_SourceData.Refrigerants_ChemicalBlends_Data(), Table_RefrigerantBlends[[#Headers],[Blend]], 0)</f>
        <v>R-508A</v>
      </c>
      <c r="E100" s="73" t="str" cm="1">
        <f t="array" ref="E100">Common_InputFunctions.Utility_DisplayArrayInTable(Refrigerants_SourceData.Refrigerants_ChemicalBlends_Data(), Table_RefrigerantBlends[[#Headers],[Blend]], 0)</f>
        <v>HFC-23/PFC-116</v>
      </c>
      <c r="F100" s="73" t="str" cm="1">
        <f t="array" ref="F100">Common_InputFunctions.Utility_DisplayArrayInTable(Refrigerants_SourceData.Refrigerants_ChemicalBlends_Data(), Table_RefrigerantBlends[[#Headers],[Blend]], 0)</f>
        <v>(39.0/61.0)</v>
      </c>
      <c r="G100" s="71"/>
      <c r="H100" s="71"/>
      <c r="I100" s="71"/>
      <c r="J100" s="71"/>
      <c r="K100" s="71"/>
      <c r="L100" s="71"/>
      <c r="M100" s="71"/>
      <c r="N100" s="71"/>
      <c r="O100" s="71"/>
      <c r="P100" s="71"/>
      <c r="Q100" s="71"/>
    </row>
    <row r="101" spans="4:17" ht="20.100000000000001" customHeight="1" x14ac:dyDescent="0.25">
      <c r="D101" s="73" t="str" cm="1">
        <f t="array" ref="D101">Common_InputFunctions.Utility_DisplayArrayInTable(Refrigerants_SourceData.Refrigerants_ChemicalBlends_Data(), Table_RefrigerantBlends[[#Headers],[Blend]], 0)</f>
        <v>R-508B</v>
      </c>
      <c r="E101" s="73" t="str" cm="1">
        <f t="array" ref="E101">Common_InputFunctions.Utility_DisplayArrayInTable(Refrigerants_SourceData.Refrigerants_ChemicalBlends_Data(), Table_RefrigerantBlends[[#Headers],[Blend]], 0)</f>
        <v>HFC-23/PFC-116</v>
      </c>
      <c r="F101" s="73" t="str" cm="1">
        <f t="array" ref="F101">Common_InputFunctions.Utility_DisplayArrayInTable(Refrigerants_SourceData.Refrigerants_ChemicalBlends_Data(), Table_RefrigerantBlends[[#Headers],[Blend]], 0)</f>
        <v>(46.0/54.0)</v>
      </c>
      <c r="G101" s="71"/>
      <c r="H101" s="71"/>
      <c r="I101" s="71"/>
      <c r="J101" s="71"/>
      <c r="K101" s="71"/>
      <c r="L101" s="71"/>
      <c r="M101" s="71"/>
      <c r="N101" s="71"/>
      <c r="O101" s="71"/>
      <c r="P101" s="71"/>
      <c r="Q101" s="71"/>
    </row>
    <row r="102" spans="4:17" ht="20.100000000000001" customHeight="1" x14ac:dyDescent="0.25">
      <c r="D102" s="73" t="str" cm="1">
        <f t="array" ref="D102">Common_InputFunctions.Utility_DisplayArrayInTable(Refrigerants_SourceData.Refrigerants_ChemicalBlends_Data(), Table_RefrigerantBlends[[#Headers],[Blend]], 0)</f>
        <v>R-509A</v>
      </c>
      <c r="E102" s="73" t="str" cm="1">
        <f t="array" ref="E102">Common_InputFunctions.Utility_DisplayArrayInTable(Refrigerants_SourceData.Refrigerants_ChemicalBlends_Data(), Table_RefrigerantBlends[[#Headers],[Blend]], 0)</f>
        <v>HCFC-22/PFC-218</v>
      </c>
      <c r="F102" s="73" t="str" cm="1">
        <f t="array" ref="F102">Common_InputFunctions.Utility_DisplayArrayInTable(Refrigerants_SourceData.Refrigerants_ChemicalBlends_Data(), Table_RefrigerantBlends[[#Headers],[Blend]], 0)</f>
        <v>(44.0/56.0)</v>
      </c>
      <c r="G102" s="71"/>
      <c r="H102" s="71"/>
      <c r="I102" s="71"/>
      <c r="J102" s="71"/>
      <c r="K102" s="71"/>
      <c r="L102" s="71"/>
      <c r="M102" s="71"/>
      <c r="N102" s="71"/>
      <c r="O102" s="71"/>
      <c r="P102" s="71"/>
      <c r="Q102" s="71"/>
    </row>
    <row r="103" spans="4:17" ht="20.100000000000001" customHeight="1" x14ac:dyDescent="0.25">
      <c r="D103" s="71"/>
      <c r="E103" s="71"/>
      <c r="F103" s="71"/>
      <c r="G103" s="71"/>
      <c r="H103" s="71"/>
      <c r="I103" s="71"/>
      <c r="J103" s="71"/>
      <c r="K103" s="71"/>
      <c r="L103" s="71"/>
      <c r="M103" s="71"/>
      <c r="N103" s="71"/>
      <c r="O103" s="71"/>
      <c r="P103" s="71"/>
      <c r="Q103" s="71"/>
    </row>
    <row r="104" spans="4:17" ht="20.100000000000001" customHeight="1" x14ac:dyDescent="0.25">
      <c r="D104" s="75"/>
      <c r="E104" s="75"/>
      <c r="F104" s="75"/>
      <c r="G104" s="75"/>
      <c r="H104" s="75"/>
      <c r="I104" s="75"/>
      <c r="J104" s="75"/>
      <c r="K104" s="75"/>
      <c r="L104" s="75"/>
      <c r="M104" s="75"/>
      <c r="N104" s="75"/>
      <c r="O104" s="75"/>
      <c r="P104" s="75"/>
      <c r="Q104" s="75"/>
    </row>
    <row r="105" spans="4:17" ht="20.100000000000001" customHeight="1" x14ac:dyDescent="0.25">
      <c r="D105" s="5" t="s">
        <v>108</v>
      </c>
      <c r="E105" s="71"/>
      <c r="F105" s="71"/>
      <c r="G105" s="71"/>
      <c r="H105" s="71"/>
      <c r="I105" s="71"/>
      <c r="J105" s="71"/>
      <c r="K105" s="71"/>
      <c r="L105" s="71"/>
      <c r="M105" s="71"/>
      <c r="N105" s="71"/>
      <c r="O105" s="71"/>
      <c r="P105" s="71"/>
      <c r="Q105" s="71"/>
    </row>
    <row r="106" spans="4:17" ht="20.100000000000001" customHeight="1" x14ac:dyDescent="0.25">
      <c r="D106" s="67" t="str">
        <f>"  ℹ️  This table lists the refrigerant blends from the table '"&amp;D49&amp;"' and each constituent gas in separate cells. For each constituent gas, it GWP value is found from the '"&amp;D5&amp;"' table. Then the GWPs for each constituent gas are miltiplied by their blend fraction, and added together to make a GWP for the blend."</f>
        <v xml:space="preserve">  ℹ️  This table lists the refrigerant blends from the table 'Blended refrigerants (many containing HFCS and/or PFCS)' and each constituent gas in separate cells. For each constituent gas, it GWP value is found from the 'Global Warming Potentials' table. Then the GWPs for each constituent gas are miltiplied by their blend fraction, and added together to make a GWP for the blend.</v>
      </c>
      <c r="E106" s="69"/>
      <c r="F106" s="67"/>
      <c r="G106" s="68"/>
      <c r="H106" s="68"/>
      <c r="I106" s="68"/>
      <c r="J106" s="68"/>
      <c r="K106" s="68"/>
      <c r="L106" s="68"/>
      <c r="M106" s="68"/>
      <c r="N106" s="69"/>
      <c r="O106" s="71"/>
      <c r="P106" s="71"/>
      <c r="Q106" s="71"/>
    </row>
    <row r="107" spans="4:17" ht="20.100000000000001" customHeight="1" x14ac:dyDescent="0.25">
      <c r="D107" s="31" t="str">
        <f>"⚠️NOTE: Some constituent gases are not listed in the '" &amp; D5 &amp; "' table. This is because those gases are not reportable under AR5."</f>
        <v>⚠️NOTE: Some constituent gases are not listed in the 'Global Warming Potentials' table. This is because those gases are not reportable under AR5.</v>
      </c>
      <c r="E107" s="71"/>
      <c r="F107" s="71"/>
      <c r="G107" s="71"/>
      <c r="H107" s="71"/>
      <c r="I107" s="71"/>
      <c r="J107" s="71"/>
      <c r="K107" s="71"/>
      <c r="L107" s="71"/>
      <c r="M107" s="71"/>
      <c r="N107" s="71"/>
      <c r="O107" s="71"/>
      <c r="P107" s="71"/>
      <c r="Q107" s="71"/>
    </row>
    <row r="108" spans="4:17" ht="20.100000000000001" customHeight="1" x14ac:dyDescent="0.25">
      <c r="D108" s="31" t="str">
        <f>"⚠️NOTE: Because there are no specified blends of R-400 in the table '" &amp; D49 &amp; "' We have specified three blends: 'R-400 50/50', 'R-400 60/40' and 'R-400 80/20'"</f>
        <v>⚠️NOTE: Because there are no specified blends of R-400 in the table 'Blended refrigerants (many containing HFCS and/or PFCS)' We have specified three blends: 'R-400 50/50', 'R-400 60/40' and 'R-400 80/20'</v>
      </c>
      <c r="E108" s="71"/>
      <c r="F108" s="71"/>
      <c r="G108" s="71"/>
      <c r="H108" s="71"/>
      <c r="I108" s="71"/>
      <c r="J108" s="71"/>
      <c r="K108" s="71"/>
      <c r="L108" s="71"/>
      <c r="M108" s="71"/>
      <c r="N108" s="71"/>
      <c r="O108" s="71"/>
      <c r="P108" s="71"/>
      <c r="Q108" s="71"/>
    </row>
    <row r="109" spans="4:17" ht="20.100000000000001" customHeight="1" x14ac:dyDescent="0.25">
      <c r="D109" s="73" t="s">
        <v>105</v>
      </c>
      <c r="E109" s="73" t="s">
        <v>109</v>
      </c>
      <c r="F109" s="73" t="s">
        <v>110</v>
      </c>
      <c r="G109" s="73" t="s">
        <v>111</v>
      </c>
      <c r="H109" s="73" t="s">
        <v>112</v>
      </c>
      <c r="I109" s="73" t="s">
        <v>113</v>
      </c>
      <c r="J109" s="73" t="s">
        <v>114</v>
      </c>
      <c r="K109" s="73" t="s">
        <v>115</v>
      </c>
      <c r="L109" s="73" t="s">
        <v>116</v>
      </c>
      <c r="M109" s="73" t="s">
        <v>117</v>
      </c>
      <c r="N109" s="73" t="s">
        <v>118</v>
      </c>
      <c r="O109" s="73" t="s">
        <v>119</v>
      </c>
      <c r="P109" s="73" t="s">
        <v>120</v>
      </c>
      <c r="Q109" s="73" t="s">
        <v>121</v>
      </c>
    </row>
    <row r="110" spans="4:17" ht="20.100000000000001" customHeight="1" x14ac:dyDescent="0.25">
      <c r="D110" s="73" t="str">
        <f>$D$53 &amp; " 50/50"</f>
        <v>R-400 50/50</v>
      </c>
      <c r="E110" s="73" t="str" cm="1">
        <f t="array" ref="E110">IFERROR(INDEX(TRANSPOSE(Common_InputFunctions.Utility_SplitStringIntoArray($E$53, "/")), 1), "")</f>
        <v>CFC-12</v>
      </c>
      <c r="F110" s="73" t="str" cm="1">
        <f t="array" ref="F110">IFERROR(INDEX(TRANSPOSE(Common_InputFunctions.Utility_SplitStringIntoArray($E$53, "/")), 2), "")</f>
        <v>CFC-114</v>
      </c>
      <c r="G110" s="73" t="str" cm="1">
        <f t="array" ref="G110">IFERROR(INDEX(TRANSPOSE(Common_InputFunctions.Utility_SplitStringIntoArray($E$53, "/")), 3), "")</f>
        <v/>
      </c>
      <c r="H110" s="73" t="str" cm="1">
        <f t="array" ref="H110">IFERROR(INDEX(TRANSPOSE(Common_InputFunctions.Utility_SplitStringIntoArray($E$53, "/")), 4), "")</f>
        <v/>
      </c>
      <c r="I110" s="73">
        <v>0.5</v>
      </c>
      <c r="J110" s="73">
        <v>0.5</v>
      </c>
      <c r="K110" s="73"/>
      <c r="L110" s="73"/>
      <c r="M110" s="73" cm="1">
        <f t="array" ref="M110">IFERROR(Table_RefrigerantBlends_Cleaned[[#This Row],[Constituent 1 fraction]]*Common_InputFunctions.Utility_LookupValueInTableNumber(Table_RefrigerantBlends_Cleaned[[#This Row],[Constituent 1]], Table_RefrigerantChemicalGWP[Gas - FC name], Table_RefrigerantChemicalGWP[Global warming potential (AR5)]),"")</f>
        <v>5100</v>
      </c>
      <c r="N110" s="73" cm="1">
        <f t="array" ref="N110">IFERROR(Table_RefrigerantBlends_Cleaned[[#This Row],[Constituent 1 fraction]]*Common_InputFunctions.Utility_LookupValueInTableNumber(Table_RefrigerantBlends_Cleaned[[#This Row],[Constituent 2]], Table_RefrigerantChemicalGWP[Gas - FC name], Table_RefrigerantChemicalGWP[Global warming potential (AR5)]),"")</f>
        <v>4295</v>
      </c>
      <c r="O110" s="73" cm="1">
        <f t="array" ref="O110">IFERROR(Table_RefrigerantBlends_Cleaned[[#This Row],[Constituent 1 fraction]]*Common_InputFunctions.Utility_LookupValueInTableNumber(Table_RefrigerantBlends_Cleaned[[#This Row],[Constituent 3]], Table_RefrigerantChemicalGWP[Gas - FC name], Table_RefrigerantChemicalGWP[Global warming potential (AR5)]),"")</f>
        <v>0</v>
      </c>
      <c r="P110" s="73" cm="1">
        <f t="array" ref="P110">IFERROR(Table_RefrigerantBlends_Cleaned[[#This Row],[Constituent 1 fraction]]*Common_InputFunctions.Utility_LookupValueInTableNumber(Table_RefrigerantBlends_Cleaned[[#This Row],[Constituent 4]], Table_RefrigerantChemicalGWP[Gas - FC name], Table_RefrigerantChemicalGWP[Global warming potential (AR5)]),"")</f>
        <v>0</v>
      </c>
      <c r="Q110" s="73" cm="1">
        <f t="array" ref="Q110">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4697.5</v>
      </c>
    </row>
    <row r="111" spans="4:17" ht="20.100000000000001" customHeight="1" x14ac:dyDescent="0.25">
      <c r="D111" s="73" t="str">
        <f>$D$53 &amp; " 60/40"</f>
        <v>R-400 60/40</v>
      </c>
      <c r="E111" s="73" t="str" cm="1">
        <f t="array" ref="E111">IFERROR(INDEX(TRANSPOSE(Common_InputFunctions.Utility_SplitStringIntoArray($E$53, "/")), 1), "")</f>
        <v>CFC-12</v>
      </c>
      <c r="F111" s="73" t="str" cm="1">
        <f t="array" ref="F111">IFERROR(INDEX(TRANSPOSE(Common_InputFunctions.Utility_SplitStringIntoArray($E$53, "/")), 2), "")</f>
        <v>CFC-114</v>
      </c>
      <c r="G111" s="73" t="str" cm="1">
        <f t="array" ref="G111">IFERROR(INDEX(TRANSPOSE(Common_InputFunctions.Utility_SplitStringIntoArray($E$53, "/")), 3), "")</f>
        <v/>
      </c>
      <c r="H111" s="73" t="str" cm="1">
        <f t="array" ref="H111">IFERROR(INDEX(TRANSPOSE(Common_InputFunctions.Utility_SplitStringIntoArray($E$53, "/")), 4), "")</f>
        <v/>
      </c>
      <c r="I111" s="73">
        <v>0.6</v>
      </c>
      <c r="J111" s="73">
        <v>0.4</v>
      </c>
      <c r="K111" s="73"/>
      <c r="L111" s="73"/>
      <c r="M111" s="73" cm="1">
        <f t="array" ref="M111">IFERROR(Table_RefrigerantBlends_Cleaned[[#This Row],[Constituent 1 fraction]]*Common_InputFunctions.Utility_LookupValueInTableNumber(Table_RefrigerantBlends_Cleaned[[#This Row],[Constituent 1]], Table_RefrigerantChemicalGWP[Gas - FC name], Table_RefrigerantChemicalGWP[Global warming potential (AR5)]),"")</f>
        <v>6120</v>
      </c>
      <c r="N111" s="73" cm="1">
        <f t="array" ref="N111">IFERROR(Table_RefrigerantBlends_Cleaned[[#This Row],[Constituent 1 fraction]]*Common_InputFunctions.Utility_LookupValueInTableNumber(Table_RefrigerantBlends_Cleaned[[#This Row],[Constituent 2]], Table_RefrigerantChemicalGWP[Gas - FC name], Table_RefrigerantChemicalGWP[Global warming potential (AR5)]),"")</f>
        <v>5154</v>
      </c>
      <c r="O111" s="73" cm="1">
        <f t="array" ref="O111">IFERROR(Table_RefrigerantBlends_Cleaned[[#This Row],[Constituent 1 fraction]]*Common_InputFunctions.Utility_LookupValueInTableNumber(Table_RefrigerantBlends_Cleaned[[#This Row],[Constituent 3]], Table_RefrigerantChemicalGWP[Gas - FC name], Table_RefrigerantChemicalGWP[Global warming potential (AR5)]),"")</f>
        <v>0</v>
      </c>
      <c r="P111" s="73" cm="1">
        <f t="array" ref="P111">IFERROR(Table_RefrigerantBlends_Cleaned[[#This Row],[Constituent 1 fraction]]*Common_InputFunctions.Utility_LookupValueInTableNumber(Table_RefrigerantBlends_Cleaned[[#This Row],[Constituent 4]], Table_RefrigerantChemicalGWP[Gas - FC name], Table_RefrigerantChemicalGWP[Global warming potential (AR5)]),"")</f>
        <v>0</v>
      </c>
      <c r="Q111" s="73" cm="1">
        <f t="array" ref="Q111">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5733.6</v>
      </c>
    </row>
    <row r="112" spans="4:17" ht="20.100000000000001" customHeight="1" x14ac:dyDescent="0.25">
      <c r="D112" s="73" t="str">
        <f>$D$53 &amp; " 80/20"</f>
        <v>R-400 80/20</v>
      </c>
      <c r="E112" s="73" t="str" cm="1">
        <f t="array" ref="E112">IFERROR(INDEX(TRANSPOSE(Common_InputFunctions.Utility_SplitStringIntoArray($E$53, "/")), 1), "")</f>
        <v>CFC-12</v>
      </c>
      <c r="F112" s="73" t="str" cm="1">
        <f t="array" ref="F112">IFERROR(INDEX(TRANSPOSE(Common_InputFunctions.Utility_SplitStringIntoArray($E$53, "/")), 2), "")</f>
        <v>CFC-114</v>
      </c>
      <c r="G112" s="73" t="str" cm="1">
        <f t="array" ref="G112">IFERROR(INDEX(TRANSPOSE(Common_InputFunctions.Utility_SplitStringIntoArray($E$53, "/")), 3), "")</f>
        <v/>
      </c>
      <c r="H112" s="73" t="str" cm="1">
        <f t="array" ref="H112">IFERROR(INDEX(TRANSPOSE(Common_InputFunctions.Utility_SplitStringIntoArray($E$53, "/")), 4), "")</f>
        <v/>
      </c>
      <c r="I112" s="73">
        <v>0.8</v>
      </c>
      <c r="J112" s="73">
        <v>0.2</v>
      </c>
      <c r="K112" s="73"/>
      <c r="L112" s="73"/>
      <c r="M112" s="73" cm="1">
        <f t="array" ref="M112">IFERROR(Table_RefrigerantBlends_Cleaned[[#This Row],[Constituent 1 fraction]]*Common_InputFunctions.Utility_LookupValueInTableNumber(Table_RefrigerantBlends_Cleaned[[#This Row],[Constituent 1]], Table_RefrigerantChemicalGWP[Gas - FC name], Table_RefrigerantChemicalGWP[Global warming potential (AR5)]),"")</f>
        <v>8160</v>
      </c>
      <c r="N112" s="73" cm="1">
        <f t="array" ref="N112">IFERROR(Table_RefrigerantBlends_Cleaned[[#This Row],[Constituent 1 fraction]]*Common_InputFunctions.Utility_LookupValueInTableNumber(Table_RefrigerantBlends_Cleaned[[#This Row],[Constituent 2]], Table_RefrigerantChemicalGWP[Gas - FC name], Table_RefrigerantChemicalGWP[Global warming potential (AR5)]),"")</f>
        <v>6872</v>
      </c>
      <c r="O112" s="73" cm="1">
        <f t="array" ref="O112">IFERROR(Table_RefrigerantBlends_Cleaned[[#This Row],[Constituent 1 fraction]]*Common_InputFunctions.Utility_LookupValueInTableNumber(Table_RefrigerantBlends_Cleaned[[#This Row],[Constituent 3]], Table_RefrigerantChemicalGWP[Gas - FC name], Table_RefrigerantChemicalGWP[Global warming potential (AR5)]),"")</f>
        <v>0</v>
      </c>
      <c r="P112" s="73" cm="1">
        <f t="array" ref="P112">IFERROR(Table_RefrigerantBlends_Cleaned[[#This Row],[Constituent 1 fraction]]*Common_InputFunctions.Utility_LookupValueInTableNumber(Table_RefrigerantBlends_Cleaned[[#This Row],[Constituent 4]], Table_RefrigerantChemicalGWP[Gas - FC name], Table_RefrigerantChemicalGWP[Global warming potential (AR5)]),"")</f>
        <v>0</v>
      </c>
      <c r="Q112" s="73" cm="1">
        <f t="array" ref="Q112">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7902.4</v>
      </c>
    </row>
    <row r="113" spans="4:17" ht="20.100000000000001" customHeight="1" x14ac:dyDescent="0.25">
      <c r="D113" s="73" t="str">
        <f t="shared" ref="D113:D161" si="0">D54</f>
        <v>R-401A</v>
      </c>
      <c r="E113" s="73" t="str" cm="1">
        <f t="array" ref="E113">IFERROR(INDEX(TRANSPOSE(Common_InputFunctions.Utility_SplitStringIntoArray($E54, "/")), 1), "")</f>
        <v>HCFC-22</v>
      </c>
      <c r="F113" s="73" t="str" cm="1">
        <f t="array" ref="F113">IFERROR(INDEX(TRANSPOSE(Common_InputFunctions.Utility_SplitStringIntoArray($E54, "/")), 2), "")</f>
        <v>HFC-152a</v>
      </c>
      <c r="G113" s="73" t="str" cm="1">
        <f t="array" ref="G113">IFERROR(INDEX(TRANSPOSE(Common_InputFunctions.Utility_SplitStringIntoArray($E54, "/")), 3), "")</f>
        <v>HCFC-124</v>
      </c>
      <c r="H113" s="73" t="str" cm="1">
        <f t="array" ref="H113">IFERROR(INDEX(TRANSPOSE(Common_InputFunctions.Utility_SplitStringIntoArray($E54, "/")), 4), "")</f>
        <v/>
      </c>
      <c r="I113" s="73" cm="1">
        <f t="array" ref="I113">IFERROR(INDEX(TRANSPOSE(Common_InputFunctions.Utility_SplitStringIntoArray($F54, "/", "(", ")")), 1)*0.01, 0)</f>
        <v>0.53</v>
      </c>
      <c r="J113" s="73" cm="1">
        <f t="array" ref="J113">IFERROR(INDEX(TRANSPOSE(Common_InputFunctions.Utility_SplitStringIntoArray($F54, "/", "(", ")")), 2)*0.01, 0)</f>
        <v>0.13</v>
      </c>
      <c r="K113" s="73" cm="1">
        <f t="array" ref="K113">IFERROR(INDEX(TRANSPOSE(Common_InputFunctions.Utility_SplitStringIntoArray($F54, "/", "(", ")")), 3)*0.01, 0)</f>
        <v>0.34</v>
      </c>
      <c r="L113" s="73" cm="1">
        <f t="array" ref="L113">IFERROR(INDEX(TRANSPOSE(Common_InputFunctions.Utility_SplitStringIntoArray($F54, "/", "(", ")")), 4)*0.01, 0)</f>
        <v>0</v>
      </c>
      <c r="M113" s="73" cm="1">
        <f t="array" ref="M113">IFERROR(Table_RefrigerantBlends_Cleaned[[#This Row],[Constituent 1 fraction]]*Common_InputFunctions.Utility_LookupValueInTableNumber(Table_RefrigerantBlends_Cleaned[[#This Row],[Constituent 1]], Table_RefrigerantChemicalGWP[Gas - FC name], Table_RefrigerantChemicalGWP[Global warming potential (AR5)]),"")</f>
        <v>932.80000000000007</v>
      </c>
      <c r="N113" s="73" cm="1">
        <f t="array" ref="N113">IFERROR(Table_RefrigerantBlends_Cleaned[[#This Row],[Constituent 2 fraction]]*Common_InputFunctions.Utility_LookupValueInTableNumber(Table_RefrigerantBlends_Cleaned[[#This Row],[Constituent 2]], Table_RefrigerantChemicalGWP[Gas - FC name], Table_RefrigerantChemicalGWP[Global warming potential (AR5)]), "")</f>
        <v>17.940000000000001</v>
      </c>
      <c r="O113" s="73" cm="1">
        <f t="array" ref="O113">IFERROR(Table_RefrigerantBlends_Cleaned[[#This Row],[Constituent 3 fraction]]*Common_InputFunctions.Utility_LookupValueInTableNumber(Table_RefrigerantBlends_Cleaned[[#This Row],[Constituent 3]], Table_RefrigerantChemicalGWP[Gas - FC name], Table_RefrigerantChemicalGWP[Global warming potential (AR5)]), "")</f>
        <v>179.18</v>
      </c>
      <c r="P113" s="73" cm="1">
        <f t="array" ref="P113">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13" s="73" cm="1">
        <f t="array" ref="Q113">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557.63740000000007</v>
      </c>
    </row>
    <row r="114" spans="4:17" ht="20.100000000000001" customHeight="1" x14ac:dyDescent="0.25">
      <c r="D114" s="73" t="str">
        <f t="shared" si="0"/>
        <v>R-401B</v>
      </c>
      <c r="E114" s="73" t="str" cm="1">
        <f t="array" ref="E114">IFERROR(INDEX(TRANSPOSE(Common_InputFunctions.Utility_SplitStringIntoArray($E55, "/")), 1), "")</f>
        <v>HCFC-22</v>
      </c>
      <c r="F114" s="73" t="str" cm="1">
        <f t="array" ref="F114">IFERROR(INDEX(TRANSPOSE(Common_InputFunctions.Utility_SplitStringIntoArray($E55, "/")), 2), "")</f>
        <v>HFC-152a</v>
      </c>
      <c r="G114" s="73" t="str" cm="1">
        <f t="array" ref="G114">IFERROR(INDEX(TRANSPOSE(Common_InputFunctions.Utility_SplitStringIntoArray($E55, "/")), 3), "")</f>
        <v>HCFC-124</v>
      </c>
      <c r="H114" s="73" t="str" cm="1">
        <f t="array" ref="H114">IFERROR(INDEX(TRANSPOSE(Common_InputFunctions.Utility_SplitStringIntoArray($E55, "/")), 4), "")</f>
        <v/>
      </c>
      <c r="I114" s="73" cm="1">
        <f t="array" ref="I114">IFERROR(INDEX(TRANSPOSE(Common_InputFunctions.Utility_SplitStringIntoArray($F55, "/", "(", ")")), 1)*0.01, 0)</f>
        <v>0.61</v>
      </c>
      <c r="J114" s="73" cm="1">
        <f t="array" ref="J114">IFERROR(INDEX(TRANSPOSE(Common_InputFunctions.Utility_SplitStringIntoArray($F55, "/", "(", ")")), 2)*0.01, 0)</f>
        <v>0.11</v>
      </c>
      <c r="K114" s="73" cm="1">
        <f t="array" ref="K114">IFERROR(INDEX(TRANSPOSE(Common_InputFunctions.Utility_SplitStringIntoArray($F55, "/", "(", ")")), 3)*0.01, 0)</f>
        <v>0.28000000000000003</v>
      </c>
      <c r="L114" s="73" cm="1">
        <f t="array" ref="L114">IFERROR(INDEX(TRANSPOSE(Common_InputFunctions.Utility_SplitStringIntoArray($F55, "/", "(", ")")), 4)*0.01, 0)</f>
        <v>0</v>
      </c>
      <c r="M114" s="73" cm="1">
        <f t="array" ref="M114">IFERROR(Table_RefrigerantBlends_Cleaned[[#This Row],[Constituent 1 fraction]]*Common_InputFunctions.Utility_LookupValueInTableNumber(Table_RefrigerantBlends_Cleaned[[#This Row],[Constituent 1]], Table_RefrigerantChemicalGWP[Gas - FC name], Table_RefrigerantChemicalGWP[Global warming potential (AR5)]),"")</f>
        <v>1073.5999999999999</v>
      </c>
      <c r="N114" s="73" cm="1">
        <f t="array" ref="N114">IFERROR(Table_RefrigerantBlends_Cleaned[[#This Row],[Constituent 2 fraction]]*Common_InputFunctions.Utility_LookupValueInTableNumber(Table_RefrigerantBlends_Cleaned[[#This Row],[Constituent 2]], Table_RefrigerantChemicalGWP[Gas - FC name], Table_RefrigerantChemicalGWP[Global warming potential (AR5)]), "")</f>
        <v>15.18</v>
      </c>
      <c r="O114" s="73" cm="1">
        <f t="array" ref="O114">IFERROR(Table_RefrigerantBlends_Cleaned[[#This Row],[Constituent 3 fraction]]*Common_InputFunctions.Utility_LookupValueInTableNumber(Table_RefrigerantBlends_Cleaned[[#This Row],[Constituent 3]], Table_RefrigerantChemicalGWP[Gas - FC name], Table_RefrigerantChemicalGWP[Global warming potential (AR5)]), "")</f>
        <v>147.56</v>
      </c>
      <c r="P114" s="73" cm="1">
        <f t="array" ref="P114">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14" s="73" cm="1">
        <f t="array" ref="Q114">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697.88260000000002</v>
      </c>
    </row>
    <row r="115" spans="4:17" ht="20.100000000000001" customHeight="1" x14ac:dyDescent="0.25">
      <c r="D115" s="73" t="str">
        <f t="shared" si="0"/>
        <v>R-401C</v>
      </c>
      <c r="E115" s="73" t="str" cm="1">
        <f t="array" ref="E115">IFERROR(INDEX(TRANSPOSE(Common_InputFunctions.Utility_SplitStringIntoArray($E56, "/")), 1), "")</f>
        <v>HCFC-22</v>
      </c>
      <c r="F115" s="73" t="str" cm="1">
        <f t="array" ref="F115">IFERROR(INDEX(TRANSPOSE(Common_InputFunctions.Utility_SplitStringIntoArray($E56, "/")), 2), "")</f>
        <v>HFC-152a</v>
      </c>
      <c r="G115" s="73" t="str" cm="1">
        <f t="array" ref="G115">IFERROR(INDEX(TRANSPOSE(Common_InputFunctions.Utility_SplitStringIntoArray($E56, "/")), 3), "")</f>
        <v>HCFC-124</v>
      </c>
      <c r="H115" s="73" t="str" cm="1">
        <f t="array" ref="H115">IFERROR(INDEX(TRANSPOSE(Common_InputFunctions.Utility_SplitStringIntoArray($E56, "/")), 4), "")</f>
        <v/>
      </c>
      <c r="I115" s="73" cm="1">
        <f t="array" ref="I115">IFERROR(INDEX(TRANSPOSE(Common_InputFunctions.Utility_SplitStringIntoArray($F56, "/", "(", ")")), 1)*0.01, 0)</f>
        <v>0.33</v>
      </c>
      <c r="J115" s="73" cm="1">
        <f t="array" ref="J115">IFERROR(INDEX(TRANSPOSE(Common_InputFunctions.Utility_SplitStringIntoArray($F56, "/", "(", ")")), 2)*0.01, 0)</f>
        <v>0.15</v>
      </c>
      <c r="K115" s="73" cm="1">
        <f t="array" ref="K115">IFERROR(INDEX(TRANSPOSE(Common_InputFunctions.Utility_SplitStringIntoArray($F56, "/", "(", ")")), 3)*0.01, 0)</f>
        <v>0.52</v>
      </c>
      <c r="L115" s="73" cm="1">
        <f t="array" ref="L115">IFERROR(INDEX(TRANSPOSE(Common_InputFunctions.Utility_SplitStringIntoArray($F56, "/", "(", ")")), 4)*0.01, 0)</f>
        <v>0</v>
      </c>
      <c r="M115" s="73" cm="1">
        <f t="array" ref="M115">IFERROR(Table_RefrigerantBlends_Cleaned[[#This Row],[Constituent 1 fraction]]*Common_InputFunctions.Utility_LookupValueInTableNumber(Table_RefrigerantBlends_Cleaned[[#This Row],[Constituent 1]], Table_RefrigerantChemicalGWP[Gas - FC name], Table_RefrigerantChemicalGWP[Global warming potential (AR5)]),"")</f>
        <v>580.80000000000007</v>
      </c>
      <c r="N115" s="73" cm="1">
        <f t="array" ref="N115">IFERROR(Table_RefrigerantBlends_Cleaned[[#This Row],[Constituent 2 fraction]]*Common_InputFunctions.Utility_LookupValueInTableNumber(Table_RefrigerantBlends_Cleaned[[#This Row],[Constituent 2]], Table_RefrigerantChemicalGWP[Gas - FC name], Table_RefrigerantChemicalGWP[Global warming potential (AR5)]), "")</f>
        <v>20.7</v>
      </c>
      <c r="O115" s="73" cm="1">
        <f t="array" ref="O115">IFERROR(Table_RefrigerantBlends_Cleaned[[#This Row],[Constituent 3 fraction]]*Common_InputFunctions.Utility_LookupValueInTableNumber(Table_RefrigerantBlends_Cleaned[[#This Row],[Constituent 3]], Table_RefrigerantChemicalGWP[Gas - FC name], Table_RefrigerantChemicalGWP[Global warming potential (AR5)]), "")</f>
        <v>274.04000000000002</v>
      </c>
      <c r="P115" s="73" cm="1">
        <f t="array" ref="P115">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15" s="73" cm="1">
        <f t="array" ref="Q115">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337.26980000000003</v>
      </c>
    </row>
    <row r="116" spans="4:17" ht="20.100000000000001" customHeight="1" x14ac:dyDescent="0.25">
      <c r="D116" s="73" t="str">
        <f t="shared" si="0"/>
        <v>R-402A</v>
      </c>
      <c r="E116" s="73" t="str" cm="1">
        <f t="array" ref="E116">IFERROR(INDEX(TRANSPOSE(Common_InputFunctions.Utility_SplitStringIntoArray($E57, "/")), 1), "")</f>
        <v>HFC-125</v>
      </c>
      <c r="F116" s="73" t="str" cm="1">
        <f t="array" ref="F116">IFERROR(INDEX(TRANSPOSE(Common_InputFunctions.Utility_SplitStringIntoArray($E57, "/")), 2), "")</f>
        <v>HC-290</v>
      </c>
      <c r="G116" s="73" t="str" cm="1">
        <f t="array" ref="G116">IFERROR(INDEX(TRANSPOSE(Common_InputFunctions.Utility_SplitStringIntoArray($E57, "/")), 3), "")</f>
        <v>HCFC-22</v>
      </c>
      <c r="H116" s="73" t="str" cm="1">
        <f t="array" ref="H116">IFERROR(INDEX(TRANSPOSE(Common_InputFunctions.Utility_SplitStringIntoArray($E57, "/")), 4), "")</f>
        <v/>
      </c>
      <c r="I116" s="73" cm="1">
        <f t="array" ref="I116">IFERROR(INDEX(TRANSPOSE(Common_InputFunctions.Utility_SplitStringIntoArray($F57, "/", "(", ")")), 1)*0.01, 0)</f>
        <v>0.6</v>
      </c>
      <c r="J116" s="73" cm="1">
        <f t="array" ref="J116">IFERROR(INDEX(TRANSPOSE(Common_InputFunctions.Utility_SplitStringIntoArray($F57, "/", "(", ")")), 2)*0.01, 0)</f>
        <v>0.02</v>
      </c>
      <c r="K116" s="73" cm="1">
        <f t="array" ref="K116">IFERROR(INDEX(TRANSPOSE(Common_InputFunctions.Utility_SplitStringIntoArray($F57, "/", "(", ")")), 3)*0.01, 0)</f>
        <v>0.38</v>
      </c>
      <c r="L116" s="73" cm="1">
        <f t="array" ref="L116">IFERROR(INDEX(TRANSPOSE(Common_InputFunctions.Utility_SplitStringIntoArray($F57, "/", "(", ")")), 4)*0.01, 0)</f>
        <v>0</v>
      </c>
      <c r="M116" s="73" cm="1">
        <f t="array" ref="M116">IFERROR(Table_RefrigerantBlends_Cleaned[[#This Row],[Constituent 1 fraction]]*Common_InputFunctions.Utility_LookupValueInTableNumber(Table_RefrigerantBlends_Cleaned[[#This Row],[Constituent 1]], Table_RefrigerantChemicalGWP[Gas - FC name], Table_RefrigerantChemicalGWP[Global warming potential (AR5)]),"")</f>
        <v>1902</v>
      </c>
      <c r="N116" s="73" cm="1">
        <f t="array" ref="N116">IFERROR(Table_RefrigerantBlends_Cleaned[[#This Row],[Constituent 2 fraction]]*Common_InputFunctions.Utility_LookupValueInTableNumber(Table_RefrigerantBlends_Cleaned[[#This Row],[Constituent 2]], Table_RefrigerantChemicalGWP[Gas - FC name], Table_RefrigerantChemicalGWP[Global warming potential (AR5)]), "")</f>
        <v>0</v>
      </c>
      <c r="O116" s="73" cm="1">
        <f t="array" ref="O116">IFERROR(Table_RefrigerantBlends_Cleaned[[#This Row],[Constituent 3 fraction]]*Common_InputFunctions.Utility_LookupValueInTableNumber(Table_RefrigerantBlends_Cleaned[[#This Row],[Constituent 3]], Table_RefrigerantChemicalGWP[Gas - FC name], Table_RefrigerantChemicalGWP[Global warming potential (AR5)]), "")</f>
        <v>668.8</v>
      </c>
      <c r="P116" s="73" cm="1">
        <f t="array" ref="P116">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16" s="73" cm="1">
        <f t="array" ref="Q116">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1395.3440000000001</v>
      </c>
    </row>
    <row r="117" spans="4:17" ht="20.100000000000001" customHeight="1" x14ac:dyDescent="0.25">
      <c r="D117" s="73" t="str">
        <f t="shared" si="0"/>
        <v>R-402B</v>
      </c>
      <c r="E117" s="73" t="str" cm="1">
        <f t="array" ref="E117">IFERROR(INDEX(TRANSPOSE(Common_InputFunctions.Utility_SplitStringIntoArray($E58, "/")), 1), "")</f>
        <v>HFC-125</v>
      </c>
      <c r="F117" s="73" t="str" cm="1">
        <f t="array" ref="F117">IFERROR(INDEX(TRANSPOSE(Common_InputFunctions.Utility_SplitStringIntoArray($E58, "/")), 2), "")</f>
        <v>HC-290</v>
      </c>
      <c r="G117" s="73" t="str" cm="1">
        <f t="array" ref="G117">IFERROR(INDEX(TRANSPOSE(Common_InputFunctions.Utility_SplitStringIntoArray($E58, "/")), 3), "")</f>
        <v>HCFC-22</v>
      </c>
      <c r="H117" s="73" t="str" cm="1">
        <f t="array" ref="H117">IFERROR(INDEX(TRANSPOSE(Common_InputFunctions.Utility_SplitStringIntoArray($E58, "/")), 4), "")</f>
        <v/>
      </c>
      <c r="I117" s="73" cm="1">
        <f t="array" ref="I117">IFERROR(INDEX(TRANSPOSE(Common_InputFunctions.Utility_SplitStringIntoArray($F58, "/", "(", ")")), 1)*0.01, 0)</f>
        <v>0.38</v>
      </c>
      <c r="J117" s="73" cm="1">
        <f t="array" ref="J117">IFERROR(INDEX(TRANSPOSE(Common_InputFunctions.Utility_SplitStringIntoArray($F58, "/", "(", ")")), 2)*0.01, 0)</f>
        <v>0.02</v>
      </c>
      <c r="K117" s="73" cm="1">
        <f t="array" ref="K117">IFERROR(INDEX(TRANSPOSE(Common_InputFunctions.Utility_SplitStringIntoArray($F58, "/", "(", ")")), 3)*0.01, 0)</f>
        <v>0.6</v>
      </c>
      <c r="L117" s="73" cm="1">
        <f t="array" ref="L117">IFERROR(INDEX(TRANSPOSE(Common_InputFunctions.Utility_SplitStringIntoArray($F58, "/", "(", ")")), 4)*0.01, 0)</f>
        <v>0</v>
      </c>
      <c r="M117" s="73" cm="1">
        <f t="array" ref="M117">IFERROR(Table_RefrigerantBlends_Cleaned[[#This Row],[Constituent 1 fraction]]*Common_InputFunctions.Utility_LookupValueInTableNumber(Table_RefrigerantBlends_Cleaned[[#This Row],[Constituent 1]], Table_RefrigerantChemicalGWP[Gas - FC name], Table_RefrigerantChemicalGWP[Global warming potential (AR5)]),"")</f>
        <v>1204.5999999999999</v>
      </c>
      <c r="N117" s="73" cm="1">
        <f t="array" ref="N117">IFERROR(Table_RefrigerantBlends_Cleaned[[#This Row],[Constituent 2 fraction]]*Common_InputFunctions.Utility_LookupValueInTableNumber(Table_RefrigerantBlends_Cleaned[[#This Row],[Constituent 2]], Table_RefrigerantChemicalGWP[Gas - FC name], Table_RefrigerantChemicalGWP[Global warming potential (AR5)]), "")</f>
        <v>0</v>
      </c>
      <c r="O117" s="73" cm="1">
        <f t="array" ref="O117">IFERROR(Table_RefrigerantBlends_Cleaned[[#This Row],[Constituent 3 fraction]]*Common_InputFunctions.Utility_LookupValueInTableNumber(Table_RefrigerantBlends_Cleaned[[#This Row],[Constituent 3]], Table_RefrigerantChemicalGWP[Gas - FC name], Table_RefrigerantChemicalGWP[Global warming potential (AR5)]), "")</f>
        <v>1056</v>
      </c>
      <c r="P117" s="73" cm="1">
        <f t="array" ref="P117">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17" s="73" cm="1">
        <f t="array" ref="Q117">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1091.348</v>
      </c>
    </row>
    <row r="118" spans="4:17" ht="20.100000000000001" customHeight="1" x14ac:dyDescent="0.25">
      <c r="D118" s="73" t="str">
        <f t="shared" si="0"/>
        <v>R-403A</v>
      </c>
      <c r="E118" s="73" t="str" cm="1">
        <f t="array" ref="E118">IFERROR(INDEX(TRANSPOSE(Common_InputFunctions.Utility_SplitStringIntoArray($E59, "/")), 1), "")</f>
        <v>HC-290</v>
      </c>
      <c r="F118" s="73" t="str" cm="1">
        <f t="array" ref="F118">IFERROR(INDEX(TRANSPOSE(Common_InputFunctions.Utility_SplitStringIntoArray($E59, "/")), 2), "")</f>
        <v>HCFC-22</v>
      </c>
      <c r="G118" s="73" t="str" cm="1">
        <f t="array" ref="G118">IFERROR(INDEX(TRANSPOSE(Common_InputFunctions.Utility_SplitStringIntoArray($E59, "/")), 3), "")</f>
        <v>PFC-218</v>
      </c>
      <c r="H118" s="73" t="str" cm="1">
        <f t="array" ref="H118">IFERROR(INDEX(TRANSPOSE(Common_InputFunctions.Utility_SplitStringIntoArray($E59, "/")), 4), "")</f>
        <v/>
      </c>
      <c r="I118" s="73" cm="1">
        <f t="array" ref="I118">IFERROR(INDEX(TRANSPOSE(Common_InputFunctions.Utility_SplitStringIntoArray($F59, "/", "(", ")")), 1)*0.01, 0)</f>
        <v>0.05</v>
      </c>
      <c r="J118" s="73" cm="1">
        <f t="array" ref="J118">IFERROR(INDEX(TRANSPOSE(Common_InputFunctions.Utility_SplitStringIntoArray($F59, "/", "(", ")")), 2)*0.01, 0)</f>
        <v>0.75</v>
      </c>
      <c r="K118" s="73" cm="1">
        <f t="array" ref="K118">IFERROR(INDEX(TRANSPOSE(Common_InputFunctions.Utility_SplitStringIntoArray($F59, "/", "(", ")")), 3)*0.01, 0)</f>
        <v>0.2</v>
      </c>
      <c r="L118" s="73" cm="1">
        <f t="array" ref="L118">IFERROR(INDEX(TRANSPOSE(Common_InputFunctions.Utility_SplitStringIntoArray($F59, "/", "(", ")")), 4)*0.01, 0)</f>
        <v>0</v>
      </c>
      <c r="M118" s="73" cm="1">
        <f t="array" ref="M118">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18" s="73" cm="1">
        <f t="array" ref="N118">IFERROR(Table_RefrigerantBlends_Cleaned[[#This Row],[Constituent 2 fraction]]*Common_InputFunctions.Utility_LookupValueInTableNumber(Table_RefrigerantBlends_Cleaned[[#This Row],[Constituent 2]], Table_RefrigerantChemicalGWP[Gas - FC name], Table_RefrigerantChemicalGWP[Global warming potential (AR5)]), "")</f>
        <v>1320</v>
      </c>
      <c r="O118" s="73" cm="1">
        <f t="array" ref="O118">IFERROR(Table_RefrigerantBlends_Cleaned[[#This Row],[Constituent 3 fraction]]*Common_InputFunctions.Utility_LookupValueInTableNumber(Table_RefrigerantBlends_Cleaned[[#This Row],[Constituent 3]], Table_RefrigerantChemicalGWP[Gas - FC name], Table_RefrigerantChemicalGWP[Global warming potential (AR5)]), "")</f>
        <v>1780</v>
      </c>
      <c r="P118" s="73" cm="1">
        <f t="array" ref="P118">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18" s="73" cm="1">
        <f t="array" ref="Q118">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1346</v>
      </c>
    </row>
    <row r="119" spans="4:17" ht="20.100000000000001" customHeight="1" x14ac:dyDescent="0.25">
      <c r="D119" s="73" t="str">
        <f t="shared" si="0"/>
        <v>R-403B</v>
      </c>
      <c r="E119" s="73" t="str" cm="1">
        <f t="array" ref="E119">IFERROR(INDEX(TRANSPOSE(Common_InputFunctions.Utility_SplitStringIntoArray($E60, "/")), 1), "")</f>
        <v>HC-290</v>
      </c>
      <c r="F119" s="73" t="str" cm="1">
        <f t="array" ref="F119">IFERROR(INDEX(TRANSPOSE(Common_InputFunctions.Utility_SplitStringIntoArray($E60, "/")), 2), "")</f>
        <v>HCFC-22</v>
      </c>
      <c r="G119" s="73" t="str" cm="1">
        <f t="array" ref="G119">IFERROR(INDEX(TRANSPOSE(Common_InputFunctions.Utility_SplitStringIntoArray($E60, "/")), 3), "")</f>
        <v>PFC-218</v>
      </c>
      <c r="H119" s="73" t="str" cm="1">
        <f t="array" ref="H119">IFERROR(INDEX(TRANSPOSE(Common_InputFunctions.Utility_SplitStringIntoArray($E60, "/")), 4), "")</f>
        <v/>
      </c>
      <c r="I119" s="73" cm="1">
        <f t="array" ref="I119">IFERROR(INDEX(TRANSPOSE(Common_InputFunctions.Utility_SplitStringIntoArray($F60, "/", "(", ")")), 1)*0.01, 0)</f>
        <v>0.05</v>
      </c>
      <c r="J119" s="73" cm="1">
        <f t="array" ref="J119">IFERROR(INDEX(TRANSPOSE(Common_InputFunctions.Utility_SplitStringIntoArray($F60, "/", "(", ")")), 2)*0.01, 0)</f>
        <v>0.56000000000000005</v>
      </c>
      <c r="K119" s="73" cm="1">
        <f t="array" ref="K119">IFERROR(INDEX(TRANSPOSE(Common_InputFunctions.Utility_SplitStringIntoArray($F60, "/", "(", ")")), 3)*0.01, 0)</f>
        <v>0.39</v>
      </c>
      <c r="L119" s="73" cm="1">
        <f t="array" ref="L119">IFERROR(INDEX(TRANSPOSE(Common_InputFunctions.Utility_SplitStringIntoArray($F60, "/", "(", ")")), 4)*0.01, 0)</f>
        <v>0</v>
      </c>
      <c r="M119" s="73" cm="1">
        <f t="array" ref="M119">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19" s="73" cm="1">
        <f t="array" ref="N119">IFERROR(Table_RefrigerantBlends_Cleaned[[#This Row],[Constituent 2 fraction]]*Common_InputFunctions.Utility_LookupValueInTableNumber(Table_RefrigerantBlends_Cleaned[[#This Row],[Constituent 2]], Table_RefrigerantChemicalGWP[Gas - FC name], Table_RefrigerantChemicalGWP[Global warming potential (AR5)]), "")</f>
        <v>985.60000000000014</v>
      </c>
      <c r="O119" s="73" cm="1">
        <f t="array" ref="O119">IFERROR(Table_RefrigerantBlends_Cleaned[[#This Row],[Constituent 3 fraction]]*Common_InputFunctions.Utility_LookupValueInTableNumber(Table_RefrigerantBlends_Cleaned[[#This Row],[Constituent 3]], Table_RefrigerantChemicalGWP[Gas - FC name], Table_RefrigerantChemicalGWP[Global warming potential (AR5)]), "")</f>
        <v>3471</v>
      </c>
      <c r="P119" s="73" cm="1">
        <f t="array" ref="P119">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19" s="73" cm="1">
        <f t="array" ref="Q119">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1905.6260000000002</v>
      </c>
    </row>
    <row r="120" spans="4:17" ht="20.100000000000001" customHeight="1" x14ac:dyDescent="0.25">
      <c r="D120" s="73" t="str">
        <f t="shared" si="0"/>
        <v>R-404A</v>
      </c>
      <c r="E120" s="73" t="str" cm="1">
        <f t="array" ref="E120">IFERROR(INDEX(TRANSPOSE(Common_InputFunctions.Utility_SplitStringIntoArray($E61, "/")), 1), "")</f>
        <v>HFC-125</v>
      </c>
      <c r="F120" s="73" t="str" cm="1">
        <f t="array" ref="F120">IFERROR(INDEX(TRANSPOSE(Common_InputFunctions.Utility_SplitStringIntoArray($E61, "/")), 2), "")</f>
        <v>HFC-143a</v>
      </c>
      <c r="G120" s="73" t="str" cm="1">
        <f t="array" ref="G120">IFERROR(INDEX(TRANSPOSE(Common_InputFunctions.Utility_SplitStringIntoArray($E61, "/")), 3), "")</f>
        <v>HFC-134a</v>
      </c>
      <c r="H120" s="73" t="str" cm="1">
        <f t="array" ref="H120">IFERROR(INDEX(TRANSPOSE(Common_InputFunctions.Utility_SplitStringIntoArray($E61, "/")), 4), "")</f>
        <v/>
      </c>
      <c r="I120" s="73" cm="1">
        <f t="array" ref="I120">IFERROR(INDEX(TRANSPOSE(Common_InputFunctions.Utility_SplitStringIntoArray($F61, "/", "(", ")")), 1)*0.01, 0)</f>
        <v>0.44</v>
      </c>
      <c r="J120" s="73" cm="1">
        <f t="array" ref="J120">IFERROR(INDEX(TRANSPOSE(Common_InputFunctions.Utility_SplitStringIntoArray($F61, "/", "(", ")")), 2)*0.01, 0)</f>
        <v>0.52</v>
      </c>
      <c r="K120" s="73" cm="1">
        <f t="array" ref="K120">IFERROR(INDEX(TRANSPOSE(Common_InputFunctions.Utility_SplitStringIntoArray($F61, "/", "(", ")")), 3)*0.01, 0)</f>
        <v>0.04</v>
      </c>
      <c r="L120" s="73" cm="1">
        <f t="array" ref="L120">IFERROR(INDEX(TRANSPOSE(Common_InputFunctions.Utility_SplitStringIntoArray($F61, "/", "(", ")")), 4)*0.01, 0)</f>
        <v>0</v>
      </c>
      <c r="M120" s="73" cm="1">
        <f t="array" ref="M120">IFERROR(Table_RefrigerantBlends_Cleaned[[#This Row],[Constituent 1 fraction]]*Common_InputFunctions.Utility_LookupValueInTableNumber(Table_RefrigerantBlends_Cleaned[[#This Row],[Constituent 1]], Table_RefrigerantChemicalGWP[Gas - FC name], Table_RefrigerantChemicalGWP[Global warming potential (AR5)]),"")</f>
        <v>1394.8</v>
      </c>
      <c r="N120" s="73" cm="1">
        <f t="array" ref="N120">IFERROR(Table_RefrigerantBlends_Cleaned[[#This Row],[Constituent 2 fraction]]*Common_InputFunctions.Utility_LookupValueInTableNumber(Table_RefrigerantBlends_Cleaned[[#This Row],[Constituent 2]], Table_RefrigerantChemicalGWP[Gas - FC name], Table_RefrigerantChemicalGWP[Global warming potential (AR5)]), "")</f>
        <v>2496</v>
      </c>
      <c r="O120" s="73" cm="1">
        <f t="array" ref="O120">IFERROR(Table_RefrigerantBlends_Cleaned[[#This Row],[Constituent 3 fraction]]*Common_InputFunctions.Utility_LookupValueInTableNumber(Table_RefrigerantBlends_Cleaned[[#This Row],[Constituent 3]], Table_RefrigerantChemicalGWP[Gas - FC name], Table_RefrigerantChemicalGWP[Global warming potential (AR5)]), "")</f>
        <v>52</v>
      </c>
      <c r="P120" s="73" cm="1">
        <f t="array" ref="P120">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0" s="73" cm="1">
        <f t="array" ref="Q120">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1913.712</v>
      </c>
    </row>
    <row r="121" spans="4:17" ht="20.100000000000001" customHeight="1" x14ac:dyDescent="0.25">
      <c r="D121" s="73" t="str">
        <f t="shared" si="0"/>
        <v>R-405A</v>
      </c>
      <c r="E121" s="73" t="str" cm="1">
        <f t="array" ref="E121">IFERROR(INDEX(TRANSPOSE(Common_InputFunctions.Utility_SplitStringIntoArray($E62, "/")), 1), "")</f>
        <v>HCFC-22</v>
      </c>
      <c r="F121" s="73" t="str" cm="1">
        <f t="array" ref="F121">IFERROR(INDEX(TRANSPOSE(Common_InputFunctions.Utility_SplitStringIntoArray($E62, "/")), 2), "")</f>
        <v>HFC-152a</v>
      </c>
      <c r="G121" s="73" t="str" cm="1">
        <f t="array" ref="G121">IFERROR(INDEX(TRANSPOSE(Common_InputFunctions.Utility_SplitStringIntoArray($E62, "/")), 3), "")</f>
        <v>HCFC-142b</v>
      </c>
      <c r="H121" s="73" t="str" cm="1">
        <f t="array" ref="H121">IFERROR(INDEX(TRANSPOSE(Common_InputFunctions.Utility_SplitStringIntoArray($E62, "/")), 4), "")</f>
        <v>PFC-318</v>
      </c>
      <c r="I121" s="73" cm="1">
        <f t="array" ref="I121">IFERROR(INDEX(TRANSPOSE(Common_InputFunctions.Utility_SplitStringIntoArray($F62, "/", "(", ")")), 1)*0.01, 0)</f>
        <v>0.45</v>
      </c>
      <c r="J121" s="73" cm="1">
        <f t="array" ref="J121">IFERROR(INDEX(TRANSPOSE(Common_InputFunctions.Utility_SplitStringIntoArray($F62, "/", "(", ")")), 2)*0.01, 0)</f>
        <v>7.0000000000000007E-2</v>
      </c>
      <c r="K121" s="73" cm="1">
        <f t="array" ref="K121">IFERROR(INDEX(TRANSPOSE(Common_InputFunctions.Utility_SplitStringIntoArray($F62, "/", "(", ")")), 3)*0.01, 0)</f>
        <v>5.5E-2</v>
      </c>
      <c r="L121" s="73" cm="1">
        <f t="array" ref="L121">IFERROR(INDEX(TRANSPOSE(Common_InputFunctions.Utility_SplitStringIntoArray($F62, "/", "(", ")")), 4)*0.01, 0)</f>
        <v>0.42499999999999999</v>
      </c>
      <c r="M121" s="73" cm="1">
        <f t="array" ref="M121">IFERROR(Table_RefrigerantBlends_Cleaned[[#This Row],[Constituent 1 fraction]]*Common_InputFunctions.Utility_LookupValueInTableNumber(Table_RefrigerantBlends_Cleaned[[#This Row],[Constituent 1]], Table_RefrigerantChemicalGWP[Gas - FC name], Table_RefrigerantChemicalGWP[Global warming potential (AR5)]),"")</f>
        <v>792</v>
      </c>
      <c r="N121" s="73" cm="1">
        <f t="array" ref="N121">IFERROR(Table_RefrigerantBlends_Cleaned[[#This Row],[Constituent 2 fraction]]*Common_InputFunctions.Utility_LookupValueInTableNumber(Table_RefrigerantBlends_Cleaned[[#This Row],[Constituent 2]], Table_RefrigerantChemicalGWP[Gas - FC name], Table_RefrigerantChemicalGWP[Global warming potential (AR5)]), "")</f>
        <v>9.66</v>
      </c>
      <c r="O121" s="73" cm="1">
        <f t="array" ref="O121">IFERROR(Table_RefrigerantBlends_Cleaned[[#This Row],[Constituent 3 fraction]]*Common_InputFunctions.Utility_LookupValueInTableNumber(Table_RefrigerantBlends_Cleaned[[#This Row],[Constituent 3]], Table_RefrigerantChemicalGWP[Gas - FC name], Table_RefrigerantChemicalGWP[Global warming potential (AR5)]), "")</f>
        <v>108.9</v>
      </c>
      <c r="P121" s="73" cm="1">
        <f t="array" ref="P121">IFERROR(Table_RefrigerantBlends_Cleaned[[#This Row],[Constituent 4 fraction]]*Common_InputFunctions.Utility_LookupValueInTableNumber(Table_RefrigerantBlends_Cleaned[[#This Row],[Constituent 4]], Table_RefrigerantChemicalGWP[Gas - FC name], Table_RefrigerantChemicalGWP[Global warming potential (AR5)]), "")</f>
        <v>4054.5</v>
      </c>
      <c r="Q121" s="73" cm="1">
        <f t="array" ref="Q121">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2086.2282</v>
      </c>
    </row>
    <row r="122" spans="4:17" ht="20.100000000000001" customHeight="1" x14ac:dyDescent="0.25">
      <c r="D122" s="73" t="str">
        <f t="shared" si="0"/>
        <v>R-406A</v>
      </c>
      <c r="E122" s="73" t="str" cm="1">
        <f t="array" ref="E122">IFERROR(INDEX(TRANSPOSE(Common_InputFunctions.Utility_SplitStringIntoArray($E63, "/")), 1), "")</f>
        <v>HCFC-22</v>
      </c>
      <c r="F122" s="73" t="str" cm="1">
        <f t="array" ref="F122">IFERROR(INDEX(TRANSPOSE(Common_InputFunctions.Utility_SplitStringIntoArray($E63, "/")), 2), "")</f>
        <v>HC-600a</v>
      </c>
      <c r="G122" s="73" t="str" cm="1">
        <f t="array" ref="G122">IFERROR(INDEX(TRANSPOSE(Common_InputFunctions.Utility_SplitStringIntoArray($E63, "/")), 3), "")</f>
        <v>HCFC-142b</v>
      </c>
      <c r="H122" s="73" t="str" cm="1">
        <f t="array" ref="H122">IFERROR(INDEX(TRANSPOSE(Common_InputFunctions.Utility_SplitStringIntoArray($E63, "/")), 4), "")</f>
        <v/>
      </c>
      <c r="I122" s="73" cm="1">
        <f t="array" ref="I122">IFERROR(INDEX(TRANSPOSE(Common_InputFunctions.Utility_SplitStringIntoArray($F63, "/", "(", ")")), 1)*0.01, 0)</f>
        <v>0.55000000000000004</v>
      </c>
      <c r="J122" s="73" cm="1">
        <f t="array" ref="J122">IFERROR(INDEX(TRANSPOSE(Common_InputFunctions.Utility_SplitStringIntoArray($F63, "/", "(", ")")), 2)*0.01, 0)</f>
        <v>0.14000000000000001</v>
      </c>
      <c r="K122" s="73" cm="1">
        <f t="array" ref="K122">IFERROR(INDEX(TRANSPOSE(Common_InputFunctions.Utility_SplitStringIntoArray($F63, "/", "(", ")")), 3)*0.01, 0)</f>
        <v>0.41000000000000003</v>
      </c>
      <c r="L122" s="73" cm="1">
        <f t="array" ref="L122">IFERROR(INDEX(TRANSPOSE(Common_InputFunctions.Utility_SplitStringIntoArray($F63, "/", "(", ")")), 4)*0.01, 0)</f>
        <v>0</v>
      </c>
      <c r="M122" s="73" cm="1">
        <f t="array" ref="M122">IFERROR(Table_RefrigerantBlends_Cleaned[[#This Row],[Constituent 1 fraction]]*Common_InputFunctions.Utility_LookupValueInTableNumber(Table_RefrigerantBlends_Cleaned[[#This Row],[Constituent 1]], Table_RefrigerantChemicalGWP[Gas - FC name], Table_RefrigerantChemicalGWP[Global warming potential (AR5)]),"")</f>
        <v>968.00000000000011</v>
      </c>
      <c r="N122" s="73" cm="1">
        <f t="array" ref="N122">IFERROR(Table_RefrigerantBlends_Cleaned[[#This Row],[Constituent 2 fraction]]*Common_InputFunctions.Utility_LookupValueInTableNumber(Table_RefrigerantBlends_Cleaned[[#This Row],[Constituent 2]], Table_RefrigerantChemicalGWP[Gas - FC name], Table_RefrigerantChemicalGWP[Global warming potential (AR5)]), "")</f>
        <v>0</v>
      </c>
      <c r="O122" s="73" cm="1">
        <f t="array" ref="O122">IFERROR(Table_RefrigerantBlends_Cleaned[[#This Row],[Constituent 3 fraction]]*Common_InputFunctions.Utility_LookupValueInTableNumber(Table_RefrigerantBlends_Cleaned[[#This Row],[Constituent 3]], Table_RefrigerantChemicalGWP[Gas - FC name], Table_RefrigerantChemicalGWP[Global warming potential (AR5)]), "")</f>
        <v>811.80000000000007</v>
      </c>
      <c r="P122" s="73" cm="1">
        <f t="array" ref="P122">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2" s="73" cm="1">
        <f t="array" ref="Q122">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865.23800000000017</v>
      </c>
    </row>
    <row r="123" spans="4:17" ht="20.100000000000001" customHeight="1" x14ac:dyDescent="0.25">
      <c r="D123" s="73" t="str">
        <f t="shared" si="0"/>
        <v>R-407A</v>
      </c>
      <c r="E123" s="73" t="str" cm="1">
        <f t="array" ref="E123">IFERROR(INDEX(TRANSPOSE(Common_InputFunctions.Utility_SplitStringIntoArray($E64, "/")), 1), "")</f>
        <v>HFC-32</v>
      </c>
      <c r="F123" s="73" t="str" cm="1">
        <f t="array" ref="F123">IFERROR(INDEX(TRANSPOSE(Common_InputFunctions.Utility_SplitStringIntoArray($E64, "/")), 2), "")</f>
        <v>HFC-125</v>
      </c>
      <c r="G123" s="73" t="str" cm="1">
        <f t="array" ref="G123">IFERROR(INDEX(TRANSPOSE(Common_InputFunctions.Utility_SplitStringIntoArray($E64, "/")), 3), "")</f>
        <v>HFC-134a</v>
      </c>
      <c r="H123" s="73" t="str" cm="1">
        <f t="array" ref="H123">IFERROR(INDEX(TRANSPOSE(Common_InputFunctions.Utility_SplitStringIntoArray($E64, "/")), 4), "")</f>
        <v/>
      </c>
      <c r="I123" s="73" cm="1">
        <f t="array" ref="I123">IFERROR(INDEX(TRANSPOSE(Common_InputFunctions.Utility_SplitStringIntoArray($F64, "/", "(", ")")), 1)*0.01, 0)</f>
        <v>0.2</v>
      </c>
      <c r="J123" s="73" cm="1">
        <f t="array" ref="J123">IFERROR(INDEX(TRANSPOSE(Common_InputFunctions.Utility_SplitStringIntoArray($F64, "/", "(", ")")), 2)*0.01, 0)</f>
        <v>0.4</v>
      </c>
      <c r="K123" s="73" cm="1">
        <f t="array" ref="K123">IFERROR(INDEX(TRANSPOSE(Common_InputFunctions.Utility_SplitStringIntoArray($F64, "/", "(", ")")), 3)*0.01, 0)</f>
        <v>0.4</v>
      </c>
      <c r="L123" s="73" cm="1">
        <f t="array" ref="L123">IFERROR(INDEX(TRANSPOSE(Common_InputFunctions.Utility_SplitStringIntoArray($F64, "/", "(", ")")), 4)*0.01, 0)</f>
        <v>0</v>
      </c>
      <c r="M123" s="73" cm="1">
        <f t="array" ref="M123">IFERROR(Table_RefrigerantBlends_Cleaned[[#This Row],[Constituent 1 fraction]]*Common_InputFunctions.Utility_LookupValueInTableNumber(Table_RefrigerantBlends_Cleaned[[#This Row],[Constituent 1]], Table_RefrigerantChemicalGWP[Gas - FC name], Table_RefrigerantChemicalGWP[Global warming potential (AR5)]),"")</f>
        <v>135.4</v>
      </c>
      <c r="N123" s="73" cm="1">
        <f t="array" ref="N123">IFERROR(Table_RefrigerantBlends_Cleaned[[#This Row],[Constituent 2 fraction]]*Common_InputFunctions.Utility_LookupValueInTableNumber(Table_RefrigerantBlends_Cleaned[[#This Row],[Constituent 2]], Table_RefrigerantChemicalGWP[Gas - FC name], Table_RefrigerantChemicalGWP[Global warming potential (AR5)]), "")</f>
        <v>1268</v>
      </c>
      <c r="O123" s="73" cm="1">
        <f t="array" ref="O123">IFERROR(Table_RefrigerantBlends_Cleaned[[#This Row],[Constituent 3 fraction]]*Common_InputFunctions.Utility_LookupValueInTableNumber(Table_RefrigerantBlends_Cleaned[[#This Row],[Constituent 3]], Table_RefrigerantChemicalGWP[Gas - FC name], Table_RefrigerantChemicalGWP[Global warming potential (AR5)]), "")</f>
        <v>520</v>
      </c>
      <c r="P123" s="73" cm="1">
        <f t="array" ref="P123">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3" s="73" cm="1">
        <f t="array" ref="Q123">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742.28000000000009</v>
      </c>
    </row>
    <row r="124" spans="4:17" ht="20.100000000000001" customHeight="1" x14ac:dyDescent="0.25">
      <c r="D124" s="73" t="str">
        <f t="shared" si="0"/>
        <v>R-407B</v>
      </c>
      <c r="E124" s="73" t="str" cm="1">
        <f t="array" ref="E124">IFERROR(INDEX(TRANSPOSE(Common_InputFunctions.Utility_SplitStringIntoArray($E65, "/")), 1), "")</f>
        <v>HFC-32</v>
      </c>
      <c r="F124" s="73" t="str" cm="1">
        <f t="array" ref="F124">IFERROR(INDEX(TRANSPOSE(Common_InputFunctions.Utility_SplitStringIntoArray($E65, "/")), 2), "")</f>
        <v>HFC-125</v>
      </c>
      <c r="G124" s="73" t="str" cm="1">
        <f t="array" ref="G124">IFERROR(INDEX(TRANSPOSE(Common_InputFunctions.Utility_SplitStringIntoArray($E65, "/")), 3), "")</f>
        <v>HFC-134a</v>
      </c>
      <c r="H124" s="73" t="str" cm="1">
        <f t="array" ref="H124">IFERROR(INDEX(TRANSPOSE(Common_InputFunctions.Utility_SplitStringIntoArray($E65, "/")), 4), "")</f>
        <v/>
      </c>
      <c r="I124" s="73" cm="1">
        <f t="array" ref="I124">IFERROR(INDEX(TRANSPOSE(Common_InputFunctions.Utility_SplitStringIntoArray($F65, "/", "(", ")")), 1)*0.01, 0)</f>
        <v>0.1</v>
      </c>
      <c r="J124" s="73" cm="1">
        <f t="array" ref="J124">IFERROR(INDEX(TRANSPOSE(Common_InputFunctions.Utility_SplitStringIntoArray($F65, "/", "(", ")")), 2)*0.01, 0)</f>
        <v>0.70000000000000007</v>
      </c>
      <c r="K124" s="73" cm="1">
        <f t="array" ref="K124">IFERROR(INDEX(TRANSPOSE(Common_InputFunctions.Utility_SplitStringIntoArray($F65, "/", "(", ")")), 3)*0.01, 0)</f>
        <v>0.2</v>
      </c>
      <c r="L124" s="73" cm="1">
        <f t="array" ref="L124">IFERROR(INDEX(TRANSPOSE(Common_InputFunctions.Utility_SplitStringIntoArray($F65, "/", "(", ")")), 4)*0.01, 0)</f>
        <v>0</v>
      </c>
      <c r="M124" s="73" cm="1">
        <f t="array" ref="M124">IFERROR(Table_RefrigerantBlends_Cleaned[[#This Row],[Constituent 1 fraction]]*Common_InputFunctions.Utility_LookupValueInTableNumber(Table_RefrigerantBlends_Cleaned[[#This Row],[Constituent 1]], Table_RefrigerantChemicalGWP[Gas - FC name], Table_RefrigerantChemicalGWP[Global warming potential (AR5)]),"")</f>
        <v>67.7</v>
      </c>
      <c r="N124" s="73" cm="1">
        <f t="array" ref="N124">IFERROR(Table_RefrigerantBlends_Cleaned[[#This Row],[Constituent 2 fraction]]*Common_InputFunctions.Utility_LookupValueInTableNumber(Table_RefrigerantBlends_Cleaned[[#This Row],[Constituent 2]], Table_RefrigerantChemicalGWP[Gas - FC name], Table_RefrigerantChemicalGWP[Global warming potential (AR5)]), "")</f>
        <v>2219</v>
      </c>
      <c r="O124" s="73" cm="1">
        <f t="array" ref="O124">IFERROR(Table_RefrigerantBlends_Cleaned[[#This Row],[Constituent 3 fraction]]*Common_InputFunctions.Utility_LookupValueInTableNumber(Table_RefrigerantBlends_Cleaned[[#This Row],[Constituent 3]], Table_RefrigerantChemicalGWP[Gas - FC name], Table_RefrigerantChemicalGWP[Global warming potential (AR5)]), "")</f>
        <v>260</v>
      </c>
      <c r="P124" s="73" cm="1">
        <f t="array" ref="P124">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4" s="73" cm="1">
        <f t="array" ref="Q124">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1612.0700000000002</v>
      </c>
    </row>
    <row r="125" spans="4:17" ht="20.100000000000001" customHeight="1" x14ac:dyDescent="0.25">
      <c r="D125" s="73" t="str">
        <f t="shared" si="0"/>
        <v>R-407C</v>
      </c>
      <c r="E125" s="73" t="str" cm="1">
        <f t="array" ref="E125">IFERROR(INDEX(TRANSPOSE(Common_InputFunctions.Utility_SplitStringIntoArray($E66, "/")), 1), "")</f>
        <v>HFC-32</v>
      </c>
      <c r="F125" s="73" t="str" cm="1">
        <f t="array" ref="F125">IFERROR(INDEX(TRANSPOSE(Common_InputFunctions.Utility_SplitStringIntoArray($E66, "/")), 2), "")</f>
        <v>HFC-125</v>
      </c>
      <c r="G125" s="73" t="str" cm="1">
        <f t="array" ref="G125">IFERROR(INDEX(TRANSPOSE(Common_InputFunctions.Utility_SplitStringIntoArray($E66, "/")), 3), "")</f>
        <v>HFC-134a</v>
      </c>
      <c r="H125" s="73" t="str" cm="1">
        <f t="array" ref="H125">IFERROR(INDEX(TRANSPOSE(Common_InputFunctions.Utility_SplitStringIntoArray($E66, "/")), 4), "")</f>
        <v/>
      </c>
      <c r="I125" s="73" cm="1">
        <f t="array" ref="I125">IFERROR(INDEX(TRANSPOSE(Common_InputFunctions.Utility_SplitStringIntoArray($F66, "/", "(", ")")), 1)*0.01, 0)</f>
        <v>0.23</v>
      </c>
      <c r="J125" s="73" cm="1">
        <f t="array" ref="J125">IFERROR(INDEX(TRANSPOSE(Common_InputFunctions.Utility_SplitStringIntoArray($F66, "/", "(", ")")), 2)*0.01, 0)</f>
        <v>0.25</v>
      </c>
      <c r="K125" s="73" cm="1">
        <f t="array" ref="K125">IFERROR(INDEX(TRANSPOSE(Common_InputFunctions.Utility_SplitStringIntoArray($F66, "/", "(", ")")), 3)*0.01, 0)</f>
        <v>0.52</v>
      </c>
      <c r="L125" s="73" cm="1">
        <f t="array" ref="L125">IFERROR(INDEX(TRANSPOSE(Common_InputFunctions.Utility_SplitStringIntoArray($F66, "/", "(", ")")), 4)*0.01, 0)</f>
        <v>0</v>
      </c>
      <c r="M125" s="73" cm="1">
        <f t="array" ref="M125">IFERROR(Table_RefrigerantBlends_Cleaned[[#This Row],[Constituent 1 fraction]]*Common_InputFunctions.Utility_LookupValueInTableNumber(Table_RefrigerantBlends_Cleaned[[#This Row],[Constituent 1]], Table_RefrigerantChemicalGWP[Gas - FC name], Table_RefrigerantChemicalGWP[Global warming potential (AR5)]),"")</f>
        <v>155.71</v>
      </c>
      <c r="N125" s="73" cm="1">
        <f t="array" ref="N125">IFERROR(Table_RefrigerantBlends_Cleaned[[#This Row],[Constituent 2 fraction]]*Common_InputFunctions.Utility_LookupValueInTableNumber(Table_RefrigerantBlends_Cleaned[[#This Row],[Constituent 2]], Table_RefrigerantChemicalGWP[Gas - FC name], Table_RefrigerantChemicalGWP[Global warming potential (AR5)]), "")</f>
        <v>792.5</v>
      </c>
      <c r="O125" s="73" cm="1">
        <f t="array" ref="O125">IFERROR(Table_RefrigerantBlends_Cleaned[[#This Row],[Constituent 3 fraction]]*Common_InputFunctions.Utility_LookupValueInTableNumber(Table_RefrigerantBlends_Cleaned[[#This Row],[Constituent 3]], Table_RefrigerantChemicalGWP[Gas - FC name], Table_RefrigerantChemicalGWP[Global warming potential (AR5)]), "")</f>
        <v>676</v>
      </c>
      <c r="P125" s="73" cm="1">
        <f t="array" ref="P125">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5" s="73" cm="1">
        <f t="array" ref="Q125">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585.45830000000001</v>
      </c>
    </row>
    <row r="126" spans="4:17" ht="20.100000000000001" customHeight="1" x14ac:dyDescent="0.25">
      <c r="D126" s="73" t="str">
        <f t="shared" si="0"/>
        <v>R-407D</v>
      </c>
      <c r="E126" s="73" t="str" cm="1">
        <f t="array" ref="E126">IFERROR(INDEX(TRANSPOSE(Common_InputFunctions.Utility_SplitStringIntoArray($E67, "/")), 1), "")</f>
        <v>HFC-32</v>
      </c>
      <c r="F126" s="73" t="str" cm="1">
        <f t="array" ref="F126">IFERROR(INDEX(TRANSPOSE(Common_InputFunctions.Utility_SplitStringIntoArray($E67, "/")), 2), "")</f>
        <v>HFC-125</v>
      </c>
      <c r="G126" s="73" t="str" cm="1">
        <f t="array" ref="G126">IFERROR(INDEX(TRANSPOSE(Common_InputFunctions.Utility_SplitStringIntoArray($E67, "/")), 3), "")</f>
        <v>HFC-134a</v>
      </c>
      <c r="H126" s="73" t="str" cm="1">
        <f t="array" ref="H126">IFERROR(INDEX(TRANSPOSE(Common_InputFunctions.Utility_SplitStringIntoArray($E67, "/")), 4), "")</f>
        <v/>
      </c>
      <c r="I126" s="73" cm="1">
        <f t="array" ref="I126">IFERROR(INDEX(TRANSPOSE(Common_InputFunctions.Utility_SplitStringIntoArray($F67, "/", "(", ")")), 1)*0.01, 0)</f>
        <v>0.15</v>
      </c>
      <c r="J126" s="73" cm="1">
        <f t="array" ref="J126">IFERROR(INDEX(TRANSPOSE(Common_InputFunctions.Utility_SplitStringIntoArray($F67, "/", "(", ")")), 2)*0.01, 0)</f>
        <v>0.15</v>
      </c>
      <c r="K126" s="73" cm="1">
        <f t="array" ref="K126">IFERROR(INDEX(TRANSPOSE(Common_InputFunctions.Utility_SplitStringIntoArray($F67, "/", "(", ")")), 3)*0.01, 0)</f>
        <v>0.70000000000000007</v>
      </c>
      <c r="L126" s="73" cm="1">
        <f t="array" ref="L126">IFERROR(INDEX(TRANSPOSE(Common_InputFunctions.Utility_SplitStringIntoArray($F67, "/", "(", ")")), 4)*0.01, 0)</f>
        <v>0</v>
      </c>
      <c r="M126" s="73" cm="1">
        <f t="array" ref="M126">IFERROR(Table_RefrigerantBlends_Cleaned[[#This Row],[Constituent 1 fraction]]*Common_InputFunctions.Utility_LookupValueInTableNumber(Table_RefrigerantBlends_Cleaned[[#This Row],[Constituent 1]], Table_RefrigerantChemicalGWP[Gas - FC name], Table_RefrigerantChemicalGWP[Global warming potential (AR5)]),"")</f>
        <v>101.55</v>
      </c>
      <c r="N126" s="73" cm="1">
        <f t="array" ref="N126">IFERROR(Table_RefrigerantBlends_Cleaned[[#This Row],[Constituent 2 fraction]]*Common_InputFunctions.Utility_LookupValueInTableNumber(Table_RefrigerantBlends_Cleaned[[#This Row],[Constituent 2]], Table_RefrigerantChemicalGWP[Gas - FC name], Table_RefrigerantChemicalGWP[Global warming potential (AR5)]), "")</f>
        <v>475.5</v>
      </c>
      <c r="O126" s="73" cm="1">
        <f t="array" ref="O126">IFERROR(Table_RefrigerantBlends_Cleaned[[#This Row],[Constituent 3 fraction]]*Common_InputFunctions.Utility_LookupValueInTableNumber(Table_RefrigerantBlends_Cleaned[[#This Row],[Constituent 3]], Table_RefrigerantChemicalGWP[Gas - FC name], Table_RefrigerantChemicalGWP[Global warming potential (AR5)]), "")</f>
        <v>910.00000000000011</v>
      </c>
      <c r="P126" s="73" cm="1">
        <f t="array" ref="P126">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6" s="73" cm="1">
        <f t="array" ref="Q126">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723.55750000000012</v>
      </c>
    </row>
    <row r="127" spans="4:17" ht="20.100000000000001" customHeight="1" x14ac:dyDescent="0.25">
      <c r="D127" s="73" t="str">
        <f t="shared" si="0"/>
        <v>R-407E</v>
      </c>
      <c r="E127" s="73" t="str" cm="1">
        <f t="array" ref="E127">IFERROR(INDEX(TRANSPOSE(Common_InputFunctions.Utility_SplitStringIntoArray($E68, "/")), 1), "")</f>
        <v>HFC-32</v>
      </c>
      <c r="F127" s="73" t="str" cm="1">
        <f t="array" ref="F127">IFERROR(INDEX(TRANSPOSE(Common_InputFunctions.Utility_SplitStringIntoArray($E68, "/")), 2), "")</f>
        <v>HFC-125</v>
      </c>
      <c r="G127" s="73" t="str" cm="1">
        <f t="array" ref="G127">IFERROR(INDEX(TRANSPOSE(Common_InputFunctions.Utility_SplitStringIntoArray($E68, "/")), 3), "")</f>
        <v>HFC-134a</v>
      </c>
      <c r="H127" s="73" t="str" cm="1">
        <f t="array" ref="H127">IFERROR(INDEX(TRANSPOSE(Common_InputFunctions.Utility_SplitStringIntoArray($E68, "/")), 4), "")</f>
        <v/>
      </c>
      <c r="I127" s="73" cm="1">
        <f t="array" ref="I127">IFERROR(INDEX(TRANSPOSE(Common_InputFunctions.Utility_SplitStringIntoArray($F68, "/", "(", ")")), 1)*0.01, 0)</f>
        <v>0.25</v>
      </c>
      <c r="J127" s="73" cm="1">
        <f t="array" ref="J127">IFERROR(INDEX(TRANSPOSE(Common_InputFunctions.Utility_SplitStringIntoArray($F68, "/", "(", ")")), 2)*0.01, 0)</f>
        <v>0.15</v>
      </c>
      <c r="K127" s="73" cm="1">
        <f t="array" ref="K127">IFERROR(INDEX(TRANSPOSE(Common_InputFunctions.Utility_SplitStringIntoArray($F68, "/", "(", ")")), 3)*0.01, 0)</f>
        <v>0.6</v>
      </c>
      <c r="L127" s="73" cm="1">
        <f t="array" ref="L127">IFERROR(INDEX(TRANSPOSE(Common_InputFunctions.Utility_SplitStringIntoArray($F68, "/", "(", ")")), 4)*0.01, 0)</f>
        <v>0</v>
      </c>
      <c r="M127" s="73" cm="1">
        <f t="array" ref="M127">IFERROR(Table_RefrigerantBlends_Cleaned[[#This Row],[Constituent 1 fraction]]*Common_InputFunctions.Utility_LookupValueInTableNumber(Table_RefrigerantBlends_Cleaned[[#This Row],[Constituent 1]], Table_RefrigerantChemicalGWP[Gas - FC name], Table_RefrigerantChemicalGWP[Global warming potential (AR5)]),"")</f>
        <v>169.25</v>
      </c>
      <c r="N127" s="73" cm="1">
        <f t="array" ref="N127">IFERROR(Table_RefrigerantBlends_Cleaned[[#This Row],[Constituent 2 fraction]]*Common_InputFunctions.Utility_LookupValueInTableNumber(Table_RefrigerantBlends_Cleaned[[#This Row],[Constituent 2]], Table_RefrigerantChemicalGWP[Gas - FC name], Table_RefrigerantChemicalGWP[Global warming potential (AR5)]), "")</f>
        <v>475.5</v>
      </c>
      <c r="O127" s="73" cm="1">
        <f t="array" ref="O127">IFERROR(Table_RefrigerantBlends_Cleaned[[#This Row],[Constituent 3 fraction]]*Common_InputFunctions.Utility_LookupValueInTableNumber(Table_RefrigerantBlends_Cleaned[[#This Row],[Constituent 3]], Table_RefrigerantChemicalGWP[Gas - FC name], Table_RefrigerantChemicalGWP[Global warming potential (AR5)]), "")</f>
        <v>780</v>
      </c>
      <c r="P127" s="73" cm="1">
        <f t="array" ref="P127">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7" s="73" cm="1">
        <f t="array" ref="Q127">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581.63750000000005</v>
      </c>
    </row>
    <row r="128" spans="4:17" ht="20.100000000000001" customHeight="1" x14ac:dyDescent="0.25">
      <c r="D128" s="73" t="str">
        <f t="shared" si="0"/>
        <v>R-408A</v>
      </c>
      <c r="E128" s="73" t="str" cm="1">
        <f t="array" ref="E128">IFERROR(INDEX(TRANSPOSE(Common_InputFunctions.Utility_SplitStringIntoArray($E69, "/")), 1), "")</f>
        <v>HFC-125</v>
      </c>
      <c r="F128" s="73" t="str" cm="1">
        <f t="array" ref="F128">IFERROR(INDEX(TRANSPOSE(Common_InputFunctions.Utility_SplitStringIntoArray($E69, "/")), 2), "")</f>
        <v>HFC-143a</v>
      </c>
      <c r="G128" s="73" t="str" cm="1">
        <f t="array" ref="G128">IFERROR(INDEX(TRANSPOSE(Common_InputFunctions.Utility_SplitStringIntoArray($E69, "/")), 3), "")</f>
        <v>HCFC-22</v>
      </c>
      <c r="H128" s="73" t="str" cm="1">
        <f t="array" ref="H128">IFERROR(INDEX(TRANSPOSE(Common_InputFunctions.Utility_SplitStringIntoArray($E69, "/")), 4), "")</f>
        <v/>
      </c>
      <c r="I128" s="73" cm="1">
        <f t="array" ref="I128">IFERROR(INDEX(TRANSPOSE(Common_InputFunctions.Utility_SplitStringIntoArray($F69, "/", "(", ")")), 1)*0.01, 0)</f>
        <v>7.0000000000000007E-2</v>
      </c>
      <c r="J128" s="73" cm="1">
        <f t="array" ref="J128">IFERROR(INDEX(TRANSPOSE(Common_InputFunctions.Utility_SplitStringIntoArray($F69, "/", "(", ")")), 2)*0.01, 0)</f>
        <v>0.46</v>
      </c>
      <c r="K128" s="73" cm="1">
        <f t="array" ref="K128">IFERROR(INDEX(TRANSPOSE(Common_InputFunctions.Utility_SplitStringIntoArray($F69, "/", "(", ")")), 3)*0.01, 0)</f>
        <v>0.47000000000000003</v>
      </c>
      <c r="L128" s="73" cm="1">
        <f t="array" ref="L128">IFERROR(INDEX(TRANSPOSE(Common_InputFunctions.Utility_SplitStringIntoArray($F69, "/", "(", ")")), 4)*0.01, 0)</f>
        <v>0</v>
      </c>
      <c r="M128" s="73" cm="1">
        <f t="array" ref="M128">IFERROR(Table_RefrigerantBlends_Cleaned[[#This Row],[Constituent 1 fraction]]*Common_InputFunctions.Utility_LookupValueInTableNumber(Table_RefrigerantBlends_Cleaned[[#This Row],[Constituent 1]], Table_RefrigerantChemicalGWP[Gas - FC name], Table_RefrigerantChemicalGWP[Global warming potential (AR5)]),"")</f>
        <v>221.90000000000003</v>
      </c>
      <c r="N128" s="73" cm="1">
        <f t="array" ref="N128">IFERROR(Table_RefrigerantBlends_Cleaned[[#This Row],[Constituent 2 fraction]]*Common_InputFunctions.Utility_LookupValueInTableNumber(Table_RefrigerantBlends_Cleaned[[#This Row],[Constituent 2]], Table_RefrigerantChemicalGWP[Gas - FC name], Table_RefrigerantChemicalGWP[Global warming potential (AR5)]), "")</f>
        <v>2208</v>
      </c>
      <c r="O128" s="73" cm="1">
        <f t="array" ref="O128">IFERROR(Table_RefrigerantBlends_Cleaned[[#This Row],[Constituent 3 fraction]]*Common_InputFunctions.Utility_LookupValueInTableNumber(Table_RefrigerantBlends_Cleaned[[#This Row],[Constituent 3]], Table_RefrigerantChemicalGWP[Gas - FC name], Table_RefrigerantChemicalGWP[Global warming potential (AR5)]), "")</f>
        <v>827.2</v>
      </c>
      <c r="P128" s="73" cm="1">
        <f t="array" ref="P128">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8" s="73" cm="1">
        <f t="array" ref="Q128">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1419.9970000000001</v>
      </c>
    </row>
    <row r="129" spans="4:33" ht="20.100000000000001" customHeight="1" x14ac:dyDescent="0.25">
      <c r="D129" s="73" t="str">
        <f t="shared" si="0"/>
        <v>R-409A</v>
      </c>
      <c r="E129" s="73" t="str" cm="1">
        <f t="array" ref="E129">IFERROR(INDEX(TRANSPOSE(Common_InputFunctions.Utility_SplitStringIntoArray($E70, "/")), 1), "")</f>
        <v>HCFC-22</v>
      </c>
      <c r="F129" s="73" t="str" cm="1">
        <f t="array" ref="F129">IFERROR(INDEX(TRANSPOSE(Common_InputFunctions.Utility_SplitStringIntoArray($E70, "/")), 2), "")</f>
        <v>HCFC-124</v>
      </c>
      <c r="G129" s="73" t="str" cm="1">
        <f t="array" ref="G129">IFERROR(INDEX(TRANSPOSE(Common_InputFunctions.Utility_SplitStringIntoArray($E70, "/")), 3), "")</f>
        <v>HCFC-142b</v>
      </c>
      <c r="H129" s="73" t="str" cm="1">
        <f t="array" ref="H129">IFERROR(INDEX(TRANSPOSE(Common_InputFunctions.Utility_SplitStringIntoArray($E70, "/")), 4), "")</f>
        <v/>
      </c>
      <c r="I129" s="73" cm="1">
        <f t="array" ref="I129">IFERROR(INDEX(TRANSPOSE(Common_InputFunctions.Utility_SplitStringIntoArray($F70, "/", "(", ")")), 1)*0.01, 0)</f>
        <v>0.6</v>
      </c>
      <c r="J129" s="73" cm="1">
        <f t="array" ref="J129">IFERROR(INDEX(TRANSPOSE(Common_InputFunctions.Utility_SplitStringIntoArray($F70, "/", "(", ")")), 2)*0.01, 0)</f>
        <v>0.25</v>
      </c>
      <c r="K129" s="73" cm="1">
        <f t="array" ref="K129">IFERROR(INDEX(TRANSPOSE(Common_InputFunctions.Utility_SplitStringIntoArray($F70, "/", "(", ")")), 3)*0.01, 0)</f>
        <v>0.15</v>
      </c>
      <c r="L129" s="73" cm="1">
        <f t="array" ref="L129">IFERROR(INDEX(TRANSPOSE(Common_InputFunctions.Utility_SplitStringIntoArray($F70, "/", "(", ")")), 4)*0.01, 0)</f>
        <v>0</v>
      </c>
      <c r="M129" s="73" cm="1">
        <f t="array" ref="M129">IFERROR(Table_RefrigerantBlends_Cleaned[[#This Row],[Constituent 1 fraction]]*Common_InputFunctions.Utility_LookupValueInTableNumber(Table_RefrigerantBlends_Cleaned[[#This Row],[Constituent 1]], Table_RefrigerantChemicalGWP[Gas - FC name], Table_RefrigerantChemicalGWP[Global warming potential (AR5)]),"")</f>
        <v>1056</v>
      </c>
      <c r="N129" s="73" cm="1">
        <f t="array" ref="N129">IFERROR(Table_RefrigerantBlends_Cleaned[[#This Row],[Constituent 2 fraction]]*Common_InputFunctions.Utility_LookupValueInTableNumber(Table_RefrigerantBlends_Cleaned[[#This Row],[Constituent 2]], Table_RefrigerantChemicalGWP[Gas - FC name], Table_RefrigerantChemicalGWP[Global warming potential (AR5)]), "")</f>
        <v>131.75</v>
      </c>
      <c r="O129" s="73" cm="1">
        <f t="array" ref="O129">IFERROR(Table_RefrigerantBlends_Cleaned[[#This Row],[Constituent 3 fraction]]*Common_InputFunctions.Utility_LookupValueInTableNumber(Table_RefrigerantBlends_Cleaned[[#This Row],[Constituent 3]], Table_RefrigerantChemicalGWP[Gas - FC name], Table_RefrigerantChemicalGWP[Global warming potential (AR5)]), "")</f>
        <v>297</v>
      </c>
      <c r="P129" s="73" cm="1">
        <f t="array" ref="P129">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9" s="73" cm="1">
        <f t="array" ref="Q129">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711.08749999999998</v>
      </c>
    </row>
    <row r="130" spans="4:33" ht="20.100000000000001" customHeight="1" x14ac:dyDescent="0.25">
      <c r="D130" s="73" t="str">
        <f t="shared" si="0"/>
        <v>R-409B</v>
      </c>
      <c r="E130" s="73" t="str" cm="1">
        <f t="array" ref="E130">IFERROR(INDEX(TRANSPOSE(Common_InputFunctions.Utility_SplitStringIntoArray($E71, "/")), 1), "")</f>
        <v>HCFC-22</v>
      </c>
      <c r="F130" s="73" t="str" cm="1">
        <f t="array" ref="F130">IFERROR(INDEX(TRANSPOSE(Common_InputFunctions.Utility_SplitStringIntoArray($E71, "/")), 2), "")</f>
        <v>HCFC-124</v>
      </c>
      <c r="G130" s="73" t="str" cm="1">
        <f t="array" ref="G130">IFERROR(INDEX(TRANSPOSE(Common_InputFunctions.Utility_SplitStringIntoArray($E71, "/")), 3), "")</f>
        <v>HCFC-142b</v>
      </c>
      <c r="H130" s="73" t="str" cm="1">
        <f t="array" ref="H130">IFERROR(INDEX(TRANSPOSE(Common_InputFunctions.Utility_SplitStringIntoArray($E71, "/")), 4), "")</f>
        <v/>
      </c>
      <c r="I130" s="73" cm="1">
        <f t="array" ref="I130">IFERROR(INDEX(TRANSPOSE(Common_InputFunctions.Utility_SplitStringIntoArray($F71, "/", "(", ")")), 1)*0.01, 0)</f>
        <v>0.65</v>
      </c>
      <c r="J130" s="73" cm="1">
        <f t="array" ref="J130">IFERROR(INDEX(TRANSPOSE(Common_InputFunctions.Utility_SplitStringIntoArray($F71, "/", "(", ")")), 2)*0.01, 0)</f>
        <v>0.25</v>
      </c>
      <c r="K130" s="73" cm="1">
        <f t="array" ref="K130">IFERROR(INDEX(TRANSPOSE(Common_InputFunctions.Utility_SplitStringIntoArray($F71, "/", "(", ")")), 3)*0.01, 0)</f>
        <v>0.1</v>
      </c>
      <c r="L130" s="73" cm="1">
        <f t="array" ref="L130">IFERROR(INDEX(TRANSPOSE(Common_InputFunctions.Utility_SplitStringIntoArray($F71, "/", "(", ")")), 4)*0.01, 0)</f>
        <v>0</v>
      </c>
      <c r="M130" s="73" cm="1">
        <f t="array" ref="M130">IFERROR(Table_RefrigerantBlends_Cleaned[[#This Row],[Constituent 1 fraction]]*Common_InputFunctions.Utility_LookupValueInTableNumber(Table_RefrigerantBlends_Cleaned[[#This Row],[Constituent 1]], Table_RefrigerantChemicalGWP[Gas - FC name], Table_RefrigerantChemicalGWP[Global warming potential (AR5)]),"")</f>
        <v>1144</v>
      </c>
      <c r="N130" s="73" cm="1">
        <f t="array" ref="N130">IFERROR(Table_RefrigerantBlends_Cleaned[[#This Row],[Constituent 2 fraction]]*Common_InputFunctions.Utility_LookupValueInTableNumber(Table_RefrigerantBlends_Cleaned[[#This Row],[Constituent 2]], Table_RefrigerantChemicalGWP[Gas - FC name], Table_RefrigerantChemicalGWP[Global warming potential (AR5)]), "")</f>
        <v>131.75</v>
      </c>
      <c r="O130" s="73" cm="1">
        <f t="array" ref="O130">IFERROR(Table_RefrigerantBlends_Cleaned[[#This Row],[Constituent 3 fraction]]*Common_InputFunctions.Utility_LookupValueInTableNumber(Table_RefrigerantBlends_Cleaned[[#This Row],[Constituent 3]], Table_RefrigerantChemicalGWP[Gas - FC name], Table_RefrigerantChemicalGWP[Global warming potential (AR5)]), "")</f>
        <v>198</v>
      </c>
      <c r="P130" s="73" cm="1">
        <f t="array" ref="P130">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0" s="73" cm="1">
        <f t="array" ref="Q130">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796.33749999999998</v>
      </c>
      <c r="AG130" s="1"/>
    </row>
    <row r="131" spans="4:33" ht="20.100000000000001" customHeight="1" x14ac:dyDescent="0.25">
      <c r="D131" s="73" t="str">
        <f t="shared" si="0"/>
        <v>R-410A</v>
      </c>
      <c r="E131" s="73" t="str" cm="1">
        <f t="array" ref="E131">IFERROR(INDEX(TRANSPOSE(Common_InputFunctions.Utility_SplitStringIntoArray($E72, "/")), 1), "")</f>
        <v>HFC-32</v>
      </c>
      <c r="F131" s="73" t="str" cm="1">
        <f t="array" ref="F131">IFERROR(INDEX(TRANSPOSE(Common_InputFunctions.Utility_SplitStringIntoArray($E72, "/")), 2), "")</f>
        <v>HFC-125</v>
      </c>
      <c r="G131" s="73" t="str" cm="1">
        <f t="array" ref="G131">IFERROR(INDEX(TRANSPOSE(Common_InputFunctions.Utility_SplitStringIntoArray($E72, "/")), 3), "")</f>
        <v/>
      </c>
      <c r="H131" s="73" t="str" cm="1">
        <f t="array" ref="H131">IFERROR(INDEX(TRANSPOSE(Common_InputFunctions.Utility_SplitStringIntoArray($E72, "/")), 4), "")</f>
        <v/>
      </c>
      <c r="I131" s="73" cm="1">
        <f t="array" ref="I131">IFERROR(INDEX(TRANSPOSE(Common_InputFunctions.Utility_SplitStringIntoArray($F72, "/", "(", ")")), 1)*0.01, 0)</f>
        <v>0.5</v>
      </c>
      <c r="J131" s="73" cm="1">
        <f t="array" ref="J131">IFERROR(INDEX(TRANSPOSE(Common_InputFunctions.Utility_SplitStringIntoArray($F72, "/", "(", ")")), 2)*0.01, 0)</f>
        <v>0.5</v>
      </c>
      <c r="K131" s="73" cm="1">
        <f t="array" ref="K131">IFERROR(INDEX(TRANSPOSE(Common_InputFunctions.Utility_SplitStringIntoArray($F72, "/", "(", ")")), 3)*0.01, 0)</f>
        <v>0</v>
      </c>
      <c r="L131" s="73" cm="1">
        <f t="array" ref="L131">IFERROR(INDEX(TRANSPOSE(Common_InputFunctions.Utility_SplitStringIntoArray($F72, "/", "(", ")")), 4)*0.01, 0)</f>
        <v>0</v>
      </c>
      <c r="M131" s="73" cm="1">
        <f t="array" ref="M131">IFERROR(Table_RefrigerantBlends_Cleaned[[#This Row],[Constituent 1 fraction]]*Common_InputFunctions.Utility_LookupValueInTableNumber(Table_RefrigerantBlends_Cleaned[[#This Row],[Constituent 1]], Table_RefrigerantChemicalGWP[Gas - FC name], Table_RefrigerantChemicalGWP[Global warming potential (AR5)]),"")</f>
        <v>338.5</v>
      </c>
      <c r="N131" s="73" cm="1">
        <f t="array" ref="N131">IFERROR(Table_RefrigerantBlends_Cleaned[[#This Row],[Constituent 2 fraction]]*Common_InputFunctions.Utility_LookupValueInTableNumber(Table_RefrigerantBlends_Cleaned[[#This Row],[Constituent 2]], Table_RefrigerantChemicalGWP[Gas - FC name], Table_RefrigerantChemicalGWP[Global warming potential (AR5)]), "")</f>
        <v>1585</v>
      </c>
      <c r="O131" s="73" cm="1">
        <f t="array" ref="O131">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31" s="73" cm="1">
        <f t="array" ref="P131">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1" s="73" cm="1">
        <f t="array" ref="Q131">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961.75</v>
      </c>
      <c r="AG131" s="1"/>
    </row>
    <row r="132" spans="4:33" ht="20.100000000000001" customHeight="1" x14ac:dyDescent="0.25">
      <c r="D132" s="73" t="str">
        <f t="shared" si="0"/>
        <v>R-410B</v>
      </c>
      <c r="E132" s="73" t="str" cm="1">
        <f t="array" ref="E132">IFERROR(INDEX(TRANSPOSE(Common_InputFunctions.Utility_SplitStringIntoArray($E73, "/")), 1), "")</f>
        <v>HFC-32</v>
      </c>
      <c r="F132" s="73" t="str" cm="1">
        <f t="array" ref="F132">IFERROR(INDEX(TRANSPOSE(Common_InputFunctions.Utility_SplitStringIntoArray($E73, "/")), 2), "")</f>
        <v>HFC-125</v>
      </c>
      <c r="G132" s="73" t="str" cm="1">
        <f t="array" ref="G132">IFERROR(INDEX(TRANSPOSE(Common_InputFunctions.Utility_SplitStringIntoArray($E73, "/")), 3), "")</f>
        <v/>
      </c>
      <c r="H132" s="73" t="str" cm="1">
        <f t="array" ref="H132">IFERROR(INDEX(TRANSPOSE(Common_InputFunctions.Utility_SplitStringIntoArray($E73, "/")), 4), "")</f>
        <v/>
      </c>
      <c r="I132" s="73" cm="1">
        <f t="array" ref="I132">IFERROR(INDEX(TRANSPOSE(Common_InputFunctions.Utility_SplitStringIntoArray($F73, "/", "(", ")")), 1)*0.01, 0)</f>
        <v>0.45</v>
      </c>
      <c r="J132" s="73" cm="1">
        <f t="array" ref="J132">IFERROR(INDEX(TRANSPOSE(Common_InputFunctions.Utility_SplitStringIntoArray($F73, "/", "(", ")")), 2)*0.01, 0)</f>
        <v>0.55000000000000004</v>
      </c>
      <c r="K132" s="73" cm="1">
        <f t="array" ref="K132">IFERROR(INDEX(TRANSPOSE(Common_InputFunctions.Utility_SplitStringIntoArray($F73, "/", "(", ")")), 3)*0.01, 0)</f>
        <v>0</v>
      </c>
      <c r="L132" s="73" cm="1">
        <f t="array" ref="L132">IFERROR(INDEX(TRANSPOSE(Common_InputFunctions.Utility_SplitStringIntoArray($F73, "/", "(", ")")), 4)*0.01, 0)</f>
        <v>0</v>
      </c>
      <c r="M132" s="73" cm="1">
        <f t="array" ref="M132">IFERROR(Table_RefrigerantBlends_Cleaned[[#This Row],[Constituent 1 fraction]]*Common_InputFunctions.Utility_LookupValueInTableNumber(Table_RefrigerantBlends_Cleaned[[#This Row],[Constituent 1]], Table_RefrigerantChemicalGWP[Gas - FC name], Table_RefrigerantChemicalGWP[Global warming potential (AR5)]),"")</f>
        <v>304.65000000000003</v>
      </c>
      <c r="N132" s="73" cm="1">
        <f t="array" ref="N132">IFERROR(Table_RefrigerantBlends_Cleaned[[#This Row],[Constituent 2 fraction]]*Common_InputFunctions.Utility_LookupValueInTableNumber(Table_RefrigerantBlends_Cleaned[[#This Row],[Constituent 2]], Table_RefrigerantChemicalGWP[Gas - FC name], Table_RefrigerantChemicalGWP[Global warming potential (AR5)]), "")</f>
        <v>1743.5000000000002</v>
      </c>
      <c r="O132" s="73" cm="1">
        <f t="array" ref="O132">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32" s="73" cm="1">
        <f t="array" ref="P132">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2" s="73" cm="1">
        <f t="array" ref="Q132">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1096.0175000000002</v>
      </c>
      <c r="AG132" s="1"/>
    </row>
    <row r="133" spans="4:33" ht="20.100000000000001" customHeight="1" x14ac:dyDescent="0.25">
      <c r="D133" s="73" t="str">
        <f t="shared" si="0"/>
        <v>R-411A</v>
      </c>
      <c r="E133" s="73" t="str" cm="1">
        <f t="array" ref="E133">IFERROR(INDEX(TRANSPOSE(Common_InputFunctions.Utility_SplitStringIntoArray($E74, "/")), 1), "")</f>
        <v>HC-1270</v>
      </c>
      <c r="F133" s="73" t="str" cm="1">
        <f t="array" ref="F133">IFERROR(INDEX(TRANSPOSE(Common_InputFunctions.Utility_SplitStringIntoArray($E74, "/")), 2), "")</f>
        <v>HCFC-22</v>
      </c>
      <c r="G133" s="73" t="str" cm="1">
        <f t="array" ref="G133">IFERROR(INDEX(TRANSPOSE(Common_InputFunctions.Utility_SplitStringIntoArray($E74, "/")), 3), "")</f>
        <v>HFC-152a</v>
      </c>
      <c r="H133" s="73" t="str" cm="1">
        <f t="array" ref="H133">IFERROR(INDEX(TRANSPOSE(Common_InputFunctions.Utility_SplitStringIntoArray($E74, "/")), 4), "")</f>
        <v/>
      </c>
      <c r="I133" s="73" cm="1">
        <f t="array" ref="I133">IFERROR(INDEX(TRANSPOSE(Common_InputFunctions.Utility_SplitStringIntoArray($F74, "/", "(", ")")), 1)*0.01, 0)</f>
        <v>1.4999999999999999E-2</v>
      </c>
      <c r="J133" s="73" cm="1">
        <f t="array" ref="J133">IFERROR(INDEX(TRANSPOSE(Common_InputFunctions.Utility_SplitStringIntoArray($F74, "/", "(", ")")), 2)*0.01, 0)</f>
        <v>0.875</v>
      </c>
      <c r="K133" s="73" cm="1">
        <f t="array" ref="K133">IFERROR(INDEX(TRANSPOSE(Common_InputFunctions.Utility_SplitStringIntoArray($F74, "/", "(", ")")), 3)*0.01, 0)</f>
        <v>0.11</v>
      </c>
      <c r="L133" s="73" cm="1">
        <f t="array" ref="L133">IFERROR(INDEX(TRANSPOSE(Common_InputFunctions.Utility_SplitStringIntoArray($F74, "/", "(", ")")), 4)*0.01, 0)</f>
        <v>0</v>
      </c>
      <c r="M133" s="73" cm="1">
        <f t="array" ref="M133">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33" s="73" cm="1">
        <f t="array" ref="N133">IFERROR(Table_RefrigerantBlends_Cleaned[[#This Row],[Constituent 2 fraction]]*Common_InputFunctions.Utility_LookupValueInTableNumber(Table_RefrigerantBlends_Cleaned[[#This Row],[Constituent 2]], Table_RefrigerantChemicalGWP[Gas - FC name], Table_RefrigerantChemicalGWP[Global warming potential (AR5)]), "")</f>
        <v>1540</v>
      </c>
      <c r="O133" s="73" cm="1">
        <f t="array" ref="O133">IFERROR(Table_RefrigerantBlends_Cleaned[[#This Row],[Constituent 3 fraction]]*Common_InputFunctions.Utility_LookupValueInTableNumber(Table_RefrigerantBlends_Cleaned[[#This Row],[Constituent 3]], Table_RefrigerantChemicalGWP[Gas - FC name], Table_RefrigerantChemicalGWP[Global warming potential (AR5)]), "")</f>
        <v>15.18</v>
      </c>
      <c r="P133" s="73" cm="1">
        <f t="array" ref="P133">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3" s="73" cm="1">
        <f t="array" ref="Q133">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1349.1697999999999</v>
      </c>
      <c r="AG133" s="1"/>
    </row>
    <row r="134" spans="4:33" ht="20.100000000000001" customHeight="1" x14ac:dyDescent="0.25">
      <c r="D134" s="73" t="str">
        <f t="shared" si="0"/>
        <v>R-411B</v>
      </c>
      <c r="E134" s="73" t="str" cm="1">
        <f t="array" ref="E134">IFERROR(INDEX(TRANSPOSE(Common_InputFunctions.Utility_SplitStringIntoArray($E75, "/")), 1), "")</f>
        <v>HC-1270</v>
      </c>
      <c r="F134" s="73" t="str" cm="1">
        <f t="array" ref="F134">IFERROR(INDEX(TRANSPOSE(Common_InputFunctions.Utility_SplitStringIntoArray($E75, "/")), 2), "")</f>
        <v>HCFC-22</v>
      </c>
      <c r="G134" s="73" t="str" cm="1">
        <f t="array" ref="G134">IFERROR(INDEX(TRANSPOSE(Common_InputFunctions.Utility_SplitStringIntoArray($E75, "/")), 3), "")</f>
        <v>HFC-152a</v>
      </c>
      <c r="H134" s="73" t="str" cm="1">
        <f t="array" ref="H134">IFERROR(INDEX(TRANSPOSE(Common_InputFunctions.Utility_SplitStringIntoArray($E75, "/")), 4), "")</f>
        <v/>
      </c>
      <c r="I134" s="73" cm="1">
        <f t="array" ref="I134">IFERROR(INDEX(TRANSPOSE(Common_InputFunctions.Utility_SplitStringIntoArray($F75, "/", "(", ")")), 1)*0.01, 0)</f>
        <v>0.03</v>
      </c>
      <c r="J134" s="73" cm="1">
        <f t="array" ref="J134">IFERROR(INDEX(TRANSPOSE(Common_InputFunctions.Utility_SplitStringIntoArray($F75, "/", "(", ")")), 2)*0.01, 0)</f>
        <v>0.94000000000000006</v>
      </c>
      <c r="K134" s="73" cm="1">
        <f t="array" ref="K134">IFERROR(INDEX(TRANSPOSE(Common_InputFunctions.Utility_SplitStringIntoArray($F75, "/", "(", ")")), 3)*0.01, 0)</f>
        <v>0.03</v>
      </c>
      <c r="L134" s="73" cm="1">
        <f t="array" ref="L134">IFERROR(INDEX(TRANSPOSE(Common_InputFunctions.Utility_SplitStringIntoArray($F75, "/", "(", ")")), 4)*0.01, 0)</f>
        <v>0</v>
      </c>
      <c r="M134" s="73" cm="1">
        <f t="array" ref="M134">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34" s="73" cm="1">
        <f t="array" ref="N134">IFERROR(Table_RefrigerantBlends_Cleaned[[#This Row],[Constituent 2 fraction]]*Common_InputFunctions.Utility_LookupValueInTableNumber(Table_RefrigerantBlends_Cleaned[[#This Row],[Constituent 2]], Table_RefrigerantChemicalGWP[Gas - FC name], Table_RefrigerantChemicalGWP[Global warming potential (AR5)]), "")</f>
        <v>1654.4</v>
      </c>
      <c r="O134" s="73" cm="1">
        <f t="array" ref="O134">IFERROR(Table_RefrigerantBlends_Cleaned[[#This Row],[Constituent 3 fraction]]*Common_InputFunctions.Utility_LookupValueInTableNumber(Table_RefrigerantBlends_Cleaned[[#This Row],[Constituent 3]], Table_RefrigerantChemicalGWP[Gas - FC name], Table_RefrigerantChemicalGWP[Global warming potential (AR5)]), "")</f>
        <v>4.1399999999999997</v>
      </c>
      <c r="P134" s="73" cm="1">
        <f t="array" ref="P134">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4" s="73" cm="1">
        <f t="array" ref="Q134">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1555.2602000000002</v>
      </c>
      <c r="AG134" s="1"/>
    </row>
    <row r="135" spans="4:33" ht="20.100000000000001" customHeight="1" x14ac:dyDescent="0.25">
      <c r="D135" s="73" t="str">
        <f t="shared" si="0"/>
        <v>R-411C</v>
      </c>
      <c r="E135" s="73" t="str" cm="1">
        <f t="array" ref="E135">IFERROR(INDEX(TRANSPOSE(Common_InputFunctions.Utility_SplitStringIntoArray($E76, "/")), 1), "")</f>
        <v>HC-1270</v>
      </c>
      <c r="F135" s="73" t="str" cm="1">
        <f t="array" ref="F135">IFERROR(INDEX(TRANSPOSE(Common_InputFunctions.Utility_SplitStringIntoArray($E76, "/")), 2), "")</f>
        <v>HCFC-22</v>
      </c>
      <c r="G135" s="73" t="str" cm="1">
        <f t="array" ref="G135">IFERROR(INDEX(TRANSPOSE(Common_InputFunctions.Utility_SplitStringIntoArray($E76, "/")), 3), "")</f>
        <v>HFC-152a</v>
      </c>
      <c r="H135" s="73" t="str" cm="1">
        <f t="array" ref="H135">IFERROR(INDEX(TRANSPOSE(Common_InputFunctions.Utility_SplitStringIntoArray($E76, "/")), 4), "")</f>
        <v/>
      </c>
      <c r="I135" s="73" cm="1">
        <f t="array" ref="I135">IFERROR(INDEX(TRANSPOSE(Common_InputFunctions.Utility_SplitStringIntoArray($F76, "/", "(", ")")), 1)*0.01, 0)</f>
        <v>0.03</v>
      </c>
      <c r="J135" s="73" cm="1">
        <f t="array" ref="J135">IFERROR(INDEX(TRANSPOSE(Common_InputFunctions.Utility_SplitStringIntoArray($F76, "/", "(", ")")), 2)*0.01, 0)</f>
        <v>0.95500000000000007</v>
      </c>
      <c r="K135" s="73" cm="1">
        <f t="array" ref="K135">IFERROR(INDEX(TRANSPOSE(Common_InputFunctions.Utility_SplitStringIntoArray($F76, "/", "(", ")")), 3)*0.01, 0)</f>
        <v>1.4999999999999999E-2</v>
      </c>
      <c r="L135" s="73" cm="1">
        <f t="array" ref="L135">IFERROR(INDEX(TRANSPOSE(Common_InputFunctions.Utility_SplitStringIntoArray($F76, "/", "(", ")")), 4)*0.01, 0)</f>
        <v>0</v>
      </c>
      <c r="M135" s="73" cm="1">
        <f t="array" ref="M135">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35" s="73" cm="1">
        <f t="array" ref="N135">IFERROR(Table_RefrigerantBlends_Cleaned[[#This Row],[Constituent 2 fraction]]*Common_InputFunctions.Utility_LookupValueInTableNumber(Table_RefrigerantBlends_Cleaned[[#This Row],[Constituent 2]], Table_RefrigerantChemicalGWP[Gas - FC name], Table_RefrigerantChemicalGWP[Global warming potential (AR5)]), "")</f>
        <v>1680.8000000000002</v>
      </c>
      <c r="O135" s="73" cm="1">
        <f t="array" ref="O135">IFERROR(Table_RefrigerantBlends_Cleaned[[#This Row],[Constituent 3 fraction]]*Common_InputFunctions.Utility_LookupValueInTableNumber(Table_RefrigerantBlends_Cleaned[[#This Row],[Constituent 3]], Table_RefrigerantChemicalGWP[Gas - FC name], Table_RefrigerantChemicalGWP[Global warming potential (AR5)]), "")</f>
        <v>2.0699999999999998</v>
      </c>
      <c r="P135" s="73" cm="1">
        <f t="array" ref="P135">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5" s="73" cm="1">
        <f t="array" ref="Q135">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1605.1950500000003</v>
      </c>
      <c r="AG135" s="1"/>
    </row>
    <row r="136" spans="4:33" ht="20.100000000000001" customHeight="1" x14ac:dyDescent="0.25">
      <c r="D136" s="73" t="str">
        <f t="shared" si="0"/>
        <v>R-412A</v>
      </c>
      <c r="E136" s="73" t="str" cm="1">
        <f t="array" ref="E136">IFERROR(INDEX(TRANSPOSE(Common_InputFunctions.Utility_SplitStringIntoArray($E77, "/")), 1), "")</f>
        <v>HCFC-22</v>
      </c>
      <c r="F136" s="73" t="str" cm="1">
        <f t="array" ref="F136">IFERROR(INDEX(TRANSPOSE(Common_InputFunctions.Utility_SplitStringIntoArray($E77, "/")), 2), "")</f>
        <v>PFC-218</v>
      </c>
      <c r="G136" s="73" t="str" cm="1">
        <f t="array" ref="G136">IFERROR(INDEX(TRANSPOSE(Common_InputFunctions.Utility_SplitStringIntoArray($E77, "/")), 3), "")</f>
        <v>HCFC-142b</v>
      </c>
      <c r="H136" s="73" t="str" cm="1">
        <f t="array" ref="H136">IFERROR(INDEX(TRANSPOSE(Common_InputFunctions.Utility_SplitStringIntoArray($E77, "/")), 4), "")</f>
        <v/>
      </c>
      <c r="I136" s="73" cm="1">
        <f t="array" ref="I136">IFERROR(INDEX(TRANSPOSE(Common_InputFunctions.Utility_SplitStringIntoArray($F77, "/", "(", ")")), 1)*0.01, 0)</f>
        <v>0.70000000000000007</v>
      </c>
      <c r="J136" s="73" cm="1">
        <f t="array" ref="J136">IFERROR(INDEX(TRANSPOSE(Common_InputFunctions.Utility_SplitStringIntoArray($F77, "/", "(", ")")), 2)*0.01, 0)</f>
        <v>0.05</v>
      </c>
      <c r="K136" s="73" cm="1">
        <f t="array" ref="K136">IFERROR(INDEX(TRANSPOSE(Common_InputFunctions.Utility_SplitStringIntoArray($F77, "/", "(", ")")), 3)*0.01, 0)</f>
        <v>0.25</v>
      </c>
      <c r="L136" s="73" cm="1">
        <f t="array" ref="L136">IFERROR(INDEX(TRANSPOSE(Common_InputFunctions.Utility_SplitStringIntoArray($F77, "/", "(", ")")), 4)*0.01, 0)</f>
        <v>0</v>
      </c>
      <c r="M136" s="73" cm="1">
        <f t="array" ref="M136">IFERROR(Table_RefrigerantBlends_Cleaned[[#This Row],[Constituent 1 fraction]]*Common_InputFunctions.Utility_LookupValueInTableNumber(Table_RefrigerantBlends_Cleaned[[#This Row],[Constituent 1]], Table_RefrigerantChemicalGWP[Gas - FC name], Table_RefrigerantChemicalGWP[Global warming potential (AR5)]),"")</f>
        <v>1232.0000000000002</v>
      </c>
      <c r="N136" s="73" cm="1">
        <f t="array" ref="N136">IFERROR(Table_RefrigerantBlends_Cleaned[[#This Row],[Constituent 2 fraction]]*Common_InputFunctions.Utility_LookupValueInTableNumber(Table_RefrigerantBlends_Cleaned[[#This Row],[Constituent 2]], Table_RefrigerantChemicalGWP[Gas - FC name], Table_RefrigerantChemicalGWP[Global warming potential (AR5)]), "")</f>
        <v>445</v>
      </c>
      <c r="O136" s="73" cm="1">
        <f t="array" ref="O136">IFERROR(Table_RefrigerantBlends_Cleaned[[#This Row],[Constituent 3 fraction]]*Common_InputFunctions.Utility_LookupValueInTableNumber(Table_RefrigerantBlends_Cleaned[[#This Row],[Constituent 3]], Table_RefrigerantChemicalGWP[Gas - FC name], Table_RefrigerantChemicalGWP[Global warming potential (AR5)]), "")</f>
        <v>495</v>
      </c>
      <c r="P136" s="73" cm="1">
        <f t="array" ref="P136">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6" s="73" cm="1">
        <f t="array" ref="Q136">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1008.4000000000002</v>
      </c>
      <c r="AG136" s="1"/>
    </row>
    <row r="137" spans="4:33" ht="20.100000000000001" customHeight="1" x14ac:dyDescent="0.25">
      <c r="D137" s="73" t="str">
        <f t="shared" si="0"/>
        <v>R-413A</v>
      </c>
      <c r="E137" s="73" t="str" cm="1">
        <f t="array" ref="E137">IFERROR(INDEX(TRANSPOSE(Common_InputFunctions.Utility_SplitStringIntoArray($E78, "/")), 1), "")</f>
        <v>PFC-218</v>
      </c>
      <c r="F137" s="73" t="str" cm="1">
        <f t="array" ref="F137">IFERROR(INDEX(TRANSPOSE(Common_InputFunctions.Utility_SplitStringIntoArray($E78, "/")), 2), "")</f>
        <v>HFC-134a</v>
      </c>
      <c r="G137" s="73" t="str" cm="1">
        <f t="array" ref="G137">IFERROR(INDEX(TRANSPOSE(Common_InputFunctions.Utility_SplitStringIntoArray($E78, "/")), 3), "")</f>
        <v>HC-600a</v>
      </c>
      <c r="H137" s="73" t="str" cm="1">
        <f t="array" ref="H137">IFERROR(INDEX(TRANSPOSE(Common_InputFunctions.Utility_SplitStringIntoArray($E78, "/")), 4), "")</f>
        <v/>
      </c>
      <c r="I137" s="73" cm="1">
        <f t="array" ref="I137">IFERROR(INDEX(TRANSPOSE(Common_InputFunctions.Utility_SplitStringIntoArray($F78, "/", "(", ")")), 1)*0.01, 0)</f>
        <v>0.09</v>
      </c>
      <c r="J137" s="73" cm="1">
        <f t="array" ref="J137">IFERROR(INDEX(TRANSPOSE(Common_InputFunctions.Utility_SplitStringIntoArray($F78, "/", "(", ")")), 2)*0.01, 0)</f>
        <v>0.88</v>
      </c>
      <c r="K137" s="73" cm="1">
        <f t="array" ref="K137">IFERROR(INDEX(TRANSPOSE(Common_InputFunctions.Utility_SplitStringIntoArray($F78, "/", "(", ")")), 3)*0.01, 0)</f>
        <v>0.03</v>
      </c>
      <c r="L137" s="73" cm="1">
        <f t="array" ref="L137">IFERROR(INDEX(TRANSPOSE(Common_InputFunctions.Utility_SplitStringIntoArray($F78, "/", "(", ")")), 4)*0.01, 0)</f>
        <v>0</v>
      </c>
      <c r="M137" s="73" cm="1">
        <f t="array" ref="M137">IFERROR(Table_RefrigerantBlends_Cleaned[[#This Row],[Constituent 1 fraction]]*Common_InputFunctions.Utility_LookupValueInTableNumber(Table_RefrigerantBlends_Cleaned[[#This Row],[Constituent 1]], Table_RefrigerantChemicalGWP[Gas - FC name], Table_RefrigerantChemicalGWP[Global warming potential (AR5)]),"")</f>
        <v>801</v>
      </c>
      <c r="N137" s="73" cm="1">
        <f t="array" ref="N137">IFERROR(Table_RefrigerantBlends_Cleaned[[#This Row],[Constituent 2 fraction]]*Common_InputFunctions.Utility_LookupValueInTableNumber(Table_RefrigerantBlends_Cleaned[[#This Row],[Constituent 2]], Table_RefrigerantChemicalGWP[Gas - FC name], Table_RefrigerantChemicalGWP[Global warming potential (AR5)]), "")</f>
        <v>1144</v>
      </c>
      <c r="O137" s="73" cm="1">
        <f t="array" ref="O137">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37" s="73" cm="1">
        <f t="array" ref="P137">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7" s="73" cm="1">
        <f t="array" ref="Q137">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1078.81</v>
      </c>
      <c r="AG137" s="1"/>
    </row>
    <row r="138" spans="4:33" ht="20.100000000000001" customHeight="1" x14ac:dyDescent="0.25">
      <c r="D138" s="73" t="str">
        <f t="shared" si="0"/>
        <v>R-414A</v>
      </c>
      <c r="E138" s="73" t="str" cm="1">
        <f t="array" ref="E138">IFERROR(INDEX(TRANSPOSE(Common_InputFunctions.Utility_SplitStringIntoArray($E79, "/")), 1), "")</f>
        <v>HCFC-22</v>
      </c>
      <c r="F138" s="73" t="str" cm="1">
        <f t="array" ref="F138">IFERROR(INDEX(TRANSPOSE(Common_InputFunctions.Utility_SplitStringIntoArray($E79, "/")), 2), "")</f>
        <v>HCFC-124</v>
      </c>
      <c r="G138" s="73" t="str" cm="1">
        <f t="array" ref="G138">IFERROR(INDEX(TRANSPOSE(Common_InputFunctions.Utility_SplitStringIntoArray($E79, "/")), 3), "")</f>
        <v>HC-600a</v>
      </c>
      <c r="H138" s="73" t="str" cm="1">
        <f t="array" ref="H138">IFERROR(INDEX(TRANSPOSE(Common_InputFunctions.Utility_SplitStringIntoArray($E79, "/")), 4), "")</f>
        <v>HCFC-142b</v>
      </c>
      <c r="I138" s="73" cm="1">
        <f t="array" ref="I138">IFERROR(INDEX(TRANSPOSE(Common_InputFunctions.Utility_SplitStringIntoArray($F79, "/", "(", ")")), 1)*0.01, 0)</f>
        <v>0.51</v>
      </c>
      <c r="J138" s="73" cm="1">
        <f t="array" ref="J138">IFERROR(INDEX(TRANSPOSE(Common_InputFunctions.Utility_SplitStringIntoArray($F79, "/", "(", ")")), 2)*0.01, 0)</f>
        <v>0.28500000000000003</v>
      </c>
      <c r="K138" s="73" cm="1">
        <f t="array" ref="K138">IFERROR(INDEX(TRANSPOSE(Common_InputFunctions.Utility_SplitStringIntoArray($F79, "/", "(", ")")), 3)*0.01, 0)</f>
        <v>0.04</v>
      </c>
      <c r="L138" s="73" cm="1">
        <f t="array" ref="L138">IFERROR(INDEX(TRANSPOSE(Common_InputFunctions.Utility_SplitStringIntoArray($F79, "/", "(", ")")), 4)*0.01, 0)</f>
        <v>0.16500000000000001</v>
      </c>
      <c r="M138" s="73" cm="1">
        <f t="array" ref="M138">IFERROR(Table_RefrigerantBlends_Cleaned[[#This Row],[Constituent 1 fraction]]*Common_InputFunctions.Utility_LookupValueInTableNumber(Table_RefrigerantBlends_Cleaned[[#This Row],[Constituent 1]], Table_RefrigerantChemicalGWP[Gas - FC name], Table_RefrigerantChemicalGWP[Global warming potential (AR5)]),"")</f>
        <v>897.6</v>
      </c>
      <c r="N138" s="73" cm="1">
        <f t="array" ref="N138">IFERROR(Table_RefrigerantBlends_Cleaned[[#This Row],[Constituent 2 fraction]]*Common_InputFunctions.Utility_LookupValueInTableNumber(Table_RefrigerantBlends_Cleaned[[#This Row],[Constituent 2]], Table_RefrigerantChemicalGWP[Gas - FC name], Table_RefrigerantChemicalGWP[Global warming potential (AR5)]), "")</f>
        <v>150.19500000000002</v>
      </c>
      <c r="O138" s="73" cm="1">
        <f t="array" ref="O138">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38" s="73" cm="1">
        <f t="array" ref="P138">IFERROR(Table_RefrigerantBlends_Cleaned[[#This Row],[Constituent 4 fraction]]*Common_InputFunctions.Utility_LookupValueInTableNumber(Table_RefrigerantBlends_Cleaned[[#This Row],[Constituent 4]], Table_RefrigerantChemicalGWP[Gas - FC name], Table_RefrigerantChemicalGWP[Global warming potential (AR5)]), "")</f>
        <v>326.7</v>
      </c>
      <c r="Q138" s="73" cm="1">
        <f t="array" ref="Q138">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554.487075</v>
      </c>
      <c r="AG138" s="1"/>
    </row>
    <row r="139" spans="4:33" ht="20.100000000000001" customHeight="1" x14ac:dyDescent="0.25">
      <c r="D139" s="73" t="str">
        <f t="shared" si="0"/>
        <v>R-414B</v>
      </c>
      <c r="E139" s="73" t="str" cm="1">
        <f t="array" ref="E139">IFERROR(INDEX(TRANSPOSE(Common_InputFunctions.Utility_SplitStringIntoArray($E80, "/")), 1), "")</f>
        <v>HCFC-22</v>
      </c>
      <c r="F139" s="73" t="str" cm="1">
        <f t="array" ref="F139">IFERROR(INDEX(TRANSPOSE(Common_InputFunctions.Utility_SplitStringIntoArray($E80, "/")), 2), "")</f>
        <v>HCFC-124</v>
      </c>
      <c r="G139" s="73" t="str" cm="1">
        <f t="array" ref="G139">IFERROR(INDEX(TRANSPOSE(Common_InputFunctions.Utility_SplitStringIntoArray($E80, "/")), 3), "")</f>
        <v>HC-600a</v>
      </c>
      <c r="H139" s="73" t="str" cm="1">
        <f t="array" ref="H139">IFERROR(INDEX(TRANSPOSE(Common_InputFunctions.Utility_SplitStringIntoArray($E80, "/")), 4), "")</f>
        <v>HCFC-142b</v>
      </c>
      <c r="I139" s="73" cm="1">
        <f t="array" ref="I139">IFERROR(INDEX(TRANSPOSE(Common_InputFunctions.Utility_SplitStringIntoArray($F80, "/", "(", ")")), 1)*0.01, 0)</f>
        <v>0.5</v>
      </c>
      <c r="J139" s="73" cm="1">
        <f t="array" ref="J139">IFERROR(INDEX(TRANSPOSE(Common_InputFunctions.Utility_SplitStringIntoArray($F80, "/", "(", ")")), 2)*0.01, 0)</f>
        <v>0.39</v>
      </c>
      <c r="K139" s="73" cm="1">
        <f t="array" ref="K139">IFERROR(INDEX(TRANSPOSE(Common_InputFunctions.Utility_SplitStringIntoArray($F80, "/", "(", ")")), 3)*0.01, 0)</f>
        <v>1.4999999999999999E-2</v>
      </c>
      <c r="L139" s="73" cm="1">
        <f t="array" ref="L139">IFERROR(INDEX(TRANSPOSE(Common_InputFunctions.Utility_SplitStringIntoArray($F80, "/", "(", ")")), 4)*0.01, 0)</f>
        <v>9.5000000000000001E-2</v>
      </c>
      <c r="M139" s="73" cm="1">
        <f t="array" ref="M139">IFERROR(Table_RefrigerantBlends_Cleaned[[#This Row],[Constituent 1 fraction]]*Common_InputFunctions.Utility_LookupValueInTableNumber(Table_RefrigerantBlends_Cleaned[[#This Row],[Constituent 1]], Table_RefrigerantChemicalGWP[Gas - FC name], Table_RefrigerantChemicalGWP[Global warming potential (AR5)]),"")</f>
        <v>880</v>
      </c>
      <c r="N139" s="73" cm="1">
        <f t="array" ref="N139">IFERROR(Table_RefrigerantBlends_Cleaned[[#This Row],[Constituent 2 fraction]]*Common_InputFunctions.Utility_LookupValueInTableNumber(Table_RefrigerantBlends_Cleaned[[#This Row],[Constituent 2]], Table_RefrigerantChemicalGWP[Gas - FC name], Table_RefrigerantChemicalGWP[Global warming potential (AR5)]), "")</f>
        <v>205.53</v>
      </c>
      <c r="O139" s="73" cm="1">
        <f t="array" ref="O139">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39" s="73" cm="1">
        <f t="array" ref="P139">IFERROR(Table_RefrigerantBlends_Cleaned[[#This Row],[Constituent 4 fraction]]*Common_InputFunctions.Utility_LookupValueInTableNumber(Table_RefrigerantBlends_Cleaned[[#This Row],[Constituent 4]], Table_RefrigerantChemicalGWP[Gas - FC name], Table_RefrigerantChemicalGWP[Global warming potential (AR5)]), "")</f>
        <v>188.1</v>
      </c>
      <c r="Q139" s="73" cm="1">
        <f t="array" ref="Q139">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538.02620000000002</v>
      </c>
      <c r="AG139" s="1"/>
    </row>
    <row r="140" spans="4:33" ht="20.100000000000001" customHeight="1" x14ac:dyDescent="0.25">
      <c r="D140" s="73" t="str">
        <f t="shared" si="0"/>
        <v>R-415A</v>
      </c>
      <c r="E140" s="73" t="str" cm="1">
        <f t="array" ref="E140">IFERROR(INDEX(TRANSPOSE(Common_InputFunctions.Utility_SplitStringIntoArray($E81, "/")), 1), "")</f>
        <v>HCFC-22</v>
      </c>
      <c r="F140" s="73" t="str" cm="1">
        <f t="array" ref="F140">IFERROR(INDEX(TRANSPOSE(Common_InputFunctions.Utility_SplitStringIntoArray($E81, "/")), 2), "")</f>
        <v>HFC-152a</v>
      </c>
      <c r="G140" s="73" t="str" cm="1">
        <f t="array" ref="G140">IFERROR(INDEX(TRANSPOSE(Common_InputFunctions.Utility_SplitStringIntoArray($E81, "/")), 3), "")</f>
        <v/>
      </c>
      <c r="H140" s="73" t="str" cm="1">
        <f t="array" ref="H140">IFERROR(INDEX(TRANSPOSE(Common_InputFunctions.Utility_SplitStringIntoArray($E81, "/")), 4), "")</f>
        <v/>
      </c>
      <c r="I140" s="73" cm="1">
        <f t="array" ref="I140">IFERROR(INDEX(TRANSPOSE(Common_InputFunctions.Utility_SplitStringIntoArray($F81, "/", "(", ")")), 1)*0.01, 0)</f>
        <v>0.82000000000000006</v>
      </c>
      <c r="J140" s="73" cm="1">
        <f t="array" ref="J140">IFERROR(INDEX(TRANSPOSE(Common_InputFunctions.Utility_SplitStringIntoArray($F81, "/", "(", ")")), 2)*0.01, 0)</f>
        <v>0.18</v>
      </c>
      <c r="K140" s="73" cm="1">
        <f t="array" ref="K140">IFERROR(INDEX(TRANSPOSE(Common_InputFunctions.Utility_SplitStringIntoArray($F81, "/", "(", ")")), 3)*0.01, 0)</f>
        <v>0</v>
      </c>
      <c r="L140" s="73" cm="1">
        <f t="array" ref="L140">IFERROR(INDEX(TRANSPOSE(Common_InputFunctions.Utility_SplitStringIntoArray($F81, "/", "(", ")")), 4)*0.01, 0)</f>
        <v>0</v>
      </c>
      <c r="M140" s="73" cm="1">
        <f t="array" ref="M140">IFERROR(Table_RefrigerantBlends_Cleaned[[#This Row],[Constituent 1 fraction]]*Common_InputFunctions.Utility_LookupValueInTableNumber(Table_RefrigerantBlends_Cleaned[[#This Row],[Constituent 1]], Table_RefrigerantChemicalGWP[Gas - FC name], Table_RefrigerantChemicalGWP[Global warming potential (AR5)]),"")</f>
        <v>1443.2</v>
      </c>
      <c r="N140" s="73" cm="1">
        <f t="array" ref="N140">IFERROR(Table_RefrigerantBlends_Cleaned[[#This Row],[Constituent 2 fraction]]*Common_InputFunctions.Utility_LookupValueInTableNumber(Table_RefrigerantBlends_Cleaned[[#This Row],[Constituent 2]], Table_RefrigerantChemicalGWP[Gas - FC name], Table_RefrigerantChemicalGWP[Global warming potential (AR5)]), "")</f>
        <v>24.84</v>
      </c>
      <c r="O140" s="73" cm="1">
        <f t="array" ref="O140">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0" s="73" cm="1">
        <f t="array" ref="P140">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0" s="73" cm="1">
        <f t="array" ref="Q140">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1187.8952000000002</v>
      </c>
    </row>
    <row r="141" spans="4:33" ht="20.100000000000001" customHeight="1" x14ac:dyDescent="0.25">
      <c r="D141" s="73" t="str">
        <f t="shared" si="0"/>
        <v>R-415B</v>
      </c>
      <c r="E141" s="73" t="str" cm="1">
        <f t="array" ref="E141">IFERROR(INDEX(TRANSPOSE(Common_InputFunctions.Utility_SplitStringIntoArray($E82, "/")), 1), "")</f>
        <v>HCFC-22</v>
      </c>
      <c r="F141" s="73" t="str" cm="1">
        <f t="array" ref="F141">IFERROR(INDEX(TRANSPOSE(Common_InputFunctions.Utility_SplitStringIntoArray($E82, "/")), 2), "")</f>
        <v>HFC-152a</v>
      </c>
      <c r="G141" s="73" t="str" cm="1">
        <f t="array" ref="G141">IFERROR(INDEX(TRANSPOSE(Common_InputFunctions.Utility_SplitStringIntoArray($E82, "/")), 3), "")</f>
        <v/>
      </c>
      <c r="H141" s="73" t="str" cm="1">
        <f t="array" ref="H141">IFERROR(INDEX(TRANSPOSE(Common_InputFunctions.Utility_SplitStringIntoArray($E82, "/")), 4), "")</f>
        <v/>
      </c>
      <c r="I141" s="73" cm="1">
        <f t="array" ref="I141">IFERROR(INDEX(TRANSPOSE(Common_InputFunctions.Utility_SplitStringIntoArray($F82, "/", "(", ")")), 1)*0.01, 0)</f>
        <v>0.25</v>
      </c>
      <c r="J141" s="73" cm="1">
        <f t="array" ref="J141">IFERROR(INDEX(TRANSPOSE(Common_InputFunctions.Utility_SplitStringIntoArray($F82, "/", "(", ")")), 2)*0.01, 0)</f>
        <v>0.75</v>
      </c>
      <c r="K141" s="73" cm="1">
        <f t="array" ref="K141">IFERROR(INDEX(TRANSPOSE(Common_InputFunctions.Utility_SplitStringIntoArray($F82, "/", "(", ")")), 3)*0.01, 0)</f>
        <v>0</v>
      </c>
      <c r="L141" s="73" cm="1">
        <f t="array" ref="L141">IFERROR(INDEX(TRANSPOSE(Common_InputFunctions.Utility_SplitStringIntoArray($F82, "/", "(", ")")), 4)*0.01, 0)</f>
        <v>0</v>
      </c>
      <c r="M141" s="73" cm="1">
        <f t="array" ref="M141">IFERROR(Table_RefrigerantBlends_Cleaned[[#This Row],[Constituent 1 fraction]]*Common_InputFunctions.Utility_LookupValueInTableNumber(Table_RefrigerantBlends_Cleaned[[#This Row],[Constituent 1]], Table_RefrigerantChemicalGWP[Gas - FC name], Table_RefrigerantChemicalGWP[Global warming potential (AR5)]),"")</f>
        <v>440</v>
      </c>
      <c r="N141" s="73" cm="1">
        <f t="array" ref="N141">IFERROR(Table_RefrigerantBlends_Cleaned[[#This Row],[Constituent 2 fraction]]*Common_InputFunctions.Utility_LookupValueInTableNumber(Table_RefrigerantBlends_Cleaned[[#This Row],[Constituent 2]], Table_RefrigerantChemicalGWP[Gas - FC name], Table_RefrigerantChemicalGWP[Global warming potential (AR5)]), "")</f>
        <v>103.5</v>
      </c>
      <c r="O141" s="73" cm="1">
        <f t="array" ref="O141">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1" s="73" cm="1">
        <f t="array" ref="P141">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1" s="73" cm="1">
        <f t="array" ref="Q141">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187.625</v>
      </c>
    </row>
    <row r="142" spans="4:33" ht="20.100000000000001" customHeight="1" x14ac:dyDescent="0.25">
      <c r="D142" s="73" t="str">
        <f t="shared" si="0"/>
        <v>R-416A</v>
      </c>
      <c r="E142" s="73" t="str" cm="1">
        <f t="array" ref="E142">IFERROR(INDEX(TRANSPOSE(Common_InputFunctions.Utility_SplitStringIntoArray($E83, "/")), 1), "")</f>
        <v>HFC-134a</v>
      </c>
      <c r="F142" s="73" t="str" cm="1">
        <f t="array" ref="F142">IFERROR(INDEX(TRANSPOSE(Common_InputFunctions.Utility_SplitStringIntoArray($E83, "/")), 2), "")</f>
        <v>HCFC-124</v>
      </c>
      <c r="G142" s="73" t="str" cm="1">
        <f t="array" ref="G142">IFERROR(INDEX(TRANSPOSE(Common_InputFunctions.Utility_SplitStringIntoArray($E83, "/")), 3), "")</f>
        <v>HC-600</v>
      </c>
      <c r="H142" s="73" t="str" cm="1">
        <f t="array" ref="H142">IFERROR(INDEX(TRANSPOSE(Common_InputFunctions.Utility_SplitStringIntoArray($E83, "/")), 4), "")</f>
        <v/>
      </c>
      <c r="I142" s="73" cm="1">
        <f t="array" ref="I142">IFERROR(INDEX(TRANSPOSE(Common_InputFunctions.Utility_SplitStringIntoArray($F83, "/", "(", ")")), 1)*0.01, 0)</f>
        <v>0.59</v>
      </c>
      <c r="J142" s="73" cm="1">
        <f t="array" ref="J142">IFERROR(INDEX(TRANSPOSE(Common_InputFunctions.Utility_SplitStringIntoArray($F83, "/", "(", ")")), 2)*0.01, 0)</f>
        <v>0.39500000000000002</v>
      </c>
      <c r="K142" s="73" cm="1">
        <f t="array" ref="K142">IFERROR(INDEX(TRANSPOSE(Common_InputFunctions.Utility_SplitStringIntoArray($F83, "/", "(", ")")), 3)*0.01, 0)</f>
        <v>1.4999999999999999E-2</v>
      </c>
      <c r="L142" s="73" cm="1">
        <f t="array" ref="L142">IFERROR(INDEX(TRANSPOSE(Common_InputFunctions.Utility_SplitStringIntoArray($F83, "/", "(", ")")), 4)*0.01, 0)</f>
        <v>0</v>
      </c>
      <c r="M142" s="73" cm="1">
        <f t="array" ref="M142">IFERROR(Table_RefrigerantBlends_Cleaned[[#This Row],[Constituent 1 fraction]]*Common_InputFunctions.Utility_LookupValueInTableNumber(Table_RefrigerantBlends_Cleaned[[#This Row],[Constituent 1]], Table_RefrigerantChemicalGWP[Gas - FC name], Table_RefrigerantChemicalGWP[Global warming potential (AR5)]),"")</f>
        <v>767</v>
      </c>
      <c r="N142" s="73" cm="1">
        <f t="array" ref="N142">IFERROR(Table_RefrigerantBlends_Cleaned[[#This Row],[Constituent 2 fraction]]*Common_InputFunctions.Utility_LookupValueInTableNumber(Table_RefrigerantBlends_Cleaned[[#This Row],[Constituent 2]], Table_RefrigerantChemicalGWP[Gas - FC name], Table_RefrigerantChemicalGWP[Global warming potential (AR5)]), "")</f>
        <v>208.16500000000002</v>
      </c>
      <c r="O142" s="73" cm="1">
        <f t="array" ref="O142">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2" s="73" cm="1">
        <f t="array" ref="P142">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2" s="73" cm="1">
        <f t="array" ref="Q142">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534.75517500000001</v>
      </c>
    </row>
    <row r="143" spans="4:33" ht="20.100000000000001" customHeight="1" x14ac:dyDescent="0.25">
      <c r="D143" s="73" t="str">
        <f t="shared" si="0"/>
        <v>R-417A</v>
      </c>
      <c r="E143" s="73" t="str" cm="1">
        <f t="array" ref="E143">IFERROR(INDEX(TRANSPOSE(Common_InputFunctions.Utility_SplitStringIntoArray($E84, "/")), 1), "")</f>
        <v>HFC-125</v>
      </c>
      <c r="F143" s="73" t="str" cm="1">
        <f t="array" ref="F143">IFERROR(INDEX(TRANSPOSE(Common_InputFunctions.Utility_SplitStringIntoArray($E84, "/")), 2), "")</f>
        <v>HFC-134a</v>
      </c>
      <c r="G143" s="73" t="str" cm="1">
        <f t="array" ref="G143">IFERROR(INDEX(TRANSPOSE(Common_InputFunctions.Utility_SplitStringIntoArray($E84, "/")), 3), "")</f>
        <v>HC-600</v>
      </c>
      <c r="H143" s="73" t="str" cm="1">
        <f t="array" ref="H143">IFERROR(INDEX(TRANSPOSE(Common_InputFunctions.Utility_SplitStringIntoArray($E84, "/")), 4), "")</f>
        <v/>
      </c>
      <c r="I143" s="73" cm="1">
        <f t="array" ref="I143">IFERROR(INDEX(TRANSPOSE(Common_InputFunctions.Utility_SplitStringIntoArray($F84, "/", "(", ")")), 1)*0.01, 0)</f>
        <v>0.46600000000000003</v>
      </c>
      <c r="J143" s="73" cm="1">
        <f t="array" ref="J143">IFERROR(INDEX(TRANSPOSE(Common_InputFunctions.Utility_SplitStringIntoArray($F84, "/", "(", ")")), 2)*0.01, 0)</f>
        <v>0.5</v>
      </c>
      <c r="K143" s="73" cm="1">
        <f t="array" ref="K143">IFERROR(INDEX(TRANSPOSE(Common_InputFunctions.Utility_SplitStringIntoArray($F84, "/", "(", ")")), 3)*0.01, 0)</f>
        <v>3.4000000000000002E-2</v>
      </c>
      <c r="L143" s="73" cm="1">
        <f t="array" ref="L143">IFERROR(INDEX(TRANSPOSE(Common_InputFunctions.Utility_SplitStringIntoArray($F84, "/", "(", ")")), 4)*0.01, 0)</f>
        <v>0</v>
      </c>
      <c r="M143" s="73" cm="1">
        <f t="array" ref="M143">IFERROR(Table_RefrigerantBlends_Cleaned[[#This Row],[Constituent 1 fraction]]*Common_InputFunctions.Utility_LookupValueInTableNumber(Table_RefrigerantBlends_Cleaned[[#This Row],[Constituent 1]], Table_RefrigerantChemicalGWP[Gas - FC name], Table_RefrigerantChemicalGWP[Global warming potential (AR5)]),"")</f>
        <v>1477.22</v>
      </c>
      <c r="N143" s="73" cm="1">
        <f t="array" ref="N143">IFERROR(Table_RefrigerantBlends_Cleaned[[#This Row],[Constituent 2 fraction]]*Common_InputFunctions.Utility_LookupValueInTableNumber(Table_RefrigerantBlends_Cleaned[[#This Row],[Constituent 2]], Table_RefrigerantChemicalGWP[Gas - FC name], Table_RefrigerantChemicalGWP[Global warming potential (AR5)]), "")</f>
        <v>650</v>
      </c>
      <c r="O143" s="73" cm="1">
        <f t="array" ref="O143">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3" s="73" cm="1">
        <f t="array" ref="P143">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3" s="73" cm="1">
        <f t="array" ref="Q143">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1013.3845200000001</v>
      </c>
    </row>
    <row r="144" spans="4:33" ht="20.100000000000001" customHeight="1" x14ac:dyDescent="0.25">
      <c r="D144" s="73" t="str">
        <f t="shared" si="0"/>
        <v>R-418A</v>
      </c>
      <c r="E144" s="73" t="str" cm="1">
        <f t="array" ref="E144">IFERROR(INDEX(TRANSPOSE(Common_InputFunctions.Utility_SplitStringIntoArray($E85, "/")), 1), "")</f>
        <v>HC-290</v>
      </c>
      <c r="F144" s="73" t="str" cm="1">
        <f t="array" ref="F144">IFERROR(INDEX(TRANSPOSE(Common_InputFunctions.Utility_SplitStringIntoArray($E85, "/")), 2), "")</f>
        <v>HCFC-22</v>
      </c>
      <c r="G144" s="73" t="str" cm="1">
        <f t="array" ref="G144">IFERROR(INDEX(TRANSPOSE(Common_InputFunctions.Utility_SplitStringIntoArray($E85, "/")), 3), "")</f>
        <v>HFC-152a</v>
      </c>
      <c r="H144" s="73" t="str" cm="1">
        <f t="array" ref="H144">IFERROR(INDEX(TRANSPOSE(Common_InputFunctions.Utility_SplitStringIntoArray($E85, "/")), 4), "")</f>
        <v/>
      </c>
      <c r="I144" s="73" cm="1">
        <f t="array" ref="I144">IFERROR(INDEX(TRANSPOSE(Common_InputFunctions.Utility_SplitStringIntoArray($F85, "/", "(", ")")), 1)*0.01, 0)</f>
        <v>1.4999999999999999E-2</v>
      </c>
      <c r="J144" s="73" cm="1">
        <f t="array" ref="J144">IFERROR(INDEX(TRANSPOSE(Common_InputFunctions.Utility_SplitStringIntoArray($F85, "/", "(", ")")), 2)*0.01, 0)</f>
        <v>0.96</v>
      </c>
      <c r="K144" s="73" cm="1">
        <f t="array" ref="K144">IFERROR(INDEX(TRANSPOSE(Common_InputFunctions.Utility_SplitStringIntoArray($F85, "/", "(", ")")), 3)*0.01, 0)</f>
        <v>2.5000000000000001E-2</v>
      </c>
      <c r="L144" s="73" cm="1">
        <f t="array" ref="L144">IFERROR(INDEX(TRANSPOSE(Common_InputFunctions.Utility_SplitStringIntoArray($F85, "/", "(", ")")), 4)*0.01, 0)</f>
        <v>0</v>
      </c>
      <c r="M144" s="73" cm="1">
        <f t="array" ref="M144">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44" s="73" cm="1">
        <f t="array" ref="N144">IFERROR(Table_RefrigerantBlends_Cleaned[[#This Row],[Constituent 2 fraction]]*Common_InputFunctions.Utility_LookupValueInTableNumber(Table_RefrigerantBlends_Cleaned[[#This Row],[Constituent 2]], Table_RefrigerantChemicalGWP[Gas - FC name], Table_RefrigerantChemicalGWP[Global warming potential (AR5)]), "")</f>
        <v>1689.6</v>
      </c>
      <c r="O144" s="73" cm="1">
        <f t="array" ref="O144">IFERROR(Table_RefrigerantBlends_Cleaned[[#This Row],[Constituent 3 fraction]]*Common_InputFunctions.Utility_LookupValueInTableNumber(Table_RefrigerantBlends_Cleaned[[#This Row],[Constituent 3]], Table_RefrigerantChemicalGWP[Gas - FC name], Table_RefrigerantChemicalGWP[Global warming potential (AR5)]), "")</f>
        <v>3.45</v>
      </c>
      <c r="P144" s="73" cm="1">
        <f t="array" ref="P144">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4" s="73" cm="1">
        <f t="array" ref="Q144">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1622.1022499999999</v>
      </c>
    </row>
    <row r="145" spans="4:17" ht="20.100000000000001" customHeight="1" x14ac:dyDescent="0.25">
      <c r="D145" s="73" t="str">
        <f t="shared" si="0"/>
        <v>R-419A</v>
      </c>
      <c r="E145" s="73" t="str" cm="1">
        <f t="array" ref="E145">IFERROR(INDEX(TRANSPOSE(Common_InputFunctions.Utility_SplitStringIntoArray($E86, "/")), 1), "")</f>
        <v>HFC-125</v>
      </c>
      <c r="F145" s="73" t="str" cm="1">
        <f t="array" ref="F145">IFERROR(INDEX(TRANSPOSE(Common_InputFunctions.Utility_SplitStringIntoArray($E86, "/")), 2), "")</f>
        <v>HFC-134a</v>
      </c>
      <c r="G145" s="73" t="str" cm="1">
        <f t="array" ref="G145">IFERROR(INDEX(TRANSPOSE(Common_InputFunctions.Utility_SplitStringIntoArray($E86, "/")), 3), "")</f>
        <v>HE-E170</v>
      </c>
      <c r="H145" s="73" t="str" cm="1">
        <f t="array" ref="H145">IFERROR(INDEX(TRANSPOSE(Common_InputFunctions.Utility_SplitStringIntoArray($E86, "/")), 4), "")</f>
        <v/>
      </c>
      <c r="I145" s="73" cm="1">
        <f t="array" ref="I145">IFERROR(INDEX(TRANSPOSE(Common_InputFunctions.Utility_SplitStringIntoArray($F86, "/", "(", ")")), 1)*0.01, 0)</f>
        <v>0.77</v>
      </c>
      <c r="J145" s="73" cm="1">
        <f t="array" ref="J145">IFERROR(INDEX(TRANSPOSE(Common_InputFunctions.Utility_SplitStringIntoArray($F86, "/", "(", ")")), 2)*0.01, 0)</f>
        <v>0.19</v>
      </c>
      <c r="K145" s="73" cm="1">
        <f t="array" ref="K145">IFERROR(INDEX(TRANSPOSE(Common_InputFunctions.Utility_SplitStringIntoArray($F86, "/", "(", ")")), 3)*0.01, 0)</f>
        <v>0.04</v>
      </c>
      <c r="L145" s="73" cm="1">
        <f t="array" ref="L145">IFERROR(INDEX(TRANSPOSE(Common_InputFunctions.Utility_SplitStringIntoArray($F86, "/", "(", ")")), 4)*0.01, 0)</f>
        <v>0</v>
      </c>
      <c r="M145" s="73" cm="1">
        <f t="array" ref="M145">IFERROR(Table_RefrigerantBlends_Cleaned[[#This Row],[Constituent 1 fraction]]*Common_InputFunctions.Utility_LookupValueInTableNumber(Table_RefrigerantBlends_Cleaned[[#This Row],[Constituent 1]], Table_RefrigerantChemicalGWP[Gas - FC name], Table_RefrigerantChemicalGWP[Global warming potential (AR5)]),"")</f>
        <v>2440.9</v>
      </c>
      <c r="N145" s="73" cm="1">
        <f t="array" ref="N145">IFERROR(Table_RefrigerantBlends_Cleaned[[#This Row],[Constituent 2 fraction]]*Common_InputFunctions.Utility_LookupValueInTableNumber(Table_RefrigerantBlends_Cleaned[[#This Row],[Constituent 2]], Table_RefrigerantChemicalGWP[Gas - FC name], Table_RefrigerantChemicalGWP[Global warming potential (AR5)]), "")</f>
        <v>247</v>
      </c>
      <c r="O145" s="73" cm="1">
        <f t="array" ref="O145">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5" s="73" cm="1">
        <f t="array" ref="P145">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5" s="73" cm="1">
        <f t="array" ref="Q145">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1926.4230000000002</v>
      </c>
    </row>
    <row r="146" spans="4:17" ht="20.100000000000001" customHeight="1" x14ac:dyDescent="0.25">
      <c r="D146" s="73" t="str">
        <f t="shared" si="0"/>
        <v>R-420A</v>
      </c>
      <c r="E146" s="73" t="str" cm="1">
        <f t="array" ref="E146">IFERROR(INDEX(TRANSPOSE(Common_InputFunctions.Utility_SplitStringIntoArray($E87, "/")), 1), "")</f>
        <v>HFC-134a</v>
      </c>
      <c r="F146" s="73" t="str" cm="1">
        <f t="array" ref="F146">IFERROR(INDEX(TRANSPOSE(Common_InputFunctions.Utility_SplitStringIntoArray($E87, "/")), 2), "")</f>
        <v>HCFC-142b</v>
      </c>
      <c r="G146" s="73" t="str" cm="1">
        <f t="array" ref="G146">IFERROR(INDEX(TRANSPOSE(Common_InputFunctions.Utility_SplitStringIntoArray($E87, "/")), 3), "")</f>
        <v/>
      </c>
      <c r="H146" s="73" t="str" cm="1">
        <f t="array" ref="H146">IFERROR(INDEX(TRANSPOSE(Common_InputFunctions.Utility_SplitStringIntoArray($E87, "/")), 4), "")</f>
        <v/>
      </c>
      <c r="I146" s="73" cm="1">
        <f t="array" ref="I146">IFERROR(INDEX(TRANSPOSE(Common_InputFunctions.Utility_SplitStringIntoArray($F87, "/", "(", ")")), 1)*0.01, 0)</f>
        <v>0.88</v>
      </c>
      <c r="J146" s="73" cm="1">
        <f t="array" ref="J146">IFERROR(INDEX(TRANSPOSE(Common_InputFunctions.Utility_SplitStringIntoArray($F87, "/", "(", ")")), 2)*0.01, 0)</f>
        <v>0.12</v>
      </c>
      <c r="K146" s="73" cm="1">
        <f t="array" ref="K146">IFERROR(INDEX(TRANSPOSE(Common_InputFunctions.Utility_SplitStringIntoArray($F87, "/", "(", ")")), 3)*0.01, 0)</f>
        <v>0</v>
      </c>
      <c r="L146" s="73" cm="1">
        <f t="array" ref="L146">IFERROR(INDEX(TRANSPOSE(Common_InputFunctions.Utility_SplitStringIntoArray($F87, "/", "(", ")")), 4)*0.01, 0)</f>
        <v>0</v>
      </c>
      <c r="M146" s="73" cm="1">
        <f t="array" ref="M146">IFERROR(Table_RefrigerantBlends_Cleaned[[#This Row],[Constituent 1 fraction]]*Common_InputFunctions.Utility_LookupValueInTableNumber(Table_RefrigerantBlends_Cleaned[[#This Row],[Constituent 1]], Table_RefrigerantChemicalGWP[Gas - FC name], Table_RefrigerantChemicalGWP[Global warming potential (AR5)]),"")</f>
        <v>1144</v>
      </c>
      <c r="N146" s="73" cm="1">
        <f t="array" ref="N146">IFERROR(Table_RefrigerantBlends_Cleaned[[#This Row],[Constituent 2 fraction]]*Common_InputFunctions.Utility_LookupValueInTableNumber(Table_RefrigerantBlends_Cleaned[[#This Row],[Constituent 2]], Table_RefrigerantChemicalGWP[Gas - FC name], Table_RefrigerantChemicalGWP[Global warming potential (AR5)]), "")</f>
        <v>237.6</v>
      </c>
      <c r="O146" s="73" cm="1">
        <f t="array" ref="O146">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6" s="73" cm="1">
        <f t="array" ref="P146">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6" s="73" cm="1">
        <f t="array" ref="Q146">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1035.232</v>
      </c>
    </row>
    <row r="147" spans="4:17" ht="20.100000000000001" customHeight="1" x14ac:dyDescent="0.25">
      <c r="D147" s="73" t="str">
        <f t="shared" si="0"/>
        <v>R-421A</v>
      </c>
      <c r="E147" s="73" t="str" cm="1">
        <f t="array" ref="E147">IFERROR(INDEX(TRANSPOSE(Common_InputFunctions.Utility_SplitStringIntoArray($E88, "/")), 1), "")</f>
        <v>HFC-125</v>
      </c>
      <c r="F147" s="73" t="str" cm="1">
        <f t="array" ref="F147">IFERROR(INDEX(TRANSPOSE(Common_InputFunctions.Utility_SplitStringIntoArray($E88, "/")), 2), "")</f>
        <v>HFC-134a</v>
      </c>
      <c r="G147" s="73" t="str" cm="1">
        <f t="array" ref="G147">IFERROR(INDEX(TRANSPOSE(Common_InputFunctions.Utility_SplitStringIntoArray($E88, "/")), 3), "")</f>
        <v/>
      </c>
      <c r="H147" s="73" t="str" cm="1">
        <f t="array" ref="H147">IFERROR(INDEX(TRANSPOSE(Common_InputFunctions.Utility_SplitStringIntoArray($E88, "/")), 4), "")</f>
        <v/>
      </c>
      <c r="I147" s="73" cm="1">
        <f t="array" ref="I147">IFERROR(INDEX(TRANSPOSE(Common_InputFunctions.Utility_SplitStringIntoArray($F88, "/", "(", ")")), 1)*0.01, 0)</f>
        <v>0.57999999999999996</v>
      </c>
      <c r="J147" s="73" cm="1">
        <f t="array" ref="J147">IFERROR(INDEX(TRANSPOSE(Common_InputFunctions.Utility_SplitStringIntoArray($F88, "/", "(", ")")), 2)*0.01, 0)</f>
        <v>0.42</v>
      </c>
      <c r="K147" s="73" cm="1">
        <f t="array" ref="K147">IFERROR(INDEX(TRANSPOSE(Common_InputFunctions.Utility_SplitStringIntoArray($F88, "/", "(", ")")), 3)*0.01, 0)</f>
        <v>0</v>
      </c>
      <c r="L147" s="73" cm="1">
        <f t="array" ref="L147">IFERROR(INDEX(TRANSPOSE(Common_InputFunctions.Utility_SplitStringIntoArray($F88, "/", "(", ")")), 4)*0.01, 0)</f>
        <v>0</v>
      </c>
      <c r="M147" s="73" cm="1">
        <f t="array" ref="M147">IFERROR(Table_RefrigerantBlends_Cleaned[[#This Row],[Constituent 1 fraction]]*Common_InputFunctions.Utility_LookupValueInTableNumber(Table_RefrigerantBlends_Cleaned[[#This Row],[Constituent 1]], Table_RefrigerantChemicalGWP[Gas - FC name], Table_RefrigerantChemicalGWP[Global warming potential (AR5)]),"")</f>
        <v>1838.6</v>
      </c>
      <c r="N147" s="73" cm="1">
        <f t="array" ref="N147">IFERROR(Table_RefrigerantBlends_Cleaned[[#This Row],[Constituent 2 fraction]]*Common_InputFunctions.Utility_LookupValueInTableNumber(Table_RefrigerantBlends_Cleaned[[#This Row],[Constituent 2]], Table_RefrigerantChemicalGWP[Gas - FC name], Table_RefrigerantChemicalGWP[Global warming potential (AR5)]), "")</f>
        <v>546</v>
      </c>
      <c r="O147" s="73" cm="1">
        <f t="array" ref="O147">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7" s="73" cm="1">
        <f t="array" ref="P147">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7" s="73" cm="1">
        <f t="array" ref="Q147">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1295.7079999999999</v>
      </c>
    </row>
    <row r="148" spans="4:17" ht="20.100000000000001" customHeight="1" x14ac:dyDescent="0.25">
      <c r="D148" s="73" t="str">
        <f t="shared" si="0"/>
        <v>R-422A</v>
      </c>
      <c r="E148" s="73" t="str" cm="1">
        <f t="array" ref="E148">IFERROR(INDEX(TRANSPOSE(Common_InputFunctions.Utility_SplitStringIntoArray($E89, "/")), 1), "")</f>
        <v>HFC-125</v>
      </c>
      <c r="F148" s="73" t="str" cm="1">
        <f t="array" ref="F148">IFERROR(INDEX(TRANSPOSE(Common_InputFunctions.Utility_SplitStringIntoArray($E89, "/")), 2), "")</f>
        <v>HFC-134a</v>
      </c>
      <c r="G148" s="73" t="str" cm="1">
        <f t="array" ref="G148">IFERROR(INDEX(TRANSPOSE(Common_InputFunctions.Utility_SplitStringIntoArray($E89, "/")), 3), "")</f>
        <v>HC-600a</v>
      </c>
      <c r="H148" s="73" t="str" cm="1">
        <f t="array" ref="H148">IFERROR(INDEX(TRANSPOSE(Common_InputFunctions.Utility_SplitStringIntoArray($E89, "/")), 4), "")</f>
        <v/>
      </c>
      <c r="I148" s="73" cm="1">
        <f t="array" ref="I148">IFERROR(INDEX(TRANSPOSE(Common_InputFunctions.Utility_SplitStringIntoArray($F89, "/", "(", ")")), 1)*0.01, 0)</f>
        <v>0.85099999999999998</v>
      </c>
      <c r="J148" s="73" cm="1">
        <f t="array" ref="J148">IFERROR(INDEX(TRANSPOSE(Common_InputFunctions.Utility_SplitStringIntoArray($F89, "/", "(", ")")), 2)*0.01, 0)</f>
        <v>0.115</v>
      </c>
      <c r="K148" s="73" cm="1">
        <f t="array" ref="K148">IFERROR(INDEX(TRANSPOSE(Common_InputFunctions.Utility_SplitStringIntoArray($F89, "/", "(", ")")), 3)*0.01, 0)</f>
        <v>3.4000000000000002E-2</v>
      </c>
      <c r="L148" s="73" cm="1">
        <f t="array" ref="L148">IFERROR(INDEX(TRANSPOSE(Common_InputFunctions.Utility_SplitStringIntoArray($F89, "/", "(", ")")), 4)*0.01, 0)</f>
        <v>0</v>
      </c>
      <c r="M148" s="73" cm="1">
        <f t="array" ref="M148">IFERROR(Table_RefrigerantBlends_Cleaned[[#This Row],[Constituent 1 fraction]]*Common_InputFunctions.Utility_LookupValueInTableNumber(Table_RefrigerantBlends_Cleaned[[#This Row],[Constituent 1]], Table_RefrigerantChemicalGWP[Gas - FC name], Table_RefrigerantChemicalGWP[Global warming potential (AR5)]),"")</f>
        <v>2697.67</v>
      </c>
      <c r="N148" s="73" cm="1">
        <f t="array" ref="N148">IFERROR(Table_RefrigerantBlends_Cleaned[[#This Row],[Constituent 2 fraction]]*Common_InputFunctions.Utility_LookupValueInTableNumber(Table_RefrigerantBlends_Cleaned[[#This Row],[Constituent 2]], Table_RefrigerantChemicalGWP[Gas - FC name], Table_RefrigerantChemicalGWP[Global warming potential (AR5)]), "")</f>
        <v>149.5</v>
      </c>
      <c r="O148" s="73" cm="1">
        <f t="array" ref="O148">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8" s="73" cm="1">
        <f t="array" ref="P148">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8" s="73" cm="1">
        <f t="array" ref="Q148">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2312.90967</v>
      </c>
    </row>
    <row r="149" spans="4:17" ht="20.100000000000001" customHeight="1" x14ac:dyDescent="0.25">
      <c r="D149" s="73" t="str">
        <f t="shared" si="0"/>
        <v>R-422B</v>
      </c>
      <c r="E149" s="73" t="str" cm="1">
        <f t="array" ref="E149">IFERROR(INDEX(TRANSPOSE(Common_InputFunctions.Utility_SplitStringIntoArray($E90, "/")), 1), "")</f>
        <v>HFC-125</v>
      </c>
      <c r="F149" s="73" t="str" cm="1">
        <f t="array" ref="F149">IFERROR(INDEX(TRANSPOSE(Common_InputFunctions.Utility_SplitStringIntoArray($E90, "/")), 2), "")</f>
        <v>HFC-134a</v>
      </c>
      <c r="G149" s="73" t="str" cm="1">
        <f t="array" ref="G149">IFERROR(INDEX(TRANSPOSE(Common_InputFunctions.Utility_SplitStringIntoArray($E90, "/")), 3), "")</f>
        <v>HC-600a</v>
      </c>
      <c r="H149" s="73" t="str" cm="1">
        <f t="array" ref="H149">IFERROR(INDEX(TRANSPOSE(Common_InputFunctions.Utility_SplitStringIntoArray($E90, "/")), 4), "")</f>
        <v/>
      </c>
      <c r="I149" s="73" cm="1">
        <f t="array" ref="I149">IFERROR(INDEX(TRANSPOSE(Common_InputFunctions.Utility_SplitStringIntoArray($F90, "/", "(", ")")), 1)*0.01, 0)</f>
        <v>0.55000000000000004</v>
      </c>
      <c r="J149" s="73" cm="1">
        <f t="array" ref="J149">IFERROR(INDEX(TRANSPOSE(Common_InputFunctions.Utility_SplitStringIntoArray($F90, "/", "(", ")")), 2)*0.01, 0)</f>
        <v>0.42</v>
      </c>
      <c r="K149" s="73" cm="1">
        <f t="array" ref="K149">IFERROR(INDEX(TRANSPOSE(Common_InputFunctions.Utility_SplitStringIntoArray($F90, "/", "(", ")")), 3)*0.01, 0)</f>
        <v>0.03</v>
      </c>
      <c r="L149" s="73" cm="1">
        <f t="array" ref="L149">IFERROR(INDEX(TRANSPOSE(Common_InputFunctions.Utility_SplitStringIntoArray($F90, "/", "(", ")")), 4)*0.01, 0)</f>
        <v>0</v>
      </c>
      <c r="M149" s="73" cm="1">
        <f t="array" ref="M149">IFERROR(Table_RefrigerantBlends_Cleaned[[#This Row],[Constituent 1 fraction]]*Common_InputFunctions.Utility_LookupValueInTableNumber(Table_RefrigerantBlends_Cleaned[[#This Row],[Constituent 1]], Table_RefrigerantChemicalGWP[Gas - FC name], Table_RefrigerantChemicalGWP[Global warming potential (AR5)]),"")</f>
        <v>1743.5000000000002</v>
      </c>
      <c r="N149" s="73" cm="1">
        <f t="array" ref="N149">IFERROR(Table_RefrigerantBlends_Cleaned[[#This Row],[Constituent 2 fraction]]*Common_InputFunctions.Utility_LookupValueInTableNumber(Table_RefrigerantBlends_Cleaned[[#This Row],[Constituent 2]], Table_RefrigerantChemicalGWP[Gas - FC name], Table_RefrigerantChemicalGWP[Global warming potential (AR5)]), "")</f>
        <v>546</v>
      </c>
      <c r="O149" s="73" cm="1">
        <f t="array" ref="O149">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9" s="73" cm="1">
        <f t="array" ref="P149">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9" s="73" cm="1">
        <f t="array" ref="Q149">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1188.2450000000001</v>
      </c>
    </row>
    <row r="150" spans="4:17" ht="20.100000000000001" customHeight="1" x14ac:dyDescent="0.25">
      <c r="D150" s="73" t="str">
        <f t="shared" si="0"/>
        <v>R-422C</v>
      </c>
      <c r="E150" s="73" t="str" cm="1">
        <f t="array" ref="E150">IFERROR(INDEX(TRANSPOSE(Common_InputFunctions.Utility_SplitStringIntoArray($E91, "/")), 1), "")</f>
        <v>HFC-125</v>
      </c>
      <c r="F150" s="73" t="str" cm="1">
        <f t="array" ref="F150">IFERROR(INDEX(TRANSPOSE(Common_InputFunctions.Utility_SplitStringIntoArray($E91, "/")), 2), "")</f>
        <v>HFC-134a</v>
      </c>
      <c r="G150" s="73" t="str" cm="1">
        <f t="array" ref="G150">IFERROR(INDEX(TRANSPOSE(Common_InputFunctions.Utility_SplitStringIntoArray($E91, "/")), 3), "")</f>
        <v>HC-600a</v>
      </c>
      <c r="H150" s="73" t="str" cm="1">
        <f t="array" ref="H150">IFERROR(INDEX(TRANSPOSE(Common_InputFunctions.Utility_SplitStringIntoArray($E91, "/")), 4), "")</f>
        <v/>
      </c>
      <c r="I150" s="73" cm="1">
        <f t="array" ref="I150">IFERROR(INDEX(TRANSPOSE(Common_InputFunctions.Utility_SplitStringIntoArray($F91, "/", "(", ")")), 1)*0.01, 0)</f>
        <v>0.82000000000000006</v>
      </c>
      <c r="J150" s="73" cm="1">
        <f t="array" ref="J150">IFERROR(INDEX(TRANSPOSE(Common_InputFunctions.Utility_SplitStringIntoArray($F91, "/", "(", ")")), 2)*0.01, 0)</f>
        <v>0.15</v>
      </c>
      <c r="K150" s="73" cm="1">
        <f t="array" ref="K150">IFERROR(INDEX(TRANSPOSE(Common_InputFunctions.Utility_SplitStringIntoArray($F91, "/", "(", ")")), 3)*0.01, 0)</f>
        <v>0.03</v>
      </c>
      <c r="L150" s="73" cm="1">
        <f t="array" ref="L150">IFERROR(INDEX(TRANSPOSE(Common_InputFunctions.Utility_SplitStringIntoArray($F91, "/", "(", ")")), 4)*0.01, 0)</f>
        <v>0</v>
      </c>
      <c r="M150" s="73" cm="1">
        <f t="array" ref="M150">IFERROR(Table_RefrigerantBlends_Cleaned[[#This Row],[Constituent 1 fraction]]*Common_InputFunctions.Utility_LookupValueInTableNumber(Table_RefrigerantBlends_Cleaned[[#This Row],[Constituent 1]], Table_RefrigerantChemicalGWP[Gas - FC name], Table_RefrigerantChemicalGWP[Global warming potential (AR5)]),"")</f>
        <v>2599.4</v>
      </c>
      <c r="N150" s="73" cm="1">
        <f t="array" ref="N150">IFERROR(Table_RefrigerantBlends_Cleaned[[#This Row],[Constituent 2 fraction]]*Common_InputFunctions.Utility_LookupValueInTableNumber(Table_RefrigerantBlends_Cleaned[[#This Row],[Constituent 2]], Table_RefrigerantChemicalGWP[Gas - FC name], Table_RefrigerantChemicalGWP[Global warming potential (AR5)]), "")</f>
        <v>195</v>
      </c>
      <c r="O150" s="73" cm="1">
        <f t="array" ref="O150">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0" s="73" cm="1">
        <f t="array" ref="P150">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0" s="73" cm="1">
        <f t="array" ref="Q150">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2160.7580000000003</v>
      </c>
    </row>
    <row r="151" spans="4:17" ht="20.100000000000001" customHeight="1" x14ac:dyDescent="0.25">
      <c r="D151" s="73" t="str">
        <f t="shared" si="0"/>
        <v>R-500</v>
      </c>
      <c r="E151" s="73" t="str" cm="1">
        <f t="array" ref="E151">IFERROR(INDEX(TRANSPOSE(Common_InputFunctions.Utility_SplitStringIntoArray($E92, "/")), 1), "")</f>
        <v>CFC-12</v>
      </c>
      <c r="F151" s="73" t="str" cm="1">
        <f t="array" ref="F151">IFERROR(INDEX(TRANSPOSE(Common_InputFunctions.Utility_SplitStringIntoArray($E92, "/")), 2), "")</f>
        <v>HFC-152a</v>
      </c>
      <c r="G151" s="73" t="str" cm="1">
        <f t="array" ref="G151">IFERROR(INDEX(TRANSPOSE(Common_InputFunctions.Utility_SplitStringIntoArray($E92, "/")), 3), "")</f>
        <v/>
      </c>
      <c r="H151" s="73" t="str" cm="1">
        <f t="array" ref="H151">IFERROR(INDEX(TRANSPOSE(Common_InputFunctions.Utility_SplitStringIntoArray($E92, "/")), 4), "")</f>
        <v/>
      </c>
      <c r="I151" s="73" cm="1">
        <f t="array" ref="I151">IFERROR(INDEX(TRANSPOSE(Common_InputFunctions.Utility_SplitStringIntoArray($F92, "/", "(", ")")), 1)*0.01, 0)</f>
        <v>0.73799999999999999</v>
      </c>
      <c r="J151" s="73" cm="1">
        <f t="array" ref="J151">IFERROR(INDEX(TRANSPOSE(Common_InputFunctions.Utility_SplitStringIntoArray($F92, "/", "(", ")")), 2)*0.01, 0)</f>
        <v>0.26200000000000001</v>
      </c>
      <c r="K151" s="73" cm="1">
        <f t="array" ref="K151">IFERROR(INDEX(TRANSPOSE(Common_InputFunctions.Utility_SplitStringIntoArray($F92, "/", "(", ")")), 3)*0.01, 0)</f>
        <v>0</v>
      </c>
      <c r="L151" s="73" cm="1">
        <f t="array" ref="L151">IFERROR(INDEX(TRANSPOSE(Common_InputFunctions.Utility_SplitStringIntoArray($F92, "/", "(", ")")), 4)*0.01, 0)</f>
        <v>0</v>
      </c>
      <c r="M151" s="73" cm="1">
        <f t="array" ref="M151">IFERROR(Table_RefrigerantBlends_Cleaned[[#This Row],[Constituent 1 fraction]]*Common_InputFunctions.Utility_LookupValueInTableNumber(Table_RefrigerantBlends_Cleaned[[#This Row],[Constituent 1]], Table_RefrigerantChemicalGWP[Gas - FC name], Table_RefrigerantChemicalGWP[Global warming potential (AR5)]),"")</f>
        <v>7527.5999999999995</v>
      </c>
      <c r="N151" s="73" cm="1">
        <f t="array" ref="N151">IFERROR(Table_RefrigerantBlends_Cleaned[[#This Row],[Constituent 2 fraction]]*Common_InputFunctions.Utility_LookupValueInTableNumber(Table_RefrigerantBlends_Cleaned[[#This Row],[Constituent 2]], Table_RefrigerantChemicalGWP[Gas - FC name], Table_RefrigerantChemicalGWP[Global warming potential (AR5)]), "")</f>
        <v>36.155999999999999</v>
      </c>
      <c r="O151" s="73" cm="1">
        <f t="array" ref="O151">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1" s="73" cm="1">
        <f t="array" ref="P151">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1" s="73" cm="1">
        <f t="array" ref="Q151">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5564.8416719999996</v>
      </c>
    </row>
    <row r="152" spans="4:17" ht="20.100000000000001" customHeight="1" x14ac:dyDescent="0.25">
      <c r="D152" s="73" t="str">
        <f t="shared" si="0"/>
        <v>R-501</v>
      </c>
      <c r="E152" s="73" t="str" cm="1">
        <f t="array" ref="E152">IFERROR(INDEX(TRANSPOSE(Common_InputFunctions.Utility_SplitStringIntoArray($E93, "/")), 1), "")</f>
        <v>HCFC-22</v>
      </c>
      <c r="F152" s="73" t="str" cm="1">
        <f t="array" ref="F152">IFERROR(INDEX(TRANSPOSE(Common_InputFunctions.Utility_SplitStringIntoArray($E93, "/")), 2), "")</f>
        <v>CFC-12</v>
      </c>
      <c r="G152" s="73" t="str" cm="1">
        <f t="array" ref="G152">IFERROR(INDEX(TRANSPOSE(Common_InputFunctions.Utility_SplitStringIntoArray($E93, "/")), 3), "")</f>
        <v/>
      </c>
      <c r="H152" s="73" t="str" cm="1">
        <f t="array" ref="H152">IFERROR(INDEX(TRANSPOSE(Common_InputFunctions.Utility_SplitStringIntoArray($E93, "/")), 4), "")</f>
        <v/>
      </c>
      <c r="I152" s="73" cm="1">
        <f t="array" ref="I152">IFERROR(INDEX(TRANSPOSE(Common_InputFunctions.Utility_SplitStringIntoArray($F93, "/", "(", ")")), 1)*0.01, 0)</f>
        <v>0.75</v>
      </c>
      <c r="J152" s="73" cm="1">
        <f t="array" ref="J152">IFERROR(INDEX(TRANSPOSE(Common_InputFunctions.Utility_SplitStringIntoArray($F93, "/", "(", ")")), 2)*0.01, 0)</f>
        <v>0.25</v>
      </c>
      <c r="K152" s="73" cm="1">
        <f t="array" ref="K152">IFERROR(INDEX(TRANSPOSE(Common_InputFunctions.Utility_SplitStringIntoArray($F93, "/", "(", ")")), 3)*0.01, 0)</f>
        <v>0</v>
      </c>
      <c r="L152" s="73" cm="1">
        <f t="array" ref="L152">IFERROR(INDEX(TRANSPOSE(Common_InputFunctions.Utility_SplitStringIntoArray($F93, "/", "(", ")")), 4)*0.01, 0)</f>
        <v>0</v>
      </c>
      <c r="M152" s="73" cm="1">
        <f t="array" ref="M152">IFERROR(Table_RefrigerantBlends_Cleaned[[#This Row],[Constituent 1 fraction]]*Common_InputFunctions.Utility_LookupValueInTableNumber(Table_RefrigerantBlends_Cleaned[[#This Row],[Constituent 1]], Table_RefrigerantChemicalGWP[Gas - FC name], Table_RefrigerantChemicalGWP[Global warming potential (AR5)]),"")</f>
        <v>1320</v>
      </c>
      <c r="N152" s="73" cm="1">
        <f t="array" ref="N152">IFERROR(Table_RefrigerantBlends_Cleaned[[#This Row],[Constituent 2 fraction]]*Common_InputFunctions.Utility_LookupValueInTableNumber(Table_RefrigerantBlends_Cleaned[[#This Row],[Constituent 2]], Table_RefrigerantChemicalGWP[Gas - FC name], Table_RefrigerantChemicalGWP[Global warming potential (AR5)]), "")</f>
        <v>2550</v>
      </c>
      <c r="O152" s="73" cm="1">
        <f t="array" ref="O152">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2" s="73" cm="1">
        <f t="array" ref="P152">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2" s="73" cm="1">
        <f t="array" ref="Q152">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1627.5</v>
      </c>
    </row>
    <row r="153" spans="4:17" ht="20.100000000000001" customHeight="1" x14ac:dyDescent="0.25">
      <c r="D153" s="73" t="str">
        <f t="shared" si="0"/>
        <v>R-502</v>
      </c>
      <c r="E153" s="73" t="str" cm="1">
        <f t="array" ref="E153">IFERROR(INDEX(TRANSPOSE(Common_InputFunctions.Utility_SplitStringIntoArray($E94, "/")), 1), "")</f>
        <v>HCFC-22</v>
      </c>
      <c r="F153" s="73" t="str" cm="1">
        <f t="array" ref="F153">IFERROR(INDEX(TRANSPOSE(Common_InputFunctions.Utility_SplitStringIntoArray($E94, "/")), 2), "")</f>
        <v>CFC-115</v>
      </c>
      <c r="G153" s="73" t="str" cm="1">
        <f t="array" ref="G153">IFERROR(INDEX(TRANSPOSE(Common_InputFunctions.Utility_SplitStringIntoArray($E94, "/")), 3), "")</f>
        <v/>
      </c>
      <c r="H153" s="73" t="str" cm="1">
        <f t="array" ref="H153">IFERROR(INDEX(TRANSPOSE(Common_InputFunctions.Utility_SplitStringIntoArray($E94, "/")), 4), "")</f>
        <v/>
      </c>
      <c r="I153" s="73" cm="1">
        <f t="array" ref="I153">IFERROR(INDEX(TRANSPOSE(Common_InputFunctions.Utility_SplitStringIntoArray($F94, "/", "(", ")")), 1)*0.01, 0)</f>
        <v>0.48799999999999999</v>
      </c>
      <c r="J153" s="73" cm="1">
        <f t="array" ref="J153">IFERROR(INDEX(TRANSPOSE(Common_InputFunctions.Utility_SplitStringIntoArray($F94, "/", "(", ")")), 2)*0.01, 0)</f>
        <v>0.51200000000000001</v>
      </c>
      <c r="K153" s="73" cm="1">
        <f t="array" ref="K153">IFERROR(INDEX(TRANSPOSE(Common_InputFunctions.Utility_SplitStringIntoArray($F94, "/", "(", ")")), 3)*0.01, 0)</f>
        <v>0</v>
      </c>
      <c r="L153" s="73" cm="1">
        <f t="array" ref="L153">IFERROR(INDEX(TRANSPOSE(Common_InputFunctions.Utility_SplitStringIntoArray($F94, "/", "(", ")")), 4)*0.01, 0)</f>
        <v>0</v>
      </c>
      <c r="M153" s="73" cm="1">
        <f t="array" ref="M153">IFERROR(Table_RefrigerantBlends_Cleaned[[#This Row],[Constituent 1 fraction]]*Common_InputFunctions.Utility_LookupValueInTableNumber(Table_RefrigerantBlends_Cleaned[[#This Row],[Constituent 1]], Table_RefrigerantChemicalGWP[Gas - FC name], Table_RefrigerantChemicalGWP[Global warming potential (AR5)]),"")</f>
        <v>858.88</v>
      </c>
      <c r="N153" s="73" cm="1">
        <f t="array" ref="N153">IFERROR(Table_RefrigerantBlends_Cleaned[[#This Row],[Constituent 2 fraction]]*Common_InputFunctions.Utility_LookupValueInTableNumber(Table_RefrigerantBlends_Cleaned[[#This Row],[Constituent 2]], Table_RefrigerantChemicalGWP[Gas - FC name], Table_RefrigerantChemicalGWP[Global warming potential (AR5)]), "")</f>
        <v>3927.04</v>
      </c>
      <c r="O153" s="73" cm="1">
        <f t="array" ref="O153">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3" s="73" cm="1">
        <f t="array" ref="P153">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3" s="73" cm="1">
        <f t="array" ref="Q153">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2429.77792</v>
      </c>
    </row>
    <row r="154" spans="4:17" ht="20.100000000000001" customHeight="1" x14ac:dyDescent="0.25">
      <c r="D154" s="73" t="str">
        <f t="shared" si="0"/>
        <v>R-503</v>
      </c>
      <c r="E154" s="73" t="str" cm="1">
        <f t="array" ref="E154">IFERROR(INDEX(TRANSPOSE(Common_InputFunctions.Utility_SplitStringIntoArray($E95, "/")), 1), "")</f>
        <v>HFC-23</v>
      </c>
      <c r="F154" s="73" t="str" cm="1">
        <f t="array" ref="F154">IFERROR(INDEX(TRANSPOSE(Common_InputFunctions.Utility_SplitStringIntoArray($E95, "/")), 2), "")</f>
        <v>CFC-13</v>
      </c>
      <c r="G154" s="73" t="str" cm="1">
        <f t="array" ref="G154">IFERROR(INDEX(TRANSPOSE(Common_InputFunctions.Utility_SplitStringIntoArray($E95, "/")), 3), "")</f>
        <v/>
      </c>
      <c r="H154" s="73" t="str" cm="1">
        <f t="array" ref="H154">IFERROR(INDEX(TRANSPOSE(Common_InputFunctions.Utility_SplitStringIntoArray($E95, "/")), 4), "")</f>
        <v/>
      </c>
      <c r="I154" s="73" cm="1">
        <f t="array" ref="I154">IFERROR(INDEX(TRANSPOSE(Common_InputFunctions.Utility_SplitStringIntoArray($F95, "/", "(", ")")), 1)*0.01, 0)</f>
        <v>0.40100000000000002</v>
      </c>
      <c r="J154" s="73" cm="1">
        <f t="array" ref="J154">IFERROR(INDEX(TRANSPOSE(Common_InputFunctions.Utility_SplitStringIntoArray($F95, "/", "(", ")")), 2)*0.01, 0)</f>
        <v>0.59899999999999998</v>
      </c>
      <c r="K154" s="73" cm="1">
        <f t="array" ref="K154">IFERROR(INDEX(TRANSPOSE(Common_InputFunctions.Utility_SplitStringIntoArray($F95, "/", "(", ")")), 3)*0.01, 0)</f>
        <v>0</v>
      </c>
      <c r="L154" s="73" cm="1">
        <f t="array" ref="L154">IFERROR(INDEX(TRANSPOSE(Common_InputFunctions.Utility_SplitStringIntoArray($F95, "/", "(", ")")), 4)*0.01, 0)</f>
        <v>0</v>
      </c>
      <c r="M154" s="73" cm="1">
        <f t="array" ref="M154">IFERROR(Table_RefrigerantBlends_Cleaned[[#This Row],[Constituent 1 fraction]]*Common_InputFunctions.Utility_LookupValueInTableNumber(Table_RefrigerantBlends_Cleaned[[#This Row],[Constituent 1]], Table_RefrigerantChemicalGWP[Gas - FC name], Table_RefrigerantChemicalGWP[Global warming potential (AR5)]),"")</f>
        <v>4972.4000000000005</v>
      </c>
      <c r="N154" s="73" cm="1">
        <f t="array" ref="N154">IFERROR(Table_RefrigerantBlends_Cleaned[[#This Row],[Constituent 2 fraction]]*Common_InputFunctions.Utility_LookupValueInTableNumber(Table_RefrigerantBlends_Cleaned[[#This Row],[Constituent 2]], Table_RefrigerantChemicalGWP[Gas - FC name], Table_RefrigerantChemicalGWP[Global warming potential (AR5)]), "")</f>
        <v>8326.1</v>
      </c>
      <c r="O154" s="73" cm="1">
        <f t="array" ref="O154">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4" s="73" cm="1">
        <f t="array" ref="P154">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4" s="73" cm="1">
        <f t="array" ref="Q154">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6981.2663000000002</v>
      </c>
    </row>
    <row r="155" spans="4:17" ht="20.100000000000001" customHeight="1" x14ac:dyDescent="0.25">
      <c r="D155" s="73" t="str">
        <f t="shared" si="0"/>
        <v>R-504</v>
      </c>
      <c r="E155" s="73" t="str" cm="1">
        <f t="array" ref="E155">IFERROR(INDEX(TRANSPOSE(Common_InputFunctions.Utility_SplitStringIntoArray($E96, "/")), 1), "")</f>
        <v>HFC-32</v>
      </c>
      <c r="F155" s="73" t="str" cm="1">
        <f t="array" ref="F155">IFERROR(INDEX(TRANSPOSE(Common_InputFunctions.Utility_SplitStringIntoArray($E96, "/")), 2), "")</f>
        <v>CFC-115</v>
      </c>
      <c r="G155" s="73" t="str" cm="1">
        <f t="array" ref="G155">IFERROR(INDEX(TRANSPOSE(Common_InputFunctions.Utility_SplitStringIntoArray($E96, "/")), 3), "")</f>
        <v/>
      </c>
      <c r="H155" s="73" t="str" cm="1">
        <f t="array" ref="H155">IFERROR(INDEX(TRANSPOSE(Common_InputFunctions.Utility_SplitStringIntoArray($E96, "/")), 4), "")</f>
        <v/>
      </c>
      <c r="I155" s="73" cm="1">
        <f t="array" ref="I155">IFERROR(INDEX(TRANSPOSE(Common_InputFunctions.Utility_SplitStringIntoArray($F96, "/", "(", ")")), 1)*0.01, 0)</f>
        <v>0.48200000000000004</v>
      </c>
      <c r="J155" s="73" cm="1">
        <f t="array" ref="J155">IFERROR(INDEX(TRANSPOSE(Common_InputFunctions.Utility_SplitStringIntoArray($F96, "/", "(", ")")), 2)*0.01, 0)</f>
        <v>0.51800000000000002</v>
      </c>
      <c r="K155" s="73" cm="1">
        <f t="array" ref="K155">IFERROR(INDEX(TRANSPOSE(Common_InputFunctions.Utility_SplitStringIntoArray($F96, "/", "(", ")")), 3)*0.01, 0)</f>
        <v>0</v>
      </c>
      <c r="L155" s="73" cm="1">
        <f t="array" ref="L155">IFERROR(INDEX(TRANSPOSE(Common_InputFunctions.Utility_SplitStringIntoArray($F96, "/", "(", ")")), 4)*0.01, 0)</f>
        <v>0</v>
      </c>
      <c r="M155" s="73" cm="1">
        <f t="array" ref="M155">IFERROR(Table_RefrigerantBlends_Cleaned[[#This Row],[Constituent 1 fraction]]*Common_InputFunctions.Utility_LookupValueInTableNumber(Table_RefrigerantBlends_Cleaned[[#This Row],[Constituent 1]], Table_RefrigerantChemicalGWP[Gas - FC name], Table_RefrigerantChemicalGWP[Global warming potential (AR5)]),"")</f>
        <v>326.31400000000002</v>
      </c>
      <c r="N155" s="73" cm="1">
        <f t="array" ref="N155">IFERROR(Table_RefrigerantBlends_Cleaned[[#This Row],[Constituent 2 fraction]]*Common_InputFunctions.Utility_LookupValueInTableNumber(Table_RefrigerantBlends_Cleaned[[#This Row],[Constituent 2]], Table_RefrigerantChemicalGWP[Gas - FC name], Table_RefrigerantChemicalGWP[Global warming potential (AR5)]), "")</f>
        <v>3973.06</v>
      </c>
      <c r="O155" s="73" cm="1">
        <f t="array" ref="O155">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5" s="73" cm="1">
        <f t="array" ref="P155">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5" s="73" cm="1">
        <f t="array" ref="Q155">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2215.3284279999998</v>
      </c>
    </row>
    <row r="156" spans="4:17" ht="20.100000000000001" customHeight="1" x14ac:dyDescent="0.25">
      <c r="D156" s="73" t="str">
        <f t="shared" si="0"/>
        <v>R-505</v>
      </c>
      <c r="E156" s="73" t="str" cm="1">
        <f t="array" ref="E156">IFERROR(INDEX(TRANSPOSE(Common_InputFunctions.Utility_SplitStringIntoArray($E97, "/")), 1), "")</f>
        <v>CFC-12</v>
      </c>
      <c r="F156" s="73" t="str" cm="1">
        <f t="array" ref="F156">IFERROR(INDEX(TRANSPOSE(Common_InputFunctions.Utility_SplitStringIntoArray($E97, "/")), 2), "")</f>
        <v>HCFC-31</v>
      </c>
      <c r="G156" s="73" t="str" cm="1">
        <f t="array" ref="G156">IFERROR(INDEX(TRANSPOSE(Common_InputFunctions.Utility_SplitStringIntoArray($E97, "/")), 3), "")</f>
        <v/>
      </c>
      <c r="H156" s="73" t="str" cm="1">
        <f t="array" ref="H156">IFERROR(INDEX(TRANSPOSE(Common_InputFunctions.Utility_SplitStringIntoArray($E97, "/")), 4), "")</f>
        <v/>
      </c>
      <c r="I156" s="73" cm="1">
        <f t="array" ref="I156">IFERROR(INDEX(TRANSPOSE(Common_InputFunctions.Utility_SplitStringIntoArray($F97, "/", "(", ")")), 1)*0.01, 0)</f>
        <v>0.78</v>
      </c>
      <c r="J156" s="73" cm="1">
        <f t="array" ref="J156">IFERROR(INDEX(TRANSPOSE(Common_InputFunctions.Utility_SplitStringIntoArray($F97, "/", "(", ")")), 2)*0.01, 0)</f>
        <v>0.22</v>
      </c>
      <c r="K156" s="73" cm="1">
        <f t="array" ref="K156">IFERROR(INDEX(TRANSPOSE(Common_InputFunctions.Utility_SplitStringIntoArray($F97, "/", "(", ")")), 3)*0.01, 0)</f>
        <v>0</v>
      </c>
      <c r="L156" s="73" cm="1">
        <f t="array" ref="L156">IFERROR(INDEX(TRANSPOSE(Common_InputFunctions.Utility_SplitStringIntoArray($F97, "/", "(", ")")), 4)*0.01, 0)</f>
        <v>0</v>
      </c>
      <c r="M156" s="73" cm="1">
        <f t="array" ref="M156">IFERROR(Table_RefrigerantBlends_Cleaned[[#This Row],[Constituent 1 fraction]]*Common_InputFunctions.Utility_LookupValueInTableNumber(Table_RefrigerantBlends_Cleaned[[#This Row],[Constituent 1]], Table_RefrigerantChemicalGWP[Gas - FC name], Table_RefrigerantChemicalGWP[Global warming potential (AR5)]),"")</f>
        <v>7956</v>
      </c>
      <c r="N156" s="73" cm="1">
        <f t="array" ref="N156">IFERROR(Table_RefrigerantBlends_Cleaned[[#This Row],[Constituent 2 fraction]]*Common_InputFunctions.Utility_LookupValueInTableNumber(Table_RefrigerantBlends_Cleaned[[#This Row],[Constituent 2]], Table_RefrigerantChemicalGWP[Gas - FC name], Table_RefrigerantChemicalGWP[Global warming potential (AR5)]), "")</f>
        <v>0</v>
      </c>
      <c r="O156" s="73" cm="1">
        <f t="array" ref="O156">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6" s="73" cm="1">
        <f t="array" ref="P156">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6" s="73" cm="1">
        <f t="array" ref="Q156">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6205.68</v>
      </c>
    </row>
    <row r="157" spans="4:17" ht="20.100000000000001" customHeight="1" x14ac:dyDescent="0.25">
      <c r="D157" s="73" t="str">
        <f t="shared" si="0"/>
        <v>R-506</v>
      </c>
      <c r="E157" s="73" t="str" cm="1">
        <f t="array" ref="E157">IFERROR(INDEX(TRANSPOSE(Common_InputFunctions.Utility_SplitStringIntoArray($E98, "/")), 1), "")</f>
        <v>CFC-31</v>
      </c>
      <c r="F157" s="73" t="str" cm="1">
        <f t="array" ref="F157">IFERROR(INDEX(TRANSPOSE(Common_InputFunctions.Utility_SplitStringIntoArray($E98, "/")), 2), "")</f>
        <v>CFC-114</v>
      </c>
      <c r="G157" s="73" t="str" cm="1">
        <f t="array" ref="G157">IFERROR(INDEX(TRANSPOSE(Common_InputFunctions.Utility_SplitStringIntoArray($E98, "/")), 3), "")</f>
        <v/>
      </c>
      <c r="H157" s="73" t="str" cm="1">
        <f t="array" ref="H157">IFERROR(INDEX(TRANSPOSE(Common_InputFunctions.Utility_SplitStringIntoArray($E98, "/")), 4), "")</f>
        <v/>
      </c>
      <c r="I157" s="73" cm="1">
        <f t="array" ref="I157">IFERROR(INDEX(TRANSPOSE(Common_InputFunctions.Utility_SplitStringIntoArray($F98, "/", "(", ")")), 1)*0.01, 0)</f>
        <v>0.55100000000000005</v>
      </c>
      <c r="J157" s="73" cm="1">
        <f t="array" ref="J157">IFERROR(INDEX(TRANSPOSE(Common_InputFunctions.Utility_SplitStringIntoArray($F98, "/", "(", ")")), 2)*0.01, 0)</f>
        <v>0.44900000000000001</v>
      </c>
      <c r="K157" s="73" cm="1">
        <f t="array" ref="K157">IFERROR(INDEX(TRANSPOSE(Common_InputFunctions.Utility_SplitStringIntoArray($F98, "/", "(", ")")), 3)*0.01, 0)</f>
        <v>0</v>
      </c>
      <c r="L157" s="73" cm="1">
        <f t="array" ref="L157">IFERROR(INDEX(TRANSPOSE(Common_InputFunctions.Utility_SplitStringIntoArray($F98, "/", "(", ")")), 4)*0.01, 0)</f>
        <v>0</v>
      </c>
      <c r="M157" s="73" cm="1">
        <f t="array" ref="M157">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57" s="73" cm="1">
        <f t="array" ref="N157">IFERROR(Table_RefrigerantBlends_Cleaned[[#This Row],[Constituent 2 fraction]]*Common_InputFunctions.Utility_LookupValueInTableNumber(Table_RefrigerantBlends_Cleaned[[#This Row],[Constituent 2]], Table_RefrigerantChemicalGWP[Gas - FC name], Table_RefrigerantChemicalGWP[Global warming potential (AR5)]), "")</f>
        <v>3856.9100000000003</v>
      </c>
      <c r="O157" s="73" cm="1">
        <f t="array" ref="O157">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7" s="73" cm="1">
        <f t="array" ref="P157">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7" s="73" cm="1">
        <f t="array" ref="Q157">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1731.7525900000003</v>
      </c>
    </row>
    <row r="158" spans="4:17" ht="20.100000000000001" customHeight="1" x14ac:dyDescent="0.25">
      <c r="D158" s="73" t="str">
        <f t="shared" si="0"/>
        <v>R-507A</v>
      </c>
      <c r="E158" s="73" t="str" cm="1">
        <f t="array" ref="E158">IFERROR(INDEX(TRANSPOSE(Common_InputFunctions.Utility_SplitStringIntoArray($E99, "/")), 1), "")</f>
        <v>HFC-125</v>
      </c>
      <c r="F158" s="73" t="str" cm="1">
        <f t="array" ref="F158">IFERROR(INDEX(TRANSPOSE(Common_InputFunctions.Utility_SplitStringIntoArray($E99, "/")), 2), "")</f>
        <v>HFC-143a</v>
      </c>
      <c r="G158" s="73" t="str" cm="1">
        <f t="array" ref="G158">IFERROR(INDEX(TRANSPOSE(Common_InputFunctions.Utility_SplitStringIntoArray($E99, "/")), 3), "")</f>
        <v/>
      </c>
      <c r="H158" s="73" t="str" cm="1">
        <f t="array" ref="H158">IFERROR(INDEX(TRANSPOSE(Common_InputFunctions.Utility_SplitStringIntoArray($E99, "/")), 4), "")</f>
        <v/>
      </c>
      <c r="I158" s="73" cm="1">
        <f t="array" ref="I158">IFERROR(INDEX(TRANSPOSE(Common_InputFunctions.Utility_SplitStringIntoArray($F99, "/", "(", ")")), 1)*0.01, 0)</f>
        <v>0.5</v>
      </c>
      <c r="J158" s="73" cm="1">
        <f t="array" ref="J158">IFERROR(INDEX(TRANSPOSE(Common_InputFunctions.Utility_SplitStringIntoArray($F99, "/", "(", ")")), 2)*0.01, 0)</f>
        <v>0.5</v>
      </c>
      <c r="K158" s="73" cm="1">
        <f t="array" ref="K158">IFERROR(INDEX(TRANSPOSE(Common_InputFunctions.Utility_SplitStringIntoArray($F99, "/", "(", ")")), 3)*0.01, 0)</f>
        <v>0</v>
      </c>
      <c r="L158" s="73" cm="1">
        <f t="array" ref="L158">IFERROR(INDEX(TRANSPOSE(Common_InputFunctions.Utility_SplitStringIntoArray($F99, "/", "(", ")")), 4)*0.01, 0)</f>
        <v>0</v>
      </c>
      <c r="M158" s="73" cm="1">
        <f t="array" ref="M158">IFERROR(Table_RefrigerantBlends_Cleaned[[#This Row],[Constituent 1 fraction]]*Common_InputFunctions.Utility_LookupValueInTableNumber(Table_RefrigerantBlends_Cleaned[[#This Row],[Constituent 1]], Table_RefrigerantChemicalGWP[Gas - FC name], Table_RefrigerantChemicalGWP[Global warming potential (AR5)]),"")</f>
        <v>1585</v>
      </c>
      <c r="N158" s="73" cm="1">
        <f t="array" ref="N158">IFERROR(Table_RefrigerantBlends_Cleaned[[#This Row],[Constituent 2 fraction]]*Common_InputFunctions.Utility_LookupValueInTableNumber(Table_RefrigerantBlends_Cleaned[[#This Row],[Constituent 2]], Table_RefrigerantChemicalGWP[Gas - FC name], Table_RefrigerantChemicalGWP[Global warming potential (AR5)]), "")</f>
        <v>2400</v>
      </c>
      <c r="O158" s="73" cm="1">
        <f t="array" ref="O158">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8" s="73" cm="1">
        <f t="array" ref="P158">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8" s="73" cm="1">
        <f t="array" ref="Q158">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1992.5</v>
      </c>
    </row>
    <row r="159" spans="4:17" ht="20.100000000000001" customHeight="1" x14ac:dyDescent="0.25">
      <c r="D159" s="73" t="str">
        <f t="shared" si="0"/>
        <v>R-508A</v>
      </c>
      <c r="E159" s="73" t="str" cm="1">
        <f t="array" ref="E159">IFERROR(INDEX(TRANSPOSE(Common_InputFunctions.Utility_SplitStringIntoArray($E100, "/")), 1), "")</f>
        <v>HFC-23</v>
      </c>
      <c r="F159" s="73" t="str" cm="1">
        <f t="array" ref="F159">IFERROR(INDEX(TRANSPOSE(Common_InputFunctions.Utility_SplitStringIntoArray($E100, "/")), 2), "")</f>
        <v>PFC-116</v>
      </c>
      <c r="G159" s="73" t="str" cm="1">
        <f t="array" ref="G159">IFERROR(INDEX(TRANSPOSE(Common_InputFunctions.Utility_SplitStringIntoArray($E100, "/")), 3), "")</f>
        <v/>
      </c>
      <c r="H159" s="73" t="str" cm="1">
        <f t="array" ref="H159">IFERROR(INDEX(TRANSPOSE(Common_InputFunctions.Utility_SplitStringIntoArray($E100, "/")), 4), "")</f>
        <v/>
      </c>
      <c r="I159" s="73" cm="1">
        <f t="array" ref="I159">IFERROR(INDEX(TRANSPOSE(Common_InputFunctions.Utility_SplitStringIntoArray($F100, "/", "(", ")")), 1)*0.01, 0)</f>
        <v>0.39</v>
      </c>
      <c r="J159" s="73" cm="1">
        <f t="array" ref="J159">IFERROR(INDEX(TRANSPOSE(Common_InputFunctions.Utility_SplitStringIntoArray($F100, "/", "(", ")")), 2)*0.01, 0)</f>
        <v>0.61</v>
      </c>
      <c r="K159" s="73" cm="1">
        <f t="array" ref="K159">IFERROR(INDEX(TRANSPOSE(Common_InputFunctions.Utility_SplitStringIntoArray($F100, "/", "(", ")")), 3)*0.01, 0)</f>
        <v>0</v>
      </c>
      <c r="L159" s="73" cm="1">
        <f t="array" ref="L159">IFERROR(INDEX(TRANSPOSE(Common_InputFunctions.Utility_SplitStringIntoArray($F100, "/", "(", ")")), 4)*0.01, 0)</f>
        <v>0</v>
      </c>
      <c r="M159" s="73" cm="1">
        <f t="array" ref="M159">IFERROR(Table_RefrigerantBlends_Cleaned[[#This Row],[Constituent 1 fraction]]*Common_InputFunctions.Utility_LookupValueInTableNumber(Table_RefrigerantBlends_Cleaned[[#This Row],[Constituent 1]], Table_RefrigerantChemicalGWP[Gas - FC name], Table_RefrigerantChemicalGWP[Global warming potential (AR5)]),"")</f>
        <v>4836</v>
      </c>
      <c r="N159" s="73" cm="1">
        <f t="array" ref="N159">IFERROR(Table_RefrigerantBlends_Cleaned[[#This Row],[Constituent 2 fraction]]*Common_InputFunctions.Utility_LookupValueInTableNumber(Table_RefrigerantBlends_Cleaned[[#This Row],[Constituent 2]], Table_RefrigerantChemicalGWP[Gas - FC name], Table_RefrigerantChemicalGWP[Global warming potential (AR5)]), "")</f>
        <v>6771</v>
      </c>
      <c r="O159" s="73" cm="1">
        <f t="array" ref="O159">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9" s="73" cm="1">
        <f t="array" ref="P159">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9" s="73" cm="1">
        <f t="array" ref="Q159">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6016.3499999999995</v>
      </c>
    </row>
    <row r="160" spans="4:17" ht="20.100000000000001" customHeight="1" x14ac:dyDescent="0.25">
      <c r="D160" s="73" t="str">
        <f t="shared" si="0"/>
        <v>R-508B</v>
      </c>
      <c r="E160" s="73" t="str" cm="1">
        <f t="array" ref="E160">IFERROR(INDEX(TRANSPOSE(Common_InputFunctions.Utility_SplitStringIntoArray($E101, "/")), 1), "")</f>
        <v>HFC-23</v>
      </c>
      <c r="F160" s="73" t="str" cm="1">
        <f t="array" ref="F160">IFERROR(INDEX(TRANSPOSE(Common_InputFunctions.Utility_SplitStringIntoArray($E101, "/")), 2), "")</f>
        <v>PFC-116</v>
      </c>
      <c r="G160" s="73" t="str" cm="1">
        <f t="array" ref="G160">IFERROR(INDEX(TRANSPOSE(Common_InputFunctions.Utility_SplitStringIntoArray($E101, "/")), 3), "")</f>
        <v/>
      </c>
      <c r="H160" s="73" t="str" cm="1">
        <f t="array" ref="H160">IFERROR(INDEX(TRANSPOSE(Common_InputFunctions.Utility_SplitStringIntoArray($E101, "/")), 4), "")</f>
        <v/>
      </c>
      <c r="I160" s="73" cm="1">
        <f t="array" ref="I160">IFERROR(INDEX(TRANSPOSE(Common_InputFunctions.Utility_SplitStringIntoArray($F101, "/", "(", ")")), 1)*0.01, 0)</f>
        <v>0.46</v>
      </c>
      <c r="J160" s="73" cm="1">
        <f t="array" ref="J160">IFERROR(INDEX(TRANSPOSE(Common_InputFunctions.Utility_SplitStringIntoArray($F101, "/", "(", ")")), 2)*0.01, 0)</f>
        <v>0.54</v>
      </c>
      <c r="K160" s="73" cm="1">
        <f t="array" ref="K160">IFERROR(INDEX(TRANSPOSE(Common_InputFunctions.Utility_SplitStringIntoArray($F101, "/", "(", ")")), 3)*0.01, 0)</f>
        <v>0</v>
      </c>
      <c r="L160" s="73" cm="1">
        <f t="array" ref="L160">IFERROR(INDEX(TRANSPOSE(Common_InputFunctions.Utility_SplitStringIntoArray($F101, "/", "(", ")")), 4)*0.01, 0)</f>
        <v>0</v>
      </c>
      <c r="M160" s="73" cm="1">
        <f t="array" ref="M160">IFERROR(Table_RefrigerantBlends_Cleaned[[#This Row],[Constituent 1 fraction]]*Common_InputFunctions.Utility_LookupValueInTableNumber(Table_RefrigerantBlends_Cleaned[[#This Row],[Constituent 1]], Table_RefrigerantChemicalGWP[Gas - FC name], Table_RefrigerantChemicalGWP[Global warming potential (AR5)]),"")</f>
        <v>5704</v>
      </c>
      <c r="N160" s="73" cm="1">
        <f t="array" ref="N160">IFERROR(Table_RefrigerantBlends_Cleaned[[#This Row],[Constituent 2 fraction]]*Common_InputFunctions.Utility_LookupValueInTableNumber(Table_RefrigerantBlends_Cleaned[[#This Row],[Constituent 2]], Table_RefrigerantChemicalGWP[Gas - FC name], Table_RefrigerantChemicalGWP[Global warming potential (AR5)]), "")</f>
        <v>5994</v>
      </c>
      <c r="O160" s="73" cm="1">
        <f t="array" ref="O160">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60" s="73" cm="1">
        <f t="array" ref="P160">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60" s="73" cm="1">
        <f t="array" ref="Q160">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5860.6</v>
      </c>
    </row>
    <row r="161" spans="4:17" ht="20.100000000000001" customHeight="1" x14ac:dyDescent="0.25">
      <c r="D161" s="73" t="str">
        <f t="shared" si="0"/>
        <v>R-509A</v>
      </c>
      <c r="E161" s="73" t="str" cm="1">
        <f t="array" ref="E161">IFERROR(INDEX(TRANSPOSE(Common_InputFunctions.Utility_SplitStringIntoArray($E102, "/")), 1), "")</f>
        <v>HCFC-22</v>
      </c>
      <c r="F161" s="73" t="str" cm="1">
        <f t="array" ref="F161">IFERROR(INDEX(TRANSPOSE(Common_InputFunctions.Utility_SplitStringIntoArray($E102, "/")), 2), "")</f>
        <v>PFC-218</v>
      </c>
      <c r="G161" s="73" t="str" cm="1">
        <f t="array" ref="G161">IFERROR(INDEX(TRANSPOSE(Common_InputFunctions.Utility_SplitStringIntoArray($E102, "/")), 3), "")</f>
        <v/>
      </c>
      <c r="H161" s="73" t="str" cm="1">
        <f t="array" ref="H161">IFERROR(INDEX(TRANSPOSE(Common_InputFunctions.Utility_SplitStringIntoArray($E102, "/")), 4), "")</f>
        <v/>
      </c>
      <c r="I161" s="73" cm="1">
        <f t="array" ref="I161">IFERROR(INDEX(TRANSPOSE(Common_InputFunctions.Utility_SplitStringIntoArray($F102, "/", "(", ")")), 1)*0.01, 0)</f>
        <v>0.44</v>
      </c>
      <c r="J161" s="73" cm="1">
        <f t="array" ref="J161">IFERROR(INDEX(TRANSPOSE(Common_InputFunctions.Utility_SplitStringIntoArray($F102, "/", "(", ")")), 2)*0.01, 0)</f>
        <v>0.56000000000000005</v>
      </c>
      <c r="K161" s="73" cm="1">
        <f t="array" ref="K161">IFERROR(INDEX(TRANSPOSE(Common_InputFunctions.Utility_SplitStringIntoArray($F102, "/", "(", ")")), 3)*0.01, 0)</f>
        <v>0</v>
      </c>
      <c r="L161" s="73" cm="1">
        <f t="array" ref="L161">IFERROR(INDEX(TRANSPOSE(Common_InputFunctions.Utility_SplitStringIntoArray($F102, "/", "(", ")")), 4)*0.01, 0)</f>
        <v>0</v>
      </c>
      <c r="M161" s="73" cm="1">
        <f t="array" ref="M161">IFERROR(Table_RefrigerantBlends_Cleaned[[#This Row],[Constituent 1 fraction]]*Common_InputFunctions.Utility_LookupValueInTableNumber(Table_RefrigerantBlends_Cleaned[[#This Row],[Constituent 1]], Table_RefrigerantChemicalGWP[Gas - FC name], Table_RefrigerantChemicalGWP[Global warming potential (AR5)]),"")</f>
        <v>774.4</v>
      </c>
      <c r="N161" s="73" cm="1">
        <f t="array" ref="N161">IFERROR(Table_RefrigerantBlends_Cleaned[[#This Row],[Constituent 2 fraction]]*Common_InputFunctions.Utility_LookupValueInTableNumber(Table_RefrigerantBlends_Cleaned[[#This Row],[Constituent 2]], Table_RefrigerantChemicalGWP[Gas - FC name], Table_RefrigerantChemicalGWP[Global warming potential (AR5)]), "")</f>
        <v>4984.0000000000009</v>
      </c>
      <c r="O161" s="73" cm="1">
        <f t="array" ref="O161">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61" s="73" cm="1">
        <f t="array" ref="P161">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61" s="73" cm="1">
        <f t="array" ref="Q161">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3131.7760000000007</v>
      </c>
    </row>
    <row r="162" spans="4:17" ht="20.100000000000001" customHeight="1" x14ac:dyDescent="0.25">
      <c r="D162" s="71"/>
      <c r="E162" s="71"/>
      <c r="F162" s="71"/>
      <c r="G162" s="71"/>
      <c r="H162" s="71"/>
      <c r="I162" s="71"/>
      <c r="J162" s="71"/>
      <c r="K162" s="71"/>
      <c r="L162" s="71"/>
      <c r="M162" s="71"/>
      <c r="N162" s="71"/>
      <c r="O162" s="71"/>
      <c r="P162" s="71"/>
      <c r="Q162" s="71"/>
    </row>
    <row r="163" spans="4:17" ht="20.100000000000001" customHeight="1" x14ac:dyDescent="0.25">
      <c r="D163" s="75"/>
      <c r="E163" s="75"/>
      <c r="F163" s="75"/>
      <c r="G163" s="75"/>
      <c r="H163" s="75"/>
      <c r="I163" s="75"/>
      <c r="J163" s="75"/>
      <c r="K163" s="75"/>
      <c r="L163" s="75"/>
      <c r="M163" s="75"/>
      <c r="N163" s="75"/>
      <c r="O163" s="75"/>
      <c r="P163" s="75"/>
      <c r="Q163" s="75"/>
    </row>
    <row r="164" spans="4:17" ht="20.100000000000001" customHeight="1" x14ac:dyDescent="0.25">
      <c r="D164" s="5" t="str" cm="1">
        <f t="array" ref="D164">Refrigerants_SourceData.Refrigerants_LeakageRates_Title()</f>
        <v>Indicative leakage rates for common refrigeration and air - conditioning equipment</v>
      </c>
      <c r="E164" s="71"/>
      <c r="F164" s="71"/>
      <c r="G164" s="71"/>
      <c r="H164" s="71"/>
      <c r="I164" s="71"/>
      <c r="J164" s="71"/>
      <c r="K164" s="71"/>
      <c r="L164" s="71"/>
      <c r="M164" s="71"/>
      <c r="N164" s="71"/>
      <c r="O164" s="71"/>
      <c r="P164" s="71"/>
      <c r="Q164" s="71"/>
    </row>
    <row r="165" spans="4:17" ht="20.100000000000001" customHeight="1" x14ac:dyDescent="0.25">
      <c r="D165" s="4" t="str" cm="1">
        <f t="array" ref="D165">Refrigerants_SourceData.Refrigerants_LeakageRates_Source()</f>
        <v>Australian National Greenhouse Accounts Factors 2025 - Table 10</v>
      </c>
      <c r="E165" s="71"/>
      <c r="F165" s="71"/>
      <c r="G165" s="71"/>
      <c r="H165" s="71"/>
      <c r="I165" s="71"/>
      <c r="J165" s="71"/>
      <c r="K165" s="71"/>
      <c r="L165" s="71"/>
      <c r="M165" s="71"/>
      <c r="N165" s="71"/>
      <c r="O165" s="71"/>
      <c r="P165" s="71"/>
      <c r="Q165" s="71"/>
    </row>
    <row r="166" spans="4:17" x14ac:dyDescent="0.25">
      <c r="D166" s="71"/>
      <c r="E166" s="71"/>
      <c r="F166" s="71"/>
      <c r="G166" s="71"/>
      <c r="H166" s="71"/>
      <c r="I166" s="71"/>
      <c r="J166" s="71"/>
      <c r="K166" s="71"/>
      <c r="L166" s="71"/>
      <c r="M166" s="71"/>
      <c r="N166" s="71"/>
      <c r="O166" s="71"/>
      <c r="P166" s="71"/>
      <c r="Q166" s="71"/>
    </row>
    <row r="167" spans="4:17" x14ac:dyDescent="0.25">
      <c r="D167" s="73" t="s">
        <v>122</v>
      </c>
      <c r="E167" s="72" t="s">
        <v>123</v>
      </c>
      <c r="F167" s="71"/>
      <c r="G167" s="71"/>
      <c r="H167" s="71"/>
      <c r="I167" s="71"/>
      <c r="J167" s="71"/>
      <c r="K167" s="71"/>
      <c r="L167" s="71"/>
      <c r="M167" s="71"/>
      <c r="N167" s="71"/>
      <c r="O167" s="71"/>
      <c r="P167" s="71"/>
      <c r="Q167" s="71"/>
    </row>
    <row r="168" spans="4:17" x14ac:dyDescent="0.25">
      <c r="D168" s="73" t="str" cm="1">
        <f t="array" ref="D168">Common_InputFunctions.Utility_DisplayArrayInTable(Refrigerants_SourceData.Refrigerants_LeakageRates_Data(), Table_Refrigerants_LeakageRates[[#Headers],[Product]], 0)</f>
        <v>Domestic refrigerators</v>
      </c>
      <c r="E168" s="73" cm="1">
        <f t="array" ref="E168">Common_InputFunctions.Utility_DisplayArrayInTable(Refrigerants_SourceData.Refrigerants_LeakageRates_Data(), Table_Refrigerants_LeakageRates[[#Headers],[Product]], 0)</f>
        <v>1.7</v>
      </c>
      <c r="F168" s="71"/>
      <c r="G168" s="71"/>
      <c r="H168" s="71"/>
      <c r="I168" s="71"/>
      <c r="J168" s="71"/>
      <c r="K168" s="71"/>
      <c r="L168" s="71"/>
      <c r="M168" s="71"/>
      <c r="N168" s="71"/>
      <c r="O168" s="71"/>
      <c r="P168" s="71"/>
      <c r="Q168" s="71"/>
    </row>
    <row r="169" spans="4:17" x14ac:dyDescent="0.25">
      <c r="D169" s="73" t="str" cm="1">
        <f t="array" ref="D169">Common_InputFunctions.Utility_DisplayArrayInTable(Refrigerants_SourceData.Refrigerants_LeakageRates_Data(), Table_Refrigerants_LeakageRates[[#Headers],[Product]], 0)</f>
        <v>Transport refrigeration</v>
      </c>
      <c r="E169" s="73" cm="1">
        <f t="array" ref="E169">Common_InputFunctions.Utility_DisplayArrayInTable(Refrigerants_SourceData.Refrigerants_LeakageRates_Data(), Table_Refrigerants_LeakageRates[[#Headers],[Product]], 0)</f>
        <v>15.7</v>
      </c>
      <c r="F169" s="71"/>
      <c r="G169" s="71"/>
      <c r="H169" s="71"/>
      <c r="I169" s="71"/>
      <c r="J169" s="71"/>
      <c r="K169" s="71"/>
      <c r="L169" s="71"/>
      <c r="M169" s="71"/>
      <c r="N169" s="71"/>
      <c r="O169" s="71"/>
      <c r="P169" s="71"/>
      <c r="Q169" s="71"/>
    </row>
    <row r="170" spans="4:17" x14ac:dyDescent="0.25">
      <c r="D170" s="73" t="str" cm="1">
        <f t="array" ref="D170">Common_InputFunctions.Utility_DisplayArrayInTable(Refrigerants_SourceData.Refrigerants_LeakageRates_Data(), Table_Refrigerants_LeakageRates[[#Headers],[Product]], 0)</f>
        <v>Domestic A/C portable</v>
      </c>
      <c r="E170" s="73" cm="1">
        <f t="array" ref="E170">Common_InputFunctions.Utility_DisplayArrayInTable(Refrigerants_SourceData.Refrigerants_LeakageRates_Data(), Table_Refrigerants_LeakageRates[[#Headers],[Product]], 0)</f>
        <v>2.5</v>
      </c>
      <c r="F170" s="71"/>
      <c r="G170" s="71"/>
      <c r="H170" s="71"/>
      <c r="I170" s="71"/>
      <c r="J170" s="71"/>
      <c r="K170" s="71"/>
      <c r="L170" s="71"/>
      <c r="M170" s="71"/>
      <c r="N170" s="71"/>
      <c r="O170" s="71"/>
      <c r="P170" s="71"/>
      <c r="Q170" s="71"/>
    </row>
    <row r="171" spans="4:17" x14ac:dyDescent="0.25">
      <c r="D171" s="73" t="str" cm="1">
        <f t="array" ref="D171">Common_InputFunctions.Utility_DisplayArrayInTable(Refrigerants_SourceData.Refrigerants_LeakageRates_Data(), Table_Refrigerants_LeakageRates[[#Headers],[Product]], 0)</f>
        <v>Domestic A/C split</v>
      </c>
      <c r="E171" s="73" cm="1">
        <f t="array" ref="E171">Common_InputFunctions.Utility_DisplayArrayInTable(Refrigerants_SourceData.Refrigerants_LeakageRates_Data(), Table_Refrigerants_LeakageRates[[#Headers],[Product]], 0)</f>
        <v>3.5</v>
      </c>
      <c r="F171" s="71"/>
      <c r="G171" s="71"/>
      <c r="H171" s="71"/>
      <c r="I171" s="71"/>
      <c r="J171" s="71"/>
      <c r="K171" s="71"/>
      <c r="L171" s="71"/>
      <c r="M171" s="71"/>
      <c r="N171" s="71"/>
      <c r="O171" s="71"/>
      <c r="P171" s="71"/>
      <c r="Q171" s="71"/>
    </row>
    <row r="172" spans="4:17" x14ac:dyDescent="0.25">
      <c r="D172" s="73" t="str" cm="1">
        <f t="array" ref="D172">Common_InputFunctions.Utility_DisplayArrayInTable(Refrigerants_SourceData.Refrigerants_LeakageRates_Data(), Table_Refrigerants_LeakageRates[[#Headers],[Product]], 0)</f>
        <v>Domestic A/C packaged</v>
      </c>
      <c r="E172" s="73" cm="1">
        <f t="array" ref="E172">Common_InputFunctions.Utility_DisplayArrayInTable(Refrigerants_SourceData.Refrigerants_LeakageRates_Data(), Table_Refrigerants_LeakageRates[[#Headers],[Product]], 0)</f>
        <v>2.5</v>
      </c>
      <c r="F172" s="71"/>
      <c r="G172" s="71"/>
      <c r="H172" s="71"/>
      <c r="I172" s="71"/>
      <c r="J172" s="71"/>
      <c r="K172" s="71"/>
      <c r="L172" s="71"/>
      <c r="M172" s="71"/>
      <c r="N172" s="71"/>
      <c r="O172" s="71"/>
      <c r="P172" s="71"/>
      <c r="Q172" s="71"/>
    </row>
    <row r="173" spans="4:17" x14ac:dyDescent="0.25">
      <c r="D173" s="73" t="str" cm="1">
        <f t="array" ref="D173">Common_InputFunctions.Utility_DisplayArrayInTable(Refrigerants_SourceData.Refrigerants_LeakageRates_Data(), Table_Refrigerants_LeakageRates[[#Headers],[Product]], 0)</f>
        <v>Light vehicle A/C</v>
      </c>
      <c r="E173" s="73" cm="1">
        <f t="array" ref="E173">Common_InputFunctions.Utility_DisplayArrayInTable(Refrigerants_SourceData.Refrigerants_LeakageRates_Data(), Table_Refrigerants_LeakageRates[[#Headers],[Product]], 0)</f>
        <v>6.7</v>
      </c>
      <c r="F173" s="71"/>
      <c r="G173" s="71"/>
      <c r="H173" s="71"/>
      <c r="I173" s="71"/>
      <c r="J173" s="71"/>
      <c r="K173" s="71"/>
      <c r="L173" s="71"/>
      <c r="M173" s="71"/>
      <c r="N173" s="71"/>
      <c r="O173" s="71"/>
      <c r="P173" s="71"/>
      <c r="Q173" s="71"/>
    </row>
    <row r="174" spans="4:17" x14ac:dyDescent="0.25">
      <c r="D174" s="73" t="str" cm="1">
        <f t="array" ref="D174">Common_InputFunctions.Utility_DisplayArrayInTable(Refrigerants_SourceData.Refrigerants_LeakageRates_Data(), Table_Refrigerants_LeakageRates[[#Headers],[Product]], 0)</f>
        <v>Heavy vehicle A/C</v>
      </c>
      <c r="E174" s="73" cm="1">
        <f t="array" ref="E174">Common_InputFunctions.Utility_DisplayArrayInTable(Refrigerants_SourceData.Refrigerants_LeakageRates_Data(), Table_Refrigerants_LeakageRates[[#Headers],[Product]], 0)</f>
        <v>10.8</v>
      </c>
      <c r="F174" s="71"/>
      <c r="G174" s="71"/>
      <c r="H174" s="71"/>
      <c r="I174" s="71"/>
      <c r="J174" s="71"/>
      <c r="K174" s="71"/>
      <c r="L174" s="71"/>
      <c r="M174" s="71"/>
      <c r="N174" s="71"/>
      <c r="O174" s="71"/>
      <c r="P174" s="71"/>
      <c r="Q174" s="71"/>
    </row>
    <row r="175" spans="4:17" x14ac:dyDescent="0.25">
      <c r="D175" s="71"/>
      <c r="E175" s="71"/>
      <c r="F175" s="71"/>
      <c r="G175" s="71"/>
      <c r="H175" s="71"/>
      <c r="I175" s="71"/>
      <c r="J175" s="71"/>
      <c r="K175" s="71"/>
      <c r="L175" s="71"/>
      <c r="M175" s="71"/>
      <c r="N175" s="71"/>
      <c r="O175" s="71"/>
      <c r="P175" s="71"/>
      <c r="Q175" s="71"/>
    </row>
    <row r="176" spans="4:17" x14ac:dyDescent="0.25">
      <c r="D176" s="71"/>
      <c r="E176" s="71"/>
      <c r="F176" s="71"/>
      <c r="G176" s="71"/>
      <c r="H176" s="71"/>
      <c r="I176" s="71"/>
      <c r="J176" s="71"/>
      <c r="K176" s="71"/>
      <c r="L176" s="71"/>
      <c r="M176" s="71"/>
      <c r="N176" s="71"/>
      <c r="O176" s="71"/>
      <c r="P176" s="71"/>
      <c r="Q176" s="71"/>
    </row>
    <row r="177" spans="4:17" x14ac:dyDescent="0.25">
      <c r="D177" s="71"/>
      <c r="E177" s="71"/>
      <c r="F177" s="71"/>
      <c r="G177" s="71"/>
      <c r="H177" s="71"/>
      <c r="I177" s="71"/>
      <c r="J177" s="71"/>
      <c r="K177" s="71"/>
      <c r="L177" s="71"/>
      <c r="M177" s="71"/>
      <c r="N177" s="71"/>
      <c r="O177" s="71"/>
      <c r="P177" s="71"/>
      <c r="Q177" s="71"/>
    </row>
    <row r="178" spans="4:17" x14ac:dyDescent="0.25">
      <c r="D178" s="71"/>
      <c r="E178" s="71"/>
      <c r="F178" s="71"/>
      <c r="G178" s="71"/>
      <c r="H178" s="71"/>
      <c r="I178" s="71"/>
      <c r="J178" s="71"/>
      <c r="K178" s="71"/>
      <c r="L178" s="71"/>
      <c r="M178" s="71"/>
      <c r="N178" s="71"/>
      <c r="O178" s="71"/>
      <c r="P178" s="71"/>
      <c r="Q178" s="71"/>
    </row>
    <row r="179" spans="4:17" x14ac:dyDescent="0.25">
      <c r="D179" s="71"/>
      <c r="E179" s="71"/>
      <c r="F179" s="71"/>
      <c r="G179" s="71"/>
      <c r="H179" s="71"/>
      <c r="I179" s="71"/>
      <c r="J179" s="71"/>
      <c r="K179" s="71"/>
      <c r="L179" s="71"/>
      <c r="M179" s="71"/>
      <c r="N179" s="71"/>
      <c r="O179" s="71"/>
      <c r="P179" s="71"/>
      <c r="Q179" s="71"/>
    </row>
    <row r="180" spans="4:17" x14ac:dyDescent="0.25">
      <c r="D180" s="71"/>
      <c r="E180" s="71"/>
      <c r="F180" s="71"/>
      <c r="G180" s="71"/>
      <c r="H180" s="71"/>
      <c r="I180" s="71"/>
      <c r="J180" s="71"/>
      <c r="K180" s="71"/>
      <c r="L180" s="71"/>
      <c r="M180" s="71"/>
      <c r="N180" s="71"/>
      <c r="O180" s="71"/>
      <c r="P180" s="71"/>
      <c r="Q180" s="71"/>
    </row>
  </sheetData>
  <phoneticPr fontId="21" type="noConversion"/>
  <pageMargins left="0.7" right="0.7" top="0.75" bottom="0.75" header="0.3" footer="0.3"/>
  <tableParts count="4">
    <tablePart r:id="rId1"/>
    <tablePart r:id="rId2"/>
    <tablePart r:id="rId3"/>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54E-9905-434A-883A-4B73532B3F1C}">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6" customWidth="1"/>
    <col min="2" max="2" width="2.7109375" style="6"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6" customWidth="1"/>
    <col min="34" max="39" width="21.85546875" style="6" customWidth="1"/>
    <col min="40" max="44" width="20.7109375" style="6" customWidth="1"/>
    <col min="45" max="65" width="9.140625" style="6"/>
    <col min="66" max="16384" width="9.140625" style="2"/>
  </cols>
  <sheetData>
    <row r="1" spans="1:65" s="7" customFormat="1" ht="30" customHeight="1" x14ac:dyDescent="0.35">
      <c r="A1" s="7" t="e" vm="1">
        <v>#VALUE!</v>
      </c>
      <c r="C1" s="7" t="s">
        <v>46</v>
      </c>
    </row>
    <row r="2" spans="1:65" s="8" customFormat="1" ht="20.100000000000001" customHeight="1" x14ac:dyDescent="0.25"/>
    <row r="3" spans="1:65" ht="20.100000000000001" customHeight="1" x14ac:dyDescent="0.25">
      <c r="A3"/>
      <c r="C3" s="3"/>
      <c r="D3" s="3"/>
      <c r="E3" s="3"/>
      <c r="F3" s="3"/>
      <c r="G3" s="3"/>
      <c r="H3" s="3"/>
      <c r="I3" s="3"/>
      <c r="J3" s="3"/>
      <c r="K3" s="3"/>
      <c r="L3" s="3"/>
      <c r="M3" s="3"/>
      <c r="N3" s="3"/>
      <c r="O3" s="3"/>
      <c r="P3" s="3"/>
      <c r="Q3" s="3"/>
      <c r="R3" s="3"/>
      <c r="S3" s="3"/>
      <c r="T3" s="3"/>
      <c r="U3" s="3"/>
      <c r="V3" s="9"/>
      <c r="W3" s="9"/>
    </row>
    <row r="4" spans="1:65" ht="20.100000000000001" customHeight="1" x14ac:dyDescent="0.25">
      <c r="A4"/>
      <c r="BM4" s="2"/>
    </row>
    <row r="5" spans="1:65" ht="20.100000000000001" customHeight="1" x14ac:dyDescent="0.25">
      <c r="A5"/>
      <c r="D5" s="5" t="str" cm="1">
        <f t="array" ref="D5">Common_SourceData.Common_SourceData_AustralianStatesTerritories_Title()</f>
        <v>Australian states and territories</v>
      </c>
      <c r="BM5" s="2"/>
    </row>
    <row r="6" spans="1:65" ht="20.100000000000001" customHeight="1" x14ac:dyDescent="0.25">
      <c r="A6"/>
      <c r="D6" s="26" t="s">
        <v>6</v>
      </c>
      <c r="E6" s="26" t="s">
        <v>7</v>
      </c>
      <c r="F6" s="26" t="s">
        <v>8</v>
      </c>
    </row>
    <row r="7" spans="1:65" ht="20.100000000000001" customHeight="1" x14ac:dyDescent="0.25">
      <c r="A7"/>
      <c r="D7" s="26" t="str" cm="1">
        <f t="array" ref="D7">Common_InputFunctions.Utility_DisplayArrayInTable(Common_SourceData.Common_SourceData_AustralianStatesTerritories_Data(),Table_AustralianStates[[#Headers],[State/Territory]],0)</f>
        <v>New South Wales</v>
      </c>
      <c r="E7" s="26" t="str" cm="1">
        <f t="array" ref="E7">Common_InputFunctions.Utility_DisplayArrayInTable(Common_SourceData.Common_SourceData_AustralianStatesTerritories_Data(),Table_AustralianStates[[#Headers],[State/Territory]],0)</f>
        <v>New South Wales</v>
      </c>
      <c r="F7" s="26" t="str" cm="1">
        <f t="array" ref="F7">Common_InputFunctions.Utility_DisplayArrayInTable(Common_SourceData.Common_SourceData_AustralianStatesTerritories_Data(),Table_AustralianStates[[#Headers],[State/Territory]],0)</f>
        <v>NSW</v>
      </c>
    </row>
    <row r="8" spans="1:65" ht="20.100000000000001" customHeight="1" x14ac:dyDescent="0.25">
      <c r="A8"/>
      <c r="D8" s="26" t="str" cm="1">
        <f t="array" ref="D8">Common_InputFunctions.Utility_DisplayArrayInTable(Common_SourceData.Common_SourceData_AustralianStatesTerritories_Data(),Table_AustralianStates[[#Headers],[State/Territory]],0)</f>
        <v>Australian Capital Territory</v>
      </c>
      <c r="E8" s="26" t="str" cm="1">
        <f t="array" ref="E8">Common_InputFunctions.Utility_DisplayArrayInTable(Common_SourceData.Common_SourceData_AustralianStatesTerritories_Data(),Table_AustralianStates[[#Headers],[State/Territory]],0)</f>
        <v>ACT</v>
      </c>
      <c r="F8" s="26" t="str" cm="1">
        <f t="array" ref="F8">Common_InputFunctions.Utility_DisplayArrayInTable(Common_SourceData.Common_SourceData_AustralianStatesTerritories_Data(),Table_AustralianStates[[#Headers],[State/Territory]],0)</f>
        <v>ACT</v>
      </c>
    </row>
    <row r="9" spans="1:65" ht="20.100000000000001" customHeight="1" x14ac:dyDescent="0.25">
      <c r="A9"/>
      <c r="D9" s="26" t="str" cm="1">
        <f t="array" ref="D9">Common_InputFunctions.Utility_DisplayArrayInTable(Common_SourceData.Common_SourceData_AustralianStatesTerritories_Data(),Table_AustralianStates[[#Headers],[State/Territory]],0)</f>
        <v>Victoria</v>
      </c>
      <c r="E9" s="26" t="str" cm="1">
        <f t="array" ref="E9">Common_InputFunctions.Utility_DisplayArrayInTable(Common_SourceData.Common_SourceData_AustralianStatesTerritories_Data(),Table_AustralianStates[[#Headers],[State/Territory]],0)</f>
        <v>Victoria</v>
      </c>
      <c r="F9" s="2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26" t="str" cm="1">
        <f t="array" ref="D10">Common_InputFunctions.Utility_DisplayArrayInTable(Common_SourceData.Common_SourceData_AustralianStatesTerritories_Data(),Table_AustralianStates[[#Headers],[State/Territory]],0)</f>
        <v>Queensland</v>
      </c>
      <c r="E10" s="26" t="str" cm="1">
        <f t="array" ref="E10">Common_InputFunctions.Utility_DisplayArrayInTable(Common_SourceData.Common_SourceData_AustralianStatesTerritories_Data(),Table_AustralianStates[[#Headers],[State/Territory]],0)</f>
        <v>Queensland</v>
      </c>
      <c r="F10" s="2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26" t="str" cm="1">
        <f t="array" ref="D11">Common_InputFunctions.Utility_DisplayArrayInTable(Common_SourceData.Common_SourceData_AustralianStatesTerritories_Data(),Table_AustralianStates[[#Headers],[State/Territory]],0)</f>
        <v>South Australia</v>
      </c>
      <c r="E11" s="26" t="str" cm="1">
        <f t="array" ref="E11">Common_InputFunctions.Utility_DisplayArrayInTable(Common_SourceData.Common_SourceData_AustralianStatesTerritories_Data(),Table_AustralianStates[[#Headers],[State/Territory]],0)</f>
        <v>South Australia</v>
      </c>
      <c r="F11" s="26" t="str" cm="1">
        <f t="array" ref="F11">Common_InputFunctions.Utility_DisplayArrayInTable(Common_SourceData.Common_SourceData_AustralianStatesTerritories_Data(),Table_AustralianStates[[#Headers],[State/Territory]],0)</f>
        <v>SA</v>
      </c>
      <c r="BM11" s="2"/>
    </row>
    <row r="12" spans="1:65" ht="20.100000000000001" customHeight="1" x14ac:dyDescent="0.25">
      <c r="A12"/>
      <c r="D12" s="26" t="str" cm="1">
        <f t="array" ref="D12">Common_InputFunctions.Utility_DisplayArrayInTable(Common_SourceData.Common_SourceData_AustralianStatesTerritories_Data(),Table_AustralianStates[[#Headers],[State/Territory]],0)</f>
        <v>Western Australia</v>
      </c>
      <c r="E12" s="26" t="str" cm="1">
        <f t="array" ref="E12">Common_InputFunctions.Utility_DisplayArrayInTable(Common_SourceData.Common_SourceData_AustralianStatesTerritories_Data(),Table_AustralianStates[[#Headers],[State/Territory]],0)</f>
        <v>Western Australia</v>
      </c>
      <c r="F12" s="26" t="str" cm="1">
        <f t="array" ref="F12">Common_InputFunctions.Utility_DisplayArrayInTable(Common_SourceData.Common_SourceData_AustralianStatesTerritories_Data(),Table_AustralianStates[[#Headers],[State/Territory]],0)</f>
        <v>WA</v>
      </c>
      <c r="BM12" s="2"/>
    </row>
    <row r="13" spans="1:65" ht="20.100000000000001" customHeight="1" x14ac:dyDescent="0.25">
      <c r="A13"/>
      <c r="D13" s="26" t="str" cm="1">
        <f t="array" ref="D13">Common_InputFunctions.Utility_DisplayArrayInTable(Common_SourceData.Common_SourceData_AustralianStatesTerritories_Data(),Table_AustralianStates[[#Headers],[State/Territory]],0)</f>
        <v>Tasmania</v>
      </c>
      <c r="E13" s="26" t="str" cm="1">
        <f t="array" ref="E13">Common_InputFunctions.Utility_DisplayArrayInTable(Common_SourceData.Common_SourceData_AustralianStatesTerritories_Data(),Table_AustralianStates[[#Headers],[State/Territory]],0)</f>
        <v>Tasmania</v>
      </c>
      <c r="F13" s="2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26" t="str" cm="1">
        <f t="array" ref="D14">Common_InputFunctions.Utility_DisplayArrayInTable(Common_SourceData.Common_SourceData_AustralianStatesTerritories_Data(),Table_AustralianStates[[#Headers],[State/Territory]],0)</f>
        <v>Northern Territory</v>
      </c>
      <c r="E14" s="26" t="str" cm="1">
        <f t="array" ref="E14">Common_InputFunctions.Utility_DisplayArrayInTable(Common_SourceData.Common_SourceData_AustralianStatesTerritories_Data(),Table_AustralianStates[[#Headers],[State/Territory]],0)</f>
        <v>Northern Territory</v>
      </c>
      <c r="F14" s="2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5" t="str" cm="1">
        <f t="array" ref="D18">Common_SourceData.Common_SourceData_WASA4Areas_Title()</f>
        <v>ABS Statistcal Areas Level 4 - Western Australia</v>
      </c>
    </row>
    <row r="19" spans="1:4" ht="20.100000000000001" customHeight="1" x14ac:dyDescent="0.25">
      <c r="A19"/>
      <c r="D19" s="4" t="str" cm="1">
        <f t="array" ref="D19">Common_SourceData.Common_SourceData_WASA4Areas_Source()</f>
        <v>Australian Bureau of Statistics (ABS) - Statistical Areas Level 2 - 2021 - Shapefile</v>
      </c>
    </row>
    <row r="20" spans="1:4" ht="20.100000000000001" customHeight="1" x14ac:dyDescent="0.25">
      <c r="A20"/>
      <c r="D20" s="26" t="s">
        <v>9</v>
      </c>
    </row>
    <row r="21" spans="1:4" ht="20.100000000000001" customHeight="1" x14ac:dyDescent="0.25">
      <c r="A21"/>
      <c r="D21" s="26" t="str" cm="1">
        <f t="array" ref="D21">Common_InputFunctions.Utility_DisplayArrayInTable(Common_SourceData.Common_SourceData_WASA4Areas_Data(), Table_WASA4Areas[[#Headers],[SA 4 Name]], 0)</f>
        <v>Bunbury</v>
      </c>
    </row>
    <row r="22" spans="1:4" ht="20.100000000000001" customHeight="1" x14ac:dyDescent="0.25">
      <c r="A22"/>
      <c r="D22" s="26" t="str" cm="1">
        <f t="array" ref="D22">Common_InputFunctions.Utility_DisplayArrayInTable(Common_SourceData.Common_SourceData_WASA4Areas_Data(), Table_WASA4Areas[[#Headers],[SA 4 Name]], 0)</f>
        <v>Mandurah</v>
      </c>
    </row>
    <row r="23" spans="1:4" ht="20.100000000000001" customHeight="1" x14ac:dyDescent="0.25">
      <c r="A23"/>
      <c r="D23" s="26" t="str" cm="1">
        <f t="array" ref="D23">Common_InputFunctions.Utility_DisplayArrayInTable(Common_SourceData.Common_SourceData_WASA4Areas_Data(), Table_WASA4Areas[[#Headers],[SA 4 Name]], 0)</f>
        <v>Perth - Inner</v>
      </c>
    </row>
    <row r="24" spans="1:4" ht="20.100000000000001" customHeight="1" x14ac:dyDescent="0.25">
      <c r="A24"/>
      <c r="D24" s="26" t="str" cm="1">
        <f t="array" ref="D24">Common_InputFunctions.Utility_DisplayArrayInTable(Common_SourceData.Common_SourceData_WASA4Areas_Data(), Table_WASA4Areas[[#Headers],[SA 4 Name]], 0)</f>
        <v>Perth - North East</v>
      </c>
    </row>
    <row r="25" spans="1:4" ht="20.100000000000001" customHeight="1" x14ac:dyDescent="0.25">
      <c r="A25"/>
      <c r="D25" s="26" t="str" cm="1">
        <f t="array" ref="D25">Common_InputFunctions.Utility_DisplayArrayInTable(Common_SourceData.Common_SourceData_WASA4Areas_Data(), Table_WASA4Areas[[#Headers],[SA 4 Name]], 0)</f>
        <v>Perth - North West</v>
      </c>
    </row>
    <row r="26" spans="1:4" ht="20.100000000000001" customHeight="1" x14ac:dyDescent="0.25">
      <c r="A26"/>
      <c r="D26" s="26" t="str" cm="1">
        <f t="array" ref="D26">Common_InputFunctions.Utility_DisplayArrayInTable(Common_SourceData.Common_SourceData_WASA4Areas_Data(), Table_WASA4Areas[[#Headers],[SA 4 Name]], 0)</f>
        <v>Perth - South East</v>
      </c>
    </row>
    <row r="27" spans="1:4" ht="20.100000000000001" customHeight="1" x14ac:dyDescent="0.25">
      <c r="A27"/>
      <c r="D27" s="26" t="str" cm="1">
        <f t="array" ref="D27">Common_InputFunctions.Utility_DisplayArrayInTable(Common_SourceData.Common_SourceData_WASA4Areas_Data(), Table_WASA4Areas[[#Headers],[SA 4 Name]], 0)</f>
        <v>Perth - South West</v>
      </c>
    </row>
    <row r="28" spans="1:4" ht="20.100000000000001" customHeight="1" x14ac:dyDescent="0.25">
      <c r="A28"/>
      <c r="D28" s="2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2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2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5" t="str" cm="1">
        <f t="array" ref="D34">Common_SourceData.Common_SourceData_GWP_Title()</f>
        <v>Global warming potential for greenhouse gases</v>
      </c>
    </row>
    <row r="35" spans="1:8" ht="20.100000000000001" customHeight="1" x14ac:dyDescent="0.25">
      <c r="A35"/>
      <c r="D35" s="4" t="str" cm="1">
        <f t="array" ref="D35">Common_SourceData.Common_SourceData_GWP_Source()</f>
        <v>XXXXXXX</v>
      </c>
    </row>
    <row r="36" spans="1:8" ht="20.100000000000001" customHeight="1" x14ac:dyDescent="0.25">
      <c r="A36"/>
      <c r="D36" s="26" t="s">
        <v>11</v>
      </c>
      <c r="E36" s="26" t="s">
        <v>12</v>
      </c>
    </row>
    <row r="37" spans="1:8" ht="20.100000000000001" customHeight="1" x14ac:dyDescent="0.25">
      <c r="A37"/>
      <c r="D37" s="26" t="str" cm="1">
        <f t="array" ref="D37">Common_InputFunctions.Utility_DisplayArrayInTable(Common_SourceData.Common_SourceData_GWP_Data(), Table_GWPData[[#Headers],[Gas]], 0)</f>
        <v>CO2</v>
      </c>
      <c r="E37" s="26" cm="1">
        <f t="array" ref="E37">Common_InputFunctions.Utility_DisplayArrayInTable(Common_SourceData.Common_SourceData_GWP_Data(), Table_GWPData[[#Headers],[Gas]], 0)</f>
        <v>1</v>
      </c>
    </row>
    <row r="38" spans="1:8" ht="20.100000000000001" customHeight="1" x14ac:dyDescent="0.25">
      <c r="A38"/>
      <c r="D38" s="26" t="str" cm="1">
        <f t="array" ref="D38">Common_InputFunctions.Utility_DisplayArrayInTable(Common_SourceData.Common_SourceData_GWP_Data(), Table_GWPData[[#Headers],[Gas]], 0)</f>
        <v>CH4</v>
      </c>
      <c r="E38" s="26" cm="1">
        <f t="array" ref="E38">Common_InputFunctions.Utility_DisplayArrayInTable(Common_SourceData.Common_SourceData_GWP_Data(), Table_GWPData[[#Headers],[Gas]], 0)</f>
        <v>28</v>
      </c>
    </row>
    <row r="39" spans="1:8" ht="20.100000000000001" customHeight="1" x14ac:dyDescent="0.25">
      <c r="A39"/>
      <c r="D39" s="26" t="str" cm="1">
        <f t="array" ref="D39">Common_InputFunctions.Utility_DisplayArrayInTable(Common_SourceData.Common_SourceData_GWP_Data(), Table_GWPData[[#Headers],[Gas]], 0)</f>
        <v>N2O</v>
      </c>
      <c r="E39" s="26" cm="1">
        <f t="array" ref="E39">Common_InputFunctions.Utility_DisplayArrayInTable(Common_SourceData.Common_SourceData_GWP_Data(), Table_GWPData[[#Headers],[Gas]], 0)</f>
        <v>265</v>
      </c>
    </row>
    <row r="40" spans="1:8" ht="20.100000000000001" customHeight="1" x14ac:dyDescent="0.25">
      <c r="A40"/>
      <c r="D40" s="26" t="str" cm="1">
        <f t="array" ref="D40">Common_InputFunctions.Utility_DisplayArrayInTable(Common_SourceData.Common_SourceData_GWP_Data(), Table_GWPData[[#Headers],[Gas]], 0)</f>
        <v>CF4</v>
      </c>
      <c r="E40" s="26" cm="1">
        <f t="array" ref="E40">Common_InputFunctions.Utility_DisplayArrayInTable(Common_SourceData.Common_SourceData_GWP_Data(), Table_GWPData[[#Headers],[Gas]], 0)</f>
        <v>6630</v>
      </c>
    </row>
    <row r="41" spans="1:8" ht="20.100000000000001" customHeight="1" x14ac:dyDescent="0.25">
      <c r="A41"/>
      <c r="D41" s="26" t="str" cm="1">
        <f t="array" ref="D41">Common_InputFunctions.Utility_DisplayArrayInTable(Common_SourceData.Common_SourceData_GWP_Data(), Table_GWPData[[#Headers],[Gas]], 0)</f>
        <v>C2F6</v>
      </c>
      <c r="E41" s="26" cm="1">
        <f t="array" ref="E41">Common_InputFunctions.Utility_DisplayArrayInTable(Common_SourceData.Common_SourceData_GWP_Data(), Table_GWPData[[#Headers],[Gas]], 0)</f>
        <v>12200</v>
      </c>
    </row>
    <row r="42" spans="1:8" ht="20.100000000000001" customHeight="1" x14ac:dyDescent="0.25">
      <c r="D42" s="26" t="str" cm="1">
        <f t="array" ref="D42">Common_InputFunctions.Utility_DisplayArrayInTable(Common_SourceData.Common_SourceData_GWP_Data(), Table_GWPData[[#Headers],[Gas]], 0)</f>
        <v>SF6</v>
      </c>
      <c r="E42" s="26" cm="1">
        <f t="array" ref="E42">Common_InputFunctions.Utility_DisplayArrayInTable(Common_SourceData.Common_SourceData_GWP_Data(), Table_GWPData[[#Headers],[Gas]], 0)</f>
        <v>22800</v>
      </c>
    </row>
    <row r="43" spans="1:8" ht="20.100000000000001" customHeight="1" x14ac:dyDescent="0.25">
      <c r="D43" s="26" t="str" cm="1">
        <f t="array" ref="D43">Common_InputFunctions.Utility_DisplayArrayInTable(Common_SourceData.Common_SourceData_GWP_Data(), Table_GWPData[[#Headers],[Gas]], 0)</f>
        <v>NF3</v>
      </c>
      <c r="E43" s="2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5" t="str" cm="1">
        <f t="array" ref="D45">Common_SourceData.Common_SourceData_ConvertGasElementalToMolecular_Title()</f>
        <v>Factor to convert elemental mass of gas to molecular mass</v>
      </c>
    </row>
    <row r="46" spans="1:8" ht="20.100000000000001" customHeight="1" x14ac:dyDescent="0.25">
      <c r="D46" s="4" t="str" cm="1">
        <f t="array" ref="D46">Common_SourceData.Common_SourceData_ConvertGasElementalToMolecular_Source()</f>
        <v>XXXXXXX</v>
      </c>
    </row>
    <row r="47" spans="1:8" ht="20.100000000000001" customHeight="1" x14ac:dyDescent="0.25">
      <c r="D47" s="26" t="s">
        <v>11</v>
      </c>
      <c r="E47" s="26" t="s">
        <v>14</v>
      </c>
      <c r="F47" s="26" t="s">
        <v>15</v>
      </c>
      <c r="G47" s="26" t="s">
        <v>16</v>
      </c>
      <c r="H47" s="26" t="s">
        <v>17</v>
      </c>
    </row>
    <row r="48" spans="1:8" ht="20.100000000000001" customHeight="1" x14ac:dyDescent="0.25">
      <c r="D48" s="26" t="str" cm="1">
        <f t="array" ref="D48">Common_InputFunctions.Utility_DisplayArrayInTable(Common_SourceData.Common_SourceData_ConvertGasElementalToMolecular_Data(),Table_GasToMolecularConversionFactor[[#Headers],[Gas]], 0)</f>
        <v>CO2</v>
      </c>
      <c r="E48" s="26" t="str" cm="1">
        <f t="array" ref="E48">Common_InputFunctions.Utility_DisplayArrayInTable(Common_SourceData.Common_SourceData_ConvertGasElementalToMolecular_Data(),Table_GasToMolecularConversionFactor[[#Headers],[Gas]], 0)</f>
        <v>44/12</v>
      </c>
      <c r="F48" s="26" cm="1">
        <f t="array" ref="F48">Common_InputFunctions.Utility_DisplayArrayInTable(Common_SourceData.Common_SourceData_ConvertGasElementalToMolecular_Data(),Table_GasToMolecularConversionFactor[[#Headers],[Gas]], 0)</f>
        <v>44</v>
      </c>
      <c r="G48" s="26" cm="1">
        <f t="array" ref="G48">Common_InputFunctions.Utility_DisplayArrayInTable(Common_SourceData.Common_SourceData_ConvertGasElementalToMolecular_Data(),Table_GasToMolecularConversionFactor[[#Headers],[Gas]], 0)</f>
        <v>12</v>
      </c>
      <c r="H48" s="26">
        <f>Table_GasToMolecularConversionFactor[[#This Row],[Conversion factor 1]]/Table_GasToMolecularConversionFactor[[#This Row],[Conversion factor 2]]</f>
        <v>3.6666666666666665</v>
      </c>
    </row>
    <row r="49" spans="4:8" ht="20.100000000000001" customHeight="1" x14ac:dyDescent="0.25">
      <c r="D49" s="26" t="str" cm="1">
        <f t="array" ref="D49">Common_InputFunctions.Utility_DisplayArrayInTable(Common_SourceData.Common_SourceData_ConvertGasElementalToMolecular_Data(),Table_GasToMolecularConversionFactor[[#Headers],[Gas]], 0)</f>
        <v>CH4</v>
      </c>
      <c r="E49" s="26" t="str" cm="1">
        <f t="array" ref="E49">Common_InputFunctions.Utility_DisplayArrayInTable(Common_SourceData.Common_SourceData_ConvertGasElementalToMolecular_Data(),Table_GasToMolecularConversionFactor[[#Headers],[Gas]], 0)</f>
        <v>16/12</v>
      </c>
      <c r="F49" s="26" cm="1">
        <f t="array" ref="F49">Common_InputFunctions.Utility_DisplayArrayInTable(Common_SourceData.Common_SourceData_ConvertGasElementalToMolecular_Data(),Table_GasToMolecularConversionFactor[[#Headers],[Gas]], 0)</f>
        <v>16</v>
      </c>
      <c r="G49" s="26" cm="1">
        <f t="array" ref="G49">Common_InputFunctions.Utility_DisplayArrayInTable(Common_SourceData.Common_SourceData_ConvertGasElementalToMolecular_Data(),Table_GasToMolecularConversionFactor[[#Headers],[Gas]], 0)</f>
        <v>12</v>
      </c>
      <c r="H49" s="26">
        <f>Table_GasToMolecularConversionFactor[[#This Row],[Conversion factor 1]]/Table_GasToMolecularConversionFactor[[#This Row],[Conversion factor 2]]</f>
        <v>1.3333333333333333</v>
      </c>
    </row>
    <row r="50" spans="4:8" ht="20.100000000000001" customHeight="1" x14ac:dyDescent="0.25">
      <c r="D50" s="26" t="str" cm="1">
        <f t="array" ref="D50">Common_InputFunctions.Utility_DisplayArrayInTable(Common_SourceData.Common_SourceData_ConvertGasElementalToMolecular_Data(),Table_GasToMolecularConversionFactor[[#Headers],[Gas]], 0)</f>
        <v>N2O</v>
      </c>
      <c r="E50" s="26" t="str" cm="1">
        <f t="array" ref="E50">Common_InputFunctions.Utility_DisplayArrayInTable(Common_SourceData.Common_SourceData_ConvertGasElementalToMolecular_Data(),Table_GasToMolecularConversionFactor[[#Headers],[Gas]], 0)</f>
        <v>44/28</v>
      </c>
      <c r="F50" s="26" cm="1">
        <f t="array" ref="F50">Common_InputFunctions.Utility_DisplayArrayInTable(Common_SourceData.Common_SourceData_ConvertGasElementalToMolecular_Data(),Table_GasToMolecularConversionFactor[[#Headers],[Gas]], 0)</f>
        <v>44</v>
      </c>
      <c r="G50" s="26" cm="1">
        <f t="array" ref="G50">Common_InputFunctions.Utility_DisplayArrayInTable(Common_SourceData.Common_SourceData_ConvertGasElementalToMolecular_Data(),Table_GasToMolecularConversionFactor[[#Headers],[Gas]], 0)</f>
        <v>28</v>
      </c>
      <c r="H50" s="26">
        <f>Table_GasToMolecularConversionFactor[[#This Row],[Conversion factor 1]]/Table_GasToMolecularConversionFactor[[#This Row],[Conversion factor 2]]</f>
        <v>1.5714285714285714</v>
      </c>
    </row>
    <row r="51" spans="4:8" ht="20.100000000000001" customHeight="1" x14ac:dyDescent="0.25">
      <c r="D51" s="26" t="str" cm="1">
        <f t="array" ref="D51">Common_InputFunctions.Utility_DisplayArrayInTable(Common_SourceData.Common_SourceData_ConvertGasElementalToMolecular_Data(),Table_GasToMolecularConversionFactor[[#Headers],[Gas]], 0)</f>
        <v>Nox</v>
      </c>
      <c r="E51" s="26" t="str" cm="1">
        <f t="array" ref="E51">Common_InputFunctions.Utility_DisplayArrayInTable(Common_SourceData.Common_SourceData_ConvertGasElementalToMolecular_Data(),Table_GasToMolecularConversionFactor[[#Headers],[Gas]], 0)</f>
        <v>46/14</v>
      </c>
      <c r="F51" s="26" cm="1">
        <f t="array" ref="F51">Common_InputFunctions.Utility_DisplayArrayInTable(Common_SourceData.Common_SourceData_ConvertGasElementalToMolecular_Data(),Table_GasToMolecularConversionFactor[[#Headers],[Gas]], 0)</f>
        <v>46</v>
      </c>
      <c r="G51" s="26" cm="1">
        <f t="array" ref="G51">Common_InputFunctions.Utility_DisplayArrayInTable(Common_SourceData.Common_SourceData_ConvertGasElementalToMolecular_Data(),Table_GasToMolecularConversionFactor[[#Headers],[Gas]], 0)</f>
        <v>14</v>
      </c>
      <c r="H51" s="26">
        <f>Table_GasToMolecularConversionFactor[[#This Row],[Conversion factor 1]]/Table_GasToMolecularConversionFactor[[#This Row],[Conversion factor 2]]</f>
        <v>3.2857142857142856</v>
      </c>
    </row>
    <row r="52" spans="4:8" ht="20.100000000000001" customHeight="1" x14ac:dyDescent="0.25">
      <c r="D52" s="26" t="str" cm="1">
        <f t="array" ref="D52">Common_InputFunctions.Utility_DisplayArrayInTable(Common_SourceData.Common_SourceData_ConvertGasElementalToMolecular_Data(),Table_GasToMolecularConversionFactor[[#Headers],[Gas]], 0)</f>
        <v>CO</v>
      </c>
      <c r="E52" s="26" t="str" cm="1">
        <f t="array" ref="E52">Common_InputFunctions.Utility_DisplayArrayInTable(Common_SourceData.Common_SourceData_ConvertGasElementalToMolecular_Data(),Table_GasToMolecularConversionFactor[[#Headers],[Gas]], 0)</f>
        <v>28/12</v>
      </c>
      <c r="F52" s="26" cm="1">
        <f t="array" ref="F52">Common_InputFunctions.Utility_DisplayArrayInTable(Common_SourceData.Common_SourceData_ConvertGasElementalToMolecular_Data(),Table_GasToMolecularConversionFactor[[#Headers],[Gas]], 0)</f>
        <v>28</v>
      </c>
      <c r="G52" s="26" cm="1">
        <f t="array" ref="G52">Common_InputFunctions.Utility_DisplayArrayInTable(Common_SourceData.Common_SourceData_ConvertGasElementalToMolecular_Data(),Table_GasToMolecularConversionFactor[[#Headers],[Gas]], 0)</f>
        <v>12</v>
      </c>
      <c r="H52" s="26">
        <f>Table_GasToMolecularConversionFactor[[#This Row],[Conversion factor 1]]/Table_GasToMolecularConversionFactor[[#This Row],[Conversion factor 2]]</f>
        <v>2.3333333333333335</v>
      </c>
    </row>
    <row r="53" spans="4:8" ht="20.100000000000001" customHeight="1" x14ac:dyDescent="0.25">
      <c r="D53" s="26" t="str" cm="1">
        <f t="array" ref="D53">Common_InputFunctions.Utility_DisplayArrayInTable(Common_SourceData.Common_SourceData_ConvertGasElementalToMolecular_Data(),Table_GasToMolecularConversionFactor[[#Headers],[Gas]], 0)</f>
        <v>CO2 Lime</v>
      </c>
      <c r="E53" s="26" t="str" cm="1">
        <f t="array" ref="E53">Common_InputFunctions.Utility_DisplayArrayInTable(Common_SourceData.Common_SourceData_ConvertGasElementalToMolecular_Data(),Table_GasToMolecularConversionFactor[[#Headers],[Gas]], 0)</f>
        <v>44/12</v>
      </c>
      <c r="F53" s="26" cm="1">
        <f t="array" ref="F53">Common_InputFunctions.Utility_DisplayArrayInTable(Common_SourceData.Common_SourceData_ConvertGasElementalToMolecular_Data(),Table_GasToMolecularConversionFactor[[#Headers],[Gas]], 0)</f>
        <v>44</v>
      </c>
      <c r="G53" s="26" cm="1">
        <f t="array" ref="G53">Common_InputFunctions.Utility_DisplayArrayInTable(Common_SourceData.Common_SourceData_ConvertGasElementalToMolecular_Data(),Table_GasToMolecularConversionFactor[[#Headers],[Gas]], 0)</f>
        <v>12</v>
      </c>
      <c r="H53" s="26">
        <f>Table_GasToMolecularConversionFactor[[#This Row],[Conversion factor 1]]/Table_GasToMolecularConversionFactor[[#This Row],[Conversion factor 2]]</f>
        <v>3.6666666666666665</v>
      </c>
    </row>
    <row r="54" spans="4:8" ht="20.100000000000001" customHeight="1" x14ac:dyDescent="0.25">
      <c r="D54" s="26" t="str" cm="1">
        <f t="array" ref="D54">Common_InputFunctions.Utility_DisplayArrayInTable(Common_SourceData.Common_SourceData_ConvertGasElementalToMolecular_Data(),Table_GasToMolecularConversionFactor[[#Headers],[Gas]], 0)</f>
        <v>NMVOC</v>
      </c>
      <c r="E54" s="26" t="str" cm="1">
        <f t="array" ref="E54">Common_InputFunctions.Utility_DisplayArrayInTable(Common_SourceData.Common_SourceData_ConvertGasElementalToMolecular_Data(),Table_GasToMolecularConversionFactor[[#Headers],[Gas]], 0)</f>
        <v>14/12</v>
      </c>
      <c r="F54" s="26" cm="1">
        <f t="array" ref="F54">Common_InputFunctions.Utility_DisplayArrayInTable(Common_SourceData.Common_SourceData_ConvertGasElementalToMolecular_Data(),Table_GasToMolecularConversionFactor[[#Headers],[Gas]], 0)</f>
        <v>14</v>
      </c>
      <c r="G54" s="26" cm="1">
        <f t="array" ref="G54">Common_InputFunctions.Utility_DisplayArrayInTable(Common_SourceData.Common_SourceData_ConvertGasElementalToMolecular_Data(),Table_GasToMolecularConversionFactor[[#Headers],[Gas]], 0)</f>
        <v>12</v>
      </c>
      <c r="H54" s="2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5" t="str" cm="1">
        <f t="array" ref="D57">Common_SourceData.Common_SourceData_WetAndDryZones_Title()</f>
        <v>VEERG Australian wet and dry zones</v>
      </c>
    </row>
    <row r="58" spans="4:8" ht="20.100000000000001" customHeight="1" x14ac:dyDescent="0.25">
      <c r="D58" s="4" t="str" cm="1">
        <f t="array" ref="D58">Common_SourceData.Common_SourceData_WetAndDryZones_Source()</f>
        <v>VEERG 2026: Table 1.2: Translating climate zones to wet and dry zones</v>
      </c>
    </row>
    <row r="59" spans="4:8" ht="20.100000000000001" customHeight="1" x14ac:dyDescent="0.25">
      <c r="D59" s="31" t="str" cm="1">
        <f t="array" ref="D59:D61">"⚠️" &amp; Common_SourceData.Common_SourceData_WetAndDryZones_Variation()</f>
        <v>⚠️VARIATION OF SOURCE DATA:</v>
      </c>
    </row>
    <row r="60" spans="4:8" ht="20.100000000000001" customHeight="1" x14ac:dyDescent="0.25">
      <c r="D60" s="31" t="str">
        <v>⚠️Added warm / cool temperate moist / dry - low frost and high temp classes to accommodate climate scenarios excluded by VEERG criteria.</v>
      </c>
    </row>
    <row r="61" spans="4:8" ht="20.100000000000001" customHeight="1" x14ac:dyDescent="0.25">
      <c r="D61" s="31" t="str">
        <v>⚠️Fixed typo - Changed 'Fry' to 'Dry'.</v>
      </c>
    </row>
    <row r="62" spans="4:8" ht="20.100000000000001" customHeight="1" x14ac:dyDescent="0.25"/>
    <row r="63" spans="4:8" ht="20.100000000000001" customHeight="1" x14ac:dyDescent="0.25">
      <c r="D63" s="26" t="s">
        <v>4</v>
      </c>
      <c r="E63" s="26" t="s">
        <v>31</v>
      </c>
    </row>
    <row r="64" spans="4:8" ht="20.100000000000001" customHeight="1" x14ac:dyDescent="0.25">
      <c r="D64" s="26" t="str" cm="1">
        <f t="array" ref="D64">Common_InputFunctions.Utility_DisplayArrayInTable(Common_SourceData.Common_SourceData_WetAndDryZones_Data(), Table_SourceData_WetDryZones[[#Headers],[Climate zone]], 0)</f>
        <v>Tropical montane</v>
      </c>
      <c r="E64" s="2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26" t="str" cm="1">
        <f t="array" ref="D65">Common_InputFunctions.Utility_DisplayArrayInTable(Common_SourceData.Common_SourceData_WetAndDryZones_Data(), Table_SourceData_WetDryZones[[#Headers],[Climate zone]], 0)</f>
        <v>Tropical wet</v>
      </c>
      <c r="E65" s="2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26" t="str" cm="1">
        <f t="array" ref="D66">Common_InputFunctions.Utility_DisplayArrayInTable(Common_SourceData.Common_SourceData_WetAndDryZones_Data(), Table_SourceData_WetDryZones[[#Headers],[Climate zone]], 0)</f>
        <v>Tropical moist</v>
      </c>
      <c r="E66" s="2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26" t="str" cm="1">
        <f t="array" ref="D67">Common_InputFunctions.Utility_DisplayArrayInTable(Common_SourceData.Common_SourceData_WetAndDryZones_Data(), Table_SourceData_WetDryZones[[#Headers],[Climate zone]], 0)</f>
        <v>Tropical dry</v>
      </c>
      <c r="E67" s="2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26" t="str" cm="1">
        <f t="array" ref="D68">Common_InputFunctions.Utility_DisplayArrayInTable(Common_SourceData.Common_SourceData_WetAndDryZones_Data(), Table_SourceData_WetDryZones[[#Headers],[Climate zone]], 0)</f>
        <v>Warm temperate moist</v>
      </c>
      <c r="E68" s="2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26" t="str" cm="1">
        <f t="array" ref="D69">Common_InputFunctions.Utility_DisplayArrayInTable(Common_SourceData.Common_SourceData_WetAndDryZones_Data(), Table_SourceData_WetDryZones[[#Headers],[Climate zone]], 0)</f>
        <v>Warm temperate dry</v>
      </c>
      <c r="E69" s="2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26" t="str" cm="1">
        <f t="array" ref="D70">Common_InputFunctions.Utility_DisplayArrayInTable(Common_SourceData.Common_SourceData_WetAndDryZones_Data(), Table_SourceData_WetDryZones[[#Headers],[Climate zone]], 0)</f>
        <v>Cool temperate moist</v>
      </c>
      <c r="E70" s="2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26" t="str" cm="1">
        <f t="array" ref="D71">Common_InputFunctions.Utility_DisplayArrayInTable(Common_SourceData.Common_SourceData_WetAndDryZones_Data(), Table_SourceData_WetDryZones[[#Headers],[Climate zone]], 0)</f>
        <v>Cool temperate dry</v>
      </c>
      <c r="E71" s="2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26" t="str" cm="1">
        <f t="array" ref="D72">Common_InputFunctions.Utility_DisplayArrayInTable(Common_SourceData.Common_SourceData_WetAndDryZones_Data(), Table_SourceData_WetDryZones[[#Headers],[Climate zone]], 0)</f>
        <v>Warm temperate moist - low frost</v>
      </c>
      <c r="E72" s="2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26" t="str" cm="1">
        <f t="array" ref="D73">Common_InputFunctions.Utility_DisplayArrayInTable(Common_SourceData.Common_SourceData_WetAndDryZones_Data(), Table_SourceData_WetDryZones[[#Headers],[Climate zone]], 0)</f>
        <v>Warm temperate dry - low frost</v>
      </c>
      <c r="E73" s="2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26" t="str" cm="1">
        <f t="array" ref="D74">Common_InputFunctions.Utility_DisplayArrayInTable(Common_SourceData.Common_SourceData_WetAndDryZones_Data(), Table_SourceData_WetDryZones[[#Headers],[Climate zone]], 0)</f>
        <v>Warm temperate moist - high temp</v>
      </c>
      <c r="E74" s="2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26" t="str" cm="1">
        <f t="array" ref="D75">Common_InputFunctions.Utility_DisplayArrayInTable(Common_SourceData.Common_SourceData_WetAndDryZones_Data(), Table_SourceData_WetDryZones[[#Headers],[Climate zone]], 0)</f>
        <v>Warm temperate dry - high temp</v>
      </c>
      <c r="E75" s="2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26" t="str" cm="1">
        <f t="array" ref="D76">Common_InputFunctions.Utility_DisplayArrayInTable(Common_SourceData.Common_SourceData_WetAndDryZones_Data(), Table_SourceData_WetDryZones[[#Headers],[Climate zone]], 0)</f>
        <v>Cool temperate moist - low frost</v>
      </c>
      <c r="E76" s="2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26" t="str" cm="1">
        <f t="array" ref="D77">Common_InputFunctions.Utility_DisplayArrayInTable(Common_SourceData.Common_SourceData_WetAndDryZones_Data(), Table_SourceData_WetDryZones[[#Headers],[Climate zone]], 0)</f>
        <v>Cool temperate dry - low frost</v>
      </c>
      <c r="E77" s="2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5" t="str" cm="1">
        <f t="array" ref="D81">Common_SourceData.Common_SourceData_ClimateZones_Title()</f>
        <v>VEERG Australian climate zones</v>
      </c>
    </row>
    <row r="82" spans="4:20" ht="20.100000000000001" customHeight="1" x14ac:dyDescent="0.25">
      <c r="D82" s="4" t="str" cm="1">
        <f t="array" ref="D82">Common_SourceData.Common_SourceData_ClimateZones_Source()</f>
        <v>VEERG 2026: Table 1.3: Climate and Rainfall zone classifications and definitions</v>
      </c>
    </row>
    <row r="83" spans="4:20" ht="20.100000000000001" customHeight="1" x14ac:dyDescent="0.25">
      <c r="D83" s="31" t="str" cm="1">
        <f t="array" ref="D83:D87">"⚠️" &amp; Common_SourceData.Common_SourceData_ClimateZones_Variation()</f>
        <v>⚠️VARIATION OF SOURCE DATA:</v>
      </c>
    </row>
    <row r="84" spans="4:20" ht="20.100000000000001" customHeight="1" x14ac:dyDescent="0.25">
      <c r="D84" s="31" t="str">
        <v>⚠️Added warm / cool temperate moist / dry - low frost and high temp classes to accommodate climate scenarios excluded by VEERG criteria.</v>
      </c>
    </row>
    <row r="85" spans="4:20" ht="20.100000000000001" customHeight="1" x14ac:dyDescent="0.25">
      <c r="D85" s="31" t="str">
        <v>⚠️Fixed typo in MAT value for warm temperate dry - changed 10 to 11.</v>
      </c>
    </row>
    <row r="86" spans="4:20" ht="20.100000000000001" customHeight="1" x14ac:dyDescent="0.25">
      <c r="D86" s="31" t="str">
        <v>⚠️Added min and max columns for MAT, MAP, frost days per year, elevation, MAP:PET to calculate zones from real climate data.</v>
      </c>
    </row>
    <row r="87" spans="4:20" ht="20.100000000000001" customHeight="1" x14ac:dyDescent="0.25">
      <c r="D87" s="31" t="str">
        <v>⚠️GAF accepts rainfall as a proxy for precipitation.</v>
      </c>
    </row>
    <row r="88" spans="4:20" ht="20.100000000000001" customHeight="1" x14ac:dyDescent="0.25"/>
    <row r="89" spans="4:20" ht="20.100000000000001" customHeight="1" x14ac:dyDescent="0.25">
      <c r="D89" s="26" t="s">
        <v>4</v>
      </c>
      <c r="E89" s="26" t="s">
        <v>19</v>
      </c>
      <c r="F89" s="26" t="s">
        <v>20</v>
      </c>
      <c r="G89" s="26" t="s">
        <v>21</v>
      </c>
      <c r="H89" s="26" t="s">
        <v>22</v>
      </c>
      <c r="I89" s="26" t="s">
        <v>23</v>
      </c>
      <c r="J89" s="26" t="s">
        <v>24</v>
      </c>
      <c r="K89" s="26" t="s">
        <v>25</v>
      </c>
      <c r="L89" s="26" t="s">
        <v>26</v>
      </c>
      <c r="M89" s="26" t="s">
        <v>27</v>
      </c>
      <c r="N89" s="26" t="s">
        <v>28</v>
      </c>
      <c r="O89" s="26" t="s">
        <v>32</v>
      </c>
      <c r="P89" s="26" t="s">
        <v>29</v>
      </c>
      <c r="Q89" s="26" t="s">
        <v>33</v>
      </c>
      <c r="R89" s="26" t="s">
        <v>30</v>
      </c>
      <c r="S89" s="26" t="s">
        <v>34</v>
      </c>
      <c r="T89" s="26"/>
    </row>
    <row r="90" spans="4:20" ht="20.100000000000001" customHeight="1" x14ac:dyDescent="0.25">
      <c r="D90" s="26" t="str" cm="1">
        <f t="array" ref="D90">Common_InputFunctions.Utility_DisplayArrayInTable(Common_SourceData.Common_SourceData_ClimateZones_Data(), Table_SourceData_ClimateZones[[#Headers],[Climate zone]], 0)</f>
        <v>Tropical montane</v>
      </c>
      <c r="E90" s="26" t="str" cm="1">
        <f t="array" ref="E90">Common_InputFunctions.Utility_DisplayArrayInTable(Common_SourceData.Common_SourceData_ClimateZones_Data(), Table_SourceData_ClimateZones[[#Headers],[Climate zone]], 0)</f>
        <v>&gt; 18 C</v>
      </c>
      <c r="F90" s="26" t="str" cm="1">
        <f t="array" ref="F90">Common_InputFunctions.Utility_DisplayArrayInTable(Common_SourceData.Common_SourceData_ClimateZones_Data(), Table_SourceData_ClimateZones[[#Headers],[Climate zone]], 0)</f>
        <v>Any</v>
      </c>
      <c r="G90" s="26" t="str" cm="1">
        <f t="array" ref="G90">Common_InputFunctions.Utility_DisplayArrayInTable(Common_SourceData.Common_SourceData_ClimateZones_Data(), Table_SourceData_ClimateZones[[#Headers],[Climate zone]], 0)</f>
        <v>≤ 7</v>
      </c>
      <c r="H90" s="26" t="str" cm="1">
        <f t="array" ref="H90">Common_InputFunctions.Utility_DisplayArrayInTable(Common_SourceData.Common_SourceData_ClimateZones_Data(), Table_SourceData_ClimateZones[[#Headers],[Climate zone]], 0)</f>
        <v>&gt; 1000 m</v>
      </c>
      <c r="I90" s="26" t="str" cm="1">
        <f t="array" ref="I90">Common_InputFunctions.Utility_DisplayArrayInTable(Common_SourceData.Common_SourceData_ClimateZones_Data(), Table_SourceData_ClimateZones[[#Headers],[Climate zone]], 0)</f>
        <v>Any</v>
      </c>
      <c r="J90" s="26" cm="1">
        <f t="array" ref="J90">Common_InputFunctions.Utility_DisplayArrayInTable(Common_SourceData.Common_SourceData_ClimateZones_Data(), Table_SourceData_ClimateZones[[#Headers],[Climate zone]], 0)</f>
        <v>18.001000000000001</v>
      </c>
      <c r="K90" s="26" cm="1">
        <f t="array" ref="K90">Common_InputFunctions.Utility_DisplayArrayInTable(Common_SourceData.Common_SourceData_ClimateZones_Data(), Table_SourceData_ClimateZones[[#Headers],[Climate zone]], 0)</f>
        <v>999999</v>
      </c>
      <c r="L90" s="26" cm="1">
        <f t="array" ref="L90">Common_InputFunctions.Utility_DisplayArrayInTable(Common_SourceData.Common_SourceData_ClimateZones_Data(), Table_SourceData_ClimateZones[[#Headers],[Climate zone]], 0)</f>
        <v>-999999</v>
      </c>
      <c r="M90" s="26" cm="1">
        <f t="array" ref="M90">Common_InputFunctions.Utility_DisplayArrayInTable(Common_SourceData.Common_SourceData_ClimateZones_Data(), Table_SourceData_ClimateZones[[#Headers],[Climate zone]], 0)</f>
        <v>999999</v>
      </c>
      <c r="N90" s="26" cm="1">
        <f t="array" ref="N90">Common_InputFunctions.Utility_DisplayArrayInTable(Common_SourceData.Common_SourceData_ClimateZones_Data(), Table_SourceData_ClimateZones[[#Headers],[Climate zone]], 0)</f>
        <v>-999999</v>
      </c>
      <c r="O90" s="26" cm="1">
        <f t="array" ref="O90">Common_InputFunctions.Utility_DisplayArrayInTable(Common_SourceData.Common_SourceData_ClimateZones_Data(), Table_SourceData_ClimateZones[[#Headers],[Climate zone]], 0)</f>
        <v>7</v>
      </c>
      <c r="P90" s="26" cm="1">
        <f t="array" ref="P90">Common_InputFunctions.Utility_DisplayArrayInTable(Common_SourceData.Common_SourceData_ClimateZones_Data(), Table_SourceData_ClimateZones[[#Headers],[Climate zone]], 0)</f>
        <v>1000</v>
      </c>
      <c r="Q90" s="26" cm="1">
        <f t="array" ref="Q90">Common_InputFunctions.Utility_DisplayArrayInTable(Common_SourceData.Common_SourceData_ClimateZones_Data(), Table_SourceData_ClimateZones[[#Headers],[Climate zone]], 0)</f>
        <v>999999</v>
      </c>
      <c r="R90" s="26" cm="1">
        <f t="array" ref="R90">Common_InputFunctions.Utility_DisplayArrayInTable(Common_SourceData.Common_SourceData_ClimateZones_Data(), Table_SourceData_ClimateZones[[#Headers],[Climate zone]], 0)</f>
        <v>-999999</v>
      </c>
      <c r="S90" s="26" cm="1">
        <f t="array" ref="S90">Common_InputFunctions.Utility_DisplayArrayInTable(Common_SourceData.Common_SourceData_ClimateZones_Data(), Table_SourceData_ClimateZones[[#Headers],[Climate zone]], 0)</f>
        <v>999999</v>
      </c>
      <c r="T90" s="26"/>
    </row>
    <row r="91" spans="4:20" ht="20.100000000000001" customHeight="1" x14ac:dyDescent="0.25">
      <c r="D91" s="26" t="str" cm="1">
        <f t="array" ref="D91">Common_InputFunctions.Utility_DisplayArrayInTable(Common_SourceData.Common_SourceData_ClimateZones_Data(), Table_SourceData_ClimateZones[[#Headers],[Climate zone]], 0)</f>
        <v>Tropical wet</v>
      </c>
      <c r="E91" s="26" t="str" cm="1">
        <f t="array" ref="E91">Common_InputFunctions.Utility_DisplayArrayInTable(Common_SourceData.Common_SourceData_ClimateZones_Data(), Table_SourceData_ClimateZones[[#Headers],[Climate zone]], 0)</f>
        <v>&gt; 18 C</v>
      </c>
      <c r="F91" s="26" t="str" cm="1">
        <f t="array" ref="F91">Common_InputFunctions.Utility_DisplayArrayInTable(Common_SourceData.Common_SourceData_ClimateZones_Data(), Table_SourceData_ClimateZones[[#Headers],[Climate zone]], 0)</f>
        <v>&gt; 2000 mm</v>
      </c>
      <c r="G91" s="26" t="str" cm="1">
        <f t="array" ref="G91">Common_InputFunctions.Utility_DisplayArrayInTable(Common_SourceData.Common_SourceData_ClimateZones_Data(), Table_SourceData_ClimateZones[[#Headers],[Climate zone]], 0)</f>
        <v>≤ 7</v>
      </c>
      <c r="H91" s="26" t="str" cm="1">
        <f t="array" ref="H91">Common_InputFunctions.Utility_DisplayArrayInTable(Common_SourceData.Common_SourceData_ClimateZones_Data(), Table_SourceData_ClimateZones[[#Headers],[Climate zone]], 0)</f>
        <v>≤ 1000 m</v>
      </c>
      <c r="I91" s="26" t="str" cm="1">
        <f t="array" ref="I91">Common_InputFunctions.Utility_DisplayArrayInTable(Common_SourceData.Common_SourceData_ClimateZones_Data(), Table_SourceData_ClimateZones[[#Headers],[Climate zone]], 0)</f>
        <v>Any</v>
      </c>
      <c r="J91" s="26" cm="1">
        <f t="array" ref="J91">Common_InputFunctions.Utility_DisplayArrayInTable(Common_SourceData.Common_SourceData_ClimateZones_Data(), Table_SourceData_ClimateZones[[#Headers],[Climate zone]], 0)</f>
        <v>18.001000000000001</v>
      </c>
      <c r="K91" s="26" cm="1">
        <f t="array" ref="K91">Common_InputFunctions.Utility_DisplayArrayInTable(Common_SourceData.Common_SourceData_ClimateZones_Data(), Table_SourceData_ClimateZones[[#Headers],[Climate zone]], 0)</f>
        <v>999999</v>
      </c>
      <c r="L91" s="26" cm="1">
        <f t="array" ref="L91">Common_InputFunctions.Utility_DisplayArrayInTable(Common_SourceData.Common_SourceData_ClimateZones_Data(), Table_SourceData_ClimateZones[[#Headers],[Climate zone]], 0)</f>
        <v>2000.001</v>
      </c>
      <c r="M91" s="26" cm="1">
        <f t="array" ref="M91">Common_InputFunctions.Utility_DisplayArrayInTable(Common_SourceData.Common_SourceData_ClimateZones_Data(), Table_SourceData_ClimateZones[[#Headers],[Climate zone]], 0)</f>
        <v>999999</v>
      </c>
      <c r="N91" s="26" cm="1">
        <f t="array" ref="N91">Common_InputFunctions.Utility_DisplayArrayInTable(Common_SourceData.Common_SourceData_ClimateZones_Data(), Table_SourceData_ClimateZones[[#Headers],[Climate zone]], 0)</f>
        <v>-999999</v>
      </c>
      <c r="O91" s="26" cm="1">
        <f t="array" ref="O91">Common_InputFunctions.Utility_DisplayArrayInTable(Common_SourceData.Common_SourceData_ClimateZones_Data(), Table_SourceData_ClimateZones[[#Headers],[Climate zone]], 0)</f>
        <v>7</v>
      </c>
      <c r="P91" s="26" cm="1">
        <f t="array" ref="P91">Common_InputFunctions.Utility_DisplayArrayInTable(Common_SourceData.Common_SourceData_ClimateZones_Data(), Table_SourceData_ClimateZones[[#Headers],[Climate zone]], 0)</f>
        <v>-999999</v>
      </c>
      <c r="Q91" s="26" cm="1">
        <f t="array" ref="Q91">Common_InputFunctions.Utility_DisplayArrayInTable(Common_SourceData.Common_SourceData_ClimateZones_Data(), Table_SourceData_ClimateZones[[#Headers],[Climate zone]], 0)</f>
        <v>999.99900000000002</v>
      </c>
      <c r="R91" s="26" cm="1">
        <f t="array" ref="R91">Common_InputFunctions.Utility_DisplayArrayInTable(Common_SourceData.Common_SourceData_ClimateZones_Data(), Table_SourceData_ClimateZones[[#Headers],[Climate zone]], 0)</f>
        <v>-999999</v>
      </c>
      <c r="S91" s="26" cm="1">
        <f t="array" ref="S91">Common_InputFunctions.Utility_DisplayArrayInTable(Common_SourceData.Common_SourceData_ClimateZones_Data(), Table_SourceData_ClimateZones[[#Headers],[Climate zone]], 0)</f>
        <v>999999</v>
      </c>
      <c r="T91" s="26"/>
    </row>
    <row r="92" spans="4:20" ht="20.100000000000001" customHeight="1" x14ac:dyDescent="0.25">
      <c r="D92" s="26" t="str" cm="1">
        <f t="array" ref="D92">Common_InputFunctions.Utility_DisplayArrayInTable(Common_SourceData.Common_SourceData_ClimateZones_Data(), Table_SourceData_ClimateZones[[#Headers],[Climate zone]], 0)</f>
        <v>Tropical moist</v>
      </c>
      <c r="E92" s="26" t="str" cm="1">
        <f t="array" ref="E92">Common_InputFunctions.Utility_DisplayArrayInTable(Common_SourceData.Common_SourceData_ClimateZones_Data(), Table_SourceData_ClimateZones[[#Headers],[Climate zone]], 0)</f>
        <v>&gt; 18 C</v>
      </c>
      <c r="F92" s="26" t="str" cm="1">
        <f t="array" ref="F92">Common_InputFunctions.Utility_DisplayArrayInTable(Common_SourceData.Common_SourceData_ClimateZones_Data(), Table_SourceData_ClimateZones[[#Headers],[Climate zone]], 0)</f>
        <v>&gt; 1000 mm - ≤ 2000 mm</v>
      </c>
      <c r="G92" s="26" t="str" cm="1">
        <f t="array" ref="G92">Common_InputFunctions.Utility_DisplayArrayInTable(Common_SourceData.Common_SourceData_ClimateZones_Data(), Table_SourceData_ClimateZones[[#Headers],[Climate zone]], 0)</f>
        <v>≤ 7</v>
      </c>
      <c r="H92" s="26" t="str" cm="1">
        <f t="array" ref="H92">Common_InputFunctions.Utility_DisplayArrayInTable(Common_SourceData.Common_SourceData_ClimateZones_Data(), Table_SourceData_ClimateZones[[#Headers],[Climate zone]], 0)</f>
        <v>≤ 1000 m</v>
      </c>
      <c r="I92" s="26" t="str" cm="1">
        <f t="array" ref="I92">Common_InputFunctions.Utility_DisplayArrayInTable(Common_SourceData.Common_SourceData_ClimateZones_Data(), Table_SourceData_ClimateZones[[#Headers],[Climate zone]], 0)</f>
        <v>Any</v>
      </c>
      <c r="J92" s="26" cm="1">
        <f t="array" ref="J92">Common_InputFunctions.Utility_DisplayArrayInTable(Common_SourceData.Common_SourceData_ClimateZones_Data(), Table_SourceData_ClimateZones[[#Headers],[Climate zone]], 0)</f>
        <v>18.001000000000001</v>
      </c>
      <c r="K92" s="26" cm="1">
        <f t="array" ref="K92">Common_InputFunctions.Utility_DisplayArrayInTable(Common_SourceData.Common_SourceData_ClimateZones_Data(), Table_SourceData_ClimateZones[[#Headers],[Climate zone]], 0)</f>
        <v>999999</v>
      </c>
      <c r="L92" s="26" cm="1">
        <f t="array" ref="L92">Common_InputFunctions.Utility_DisplayArrayInTable(Common_SourceData.Common_SourceData_ClimateZones_Data(), Table_SourceData_ClimateZones[[#Headers],[Climate zone]], 0)</f>
        <v>1000.001</v>
      </c>
      <c r="M92" s="26" cm="1">
        <f t="array" ref="M92">Common_InputFunctions.Utility_DisplayArrayInTable(Common_SourceData.Common_SourceData_ClimateZones_Data(), Table_SourceData_ClimateZones[[#Headers],[Climate zone]], 0)</f>
        <v>2000</v>
      </c>
      <c r="N92" s="26" cm="1">
        <f t="array" ref="N92">Common_InputFunctions.Utility_DisplayArrayInTable(Common_SourceData.Common_SourceData_ClimateZones_Data(), Table_SourceData_ClimateZones[[#Headers],[Climate zone]], 0)</f>
        <v>-999999</v>
      </c>
      <c r="O92" s="26" cm="1">
        <f t="array" ref="O92">Common_InputFunctions.Utility_DisplayArrayInTable(Common_SourceData.Common_SourceData_ClimateZones_Data(), Table_SourceData_ClimateZones[[#Headers],[Climate zone]], 0)</f>
        <v>7</v>
      </c>
      <c r="P92" s="26" cm="1">
        <f t="array" ref="P92">Common_InputFunctions.Utility_DisplayArrayInTable(Common_SourceData.Common_SourceData_ClimateZones_Data(), Table_SourceData_ClimateZones[[#Headers],[Climate zone]], 0)</f>
        <v>-999999</v>
      </c>
      <c r="Q92" s="26" cm="1">
        <f t="array" ref="Q92">Common_InputFunctions.Utility_DisplayArrayInTable(Common_SourceData.Common_SourceData_ClimateZones_Data(), Table_SourceData_ClimateZones[[#Headers],[Climate zone]], 0)</f>
        <v>999.99900000000002</v>
      </c>
      <c r="R92" s="26" cm="1">
        <f t="array" ref="R92">Common_InputFunctions.Utility_DisplayArrayInTable(Common_SourceData.Common_SourceData_ClimateZones_Data(), Table_SourceData_ClimateZones[[#Headers],[Climate zone]], 0)</f>
        <v>-999999</v>
      </c>
      <c r="S92" s="26" cm="1">
        <f t="array" ref="S92">Common_InputFunctions.Utility_DisplayArrayInTable(Common_SourceData.Common_SourceData_ClimateZones_Data(), Table_SourceData_ClimateZones[[#Headers],[Climate zone]], 0)</f>
        <v>999999</v>
      </c>
      <c r="T92" s="26"/>
    </row>
    <row r="93" spans="4:20" ht="20.100000000000001" customHeight="1" x14ac:dyDescent="0.25">
      <c r="D93" s="26" t="str" cm="1">
        <f t="array" ref="D93">Common_InputFunctions.Utility_DisplayArrayInTable(Common_SourceData.Common_SourceData_ClimateZones_Data(), Table_SourceData_ClimateZones[[#Headers],[Climate zone]], 0)</f>
        <v>Tropical dry</v>
      </c>
      <c r="E93" s="26" t="str" cm="1">
        <f t="array" ref="E93">Common_InputFunctions.Utility_DisplayArrayInTable(Common_SourceData.Common_SourceData_ClimateZones_Data(), Table_SourceData_ClimateZones[[#Headers],[Climate zone]], 0)</f>
        <v>&gt; 18 C</v>
      </c>
      <c r="F93" s="26" t="str" cm="1">
        <f t="array" ref="F93">Common_InputFunctions.Utility_DisplayArrayInTable(Common_SourceData.Common_SourceData_ClimateZones_Data(), Table_SourceData_ClimateZones[[#Headers],[Climate zone]], 0)</f>
        <v>≤ 1000 mm</v>
      </c>
      <c r="G93" s="26" t="str" cm="1">
        <f t="array" ref="G93">Common_InputFunctions.Utility_DisplayArrayInTable(Common_SourceData.Common_SourceData_ClimateZones_Data(), Table_SourceData_ClimateZones[[#Headers],[Climate zone]], 0)</f>
        <v>≤ 7</v>
      </c>
      <c r="H93" s="26" t="str" cm="1">
        <f t="array" ref="H93">Common_InputFunctions.Utility_DisplayArrayInTable(Common_SourceData.Common_SourceData_ClimateZones_Data(), Table_SourceData_ClimateZones[[#Headers],[Climate zone]], 0)</f>
        <v>≤ 1000 m</v>
      </c>
      <c r="I93" s="26" t="str" cm="1">
        <f t="array" ref="I93">Common_InputFunctions.Utility_DisplayArrayInTable(Common_SourceData.Common_SourceData_ClimateZones_Data(), Table_SourceData_ClimateZones[[#Headers],[Climate zone]], 0)</f>
        <v>Any</v>
      </c>
      <c r="J93" s="26" cm="1">
        <f t="array" ref="J93">Common_InputFunctions.Utility_DisplayArrayInTable(Common_SourceData.Common_SourceData_ClimateZones_Data(), Table_SourceData_ClimateZones[[#Headers],[Climate zone]], 0)</f>
        <v>18.001000000000001</v>
      </c>
      <c r="K93" s="26" cm="1">
        <f t="array" ref="K93">Common_InputFunctions.Utility_DisplayArrayInTable(Common_SourceData.Common_SourceData_ClimateZones_Data(), Table_SourceData_ClimateZones[[#Headers],[Climate zone]], 0)</f>
        <v>999999</v>
      </c>
      <c r="L93" s="26" cm="1">
        <f t="array" ref="L93">Common_InputFunctions.Utility_DisplayArrayInTable(Common_SourceData.Common_SourceData_ClimateZones_Data(), Table_SourceData_ClimateZones[[#Headers],[Climate zone]], 0)</f>
        <v>-999999</v>
      </c>
      <c r="M93" s="26" cm="1">
        <f t="array" ref="M93">Common_InputFunctions.Utility_DisplayArrayInTable(Common_SourceData.Common_SourceData_ClimateZones_Data(), Table_SourceData_ClimateZones[[#Headers],[Climate zone]], 0)</f>
        <v>1000</v>
      </c>
      <c r="N93" s="26" cm="1">
        <f t="array" ref="N93">Common_InputFunctions.Utility_DisplayArrayInTable(Common_SourceData.Common_SourceData_ClimateZones_Data(), Table_SourceData_ClimateZones[[#Headers],[Climate zone]], 0)</f>
        <v>-999999</v>
      </c>
      <c r="O93" s="26" cm="1">
        <f t="array" ref="O93">Common_InputFunctions.Utility_DisplayArrayInTable(Common_SourceData.Common_SourceData_ClimateZones_Data(), Table_SourceData_ClimateZones[[#Headers],[Climate zone]], 0)</f>
        <v>7</v>
      </c>
      <c r="P93" s="26" cm="1">
        <f t="array" ref="P93">Common_InputFunctions.Utility_DisplayArrayInTable(Common_SourceData.Common_SourceData_ClimateZones_Data(), Table_SourceData_ClimateZones[[#Headers],[Climate zone]], 0)</f>
        <v>-999999</v>
      </c>
      <c r="Q93" s="26" cm="1">
        <f t="array" ref="Q93">Common_InputFunctions.Utility_DisplayArrayInTable(Common_SourceData.Common_SourceData_ClimateZones_Data(), Table_SourceData_ClimateZones[[#Headers],[Climate zone]], 0)</f>
        <v>999.99900000000002</v>
      </c>
      <c r="R93" s="26" cm="1">
        <f t="array" ref="R93">Common_InputFunctions.Utility_DisplayArrayInTable(Common_SourceData.Common_SourceData_ClimateZones_Data(), Table_SourceData_ClimateZones[[#Headers],[Climate zone]], 0)</f>
        <v>-999999</v>
      </c>
      <c r="S93" s="26" cm="1">
        <f t="array" ref="S93">Common_InputFunctions.Utility_DisplayArrayInTable(Common_SourceData.Common_SourceData_ClimateZones_Data(), Table_SourceData_ClimateZones[[#Headers],[Climate zone]], 0)</f>
        <v>999999</v>
      </c>
      <c r="T93" s="26"/>
    </row>
    <row r="94" spans="4:20" ht="20.100000000000001" customHeight="1" x14ac:dyDescent="0.25">
      <c r="D94" s="26" t="str" cm="1">
        <f t="array" ref="D94">Common_InputFunctions.Utility_DisplayArrayInTable(Common_SourceData.Common_SourceData_ClimateZones_Data(), Table_SourceData_ClimateZones[[#Headers],[Climate zone]], 0)</f>
        <v>Warm temperate moist</v>
      </c>
      <c r="E94" s="26" t="str" cm="1">
        <f t="array" ref="E94">Common_InputFunctions.Utility_DisplayArrayInTable(Common_SourceData.Common_SourceData_ClimateZones_Data(), Table_SourceData_ClimateZones[[#Headers],[Climate zone]], 0)</f>
        <v>&gt; 10 C</v>
      </c>
      <c r="F94" s="26" t="str" cm="1">
        <f t="array" ref="F94">Common_InputFunctions.Utility_DisplayArrayInTable(Common_SourceData.Common_SourceData_ClimateZones_Data(), Table_SourceData_ClimateZones[[#Headers],[Climate zone]], 0)</f>
        <v>Any</v>
      </c>
      <c r="G94" s="26" t="str" cm="1">
        <f t="array" ref="G94">Common_InputFunctions.Utility_DisplayArrayInTable(Common_SourceData.Common_SourceData_ClimateZones_Data(), Table_SourceData_ClimateZones[[#Headers],[Climate zone]], 0)</f>
        <v>Any</v>
      </c>
      <c r="H94" s="26" t="str" cm="1">
        <f t="array" ref="H94">Common_InputFunctions.Utility_DisplayArrayInTable(Common_SourceData.Common_SourceData_ClimateZones_Data(), Table_SourceData_ClimateZones[[#Headers],[Climate zone]], 0)</f>
        <v>Any</v>
      </c>
      <c r="I94" s="26" t="str" cm="1">
        <f t="array" ref="I94">Common_InputFunctions.Utility_DisplayArrayInTable(Common_SourceData.Common_SourceData_ClimateZones_Data(), Table_SourceData_ClimateZones[[#Headers],[Climate zone]], 0)</f>
        <v>&gt; 1</v>
      </c>
      <c r="J94" s="26" cm="1">
        <f t="array" ref="J94">Common_InputFunctions.Utility_DisplayArrayInTable(Common_SourceData.Common_SourceData_ClimateZones_Data(), Table_SourceData_ClimateZones[[#Headers],[Climate zone]], 0)</f>
        <v>10.000999999999999</v>
      </c>
      <c r="K94" s="26" cm="1">
        <f t="array" ref="K94">Common_InputFunctions.Utility_DisplayArrayInTable(Common_SourceData.Common_SourceData_ClimateZones_Data(), Table_SourceData_ClimateZones[[#Headers],[Climate zone]], 0)</f>
        <v>999999</v>
      </c>
      <c r="L94" s="26" cm="1">
        <f t="array" ref="L94">Common_InputFunctions.Utility_DisplayArrayInTable(Common_SourceData.Common_SourceData_ClimateZones_Data(), Table_SourceData_ClimateZones[[#Headers],[Climate zone]], 0)</f>
        <v>-999999</v>
      </c>
      <c r="M94" s="26" cm="1">
        <f t="array" ref="M94">Common_InputFunctions.Utility_DisplayArrayInTable(Common_SourceData.Common_SourceData_ClimateZones_Data(), Table_SourceData_ClimateZones[[#Headers],[Climate zone]], 0)</f>
        <v>999999</v>
      </c>
      <c r="N94" s="26" cm="1">
        <f t="array" ref="N94">Common_InputFunctions.Utility_DisplayArrayInTable(Common_SourceData.Common_SourceData_ClimateZones_Data(), Table_SourceData_ClimateZones[[#Headers],[Climate zone]], 0)</f>
        <v>-999999</v>
      </c>
      <c r="O94" s="26" cm="1">
        <f t="array" ref="O94">Common_InputFunctions.Utility_DisplayArrayInTable(Common_SourceData.Common_SourceData_ClimateZones_Data(), Table_SourceData_ClimateZones[[#Headers],[Climate zone]], 0)</f>
        <v>999999</v>
      </c>
      <c r="P94" s="26" cm="1">
        <f t="array" ref="P94">Common_InputFunctions.Utility_DisplayArrayInTable(Common_SourceData.Common_SourceData_ClimateZones_Data(), Table_SourceData_ClimateZones[[#Headers],[Climate zone]], 0)</f>
        <v>-999999</v>
      </c>
      <c r="Q94" s="26" cm="1">
        <f t="array" ref="Q94">Common_InputFunctions.Utility_DisplayArrayInTable(Common_SourceData.Common_SourceData_ClimateZones_Data(), Table_SourceData_ClimateZones[[#Headers],[Climate zone]], 0)</f>
        <v>999999</v>
      </c>
      <c r="R94" s="26" cm="1">
        <f t="array" ref="R94">Common_InputFunctions.Utility_DisplayArrayInTable(Common_SourceData.Common_SourceData_ClimateZones_Data(), Table_SourceData_ClimateZones[[#Headers],[Climate zone]], 0)</f>
        <v>1.0009999999999999</v>
      </c>
      <c r="S94" s="26" cm="1">
        <f t="array" ref="S94">Common_InputFunctions.Utility_DisplayArrayInTable(Common_SourceData.Common_SourceData_ClimateZones_Data(), Table_SourceData_ClimateZones[[#Headers],[Climate zone]], 0)</f>
        <v>999999</v>
      </c>
      <c r="T94" s="26"/>
    </row>
    <row r="95" spans="4:20" ht="20.100000000000001" customHeight="1" x14ac:dyDescent="0.25">
      <c r="D95" s="26" t="str" cm="1">
        <f t="array" ref="D95">Common_InputFunctions.Utility_DisplayArrayInTable(Common_SourceData.Common_SourceData_ClimateZones_Data(), Table_SourceData_ClimateZones[[#Headers],[Climate zone]], 0)</f>
        <v>Warm temperate dry</v>
      </c>
      <c r="E95" s="26" t="str" cm="1">
        <f t="array" ref="E95">Common_InputFunctions.Utility_DisplayArrayInTable(Common_SourceData.Common_SourceData_ClimateZones_Data(), Table_SourceData_ClimateZones[[#Headers],[Climate zone]], 0)</f>
        <v>&gt; 10 C</v>
      </c>
      <c r="F95" s="26" t="str" cm="1">
        <f t="array" ref="F95">Common_InputFunctions.Utility_DisplayArrayInTable(Common_SourceData.Common_SourceData_ClimateZones_Data(), Table_SourceData_ClimateZones[[#Headers],[Climate zone]], 0)</f>
        <v>Any</v>
      </c>
      <c r="G95" s="26" t="str" cm="1">
        <f t="array" ref="G95">Common_InputFunctions.Utility_DisplayArrayInTable(Common_SourceData.Common_SourceData_ClimateZones_Data(), Table_SourceData_ClimateZones[[#Headers],[Climate zone]], 0)</f>
        <v>Any</v>
      </c>
      <c r="H95" s="26" t="str" cm="1">
        <f t="array" ref="H95">Common_InputFunctions.Utility_DisplayArrayInTable(Common_SourceData.Common_SourceData_ClimateZones_Data(), Table_SourceData_ClimateZones[[#Headers],[Climate zone]], 0)</f>
        <v>Any</v>
      </c>
      <c r="I95" s="26" t="str" cm="1">
        <f t="array" ref="I95">Common_InputFunctions.Utility_DisplayArrayInTable(Common_SourceData.Common_SourceData_ClimateZones_Data(), Table_SourceData_ClimateZones[[#Headers],[Climate zone]], 0)</f>
        <v>≤ 1</v>
      </c>
      <c r="J95" s="26" cm="1">
        <f t="array" ref="J95">Common_InputFunctions.Utility_DisplayArrayInTable(Common_SourceData.Common_SourceData_ClimateZones_Data(), Table_SourceData_ClimateZones[[#Headers],[Climate zone]], 0)</f>
        <v>10.000999999999999</v>
      </c>
      <c r="K95" s="26" cm="1">
        <f t="array" ref="K95">Common_InputFunctions.Utility_DisplayArrayInTable(Common_SourceData.Common_SourceData_ClimateZones_Data(), Table_SourceData_ClimateZones[[#Headers],[Climate zone]], 0)</f>
        <v>999999</v>
      </c>
      <c r="L95" s="26" cm="1">
        <f t="array" ref="L95">Common_InputFunctions.Utility_DisplayArrayInTable(Common_SourceData.Common_SourceData_ClimateZones_Data(), Table_SourceData_ClimateZones[[#Headers],[Climate zone]], 0)</f>
        <v>-999999</v>
      </c>
      <c r="M95" s="26" cm="1">
        <f t="array" ref="M95">Common_InputFunctions.Utility_DisplayArrayInTable(Common_SourceData.Common_SourceData_ClimateZones_Data(), Table_SourceData_ClimateZones[[#Headers],[Climate zone]], 0)</f>
        <v>999999</v>
      </c>
      <c r="N95" s="26" cm="1">
        <f t="array" ref="N95">Common_InputFunctions.Utility_DisplayArrayInTable(Common_SourceData.Common_SourceData_ClimateZones_Data(), Table_SourceData_ClimateZones[[#Headers],[Climate zone]], 0)</f>
        <v>-999999</v>
      </c>
      <c r="O95" s="26" cm="1">
        <f t="array" ref="O95">Common_InputFunctions.Utility_DisplayArrayInTable(Common_SourceData.Common_SourceData_ClimateZones_Data(), Table_SourceData_ClimateZones[[#Headers],[Climate zone]], 0)</f>
        <v>999999</v>
      </c>
      <c r="P95" s="26" cm="1">
        <f t="array" ref="P95">Common_InputFunctions.Utility_DisplayArrayInTable(Common_SourceData.Common_SourceData_ClimateZones_Data(), Table_SourceData_ClimateZones[[#Headers],[Climate zone]], 0)</f>
        <v>-999999</v>
      </c>
      <c r="Q95" s="26" cm="1">
        <f t="array" ref="Q95">Common_InputFunctions.Utility_DisplayArrayInTable(Common_SourceData.Common_SourceData_ClimateZones_Data(), Table_SourceData_ClimateZones[[#Headers],[Climate zone]], 0)</f>
        <v>999999</v>
      </c>
      <c r="R95" s="26" cm="1">
        <f t="array" ref="R95">Common_InputFunctions.Utility_DisplayArrayInTable(Common_SourceData.Common_SourceData_ClimateZones_Data(), Table_SourceData_ClimateZones[[#Headers],[Climate zone]], 0)</f>
        <v>-999999</v>
      </c>
      <c r="S95" s="26" cm="1">
        <f t="array" ref="S95">Common_InputFunctions.Utility_DisplayArrayInTable(Common_SourceData.Common_SourceData_ClimateZones_Data(), Table_SourceData_ClimateZones[[#Headers],[Climate zone]], 0)</f>
        <v>1</v>
      </c>
      <c r="T95" s="26"/>
    </row>
    <row r="96" spans="4:20" ht="20.100000000000001" customHeight="1" x14ac:dyDescent="0.25">
      <c r="D96" s="26" t="str" cm="1">
        <f t="array" ref="D96">Common_InputFunctions.Utility_DisplayArrayInTable(Common_SourceData.Common_SourceData_ClimateZones_Data(), Table_SourceData_ClimateZones[[#Headers],[Climate zone]], 0)</f>
        <v>Cool temperate moist</v>
      </c>
      <c r="E96" s="26" t="str" cm="1">
        <f t="array" ref="E96">Common_InputFunctions.Utility_DisplayArrayInTable(Common_SourceData.Common_SourceData_ClimateZones_Data(), Table_SourceData_ClimateZones[[#Headers],[Climate zone]], 0)</f>
        <v>&gt; 0 C - ≤ 10 C</v>
      </c>
      <c r="F96" s="26" t="str" cm="1">
        <f t="array" ref="F96">Common_InputFunctions.Utility_DisplayArrayInTable(Common_SourceData.Common_SourceData_ClimateZones_Data(), Table_SourceData_ClimateZones[[#Headers],[Climate zone]], 0)</f>
        <v>Any</v>
      </c>
      <c r="G96" s="26" t="str" cm="1">
        <f t="array" ref="G96">Common_InputFunctions.Utility_DisplayArrayInTable(Common_SourceData.Common_SourceData_ClimateZones_Data(), Table_SourceData_ClimateZones[[#Headers],[Climate zone]], 0)</f>
        <v>Any</v>
      </c>
      <c r="H96" s="26" t="str" cm="1">
        <f t="array" ref="H96">Common_InputFunctions.Utility_DisplayArrayInTable(Common_SourceData.Common_SourceData_ClimateZones_Data(), Table_SourceData_ClimateZones[[#Headers],[Climate zone]], 0)</f>
        <v>Any</v>
      </c>
      <c r="I96" s="26" t="str" cm="1">
        <f t="array" ref="I96">Common_InputFunctions.Utility_DisplayArrayInTable(Common_SourceData.Common_SourceData_ClimateZones_Data(), Table_SourceData_ClimateZones[[#Headers],[Climate zone]], 0)</f>
        <v>&gt; 1</v>
      </c>
      <c r="J96" s="26" cm="1">
        <f t="array" ref="J96">Common_InputFunctions.Utility_DisplayArrayInTable(Common_SourceData.Common_SourceData_ClimateZones_Data(), Table_SourceData_ClimateZones[[#Headers],[Climate zone]], 0)</f>
        <v>-999999</v>
      </c>
      <c r="K96" s="26" cm="1">
        <f t="array" ref="K96">Common_InputFunctions.Utility_DisplayArrayInTable(Common_SourceData.Common_SourceData_ClimateZones_Data(), Table_SourceData_ClimateZones[[#Headers],[Climate zone]], 0)</f>
        <v>10</v>
      </c>
      <c r="L96" s="26" cm="1">
        <f t="array" ref="L96">Common_InputFunctions.Utility_DisplayArrayInTable(Common_SourceData.Common_SourceData_ClimateZones_Data(), Table_SourceData_ClimateZones[[#Headers],[Climate zone]], 0)</f>
        <v>-999999</v>
      </c>
      <c r="M96" s="26" cm="1">
        <f t="array" ref="M96">Common_InputFunctions.Utility_DisplayArrayInTable(Common_SourceData.Common_SourceData_ClimateZones_Data(), Table_SourceData_ClimateZones[[#Headers],[Climate zone]], 0)</f>
        <v>999999</v>
      </c>
      <c r="N96" s="26" cm="1">
        <f t="array" ref="N96">Common_InputFunctions.Utility_DisplayArrayInTable(Common_SourceData.Common_SourceData_ClimateZones_Data(), Table_SourceData_ClimateZones[[#Headers],[Climate zone]], 0)</f>
        <v>-999999</v>
      </c>
      <c r="O96" s="26" cm="1">
        <f t="array" ref="O96">Common_InputFunctions.Utility_DisplayArrayInTable(Common_SourceData.Common_SourceData_ClimateZones_Data(), Table_SourceData_ClimateZones[[#Headers],[Climate zone]], 0)</f>
        <v>999999</v>
      </c>
      <c r="P96" s="26" cm="1">
        <f t="array" ref="P96">Common_InputFunctions.Utility_DisplayArrayInTable(Common_SourceData.Common_SourceData_ClimateZones_Data(), Table_SourceData_ClimateZones[[#Headers],[Climate zone]], 0)</f>
        <v>-999999</v>
      </c>
      <c r="Q96" s="26" cm="1">
        <f t="array" ref="Q96">Common_InputFunctions.Utility_DisplayArrayInTable(Common_SourceData.Common_SourceData_ClimateZones_Data(), Table_SourceData_ClimateZones[[#Headers],[Climate zone]], 0)</f>
        <v>999999</v>
      </c>
      <c r="R96" s="26" cm="1">
        <f t="array" ref="R96">Common_InputFunctions.Utility_DisplayArrayInTable(Common_SourceData.Common_SourceData_ClimateZones_Data(), Table_SourceData_ClimateZones[[#Headers],[Climate zone]], 0)</f>
        <v>1.0009999999999999</v>
      </c>
      <c r="S96" s="26" cm="1">
        <f t="array" ref="S96">Common_InputFunctions.Utility_DisplayArrayInTable(Common_SourceData.Common_SourceData_ClimateZones_Data(), Table_SourceData_ClimateZones[[#Headers],[Climate zone]], 0)</f>
        <v>999999</v>
      </c>
      <c r="T96" s="26"/>
    </row>
    <row r="97" spans="4:20" ht="20.100000000000001" customHeight="1" x14ac:dyDescent="0.25">
      <c r="D97" s="26" t="str" cm="1">
        <f t="array" ref="D97">Common_InputFunctions.Utility_DisplayArrayInTable(Common_SourceData.Common_SourceData_ClimateZones_Data(), Table_SourceData_ClimateZones[[#Headers],[Climate zone]], 0)</f>
        <v>Cool temperate dry</v>
      </c>
      <c r="E97" s="26" t="str" cm="1">
        <f t="array" ref="E97">Common_InputFunctions.Utility_DisplayArrayInTable(Common_SourceData.Common_SourceData_ClimateZones_Data(), Table_SourceData_ClimateZones[[#Headers],[Climate zone]], 0)</f>
        <v>&gt; 0 C - ≤ 10 C</v>
      </c>
      <c r="F97" s="26" t="str" cm="1">
        <f t="array" ref="F97">Common_InputFunctions.Utility_DisplayArrayInTable(Common_SourceData.Common_SourceData_ClimateZones_Data(), Table_SourceData_ClimateZones[[#Headers],[Climate zone]], 0)</f>
        <v>Any</v>
      </c>
      <c r="G97" s="26" t="str" cm="1">
        <f t="array" ref="G97">Common_InputFunctions.Utility_DisplayArrayInTable(Common_SourceData.Common_SourceData_ClimateZones_Data(), Table_SourceData_ClimateZones[[#Headers],[Climate zone]], 0)</f>
        <v>Any</v>
      </c>
      <c r="H97" s="26" t="str" cm="1">
        <f t="array" ref="H97">Common_InputFunctions.Utility_DisplayArrayInTable(Common_SourceData.Common_SourceData_ClimateZones_Data(), Table_SourceData_ClimateZones[[#Headers],[Climate zone]], 0)</f>
        <v>Any</v>
      </c>
      <c r="I97" s="26" t="str" cm="1">
        <f t="array" ref="I97">Common_InputFunctions.Utility_DisplayArrayInTable(Common_SourceData.Common_SourceData_ClimateZones_Data(), Table_SourceData_ClimateZones[[#Headers],[Climate zone]], 0)</f>
        <v>≤ 1</v>
      </c>
      <c r="J97" s="26" cm="1">
        <f t="array" ref="J97">Common_InputFunctions.Utility_DisplayArrayInTable(Common_SourceData.Common_SourceData_ClimateZones_Data(), Table_SourceData_ClimateZones[[#Headers],[Climate zone]], 0)</f>
        <v>-999999</v>
      </c>
      <c r="K97" s="26" cm="1">
        <f t="array" ref="K97">Common_InputFunctions.Utility_DisplayArrayInTable(Common_SourceData.Common_SourceData_ClimateZones_Data(), Table_SourceData_ClimateZones[[#Headers],[Climate zone]], 0)</f>
        <v>10</v>
      </c>
      <c r="L97" s="26" cm="1">
        <f t="array" ref="L97">Common_InputFunctions.Utility_DisplayArrayInTable(Common_SourceData.Common_SourceData_ClimateZones_Data(), Table_SourceData_ClimateZones[[#Headers],[Climate zone]], 0)</f>
        <v>-999999</v>
      </c>
      <c r="M97" s="26" cm="1">
        <f t="array" ref="M97">Common_InputFunctions.Utility_DisplayArrayInTable(Common_SourceData.Common_SourceData_ClimateZones_Data(), Table_SourceData_ClimateZones[[#Headers],[Climate zone]], 0)</f>
        <v>999999</v>
      </c>
      <c r="N97" s="26" cm="1">
        <f t="array" ref="N97">Common_InputFunctions.Utility_DisplayArrayInTable(Common_SourceData.Common_SourceData_ClimateZones_Data(), Table_SourceData_ClimateZones[[#Headers],[Climate zone]], 0)</f>
        <v>-999999</v>
      </c>
      <c r="O97" s="26" cm="1">
        <f t="array" ref="O97">Common_InputFunctions.Utility_DisplayArrayInTable(Common_SourceData.Common_SourceData_ClimateZones_Data(), Table_SourceData_ClimateZones[[#Headers],[Climate zone]], 0)</f>
        <v>999999</v>
      </c>
      <c r="P97" s="26" cm="1">
        <f t="array" ref="P97">Common_InputFunctions.Utility_DisplayArrayInTable(Common_SourceData.Common_SourceData_ClimateZones_Data(), Table_SourceData_ClimateZones[[#Headers],[Climate zone]], 0)</f>
        <v>-999999</v>
      </c>
      <c r="Q97" s="26" cm="1">
        <f t="array" ref="Q97">Common_InputFunctions.Utility_DisplayArrayInTable(Common_SourceData.Common_SourceData_ClimateZones_Data(), Table_SourceData_ClimateZones[[#Headers],[Climate zone]], 0)</f>
        <v>999999</v>
      </c>
      <c r="R97" s="26" cm="1">
        <f t="array" ref="R97">Common_InputFunctions.Utility_DisplayArrayInTable(Common_SourceData.Common_SourceData_ClimateZones_Data(), Table_SourceData_ClimateZones[[#Headers],[Climate zone]], 0)</f>
        <v>-999999</v>
      </c>
      <c r="S97" s="26" cm="1">
        <f t="array" ref="S97">Common_InputFunctions.Utility_DisplayArrayInTable(Common_SourceData.Common_SourceData_ClimateZones_Data(), Table_SourceData_ClimateZones[[#Headers],[Climate zone]], 0)</f>
        <v>1</v>
      </c>
      <c r="T97" s="26"/>
    </row>
    <row r="98" spans="4:20" ht="20.100000000000001" customHeight="1" x14ac:dyDescent="0.25"/>
    <row r="99" spans="4:20" ht="20.100000000000001" customHeight="1" x14ac:dyDescent="0.25">
      <c r="D99" s="30" t="str" cm="1">
        <f t="array" ref="D99:D102">Common_SourceData.Common_SourceData_ClimateZones_Appendices()</f>
        <v>Note:</v>
      </c>
    </row>
    <row r="100" spans="4:20" ht="20.100000000000001" customHeight="1" x14ac:dyDescent="0.25">
      <c r="D100" s="30" t="str">
        <v>MAT = mean annual temperature</v>
      </c>
    </row>
    <row r="101" spans="4:20" ht="20.100000000000001" customHeight="1" x14ac:dyDescent="0.25">
      <c r="D101" s="30" t="str">
        <v>MAP = mean annual precipitation</v>
      </c>
    </row>
    <row r="102" spans="4:20" ht="20.100000000000001" customHeight="1" x14ac:dyDescent="0.25">
      <c r="D102" s="30" t="str">
        <v>PET = potential evapotranspiration</v>
      </c>
    </row>
    <row r="103" spans="4:20" ht="20.100000000000001" customHeight="1" x14ac:dyDescent="0.25">
      <c r="D103" s="30"/>
    </row>
    <row r="104" spans="4:20" ht="20.100000000000001" customHeight="1" x14ac:dyDescent="0.25"/>
    <row r="105" spans="4:20" ht="20.100000000000001" customHeight="1" x14ac:dyDescent="0.25">
      <c r="D105" s="5" t="str" cm="1">
        <f t="array" ref="D105">Common_SourceData.Common_SourceData_TemperatureZones_Title()</f>
        <v>VEERG Australian temperature zones</v>
      </c>
    </row>
    <row r="106" spans="4:20" ht="20.100000000000001" customHeight="1" x14ac:dyDescent="0.25">
      <c r="D106" s="4" t="str" cm="1">
        <f t="array" ref="D106">Common_SourceData.Common_SourceData_TemperatureZones_Source()</f>
        <v>VEERG 2026: Table 1.3: Climate and Rainfall zone classifications and definitions</v>
      </c>
    </row>
    <row r="107" spans="4:20" ht="20.100000000000001" customHeight="1" x14ac:dyDescent="0.25">
      <c r="D107" s="31"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26" t="s">
        <v>36</v>
      </c>
      <c r="E109" s="26" t="s">
        <v>19</v>
      </c>
      <c r="F109" s="26" t="s">
        <v>37</v>
      </c>
      <c r="G109" s="26" t="s">
        <v>38</v>
      </c>
    </row>
    <row r="110" spans="4:20" ht="20.100000000000001" customHeight="1" x14ac:dyDescent="0.25">
      <c r="D110" s="26" t="str" cm="1">
        <f t="array" ref="D110">Common_InputFunctions.Utility_DisplayArrayInTable(Common_SourceData.Common_SourceData_TemperatureZones_Data(),Table_SourceData_TemperatureZones[[#Headers],[Temperature Zone]],0)</f>
        <v>Warm</v>
      </c>
      <c r="E110" s="26" t="str" cm="1">
        <f t="array" ref="E110">Common_InputFunctions.Utility_DisplayArrayInTable(Common_SourceData.Common_SourceData_TemperatureZones_Data(),Table_SourceData_TemperatureZones[[#Headers],[Temperature Zone]],0)</f>
        <v>≥ 26 C</v>
      </c>
      <c r="F110" s="26" cm="1">
        <f t="array" ref="F110">Common_InputFunctions.Utility_DisplayArrayInTable(Common_SourceData.Common_SourceData_TemperatureZones_Data(),Table_SourceData_TemperatureZones[[#Headers],[Temperature Zone]],0)</f>
        <v>26</v>
      </c>
      <c r="G110" s="26" cm="1">
        <f t="array" ref="G110">Common_InputFunctions.Utility_DisplayArrayInTable(Common_SourceData.Common_SourceData_TemperatureZones_Data(),Table_SourceData_TemperatureZones[[#Headers],[Temperature Zone]],0)</f>
        <v>999999</v>
      </c>
    </row>
    <row r="111" spans="4:20" ht="20.100000000000001" customHeight="1" x14ac:dyDescent="0.25">
      <c r="D111" s="26" t="str" cm="1">
        <f t="array" ref="D111">Common_InputFunctions.Utility_DisplayArrayInTable(Common_SourceData.Common_SourceData_TemperatureZones_Data(),Table_SourceData_TemperatureZones[[#Headers],[Temperature Zone]],0)</f>
        <v>Temperate</v>
      </c>
      <c r="E111" s="26" t="str" cm="1">
        <f t="array" ref="E111">Common_InputFunctions.Utility_DisplayArrayInTable(Common_SourceData.Common_SourceData_TemperatureZones_Data(),Table_SourceData_TemperatureZones[[#Headers],[Temperature Zone]],0)</f>
        <v>15 - 25 C</v>
      </c>
      <c r="F111" s="26" cm="1">
        <f t="array" ref="F111">Common_InputFunctions.Utility_DisplayArrayInTable(Common_SourceData.Common_SourceData_TemperatureZones_Data(),Table_SourceData_TemperatureZones[[#Headers],[Temperature Zone]],0)</f>
        <v>15</v>
      </c>
      <c r="G111" s="2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26" t="str" cm="1">
        <f t="array" ref="D112">Common_InputFunctions.Utility_DisplayArrayInTable(Common_SourceData.Common_SourceData_TemperatureZones_Data(),Table_SourceData_TemperatureZones[[#Headers],[Temperature Zone]],0)</f>
        <v>Cool</v>
      </c>
      <c r="E112" s="26" t="str" cm="1">
        <f t="array" ref="E112">Common_InputFunctions.Utility_DisplayArrayInTable(Common_SourceData.Common_SourceData_TemperatureZones_Data(),Table_SourceData_TemperatureZones[[#Headers],[Temperature Zone]],0)</f>
        <v>≤ 14 C</v>
      </c>
      <c r="F112" s="26" cm="1">
        <f t="array" ref="F112">Common_InputFunctions.Utility_DisplayArrayInTable(Common_SourceData.Common_SourceData_TemperatureZones_Data(),Table_SourceData_TemperatureZones[[#Headers],[Temperature Zone]],0)</f>
        <v>-999999</v>
      </c>
      <c r="G112" s="2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5" t="str" cm="1">
        <f t="array" ref="D115">Common_SourceData.Common_SourceData_RainfallZones_Title()</f>
        <v>VEERG Australian rainfall zones</v>
      </c>
      <c r="BN115" s="6"/>
    </row>
    <row r="116" spans="4:66" ht="20.100000000000001" customHeight="1" x14ac:dyDescent="0.25">
      <c r="D116" s="4" t="str" cm="1">
        <f t="array" ref="D116">Common_SourceData.Common_SourceData_RainfallZones_Source()</f>
        <v>VEERG 2026: Table 1.3: Climate and Rainfall zone classifications and definitions</v>
      </c>
      <c r="BN116" s="6"/>
    </row>
    <row r="117" spans="4:66" ht="20.100000000000001" customHeight="1" x14ac:dyDescent="0.25">
      <c r="D117" s="31" t="str" cm="1">
        <f t="array" ref="D117">"⚠️" &amp; Common_SourceData.Common_SourceData_RainfallZones_Variation()</f>
        <v>⚠️VARIATION OF SOURCE DATA: Added extra Rainfall min and Rainfall max columns to calculate zone from real rainfall data.</v>
      </c>
      <c r="BN117" s="6"/>
    </row>
    <row r="118" spans="4:66" ht="20.100000000000001" customHeight="1" x14ac:dyDescent="0.25">
      <c r="BN118" s="6"/>
    </row>
    <row r="119" spans="4:66" ht="20.100000000000001" customHeight="1" x14ac:dyDescent="0.25">
      <c r="D119" s="26" t="s">
        <v>39</v>
      </c>
      <c r="E119" s="26" t="s">
        <v>40</v>
      </c>
      <c r="F119" s="26" t="s">
        <v>26</v>
      </c>
      <c r="G119" s="26" t="s">
        <v>27</v>
      </c>
      <c r="BN119" s="6"/>
    </row>
    <row r="120" spans="4:66" ht="20.100000000000001" customHeight="1" x14ac:dyDescent="0.25">
      <c r="D120" s="26" t="str" cm="1">
        <f t="array" ref="D120">Common_InputFunctions.Utility_DisplayArrayInTable(Common_SourceData.Common_SourceData_RainfallZones_Data(),Table_SourceData_RainfallZones[[#Headers],[Rainfall Zone]],0)</f>
        <v>High rainfall</v>
      </c>
      <c r="E120" s="26" t="str" cm="1">
        <f t="array" ref="E120">Common_InputFunctions.Utility_DisplayArrayInTable(Common_SourceData.Common_SourceData_RainfallZones_Data(),Table_SourceData_RainfallZones[[#Headers],[Rainfall Zone]],0)</f>
        <v>Annual rainfall &gt; 600mm</v>
      </c>
      <c r="F120" s="26" cm="1">
        <f t="array" ref="F120">Common_InputFunctions.Utility_DisplayArrayInTable(Common_SourceData.Common_SourceData_RainfallZones_Data(),Table_SourceData_RainfallZones[[#Headers],[Rainfall Zone]],0)</f>
        <v>600.00099999999998</v>
      </c>
      <c r="G120" s="26" cm="1">
        <f t="array" ref="G120">Common_InputFunctions.Utility_DisplayArrayInTable(Common_SourceData.Common_SourceData_RainfallZones_Data(),Table_SourceData_RainfallZones[[#Headers],[Rainfall Zone]],0)</f>
        <v>999999</v>
      </c>
      <c r="BN120" s="6"/>
    </row>
    <row r="121" spans="4:66" ht="20.100000000000001" customHeight="1" x14ac:dyDescent="0.25">
      <c r="D121" s="26" t="str" cm="1">
        <f t="array" ref="D121">Common_InputFunctions.Utility_DisplayArrayInTable(Common_SourceData.Common_SourceData_RainfallZones_Data(),Table_SourceData_RainfallZones[[#Headers],[Rainfall Zone]],0)</f>
        <v>Low rainfall</v>
      </c>
      <c r="E121" s="26" t="str" cm="1">
        <f t="array" ref="E121">Common_InputFunctions.Utility_DisplayArrayInTable(Common_SourceData.Common_SourceData_RainfallZones_Data(),Table_SourceData_RainfallZones[[#Headers],[Rainfall Zone]],0)</f>
        <v>Annual rainfall ≤ 600mm</v>
      </c>
      <c r="F121" s="26" cm="1">
        <f t="array" ref="F121">Common_InputFunctions.Utility_DisplayArrayInTable(Common_SourceData.Common_SourceData_RainfallZones_Data(),Table_SourceData_RainfallZones[[#Headers],[Rainfall Zone]],0)</f>
        <v>-999999</v>
      </c>
      <c r="G121" s="26" cm="1">
        <f t="array" ref="G121">Common_InputFunctions.Utility_DisplayArrayInTable(Common_SourceData.Common_SourceData_RainfallZones_Data(),Table_SourceData_RainfallZones[[#Headers],[Rainfall Zone]],0)</f>
        <v>600</v>
      </c>
      <c r="BN121" s="6"/>
    </row>
    <row r="122" spans="4:66" ht="20.100000000000001" customHeight="1" x14ac:dyDescent="0.25">
      <c r="BN122" s="6"/>
    </row>
    <row r="123" spans="4:66" ht="20.100000000000001" customHeight="1" x14ac:dyDescent="0.25"/>
    <row r="124" spans="4:66" ht="20.100000000000001" customHeight="1" x14ac:dyDescent="0.25">
      <c r="D124" s="5" t="str" cm="1">
        <f t="array" ref="D124">Common_SourceData.Common_SourceData_LeachingZones_Title()</f>
        <v>VEERG Australian leaching zones</v>
      </c>
    </row>
    <row r="125" spans="4:66" ht="20.100000000000001" customHeight="1" x14ac:dyDescent="0.25">
      <c r="D125" s="4"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26" t="s">
        <v>41</v>
      </c>
      <c r="E127" s="26" t="s">
        <v>42</v>
      </c>
    </row>
    <row r="128" spans="4:66" ht="20.100000000000001" customHeight="1" x14ac:dyDescent="0.25">
      <c r="D128" s="26" t="str" cm="1">
        <f t="array" ref="D128">Common_InputFunctions.Utility_DisplayArrayInTable(Common_SourceData.Common_SourceData_LeachingZones_Data(), Table_SourceData_LeachingZones[[#Headers],[Leaching Zone]], 0)</f>
        <v>Leaching occurs</v>
      </c>
      <c r="E128" s="2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26" t="str" cm="1">
        <f t="array" ref="D129">Common_InputFunctions.Utility_DisplayArrayInTable(Common_SourceData.Common_SourceData_LeachingZones_Data(), Table_SourceData_LeachingZones[[#Headers],[Leaching Zone]], 0)</f>
        <v>Leaching does not occur</v>
      </c>
      <c r="E129" s="2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5" t="str" cm="1">
        <f t="array" ref="D132">Common_SourceData.Common_SourceData_FracWET_Title()</f>
        <v>Fraction of N that is available for leaching and runoff</v>
      </c>
      <c r="E132" s="17"/>
    </row>
    <row r="133" spans="4:77" ht="20.100000000000001" customHeight="1" x14ac:dyDescent="0.25">
      <c r="D133" s="4" t="str" cm="1">
        <f t="array" ref="D133">Common_SourceData.Common_SourceData_FracWET_Source()</f>
        <v>VEERG 2026:5.5.2.3 Constant Parameters</v>
      </c>
      <c r="E133" s="17"/>
    </row>
    <row r="134" spans="4:77" ht="20.100000000000001" customHeight="1" x14ac:dyDescent="0.25">
      <c r="D134" t="s">
        <v>47</v>
      </c>
      <c r="E134" t="s">
        <v>48</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2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6"/>
      <c r="BO138" s="6"/>
      <c r="BP138" s="6"/>
      <c r="BQ138" s="6"/>
      <c r="BR138" s="6"/>
      <c r="BS138" s="6"/>
      <c r="BT138" s="6"/>
      <c r="BU138" s="6"/>
      <c r="BV138" s="6"/>
      <c r="BW138" s="6"/>
      <c r="BX138" s="6"/>
      <c r="BY138" s="6"/>
    </row>
    <row r="139" spans="4:77" ht="20.100000000000001" customHeight="1" x14ac:dyDescent="0.25">
      <c r="D139" s="5" t="str" cm="1">
        <f t="array" ref="D139">Common_SourceData.Common_SourceData_FracWETIrrigation_Title()</f>
        <v>FracWET for irrigation types</v>
      </c>
      <c r="BN139" s="6"/>
      <c r="BO139" s="6"/>
      <c r="BP139" s="6"/>
      <c r="BQ139" s="6"/>
      <c r="BR139" s="6"/>
      <c r="BS139" s="6"/>
      <c r="BT139" s="6"/>
      <c r="BU139" s="6"/>
      <c r="BV139" s="6"/>
      <c r="BW139" s="6"/>
      <c r="BX139" s="6"/>
      <c r="BY139" s="6"/>
    </row>
    <row r="140" spans="4:77" ht="20.100000000000001" customHeight="1" x14ac:dyDescent="0.25">
      <c r="D140" s="4" t="str" cm="1">
        <f t="array" ref="D140">Common_SourceData.Common_SourceData_FracWETIrrigation_Source()</f>
        <v>VEERG 2026: Chapter 1, section 1.8.2 Leaching, climate and rainfall zones</v>
      </c>
      <c r="BN140" s="6"/>
      <c r="BO140" s="6"/>
      <c r="BP140" s="6"/>
      <c r="BQ140" s="6"/>
      <c r="BR140" s="6"/>
      <c r="BS140" s="6"/>
      <c r="BT140" s="6"/>
      <c r="BU140" s="6"/>
      <c r="BV140" s="6"/>
      <c r="BW140" s="6"/>
      <c r="BX140" s="6"/>
      <c r="BY140" s="6"/>
    </row>
    <row r="141" spans="4:77" ht="20.100000000000001" customHeight="1" x14ac:dyDescent="0.25">
      <c r="D141" s="31" t="str" cm="1">
        <f t="array" ref="D141">Common_SourceData.Common_SourceData_FracWETIrrigation_Variation()</f>
        <v>VARIATION FROM SOURCE DATA: Table created based on VEERG text 'Areas are subject to leaching (i.e., in the leaching zone) when... the land is irrigated (except drip irrigation).'</v>
      </c>
      <c r="BN141" s="6"/>
    </row>
    <row r="142" spans="4:77" ht="20.100000000000001" customHeight="1" x14ac:dyDescent="0.25">
      <c r="D142" s="26" t="s">
        <v>58</v>
      </c>
      <c r="E142" s="26" t="s">
        <v>48</v>
      </c>
      <c r="BN142" s="6"/>
    </row>
    <row r="143" spans="4:77" ht="20.100000000000001" customHeight="1" x14ac:dyDescent="0.25">
      <c r="D143" s="26" t="str" cm="1">
        <f t="array" ref="D143">Common_InputFunctions.Utility_DisplayArrayInTable(Common_SourceData.Common_SourceData_FracWETIrrigation_Data(), Table_SourceData_FracWETIrrigation[[#Headers],[Irrigation type i]], 0)</f>
        <v>Not irrigated</v>
      </c>
      <c r="E143" s="26" cm="1">
        <f t="array" ref="E143">Common_InputFunctions.Utility_DisplayArrayInTable(Common_SourceData.Common_SourceData_FracWETIrrigation_Data(), Table_SourceData_FracWETIrrigation[[#Headers],[Irrigation type i]], 0)</f>
        <v>0</v>
      </c>
      <c r="BN143" s="6"/>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26" cm="1">
        <f t="array" ref="E144">Common_InputFunctions.Utility_DisplayArrayInTable(Common_SourceData.Common_SourceData_FracWETIrrigation_Data(), Table_SourceData_FracWETIrrigation[[#Headers],[Irrigation type i]], 0)</f>
        <v>0</v>
      </c>
      <c r="BN144" s="6"/>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26" cm="1">
        <f t="array" ref="E145">Common_InputFunctions.Utility_DisplayArrayInTable(Common_SourceData.Common_SourceData_FracWETIrrigation_Data(), Table_SourceData_FracWETIrrigation[[#Headers],[Irrigation type i]], 0)</f>
        <v>1</v>
      </c>
      <c r="BN145" s="6"/>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26" cm="1">
        <f t="array" ref="E146">Common_InputFunctions.Utility_DisplayArrayInTable(Common_SourceData.Common_SourceData_FracWETIrrigation_Data(), Table_SourceData_FracWETIrrigation[[#Headers],[Irrigation type i]], 0)</f>
        <v>1</v>
      </c>
      <c r="BN146" s="6"/>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26" cm="1">
        <f t="array" ref="E147">Common_InputFunctions.Utility_DisplayArrayInTable(Common_SourceData.Common_SourceData_FracWETIrrigation_Data(), Table_SourceData_FracWETIrrigation[[#Headers],[Irrigation type i]], 0)</f>
        <v>1</v>
      </c>
      <c r="BN147" s="6"/>
    </row>
    <row r="148" spans="4:66" ht="20.100000000000001" customHeight="1" x14ac:dyDescent="0.25">
      <c r="BN148" s="6"/>
    </row>
    <row r="149" spans="4:66" ht="20.100000000000001" customHeight="1" x14ac:dyDescent="0.25">
      <c r="BN149" s="6"/>
    </row>
    <row r="150" spans="4:66" ht="20.100000000000001" customHeight="1" x14ac:dyDescent="0.25">
      <c r="D150" s="5" t="str" cm="1">
        <f t="array" ref="D150">Common_SourceData.Common_SourceData_DataScores_Scope3_Title()</f>
        <v>Australian data scores for scope 3</v>
      </c>
      <c r="BN150" s="6"/>
    </row>
    <row r="151" spans="4:66" ht="20.100000000000001" customHeight="1" x14ac:dyDescent="0.25">
      <c r="D151" s="4" t="str" cm="1">
        <f t="array" ref="D151">Common_SourceData.Common_SourceData_DataScores_Scope3_Source()</f>
        <v>VEERG 2026: XXXXXXXX</v>
      </c>
      <c r="BN151" s="6"/>
    </row>
    <row r="152" spans="4:66" ht="20.100000000000001" customHeight="1" x14ac:dyDescent="0.25">
      <c r="BN152" s="6"/>
    </row>
    <row r="153" spans="4:66" ht="20.100000000000001" customHeight="1" x14ac:dyDescent="0.25">
      <c r="D153" s="26" t="s">
        <v>43</v>
      </c>
      <c r="E153" s="26" t="s">
        <v>44</v>
      </c>
      <c r="BC153" s="2"/>
      <c r="BD153" s="2"/>
      <c r="BE153" s="2"/>
      <c r="BF153" s="2"/>
      <c r="BG153" s="2"/>
      <c r="BH153" s="2"/>
      <c r="BI153" s="2"/>
      <c r="BJ153" s="2"/>
      <c r="BK153" s="2"/>
      <c r="BL153" s="2"/>
      <c r="BM153" s="2"/>
    </row>
    <row r="154" spans="4:66" ht="20.100000000000001" customHeight="1" x14ac:dyDescent="0.25">
      <c r="D154" s="26" t="str" cm="1">
        <f t="array" ref="D154">Common_InputFunctions.Utility_DisplayArrayInTable(Common_SourceData.Common_SourceData_DataScores_Scope3_Data(), Table_SourceData_DataScores_Scope3[[#Headers],[Data source]], 0)</f>
        <v>International scope 3 database</v>
      </c>
      <c r="E154" s="26" cm="1">
        <f t="array" ref="E154">Common_InputFunctions.Utility_DisplayArrayInTable(Common_SourceData.Common_SourceData_DataScores_Scope3_Data(), Table_SourceData_DataScores_Scope3[[#Headers],[Data source]], 0)</f>
        <v>1</v>
      </c>
      <c r="BC154" s="2"/>
      <c r="BD154" s="2"/>
      <c r="BE154" s="2"/>
      <c r="BF154" s="2"/>
      <c r="BG154" s="2"/>
      <c r="BH154" s="2"/>
      <c r="BI154" s="2"/>
      <c r="BJ154" s="2"/>
      <c r="BK154" s="2"/>
      <c r="BL154" s="2"/>
      <c r="BM154" s="2"/>
    </row>
    <row r="155" spans="4:66" ht="20.100000000000001" customHeight="1" x14ac:dyDescent="0.25">
      <c r="D155" s="26" t="str" cm="1">
        <f t="array" ref="D155">Common_InputFunctions.Utility_DisplayArrayInTable(Common_SourceData.Common_SourceData_DataScores_Scope3_Data(), Table_SourceData_DataScores_Scope3[[#Headers],[Data source]], 0)</f>
        <v>Australian scope 3 database</v>
      </c>
      <c r="E155" s="26" cm="1">
        <f t="array" ref="E155">Common_InputFunctions.Utility_DisplayArrayInTable(Common_SourceData.Common_SourceData_DataScores_Scope3_Data(), Table_SourceData_DataScores_Scope3[[#Headers],[Data source]], 0)</f>
        <v>2</v>
      </c>
      <c r="BC155" s="2"/>
      <c r="BD155" s="2"/>
      <c r="BE155" s="2"/>
      <c r="BF155" s="2"/>
      <c r="BG155" s="2"/>
      <c r="BH155" s="2"/>
      <c r="BI155" s="2"/>
      <c r="BJ155" s="2"/>
      <c r="BK155" s="2"/>
      <c r="BL155" s="2"/>
      <c r="BM155" s="2"/>
    </row>
    <row r="156" spans="4:66" ht="20.100000000000001" customHeight="1" x14ac:dyDescent="0.25">
      <c r="D156" s="26" t="str" cm="1">
        <f t="array" ref="D156">Common_InputFunctions.Utility_DisplayArrayInTable(Common_SourceData.Common_SourceData_DataScores_Scope3_Data(), Table_SourceData_DataScores_Scope3[[#Headers],[Data source]], 0)</f>
        <v>State or regional scope 3 database</v>
      </c>
      <c r="E156" s="26" cm="1">
        <f t="array" ref="E156">Common_InputFunctions.Utility_DisplayArrayInTable(Common_SourceData.Common_SourceData_DataScores_Scope3_Data(), Table_SourceData_DataScores_Scope3[[#Headers],[Data source]], 0)</f>
        <v>3</v>
      </c>
    </row>
    <row r="157" spans="4:66" ht="20.100000000000001" customHeight="1" x14ac:dyDescent="0.25">
      <c r="D157" s="26" t="str" cm="1">
        <f t="array" ref="D157">Common_InputFunctions.Utility_DisplayArrayInTable(Common_SourceData.Common_SourceData_DataScores_Scope3_Data(), Table_SourceData_DataScores_Scope3[[#Headers],[Data source]], 0)</f>
        <v>Emissions intensity calculated from approved method</v>
      </c>
      <c r="E157" s="26" cm="1">
        <f t="array" ref="E157">Common_InputFunctions.Utility_DisplayArrayInTable(Common_SourceData.Common_SourceData_DataScores_Scope3_Data(), Table_SourceData_DataScores_Scope3[[#Headers],[Data source]], 0)</f>
        <v>4</v>
      </c>
    </row>
    <row r="158" spans="4:66" ht="20.100000000000001" customHeight="1" x14ac:dyDescent="0.25">
      <c r="D158" s="26" t="str" cm="1">
        <f t="array" ref="D158">Common_InputFunctions.Utility_DisplayArrayInTable(Common_SourceData.Common_SourceData_DataScores_Scope3_Data(), Table_SourceData_DataScores_Scope3[[#Headers],[Data source]], 0)</f>
        <v>Verified credential matching ISO14067</v>
      </c>
      <c r="E158" s="2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5" t="str" cm="1">
        <f t="array" ref="D161">Common_SourceData.Common_SourceData_FracLEACH_Title()</f>
        <v>Fraction of N that is available for leaching and runoff</v>
      </c>
      <c r="E161" s="17"/>
    </row>
    <row r="162" spans="4:68" ht="20.100000000000001" customHeight="1" x14ac:dyDescent="0.25">
      <c r="D162" s="4" t="str" cm="1">
        <f t="array" ref="D162">Common_SourceData.Common_SourceData_FracLEACH_Source()</f>
        <v>VEERG 2026:5.5.2.3 Constant Parameters</v>
      </c>
      <c r="E162" s="17"/>
    </row>
    <row r="163" spans="4:68" ht="20.100000000000001" customHeight="1" x14ac:dyDescent="0.25">
      <c r="D163" s="4" t="str" cm="1">
        <f t="array" ref="D163">Common_SourceData.Common_SourceData_FracLEACH_NIRReference()</f>
        <v>National Inventory Report Volume 1: Leaching and runoff (3.D.b.2)</v>
      </c>
      <c r="E163" s="17"/>
    </row>
    <row r="164" spans="4:68" ht="20.100000000000001" customHeight="1" x14ac:dyDescent="0.25">
      <c r="D164" s="17" t="str" cm="1">
        <f t="array" ref="D164:E164">Common_SourceData.Common_SourceData_FracLEACH_Data()</f>
        <v>FracLEACH</v>
      </c>
      <c r="E164" s="17">
        <v>0.24</v>
      </c>
    </row>
    <row r="165" spans="4:68" ht="20.100000000000001" customHeight="1" x14ac:dyDescent="0.25">
      <c r="BN165" s="6"/>
      <c r="BO165" s="6"/>
      <c r="BP165" s="6"/>
    </row>
    <row r="166" spans="4:68" ht="20.100000000000001" customHeight="1" x14ac:dyDescent="0.25">
      <c r="BN166" s="6"/>
      <c r="BO166" s="6"/>
      <c r="BP166" s="6"/>
    </row>
    <row r="167" spans="4:68" ht="20.100000000000001" customHeight="1" x14ac:dyDescent="0.25">
      <c r="D167" s="5" t="str" cm="1">
        <f t="array" ref="D167">Common_SourceData.Common_SourceData_EFleach_Title()</f>
        <v>Emission factor for nitrogen leaching and runoff</v>
      </c>
      <c r="BN167" s="6"/>
      <c r="BO167" s="6"/>
      <c r="BP167" s="6"/>
    </row>
    <row r="168" spans="4:68" ht="20.100000000000001" customHeight="1" x14ac:dyDescent="0.25">
      <c r="D168" s="4" t="str" cm="1">
        <f t="array" ref="D168">Common_SourceData.Common_SourceData_EFleach_Source()</f>
        <v>VEERG 2026:5.5.2.3 Constant Parameters</v>
      </c>
      <c r="BN168" s="6"/>
      <c r="BO168" s="6"/>
      <c r="BP168" s="6"/>
    </row>
    <row r="169" spans="4:68" ht="20.100000000000001" customHeight="1" x14ac:dyDescent="0.25">
      <c r="D169" s="4" t="str" cm="1">
        <f t="array" ref="D169">Common_SourceData.Common_SourceData_EFleach_NIRReference()</f>
        <v>National Inventory Report Volume 1: Equation 3.D.B_10</v>
      </c>
      <c r="BN169" s="6"/>
      <c r="BO169" s="6"/>
      <c r="BP169" s="6"/>
    </row>
    <row r="170" spans="4:68" ht="20.100000000000001" customHeight="1" x14ac:dyDescent="0.25">
      <c r="D170" s="1" t="str" cm="1">
        <f t="array" ref="D170:E170">Common_SourceData.Common_SourceData_EFleach_Data()</f>
        <v>EFleach</v>
      </c>
      <c r="E170" s="1">
        <v>1.0999999999999999E-2</v>
      </c>
      <c r="BN170" s="6"/>
      <c r="BO170" s="6"/>
      <c r="BP170" s="6"/>
    </row>
    <row r="171" spans="4:68" ht="20.100000000000001" customHeight="1" x14ac:dyDescent="0.25">
      <c r="BN171" s="6"/>
      <c r="BO171" s="6"/>
      <c r="BP171" s="6"/>
    </row>
    <row r="172" spans="4:68" ht="20.100000000000001" customHeight="1" x14ac:dyDescent="0.25">
      <c r="BN172" s="6"/>
      <c r="BO172" s="6"/>
      <c r="BP172" s="6"/>
    </row>
    <row r="173" spans="4:68" ht="20.100000000000001" customHeight="1" x14ac:dyDescent="0.25">
      <c r="D173" s="5" t="str" cm="1">
        <f t="array" ref="D173">Common_SourceData.Common_SourceData_DensityOfMethane_Title()</f>
        <v>p = density of methane</v>
      </c>
      <c r="BN173" s="6"/>
      <c r="BO173" s="6"/>
      <c r="BP173" s="6"/>
    </row>
    <row r="174" spans="4:68" ht="20.100000000000001" customHeight="1" x14ac:dyDescent="0.25">
      <c r="D174" s="4" t="str" cm="1">
        <f t="array" ref="D174">Common_SourceData.Common_SourceData_DensityOfMethane_Source()</f>
        <v>National Inventory Report 2023 Volume 1: Equations 3.B.1a_2, 3.B.1c_2, 3.B.3_1, 3.B.4g_2</v>
      </c>
      <c r="BN174" s="6"/>
      <c r="BO174" s="6"/>
      <c r="BP174" s="6"/>
    </row>
    <row r="175" spans="4:68" ht="20.100000000000001" customHeight="1" x14ac:dyDescent="0.25">
      <c r="D175" s="1" cm="1">
        <f t="array" ref="D175">Common_SourceData.Common_SourceData_DensityOfMethane_Data()</f>
        <v>0.6784</v>
      </c>
      <c r="E175" s="30" t="str" cm="1">
        <f t="array" ref="E175">Common_SourceData.Common_SourceData_DensityOfMethane_Unit()</f>
        <v>kg/m3</v>
      </c>
      <c r="BN175" s="6"/>
      <c r="BO175" s="6"/>
      <c r="BP175" s="6"/>
    </row>
    <row r="176" spans="4:68" ht="20.100000000000001" customHeight="1" x14ac:dyDescent="0.25">
      <c r="BN176" s="6"/>
      <c r="BO176" s="6"/>
      <c r="BP176" s="6"/>
    </row>
    <row r="177" spans="4:68" ht="20.100000000000001" customHeight="1" x14ac:dyDescent="0.25">
      <c r="BN177" s="6"/>
      <c r="BO177" s="6"/>
      <c r="BP177" s="6"/>
    </row>
    <row r="178" spans="4:68" ht="20.100000000000001" customHeight="1" x14ac:dyDescent="0.25">
      <c r="D178" s="5" t="str" cm="1">
        <f t="array" ref="D178">Common_SourceData.Common_SourceData_EFN2O_Title()</f>
        <v>Nitrous oxide emission factors for inorganic fertiliser application</v>
      </c>
      <c r="BN178" s="6"/>
      <c r="BO178" s="6"/>
      <c r="BP178" s="6"/>
    </row>
    <row r="179" spans="4:68" ht="20.100000000000001" customHeight="1" x14ac:dyDescent="0.25">
      <c r="D179" s="4" t="str" cm="1">
        <f t="array" ref="D179">Common_SourceData.Common_SourceData_EFN2O_Source()</f>
        <v>VEERG 2026: Table A.2.2.1</v>
      </c>
      <c r="BN179" s="6"/>
      <c r="BO179" s="6"/>
      <c r="BP179" s="6"/>
    </row>
    <row r="180" spans="4:68" ht="20.100000000000001" customHeight="1" x14ac:dyDescent="0.25">
      <c r="D180" s="30" t="str" cm="1">
        <f t="array" ref="D180">Common_SourceData.Common_SourceData_EFN2O_Unit()</f>
        <v>(kg N2O-N / kg N</v>
      </c>
    </row>
    <row r="181" spans="4:68" ht="20.100000000000001" customHeight="1" x14ac:dyDescent="0.25">
      <c r="D181" s="31" t="str" cm="1">
        <f t="array" ref="D181:D185">Common_SourceData.Common_SourceData_EFN2O_Variation()</f>
        <v>VARIATION OF SOURCE DATA:</v>
      </c>
    </row>
    <row r="182" spans="4:68" ht="20.100000000000001" customHeight="1" x14ac:dyDescent="0.25">
      <c r="D182" s="31" t="str">
        <v>Removed duplicate 'Aquaculture' row.</v>
      </c>
    </row>
    <row r="183" spans="4:68" ht="20.100000000000001" customHeight="1" x14ac:dyDescent="0.25">
      <c r="D183" s="31" t="str">
        <v>Removed asterisks to aid lookup.</v>
      </c>
    </row>
    <row r="184" spans="4:68" ht="20.100000000000001" customHeight="1" x14ac:dyDescent="0.25">
      <c r="D184" s="31" t="str">
        <v>Added 'production system only', 'rainfall zone' and 'irrigation method' columns to aid lookup.</v>
      </c>
    </row>
    <row r="185" spans="4:68" ht="20.100000000000001" customHeight="1" x14ac:dyDescent="0.25">
      <c r="D185" s="31" t="str">
        <v>Duplicated 'non-irrigated pasture' row with same EF for low and high rainfall zones to aid lookup.</v>
      </c>
    </row>
    <row r="186" spans="4:68" ht="20.100000000000001" customHeight="1" x14ac:dyDescent="0.25">
      <c r="D186" s="26" t="s">
        <v>51</v>
      </c>
      <c r="E186" s="26" t="s">
        <v>52</v>
      </c>
      <c r="F186" s="26" t="s">
        <v>53</v>
      </c>
      <c r="G186" s="26" t="s">
        <v>54</v>
      </c>
      <c r="H186" s="26" t="s">
        <v>18</v>
      </c>
    </row>
    <row r="187" spans="4:68" ht="20.100000000000001" customHeight="1" x14ac:dyDescent="0.25">
      <c r="D187" s="26" t="str" cm="1">
        <f t="array" ref="D187">Common_InputFunctions.Utility_DisplayArrayInTable(Common_SourceData.Common_SourceData_EFN2O_Data(), Table_SourceData_Common_EFN2O[[#Headers],[Production system j]], 0)</f>
        <v>Irrigated pasture</v>
      </c>
      <c r="E187" s="26" cm="1">
        <f t="array" ref="E187">Common_InputFunctions.Utility_DisplayArrayInTable(Common_SourceData.Common_SourceData_EFN2O_Data(), Table_SourceData_Common_EFN2O[[#Headers],[Production system j]], 0)</f>
        <v>5.8999999999999999E-3</v>
      </c>
      <c r="F187" s="26" t="str" cm="1">
        <f t="array" ref="F187">Common_InputFunctions.Utility_DisplayArrayInTable(Common_SourceData.Common_SourceData_EFN2O_Data(), Table_SourceData_Common_EFN2O[[#Headers],[Production system j]], 0)</f>
        <v>Pasture</v>
      </c>
      <c r="G187" s="26" t="str" cm="1">
        <f t="array" ref="G187">Common_InputFunctions.Utility_DisplayArrayInTable(Common_SourceData.Common_SourceData_EFN2O_Data(), Table_SourceData_Common_EFN2O[[#Headers],[Production system j]], 0)</f>
        <v>Any</v>
      </c>
      <c r="H187" s="26" t="str" cm="1">
        <f t="array" ref="H187">Common_InputFunctions.Utility_DisplayArrayInTable(Common_SourceData.Common_SourceData_EFN2O_Data(), Table_SourceData_Common_EFN2O[[#Headers],[Production system j]], 0)</f>
        <v>Any</v>
      </c>
    </row>
    <row r="188" spans="4:68" ht="20.100000000000001" customHeight="1" x14ac:dyDescent="0.25">
      <c r="D188" s="26" t="str" cm="1">
        <f t="array" ref="D188">Common_InputFunctions.Utility_DisplayArrayInTable(Common_SourceData.Common_SourceData_EFN2O_Data(), Table_SourceData_Common_EFN2O[[#Headers],[Production system j]], 0)</f>
        <v>Irrigated crop</v>
      </c>
      <c r="E188" s="26" cm="1">
        <f t="array" ref="E188">Common_InputFunctions.Utility_DisplayArrayInTable(Common_SourceData.Common_SourceData_EFN2O_Data(), Table_SourceData_Common_EFN2O[[#Headers],[Production system j]], 0)</f>
        <v>7.0000000000000001E-3</v>
      </c>
      <c r="F188" s="26" t="str" cm="1">
        <f t="array" ref="F188">Common_InputFunctions.Utility_DisplayArrayInTable(Common_SourceData.Common_SourceData_EFN2O_Data(), Table_SourceData_Common_EFN2O[[#Headers],[Production system j]], 0)</f>
        <v>Crop</v>
      </c>
      <c r="G188" s="26" t="str" cm="1">
        <f t="array" ref="G188">Common_InputFunctions.Utility_DisplayArrayInTable(Common_SourceData.Common_SourceData_EFN2O_Data(), Table_SourceData_Common_EFN2O[[#Headers],[Production system j]], 0)</f>
        <v>Any</v>
      </c>
      <c r="H188" s="26" t="str" cm="1">
        <f t="array" ref="H188">Common_InputFunctions.Utility_DisplayArrayInTable(Common_SourceData.Common_SourceData_EFN2O_Data(), Table_SourceData_Common_EFN2O[[#Headers],[Production system j]], 0)</f>
        <v>Any</v>
      </c>
    </row>
    <row r="189" spans="4:68" ht="20.100000000000001" customHeight="1" x14ac:dyDescent="0.25">
      <c r="D189" s="26" t="str" cm="1">
        <f t="array" ref="D189">Common_InputFunctions.Utility_DisplayArrayInTable(Common_SourceData.Common_SourceData_EFN2O_Data(), Table_SourceData_Common_EFN2O[[#Headers],[Production system j]], 0)</f>
        <v>Non-irrigated pasture</v>
      </c>
      <c r="E189" s="26" cm="1">
        <f t="array" ref="E189">Common_InputFunctions.Utility_DisplayArrayInTable(Common_SourceData.Common_SourceData_EFN2O_Data(), Table_SourceData_Common_EFN2O[[#Headers],[Production system j]], 0)</f>
        <v>1.8E-3</v>
      </c>
      <c r="F189" s="26" t="str" cm="1">
        <f t="array" ref="F189">Common_InputFunctions.Utility_DisplayArrayInTable(Common_SourceData.Common_SourceData_EFN2O_Data(), Table_SourceData_Common_EFN2O[[#Headers],[Production system j]], 0)</f>
        <v>Pasture</v>
      </c>
      <c r="G189" s="26" t="str" cm="1">
        <f t="array" ref="G189">Common_InputFunctions.Utility_DisplayArrayInTable(Common_SourceData.Common_SourceData_EFN2O_Data(), Table_SourceData_Common_EFN2O[[#Headers],[Production system j]], 0)</f>
        <v>Not irrigated</v>
      </c>
      <c r="H189" s="2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6" t="str" cm="1">
        <f t="array" ref="D190">Common_InputFunctions.Utility_DisplayArrayInTable(Common_SourceData.Common_SourceData_EFN2O_Data(), Table_SourceData_Common_EFN2O[[#Headers],[Production system j]], 0)</f>
        <v>Non-irrigated pasture</v>
      </c>
      <c r="E190" s="26" cm="1">
        <f t="array" ref="E190">Common_InputFunctions.Utility_DisplayArrayInTable(Common_SourceData.Common_SourceData_EFN2O_Data(), Table_SourceData_Common_EFN2O[[#Headers],[Production system j]], 0)</f>
        <v>1.8E-3</v>
      </c>
      <c r="F190" s="26" t="str" cm="1">
        <f t="array" ref="F190">Common_InputFunctions.Utility_DisplayArrayInTable(Common_SourceData.Common_SourceData_EFN2O_Data(), Table_SourceData_Common_EFN2O[[#Headers],[Production system j]], 0)</f>
        <v>Pasture</v>
      </c>
      <c r="G190" s="26" t="str" cm="1">
        <f t="array" ref="G190">Common_InputFunctions.Utility_DisplayArrayInTable(Common_SourceData.Common_SourceData_EFN2O_Data(), Table_SourceData_Common_EFN2O[[#Headers],[Production system j]], 0)</f>
        <v>Not irrigated</v>
      </c>
      <c r="H190" s="2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6" t="str" cm="1">
        <f t="array" ref="D191">Common_InputFunctions.Utility_DisplayArrayInTable(Common_SourceData.Common_SourceData_EFN2O_Data(), Table_SourceData_Common_EFN2O[[#Headers],[Production system j]], 0)</f>
        <v>Non-irrigated crop (low rainfall)</v>
      </c>
      <c r="E191" s="26" cm="1">
        <f t="array" ref="E191">Common_InputFunctions.Utility_DisplayArrayInTable(Common_SourceData.Common_SourceData_EFN2O_Data(), Table_SourceData_Common_EFN2O[[#Headers],[Production system j]], 0)</f>
        <v>2.8999999999999998E-3</v>
      </c>
      <c r="F191" s="26" t="str" cm="1">
        <f t="array" ref="F191">Common_InputFunctions.Utility_DisplayArrayInTable(Common_SourceData.Common_SourceData_EFN2O_Data(), Table_SourceData_Common_EFN2O[[#Headers],[Production system j]], 0)</f>
        <v>Crop</v>
      </c>
      <c r="G191" s="26" t="str" cm="1">
        <f t="array" ref="G191">Common_InputFunctions.Utility_DisplayArrayInTable(Common_SourceData.Common_SourceData_EFN2O_Data(), Table_SourceData_Common_EFN2O[[#Headers],[Production system j]], 0)</f>
        <v>Not irrigated</v>
      </c>
      <c r="H191" s="2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6" t="str" cm="1">
        <f t="array" ref="D192">Common_InputFunctions.Utility_DisplayArrayInTable(Common_SourceData.Common_SourceData_EFN2O_Data(), Table_SourceData_Common_EFN2O[[#Headers],[Production system j]], 0)</f>
        <v>Non-irrigated crop (high rainfall)</v>
      </c>
      <c r="E192" s="26" cm="1">
        <f t="array" ref="E192">Common_InputFunctions.Utility_DisplayArrayInTable(Common_SourceData.Common_SourceData_EFN2O_Data(), Table_SourceData_Common_EFN2O[[#Headers],[Production system j]], 0)</f>
        <v>8.0000000000000002E-3</v>
      </c>
      <c r="F192" s="26" t="str" cm="1">
        <f t="array" ref="F192">Common_InputFunctions.Utility_DisplayArrayInTable(Common_SourceData.Common_SourceData_EFN2O_Data(), Table_SourceData_Common_EFN2O[[#Headers],[Production system j]], 0)</f>
        <v>Crop</v>
      </c>
      <c r="G192" s="26" t="str" cm="1">
        <f t="array" ref="G192">Common_InputFunctions.Utility_DisplayArrayInTable(Common_SourceData.Common_SourceData_EFN2O_Data(), Table_SourceData_Common_EFN2O[[#Headers],[Production system j]], 0)</f>
        <v>Not irrigated</v>
      </c>
      <c r="H192" s="2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6" t="str" cm="1">
        <f t="array" ref="D193">Common_InputFunctions.Utility_DisplayArrayInTable(Common_SourceData.Common_SourceData_EFN2O_Data(), Table_SourceData_Common_EFN2O[[#Headers],[Production system j]], 0)</f>
        <v>Sugar</v>
      </c>
      <c r="E193" s="26" cm="1">
        <f t="array" ref="E193">Common_InputFunctions.Utility_DisplayArrayInTable(Common_SourceData.Common_SourceData_EFN2O_Data(), Table_SourceData_Common_EFN2O[[#Headers],[Production system j]], 0)</f>
        <v>1.9900000000000001E-2</v>
      </c>
      <c r="F193" s="26" t="str" cm="1">
        <f t="array" ref="F193">Common_InputFunctions.Utility_DisplayArrayInTable(Common_SourceData.Common_SourceData_EFN2O_Data(), Table_SourceData_Common_EFN2O[[#Headers],[Production system j]], 0)</f>
        <v>Sugar</v>
      </c>
      <c r="G193" s="26" t="str" cm="1">
        <f t="array" ref="G193">Common_InputFunctions.Utility_DisplayArrayInTable(Common_SourceData.Common_SourceData_EFN2O_Data(), Table_SourceData_Common_EFN2O[[#Headers],[Production system j]], 0)</f>
        <v>Any</v>
      </c>
      <c r="H193" s="26" t="str" cm="1">
        <f t="array" ref="H193">Common_InputFunctions.Utility_DisplayArrayInTable(Common_SourceData.Common_SourceData_EFN2O_Data(), Table_SourceData_Common_EFN2O[[#Headers],[Production system j]], 0)</f>
        <v>Any</v>
      </c>
    </row>
    <row r="194" spans="4:8" ht="20.100000000000001" customHeight="1" x14ac:dyDescent="0.25">
      <c r="D194" s="26" t="str" cm="1">
        <f t="array" ref="D194">Common_InputFunctions.Utility_DisplayArrayInTable(Common_SourceData.Common_SourceData_EFN2O_Data(), Table_SourceData_Common_EFN2O[[#Headers],[Production system j]], 0)</f>
        <v>Cotton</v>
      </c>
      <c r="E194" s="26" cm="1">
        <f t="array" ref="E194">Common_InputFunctions.Utility_DisplayArrayInTable(Common_SourceData.Common_SourceData_EFN2O_Data(), Table_SourceData_Common_EFN2O[[#Headers],[Production system j]], 0)</f>
        <v>5.3E-3</v>
      </c>
      <c r="F194" s="26" t="str" cm="1">
        <f t="array" ref="F194">Common_InputFunctions.Utility_DisplayArrayInTable(Common_SourceData.Common_SourceData_EFN2O_Data(), Table_SourceData_Common_EFN2O[[#Headers],[Production system j]], 0)</f>
        <v>Cotton</v>
      </c>
      <c r="G194" s="26" t="str" cm="1">
        <f t="array" ref="G194">Common_InputFunctions.Utility_DisplayArrayInTable(Common_SourceData.Common_SourceData_EFN2O_Data(), Table_SourceData_Common_EFN2O[[#Headers],[Production system j]], 0)</f>
        <v>Any</v>
      </c>
      <c r="H194" s="26" t="str" cm="1">
        <f t="array" ref="H194">Common_InputFunctions.Utility_DisplayArrayInTable(Common_SourceData.Common_SourceData_EFN2O_Data(), Table_SourceData_Common_EFN2O[[#Headers],[Production system j]], 0)</f>
        <v>Any</v>
      </c>
    </row>
    <row r="195" spans="4:8" ht="20.100000000000001" customHeight="1" x14ac:dyDescent="0.25">
      <c r="D195" s="26" t="str" cm="1">
        <f t="array" ref="D195">Common_InputFunctions.Utility_DisplayArrayInTable(Common_SourceData.Common_SourceData_EFN2O_Data(), Table_SourceData_Common_EFN2O[[#Headers],[Production system j]], 0)</f>
        <v>Horticultural crops</v>
      </c>
      <c r="E195" s="26" cm="1">
        <f t="array" ref="E195">Common_InputFunctions.Utility_DisplayArrayInTable(Common_SourceData.Common_SourceData_EFN2O_Data(), Table_SourceData_Common_EFN2O[[#Headers],[Production system j]], 0)</f>
        <v>6.4000000000000003E-3</v>
      </c>
      <c r="F195" s="26" t="str" cm="1">
        <f t="array" ref="F195">Common_InputFunctions.Utility_DisplayArrayInTable(Common_SourceData.Common_SourceData_EFN2O_Data(), Table_SourceData_Common_EFN2O[[#Headers],[Production system j]], 0)</f>
        <v>Horticultural crops</v>
      </c>
      <c r="G195" s="26" t="str" cm="1">
        <f t="array" ref="G195">Common_InputFunctions.Utility_DisplayArrayInTable(Common_SourceData.Common_SourceData_EFN2O_Data(), Table_SourceData_Common_EFN2O[[#Headers],[Production system j]], 0)</f>
        <v>Any</v>
      </c>
      <c r="H195" s="26" t="str" cm="1">
        <f t="array" ref="H195">Common_InputFunctions.Utility_DisplayArrayInTable(Common_SourceData.Common_SourceData_EFN2O_Data(), Table_SourceData_Common_EFN2O[[#Headers],[Production system j]], 0)</f>
        <v>Any</v>
      </c>
    </row>
    <row r="196" spans="4:8" ht="20.100000000000001" customHeight="1" x14ac:dyDescent="0.25">
      <c r="D196" s="26" t="str" cm="1">
        <f t="array" ref="D196">Common_InputFunctions.Utility_DisplayArrayInTable(Common_SourceData.Common_SourceData_EFN2O_Data(), Table_SourceData_Common_EFN2O[[#Headers],[Production system j]], 0)</f>
        <v>Rice (continuous flooding)</v>
      </c>
      <c r="E196" s="26" cm="1">
        <f t="array" ref="E196">Common_InputFunctions.Utility_DisplayArrayInTable(Common_SourceData.Common_SourceData_EFN2O_Data(), Table_SourceData_Common_EFN2O[[#Headers],[Production system j]], 0)</f>
        <v>3.0000000000000001E-3</v>
      </c>
      <c r="F196" s="26" t="str" cm="1">
        <f t="array" ref="F196">Common_InputFunctions.Utility_DisplayArrayInTable(Common_SourceData.Common_SourceData_EFN2O_Data(), Table_SourceData_Common_EFN2O[[#Headers],[Production system j]], 0)</f>
        <v>Rice</v>
      </c>
      <c r="G196" s="26" t="str" cm="1">
        <f t="array" ref="G196">Common_InputFunctions.Utility_DisplayArrayInTable(Common_SourceData.Common_SourceData_EFN2O_Data(), Table_SourceData_Common_EFN2O[[#Headers],[Production system j]], 0)</f>
        <v>Continuous flooding</v>
      </c>
      <c r="H196" s="26" t="str" cm="1">
        <f t="array" ref="H196">Common_InputFunctions.Utility_DisplayArrayInTable(Common_SourceData.Common_SourceData_EFN2O_Data(), Table_SourceData_Common_EFN2O[[#Headers],[Production system j]], 0)</f>
        <v>Any</v>
      </c>
    </row>
    <row r="197" spans="4:8" x14ac:dyDescent="0.25">
      <c r="D197" s="26" t="str" cm="1">
        <f t="array" ref="D197">Common_InputFunctions.Utility_DisplayArrayInTable(Common_SourceData.Common_SourceData_EFN2O_Data(), Table_SourceData_Common_EFN2O[[#Headers],[Production system j]], 0)</f>
        <v>Rice (single and multiple drainage, or alternate wetting and drying)</v>
      </c>
      <c r="E197" s="26" cm="1">
        <f t="array" ref="E197">Common_InputFunctions.Utility_DisplayArrayInTable(Common_SourceData.Common_SourceData_EFN2O_Data(), Table_SourceData_Common_EFN2O[[#Headers],[Production system j]], 0)</f>
        <v>5.0000000000000001E-3</v>
      </c>
      <c r="F197" s="26" t="str" cm="1">
        <f t="array" ref="F197">Common_InputFunctions.Utility_DisplayArrayInTable(Common_SourceData.Common_SourceData_EFN2O_Data(), Table_SourceData_Common_EFN2O[[#Headers],[Production system j]], 0)</f>
        <v>Rice</v>
      </c>
      <c r="G197" s="26" t="str" cm="1">
        <f t="array" ref="G197">Common_InputFunctions.Utility_DisplayArrayInTable(Common_SourceData.Common_SourceData_EFN2O_Data(), Table_SourceData_Common_EFN2O[[#Headers],[Production system j]], 0)</f>
        <v>Single and multiple drainage, or alternate wetting and drying</v>
      </c>
      <c r="H197" s="26" t="str" cm="1">
        <f t="array" ref="H197">Common_InputFunctions.Utility_DisplayArrayInTable(Common_SourceData.Common_SourceData_EFN2O_Data(), Table_SourceData_Common_EFN2O[[#Headers],[Production system j]], 0)</f>
        <v>Any</v>
      </c>
    </row>
    <row r="198" spans="4:8" x14ac:dyDescent="0.25">
      <c r="D198" s="26" t="str" cm="1">
        <f t="array" ref="D198">Common_InputFunctions.Utility_DisplayArrayInTable(Common_SourceData.Common_SourceData_EFN2O_Data(), Table_SourceData_Common_EFN2O[[#Headers],[Production system j]], 0)</f>
        <v>Aquaculture</v>
      </c>
      <c r="E198" s="26" cm="1">
        <f t="array" ref="E198">Common_InputFunctions.Utility_DisplayArrayInTable(Common_SourceData.Common_SourceData_EFN2O_Data(), Table_SourceData_Common_EFN2O[[#Headers],[Production system j]], 0)</f>
        <v>2.5999999999999999E-3</v>
      </c>
      <c r="F198" s="26" t="str" cm="1">
        <f t="array" ref="F198">Common_InputFunctions.Utility_DisplayArrayInTable(Common_SourceData.Common_SourceData_EFN2O_Data(), Table_SourceData_Common_EFN2O[[#Headers],[Production system j]], 0)</f>
        <v>Aquaculture</v>
      </c>
      <c r="G198" s="26" t="str" cm="1">
        <f t="array" ref="G198">Common_InputFunctions.Utility_DisplayArrayInTable(Common_SourceData.Common_SourceData_EFN2O_Data(), Table_SourceData_Common_EFN2O[[#Headers],[Production system j]], 0)</f>
        <v>Any</v>
      </c>
      <c r="H198" s="26" t="str" cm="1">
        <f t="array" ref="H198">Common_InputFunctions.Utility_DisplayArrayInTable(Common_SourceData.Common_SourceData_EFN2O_Data(), Table_SourceData_Common_EFN2O[[#Headers],[Production system j]], 0)</f>
        <v>Any</v>
      </c>
    </row>
    <row r="199" spans="4:8" x14ac:dyDescent="0.25">
      <c r="D199" s="26" t="str" cm="1">
        <f t="array" ref="D199">Common_InputFunctions.Utility_DisplayArrayInTable(Common_SourceData.Common_SourceData_EFN2O_Data(), Table_SourceData_Common_EFN2O[[#Headers],[Production system j]], 0)</f>
        <v>Forestry</v>
      </c>
      <c r="E199" s="26" cm="1">
        <f t="array" ref="E199">Common_InputFunctions.Utility_DisplayArrayInTable(Common_SourceData.Common_SourceData_EFN2O_Data(), Table_SourceData_Common_EFN2O[[#Headers],[Production system j]], 0)</f>
        <v>1.8E-3</v>
      </c>
      <c r="F199" s="26" t="str" cm="1">
        <f t="array" ref="F199">Common_InputFunctions.Utility_DisplayArrayInTable(Common_SourceData.Common_SourceData_EFN2O_Data(), Table_SourceData_Common_EFN2O[[#Headers],[Production system j]], 0)</f>
        <v>Forestry</v>
      </c>
      <c r="G199" s="26" t="str" cm="1">
        <f t="array" ref="G199">Common_InputFunctions.Utility_DisplayArrayInTable(Common_SourceData.Common_SourceData_EFN2O_Data(), Table_SourceData_Common_EFN2O[[#Headers],[Production system j]], 0)</f>
        <v>Any</v>
      </c>
      <c r="H199" s="26" t="str" cm="1">
        <f t="array" ref="H199">Common_InputFunctions.Utility_DisplayArrayInTable(Common_SourceData.Common_SourceData_EFN2O_Data(), Table_SourceData_Common_EFN2O[[#Headers],[Production system j]], 0)</f>
        <v>Any</v>
      </c>
    </row>
    <row r="202" spans="4:8" ht="23.25" x14ac:dyDescent="0.25">
      <c r="D202" s="5" t="str" cm="1">
        <f t="array" ref="D202">Common_SourceData.Common_SourceData_EFPastureRangeAndPaddock_Title()</f>
        <v>Emission factor for urine and dung deposited on pasture, range or paddock</v>
      </c>
    </row>
    <row r="203" spans="4:8" x14ac:dyDescent="0.25">
      <c r="D203" s="4" t="str" cm="1">
        <f t="array" ref="D203">Common_SourceData.Common_SourceData_EFPastureRangeAndPaddock_Source()</f>
        <v>VEERG 2026: Table A.2.2.2</v>
      </c>
    </row>
    <row r="204" spans="4:8" x14ac:dyDescent="0.25">
      <c r="D204" s="31" t="str" cm="1">
        <f t="array" ref="D204">Common_SourceData.Common_SourceData_EFPastureRangeAndPaddock_Variation()</f>
        <v>VARIATION FROM SOURCE DATA: Changed 'Dry climate zones' to singular 'Dry climate zone' to aid lookup.</v>
      </c>
    </row>
    <row r="205" spans="4:8" x14ac:dyDescent="0.25">
      <c r="D205" s="30" t="str" cm="1">
        <f t="array" ref="D205">Common_SourceData.Common_SourceData_EFPastureRangeAndPaddock_Unit()</f>
        <v>kg N2O - N / kg N</v>
      </c>
    </row>
    <row r="206" spans="4:8" x14ac:dyDescent="0.25">
      <c r="D206" s="26" t="s">
        <v>4</v>
      </c>
      <c r="E206" s="26" t="s">
        <v>60</v>
      </c>
    </row>
    <row r="207" spans="4:8" x14ac:dyDescent="0.25">
      <c r="D207" s="26" t="str" cm="1">
        <f t="array" ref="D207">Common_InputFunctions.Utility_DisplayArrayInTable(Common_SourceData.Common_SourceData_EFPastureRangeAndPaddock_Data(), Table_SourceData_EFPastureRangeAndPaddock[[#Headers],[Climate zone]], 0)</f>
        <v>Wet climate zone</v>
      </c>
      <c r="E207" s="2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6" t="s">
        <v>57</v>
      </c>
      <c r="E212" s="26" t="s">
        <v>63</v>
      </c>
    </row>
    <row r="213" spans="4:5" x14ac:dyDescent="0.25">
      <c r="D213" s="26" t="str" cm="1">
        <f t="array" ref="D213">Common_InputFunctions.Utility_DisplayArrayInTable(Common_SourceData.Common_SourceData_MonthsToSeasons_Data(), Table_SourceData_Common_MonthToSeason[[#Headers],[Month]], 0)</f>
        <v>January</v>
      </c>
      <c r="E213" s="2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6" t="str" cm="1">
        <f t="array" ref="E224">Common_InputFunctions.Utility_DisplayArrayInTable(Common_SourceData.Common_SourceData_MonthsToSeasons_Data(), Table_SourceData_Common_MonthToSeason[[#Headers],[Month]], 0)</f>
        <v>Summer</v>
      </c>
    </row>
    <row r="227" spans="4:19" ht="23.25" x14ac:dyDescent="0.25">
      <c r="D227" s="5" t="str" cm="1">
        <f t="array" ref="D227">Common_SourceData.Common_SourceData_MCFTemperatureZone_Title()</f>
        <v>Manure Management – Methane conversion factor per temperature zone (fraction) (MCFim)</v>
      </c>
    </row>
    <row r="228" spans="4:19" x14ac:dyDescent="0.25">
      <c r="D228" s="4" t="str" cm="1">
        <f t="array" ref="D228">Common_SourceData.Common_SourceData_MCFTemperatureZone_Source()</f>
        <v>VEERG 2026: Table A.1.8.1</v>
      </c>
    </row>
    <row r="229" spans="4:19" x14ac:dyDescent="0.25">
      <c r="D229" s="31"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6" t="s">
        <v>35</v>
      </c>
      <c r="E231" s="26" t="s">
        <v>71</v>
      </c>
      <c r="F231" s="25" t="s">
        <v>72</v>
      </c>
      <c r="G231" s="26" t="s">
        <v>67</v>
      </c>
      <c r="H231" s="26" t="s">
        <v>73</v>
      </c>
      <c r="I231" s="26" t="s">
        <v>74</v>
      </c>
      <c r="J231" s="26" t="s">
        <v>66</v>
      </c>
      <c r="K231" s="26" t="s">
        <v>65</v>
      </c>
      <c r="L231" s="26" t="s">
        <v>75</v>
      </c>
      <c r="M231" s="26" t="s">
        <v>76</v>
      </c>
      <c r="N231" s="26" t="s">
        <v>64</v>
      </c>
      <c r="O231" s="26" t="s">
        <v>77</v>
      </c>
      <c r="P231" s="26" t="s">
        <v>69</v>
      </c>
      <c r="Q231" s="26" t="s">
        <v>70</v>
      </c>
      <c r="R231" s="26" t="s">
        <v>68</v>
      </c>
      <c r="S231" s="26" t="s">
        <v>78</v>
      </c>
    </row>
    <row r="232" spans="4:19" x14ac:dyDescent="0.25">
      <c r="D232" s="26" t="str" cm="1">
        <f t="array" ref="D232">Common_InputFunctions.Utility_DisplayArrayInTable(Common_SourceData.Common_SourceData_MCFTemperatureZone_Data(),Table_SourceData_Common_MCFTemperatureZone[[#Headers],[Temperature zone]],0)</f>
        <v>Cool</v>
      </c>
      <c r="E232" s="26" t="str" cm="1">
        <f t="array" ref="E232">Common_InputFunctions.Utility_DisplayArrayInTable(Common_SourceData.Common_SourceData_MCFTemperatureZone_Data(),Table_SourceData_Common_MCFTemperatureZone[[#Headers],[Temperature zone]],0)</f>
        <v>≤10</v>
      </c>
      <c r="F232" s="26" cm="1">
        <f t="array" ref="F232">Common_InputFunctions.Utility_DisplayArrayInTable(Common_SourceData.Common_SourceData_MCFTemperatureZone_Data(),Table_SourceData_Common_MCFTemperatureZone[[#Headers],[Temperature zone]],0)</f>
        <v>0.66</v>
      </c>
      <c r="G232" s="26" cm="1">
        <f t="array" ref="G232">Common_InputFunctions.Utility_DisplayArrayInTable(Common_SourceData.Common_SourceData_MCFTemperatureZone_Data(),Table_SourceData_Common_MCFTemperatureZone[[#Headers],[Temperature zone]],0)</f>
        <v>0.1</v>
      </c>
      <c r="H232" s="26" cm="1">
        <f t="array" ref="H232">Common_InputFunctions.Utility_DisplayArrayInTable(Common_SourceData.Common_SourceData_MCFTemperatureZone_Data(),Table_SourceData_Common_MCFTemperatureZone[[#Headers],[Temperature zone]],0)</f>
        <v>0.1</v>
      </c>
      <c r="I232" s="26" cm="1">
        <f t="array" ref="I232">Common_InputFunctions.Utility_DisplayArrayInTable(Common_SourceData.Common_SourceData_MCFTemperatureZone_Data(),Table_SourceData_Common_MCFTemperatureZone[[#Headers],[Temperature zone]],0)</f>
        <v>1E-3</v>
      </c>
      <c r="J232" s="26" cm="1">
        <f t="array" ref="J232">Common_InputFunctions.Utility_DisplayArrayInTable(Common_SourceData.Common_SourceData_MCFTemperatureZone_Data(),Table_SourceData_Common_MCFTemperatureZone[[#Headers],[Temperature zone]],0)</f>
        <v>5.0000000000000001E-3</v>
      </c>
      <c r="K232" s="26" cm="1">
        <f t="array" ref="K232">Common_InputFunctions.Utility_DisplayArrayInTable(Common_SourceData.Common_SourceData_MCFTemperatureZone_Data(),Table_SourceData_Common_MCFTemperatureZone[[#Headers],[Temperature zone]],0)</f>
        <v>0.02</v>
      </c>
      <c r="L232" s="26" cm="1">
        <f t="array" ref="L232">Common_InputFunctions.Utility_DisplayArrayInTable(Common_SourceData.Common_SourceData_MCFTemperatureZone_Data(),Table_SourceData_Common_MCFTemperatureZone[[#Headers],[Temperature zone]],0)</f>
        <v>0.03</v>
      </c>
      <c r="M232" s="26" cm="1">
        <f t="array" ref="M232">Common_InputFunctions.Utility_DisplayArrayInTable(Common_SourceData.Common_SourceData_MCFTemperatureZone_Data(),Table_SourceData_Common_MCFTemperatureZone[[#Headers],[Temperature zone]],0)</f>
        <v>0.04</v>
      </c>
      <c r="N232" s="26" cm="1">
        <f t="array" ref="N232">Common_InputFunctions.Utility_DisplayArrayInTable(Common_SourceData.Common_SourceData_MCFTemperatureZone_Data(),Table_SourceData_Common_MCFTemperatureZone[[#Headers],[Temperature zone]],0)</f>
        <v>1.4999999999999999E-2</v>
      </c>
      <c r="O232" s="26" cm="1">
        <f t="array" ref="O232">Common_InputFunctions.Utility_DisplayArrayInTable(Common_SourceData.Common_SourceData_MCFTemperatureZone_Data(),Table_SourceData_Common_MCFTemperatureZone[[#Headers],[Temperature zone]],0)</f>
        <v>1.4999999999999999E-2</v>
      </c>
      <c r="P232" s="26" cm="1">
        <f t="array" ref="P232">Common_InputFunctions.Utility_DisplayArrayInTable(Common_SourceData.Common_SourceData_MCFTemperatureZone_Data(),Table_SourceData_Common_MCFTemperatureZone[[#Headers],[Temperature zone]],0)</f>
        <v>0</v>
      </c>
      <c r="Q232" s="26" cm="1">
        <f t="array" ref="Q232">Common_InputFunctions.Utility_DisplayArrayInTable(Common_SourceData.Common_SourceData_MCFTemperatureZone_Data(),Table_SourceData_Common_MCFTemperatureZone[[#Headers],[Temperature zone]],0)</f>
        <v>0</v>
      </c>
      <c r="R232" s="26" cm="1">
        <f t="array" ref="R232">Common_InputFunctions.Utility_DisplayArrayInTable(Common_SourceData.Common_SourceData_MCFTemperatureZone_Data(),Table_SourceData_Common_MCFTemperatureZone[[#Headers],[Temperature zone]],0)</f>
        <v>4.7000000000000002E-3</v>
      </c>
      <c r="S232" s="2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6" cm="1">
        <f t="array" ref="E233">Common_InputFunctions.Utility_DisplayArrayInTable(Common_SourceData.Common_SourceData_MCFTemperatureZone_Data(),Table_SourceData_Common_MCFTemperatureZone[[#Headers],[Temperature zone]],0)</f>
        <v>11</v>
      </c>
      <c r="F233" s="26" cm="1">
        <f t="array" ref="F233">Common_InputFunctions.Utility_DisplayArrayInTable(Common_SourceData.Common_SourceData_MCFTemperatureZone_Data(),Table_SourceData_Common_MCFTemperatureZone[[#Headers],[Temperature zone]],0)</f>
        <v>0.68</v>
      </c>
      <c r="G233" s="26" cm="1">
        <f t="array" ref="G233">Common_InputFunctions.Utility_DisplayArrayInTable(Common_SourceData.Common_SourceData_MCFTemperatureZone_Data(),Table_SourceData_Common_MCFTemperatureZone[[#Headers],[Temperature zone]],0)</f>
        <v>0.1</v>
      </c>
      <c r="H233" s="26" cm="1">
        <f t="array" ref="H233">Common_InputFunctions.Utility_DisplayArrayInTable(Common_SourceData.Common_SourceData_MCFTemperatureZone_Data(),Table_SourceData_Common_MCFTemperatureZone[[#Headers],[Temperature zone]],0)</f>
        <v>0.11</v>
      </c>
      <c r="I233" s="26" cm="1">
        <f t="array" ref="I233">Common_InputFunctions.Utility_DisplayArrayInTable(Common_SourceData.Common_SourceData_MCFTemperatureZone_Data(),Table_SourceData_Common_MCFTemperatureZone[[#Headers],[Temperature zone]],0)</f>
        <v>1E-3</v>
      </c>
      <c r="J233" s="26" cm="1">
        <f t="array" ref="J233">Common_InputFunctions.Utility_DisplayArrayInTable(Common_SourceData.Common_SourceData_MCFTemperatureZone_Data(),Table_SourceData_Common_MCFTemperatureZone[[#Headers],[Temperature zone]],0)</f>
        <v>5.0000000000000001E-3</v>
      </c>
      <c r="K233" s="26" cm="1">
        <f t="array" ref="K233">Common_InputFunctions.Utility_DisplayArrayInTable(Common_SourceData.Common_SourceData_MCFTemperatureZone_Data(),Table_SourceData_Common_MCFTemperatureZone[[#Headers],[Temperature zone]],0)</f>
        <v>0.02</v>
      </c>
      <c r="L233" s="26" cm="1">
        <f t="array" ref="L233">Common_InputFunctions.Utility_DisplayArrayInTable(Common_SourceData.Common_SourceData_MCFTemperatureZone_Data(),Table_SourceData_Common_MCFTemperatureZone[[#Headers],[Temperature zone]],0)</f>
        <v>0.03</v>
      </c>
      <c r="M233" s="26" cm="1">
        <f t="array" ref="M233">Common_InputFunctions.Utility_DisplayArrayInTable(Common_SourceData.Common_SourceData_MCFTemperatureZone_Data(),Table_SourceData_Common_MCFTemperatureZone[[#Headers],[Temperature zone]],0)</f>
        <v>0.04</v>
      </c>
      <c r="N233" s="26" cm="1">
        <f t="array" ref="N233">Common_InputFunctions.Utility_DisplayArrayInTable(Common_SourceData.Common_SourceData_MCFTemperatureZone_Data(),Table_SourceData_Common_MCFTemperatureZone[[#Headers],[Temperature zone]],0)</f>
        <v>1.4999999999999999E-2</v>
      </c>
      <c r="O233" s="26" cm="1">
        <f t="array" ref="O233">Common_InputFunctions.Utility_DisplayArrayInTable(Common_SourceData.Common_SourceData_MCFTemperatureZone_Data(),Table_SourceData_Common_MCFTemperatureZone[[#Headers],[Temperature zone]],0)</f>
        <v>1.4999999999999999E-2</v>
      </c>
      <c r="P233" s="26" cm="1">
        <f t="array" ref="P233">Common_InputFunctions.Utility_DisplayArrayInTable(Common_SourceData.Common_SourceData_MCFTemperatureZone_Data(),Table_SourceData_Common_MCFTemperatureZone[[#Headers],[Temperature zone]],0)</f>
        <v>0</v>
      </c>
      <c r="Q233" s="26" cm="1">
        <f t="array" ref="Q233">Common_InputFunctions.Utility_DisplayArrayInTable(Common_SourceData.Common_SourceData_MCFTemperatureZone_Data(),Table_SourceData_Common_MCFTemperatureZone[[#Headers],[Temperature zone]],0)</f>
        <v>0</v>
      </c>
      <c r="R233" s="26" cm="1">
        <f t="array" ref="R233">Common_InputFunctions.Utility_DisplayArrayInTable(Common_SourceData.Common_SourceData_MCFTemperatureZone_Data(),Table_SourceData_Common_MCFTemperatureZone[[#Headers],[Temperature zone]],0)</f>
        <v>4.7000000000000002E-3</v>
      </c>
      <c r="S233" s="2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6" cm="1">
        <f t="array" ref="E234">Common_InputFunctions.Utility_DisplayArrayInTable(Common_SourceData.Common_SourceData_MCFTemperatureZone_Data(),Table_SourceData_Common_MCFTemperatureZone[[#Headers],[Temperature zone]],0)</f>
        <v>12</v>
      </c>
      <c r="F234" s="26" cm="1">
        <f t="array" ref="F234">Common_InputFunctions.Utility_DisplayArrayInTable(Common_SourceData.Common_SourceData_MCFTemperatureZone_Data(),Table_SourceData_Common_MCFTemperatureZone[[#Headers],[Temperature zone]],0)</f>
        <v>0.7</v>
      </c>
      <c r="G234" s="26" cm="1">
        <f t="array" ref="G234">Common_InputFunctions.Utility_DisplayArrayInTable(Common_SourceData.Common_SourceData_MCFTemperatureZone_Data(),Table_SourceData_Common_MCFTemperatureZone[[#Headers],[Temperature zone]],0)</f>
        <v>0.1</v>
      </c>
      <c r="H234" s="26" cm="1">
        <f t="array" ref="H234">Common_InputFunctions.Utility_DisplayArrayInTable(Common_SourceData.Common_SourceData_MCFTemperatureZone_Data(),Table_SourceData_Common_MCFTemperatureZone[[#Headers],[Temperature zone]],0)</f>
        <v>0.13</v>
      </c>
      <c r="I234" s="26" cm="1">
        <f t="array" ref="I234">Common_InputFunctions.Utility_DisplayArrayInTable(Common_SourceData.Common_SourceData_MCFTemperatureZone_Data(),Table_SourceData_Common_MCFTemperatureZone[[#Headers],[Temperature zone]],0)</f>
        <v>1E-3</v>
      </c>
      <c r="J234" s="26" cm="1">
        <f t="array" ref="J234">Common_InputFunctions.Utility_DisplayArrayInTable(Common_SourceData.Common_SourceData_MCFTemperatureZone_Data(),Table_SourceData_Common_MCFTemperatureZone[[#Headers],[Temperature zone]],0)</f>
        <v>5.0000000000000001E-3</v>
      </c>
      <c r="K234" s="26" cm="1">
        <f t="array" ref="K234">Common_InputFunctions.Utility_DisplayArrayInTable(Common_SourceData.Common_SourceData_MCFTemperatureZone_Data(),Table_SourceData_Common_MCFTemperatureZone[[#Headers],[Temperature zone]],0)</f>
        <v>0.02</v>
      </c>
      <c r="L234" s="26" cm="1">
        <f t="array" ref="L234">Common_InputFunctions.Utility_DisplayArrayInTable(Common_SourceData.Common_SourceData_MCFTemperatureZone_Data(),Table_SourceData_Common_MCFTemperatureZone[[#Headers],[Temperature zone]],0)</f>
        <v>0.03</v>
      </c>
      <c r="M234" s="26" cm="1">
        <f t="array" ref="M234">Common_InputFunctions.Utility_DisplayArrayInTable(Common_SourceData.Common_SourceData_MCFTemperatureZone_Data(),Table_SourceData_Common_MCFTemperatureZone[[#Headers],[Temperature zone]],0)</f>
        <v>0.04</v>
      </c>
      <c r="N234" s="26" cm="1">
        <f t="array" ref="N234">Common_InputFunctions.Utility_DisplayArrayInTable(Common_SourceData.Common_SourceData_MCFTemperatureZone_Data(),Table_SourceData_Common_MCFTemperatureZone[[#Headers],[Temperature zone]],0)</f>
        <v>1.4999999999999999E-2</v>
      </c>
      <c r="O234" s="26" cm="1">
        <f t="array" ref="O234">Common_InputFunctions.Utility_DisplayArrayInTable(Common_SourceData.Common_SourceData_MCFTemperatureZone_Data(),Table_SourceData_Common_MCFTemperatureZone[[#Headers],[Temperature zone]],0)</f>
        <v>1.4999999999999999E-2</v>
      </c>
      <c r="P234" s="26" cm="1">
        <f t="array" ref="P234">Common_InputFunctions.Utility_DisplayArrayInTable(Common_SourceData.Common_SourceData_MCFTemperatureZone_Data(),Table_SourceData_Common_MCFTemperatureZone[[#Headers],[Temperature zone]],0)</f>
        <v>0</v>
      </c>
      <c r="Q234" s="26" cm="1">
        <f t="array" ref="Q234">Common_InputFunctions.Utility_DisplayArrayInTable(Common_SourceData.Common_SourceData_MCFTemperatureZone_Data(),Table_SourceData_Common_MCFTemperatureZone[[#Headers],[Temperature zone]],0)</f>
        <v>0</v>
      </c>
      <c r="R234" s="26" cm="1">
        <f t="array" ref="R234">Common_InputFunctions.Utility_DisplayArrayInTable(Common_SourceData.Common_SourceData_MCFTemperatureZone_Data(),Table_SourceData_Common_MCFTemperatureZone[[#Headers],[Temperature zone]],0)</f>
        <v>4.7000000000000002E-3</v>
      </c>
      <c r="S234" s="2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6" cm="1">
        <f t="array" ref="E235">Common_InputFunctions.Utility_DisplayArrayInTable(Common_SourceData.Common_SourceData_MCFTemperatureZone_Data(),Table_SourceData_Common_MCFTemperatureZone[[#Headers],[Temperature zone]],0)</f>
        <v>13</v>
      </c>
      <c r="F235" s="26" cm="1">
        <f t="array" ref="F235">Common_InputFunctions.Utility_DisplayArrayInTable(Common_SourceData.Common_SourceData_MCFTemperatureZone_Data(),Table_SourceData_Common_MCFTemperatureZone[[#Headers],[Temperature zone]],0)</f>
        <v>0.71</v>
      </c>
      <c r="G235" s="26" cm="1">
        <f t="array" ref="G235">Common_InputFunctions.Utility_DisplayArrayInTable(Common_SourceData.Common_SourceData_MCFTemperatureZone_Data(),Table_SourceData_Common_MCFTemperatureZone[[#Headers],[Temperature zone]],0)</f>
        <v>0.1</v>
      </c>
      <c r="H235" s="26" cm="1">
        <f t="array" ref="H235">Common_InputFunctions.Utility_DisplayArrayInTable(Common_SourceData.Common_SourceData_MCFTemperatureZone_Data(),Table_SourceData_Common_MCFTemperatureZone[[#Headers],[Temperature zone]],0)</f>
        <v>0.14000000000000001</v>
      </c>
      <c r="I235" s="26" cm="1">
        <f t="array" ref="I235">Common_InputFunctions.Utility_DisplayArrayInTable(Common_SourceData.Common_SourceData_MCFTemperatureZone_Data(),Table_SourceData_Common_MCFTemperatureZone[[#Headers],[Temperature zone]],0)</f>
        <v>1E-3</v>
      </c>
      <c r="J235" s="26" cm="1">
        <f t="array" ref="J235">Common_InputFunctions.Utility_DisplayArrayInTable(Common_SourceData.Common_SourceData_MCFTemperatureZone_Data(),Table_SourceData_Common_MCFTemperatureZone[[#Headers],[Temperature zone]],0)</f>
        <v>5.0000000000000001E-3</v>
      </c>
      <c r="K235" s="26" cm="1">
        <f t="array" ref="K235">Common_InputFunctions.Utility_DisplayArrayInTable(Common_SourceData.Common_SourceData_MCFTemperatureZone_Data(),Table_SourceData_Common_MCFTemperatureZone[[#Headers],[Temperature zone]],0)</f>
        <v>0.02</v>
      </c>
      <c r="L235" s="26" cm="1">
        <f t="array" ref="L235">Common_InputFunctions.Utility_DisplayArrayInTable(Common_SourceData.Common_SourceData_MCFTemperatureZone_Data(),Table_SourceData_Common_MCFTemperatureZone[[#Headers],[Temperature zone]],0)</f>
        <v>0.03</v>
      </c>
      <c r="M235" s="26" cm="1">
        <f t="array" ref="M235">Common_InputFunctions.Utility_DisplayArrayInTable(Common_SourceData.Common_SourceData_MCFTemperatureZone_Data(),Table_SourceData_Common_MCFTemperatureZone[[#Headers],[Temperature zone]],0)</f>
        <v>0.04</v>
      </c>
      <c r="N235" s="26" cm="1">
        <f t="array" ref="N235">Common_InputFunctions.Utility_DisplayArrayInTable(Common_SourceData.Common_SourceData_MCFTemperatureZone_Data(),Table_SourceData_Common_MCFTemperatureZone[[#Headers],[Temperature zone]],0)</f>
        <v>1.4999999999999999E-2</v>
      </c>
      <c r="O235" s="26" cm="1">
        <f t="array" ref="O235">Common_InputFunctions.Utility_DisplayArrayInTable(Common_SourceData.Common_SourceData_MCFTemperatureZone_Data(),Table_SourceData_Common_MCFTemperatureZone[[#Headers],[Temperature zone]],0)</f>
        <v>1.4999999999999999E-2</v>
      </c>
      <c r="P235" s="26" cm="1">
        <f t="array" ref="P235">Common_InputFunctions.Utility_DisplayArrayInTable(Common_SourceData.Common_SourceData_MCFTemperatureZone_Data(),Table_SourceData_Common_MCFTemperatureZone[[#Headers],[Temperature zone]],0)</f>
        <v>0</v>
      </c>
      <c r="Q235" s="26" cm="1">
        <f t="array" ref="Q235">Common_InputFunctions.Utility_DisplayArrayInTable(Common_SourceData.Common_SourceData_MCFTemperatureZone_Data(),Table_SourceData_Common_MCFTemperatureZone[[#Headers],[Temperature zone]],0)</f>
        <v>0</v>
      </c>
      <c r="R235" s="26" cm="1">
        <f t="array" ref="R235">Common_InputFunctions.Utility_DisplayArrayInTable(Common_SourceData.Common_SourceData_MCFTemperatureZone_Data(),Table_SourceData_Common_MCFTemperatureZone[[#Headers],[Temperature zone]],0)</f>
        <v>4.7000000000000002E-3</v>
      </c>
      <c r="S235" s="2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6" cm="1">
        <f t="array" ref="E236">Common_InputFunctions.Utility_DisplayArrayInTable(Common_SourceData.Common_SourceData_MCFTemperatureZone_Data(),Table_SourceData_Common_MCFTemperatureZone[[#Headers],[Temperature zone]],0)</f>
        <v>14</v>
      </c>
      <c r="F236" s="26" cm="1">
        <f t="array" ref="F236">Common_InputFunctions.Utility_DisplayArrayInTable(Common_SourceData.Common_SourceData_MCFTemperatureZone_Data(),Table_SourceData_Common_MCFTemperatureZone[[#Headers],[Temperature zone]],0)</f>
        <v>0.73</v>
      </c>
      <c r="G236" s="26" cm="1">
        <f t="array" ref="G236">Common_InputFunctions.Utility_DisplayArrayInTable(Common_SourceData.Common_SourceData_MCFTemperatureZone_Data(),Table_SourceData_Common_MCFTemperatureZone[[#Headers],[Temperature zone]],0)</f>
        <v>0.1</v>
      </c>
      <c r="H236" s="26" cm="1">
        <f t="array" ref="H236">Common_InputFunctions.Utility_DisplayArrayInTable(Common_SourceData.Common_SourceData_MCFTemperatureZone_Data(),Table_SourceData_Common_MCFTemperatureZone[[#Headers],[Temperature zone]],0)</f>
        <v>0.15</v>
      </c>
      <c r="I236" s="26" cm="1">
        <f t="array" ref="I236">Common_InputFunctions.Utility_DisplayArrayInTable(Common_SourceData.Common_SourceData_MCFTemperatureZone_Data(),Table_SourceData_Common_MCFTemperatureZone[[#Headers],[Temperature zone]],0)</f>
        <v>1E-3</v>
      </c>
      <c r="J236" s="26" cm="1">
        <f t="array" ref="J236">Common_InputFunctions.Utility_DisplayArrayInTable(Common_SourceData.Common_SourceData_MCFTemperatureZone_Data(),Table_SourceData_Common_MCFTemperatureZone[[#Headers],[Temperature zone]],0)</f>
        <v>5.0000000000000001E-3</v>
      </c>
      <c r="K236" s="26" cm="1">
        <f t="array" ref="K236">Common_InputFunctions.Utility_DisplayArrayInTable(Common_SourceData.Common_SourceData_MCFTemperatureZone_Data(),Table_SourceData_Common_MCFTemperatureZone[[#Headers],[Temperature zone]],0)</f>
        <v>0.02</v>
      </c>
      <c r="L236" s="26" cm="1">
        <f t="array" ref="L236">Common_InputFunctions.Utility_DisplayArrayInTable(Common_SourceData.Common_SourceData_MCFTemperatureZone_Data(),Table_SourceData_Common_MCFTemperatureZone[[#Headers],[Temperature zone]],0)</f>
        <v>0.03</v>
      </c>
      <c r="M236" s="26" cm="1">
        <f t="array" ref="M236">Common_InputFunctions.Utility_DisplayArrayInTable(Common_SourceData.Common_SourceData_MCFTemperatureZone_Data(),Table_SourceData_Common_MCFTemperatureZone[[#Headers],[Temperature zone]],0)</f>
        <v>0.04</v>
      </c>
      <c r="N236" s="26" cm="1">
        <f t="array" ref="N236">Common_InputFunctions.Utility_DisplayArrayInTable(Common_SourceData.Common_SourceData_MCFTemperatureZone_Data(),Table_SourceData_Common_MCFTemperatureZone[[#Headers],[Temperature zone]],0)</f>
        <v>1.4999999999999999E-2</v>
      </c>
      <c r="O236" s="26" cm="1">
        <f t="array" ref="O236">Common_InputFunctions.Utility_DisplayArrayInTable(Common_SourceData.Common_SourceData_MCFTemperatureZone_Data(),Table_SourceData_Common_MCFTemperatureZone[[#Headers],[Temperature zone]],0)</f>
        <v>1.4999999999999999E-2</v>
      </c>
      <c r="P236" s="26" cm="1">
        <f t="array" ref="P236">Common_InputFunctions.Utility_DisplayArrayInTable(Common_SourceData.Common_SourceData_MCFTemperatureZone_Data(),Table_SourceData_Common_MCFTemperatureZone[[#Headers],[Temperature zone]],0)</f>
        <v>0</v>
      </c>
      <c r="Q236" s="26" cm="1">
        <f t="array" ref="Q236">Common_InputFunctions.Utility_DisplayArrayInTable(Common_SourceData.Common_SourceData_MCFTemperatureZone_Data(),Table_SourceData_Common_MCFTemperatureZone[[#Headers],[Temperature zone]],0)</f>
        <v>0</v>
      </c>
      <c r="R236" s="26" cm="1">
        <f t="array" ref="R236">Common_InputFunctions.Utility_DisplayArrayInTable(Common_SourceData.Common_SourceData_MCFTemperatureZone_Data(),Table_SourceData_Common_MCFTemperatureZone[[#Headers],[Temperature zone]],0)</f>
        <v>4.7000000000000002E-3</v>
      </c>
      <c r="S236" s="2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6" cm="1">
        <f t="array" ref="E237">Common_InputFunctions.Utility_DisplayArrayInTable(Common_SourceData.Common_SourceData_MCFTemperatureZone_Data(),Table_SourceData_Common_MCFTemperatureZone[[#Headers],[Temperature zone]],0)</f>
        <v>15</v>
      </c>
      <c r="F237" s="26" cm="1">
        <f t="array" ref="F237">Common_InputFunctions.Utility_DisplayArrayInTable(Common_SourceData.Common_SourceData_MCFTemperatureZone_Data(),Table_SourceData_Common_MCFTemperatureZone[[#Headers],[Temperature zone]],0)</f>
        <v>0.74</v>
      </c>
      <c r="G237" s="26" cm="1">
        <f t="array" ref="G237">Common_InputFunctions.Utility_DisplayArrayInTable(Common_SourceData.Common_SourceData_MCFTemperatureZone_Data(),Table_SourceData_Common_MCFTemperatureZone[[#Headers],[Temperature zone]],0)</f>
        <v>0.1</v>
      </c>
      <c r="H237" s="26" cm="1">
        <f t="array" ref="H237">Common_InputFunctions.Utility_DisplayArrayInTable(Common_SourceData.Common_SourceData_MCFTemperatureZone_Data(),Table_SourceData_Common_MCFTemperatureZone[[#Headers],[Temperature zone]],0)</f>
        <v>0.17</v>
      </c>
      <c r="I237" s="26" cm="1">
        <f t="array" ref="I237">Common_InputFunctions.Utility_DisplayArrayInTable(Common_SourceData.Common_SourceData_MCFTemperatureZone_Data(),Table_SourceData_Common_MCFTemperatureZone[[#Headers],[Temperature zone]],0)</f>
        <v>5.0000000000000001E-3</v>
      </c>
      <c r="J237" s="26" cm="1">
        <f t="array" ref="J237">Common_InputFunctions.Utility_DisplayArrayInTable(Common_SourceData.Common_SourceData_MCFTemperatureZone_Data(),Table_SourceData_Common_MCFTemperatureZone[[#Headers],[Temperature zone]],0)</f>
        <v>0.01</v>
      </c>
      <c r="K237" s="26" cm="1">
        <f t="array" ref="K237">Common_InputFunctions.Utility_DisplayArrayInTable(Common_SourceData.Common_SourceData_MCFTemperatureZone_Data(),Table_SourceData_Common_MCFTemperatureZone[[#Headers],[Temperature zone]],0)</f>
        <v>0.02</v>
      </c>
      <c r="L237" s="26" cm="1">
        <f t="array" ref="L237">Common_InputFunctions.Utility_DisplayArrayInTable(Common_SourceData.Common_SourceData_MCFTemperatureZone_Data(),Table_SourceData_Common_MCFTemperatureZone[[#Headers],[Temperature zone]],0)</f>
        <v>0.03</v>
      </c>
      <c r="M237" s="26" cm="1">
        <f t="array" ref="M237">Common_InputFunctions.Utility_DisplayArrayInTable(Common_SourceData.Common_SourceData_MCFTemperatureZone_Data(),Table_SourceData_Common_MCFTemperatureZone[[#Headers],[Temperature zone]],0)</f>
        <v>0.04</v>
      </c>
      <c r="N237" s="26" cm="1">
        <f t="array" ref="N237">Common_InputFunctions.Utility_DisplayArrayInTable(Common_SourceData.Common_SourceData_MCFTemperatureZone_Data(),Table_SourceData_Common_MCFTemperatureZone[[#Headers],[Temperature zone]],0)</f>
        <v>1.4999999999999999E-2</v>
      </c>
      <c r="O237" s="26" cm="1">
        <f t="array" ref="O237">Common_InputFunctions.Utility_DisplayArrayInTable(Common_SourceData.Common_SourceData_MCFTemperatureZone_Data(),Table_SourceData_Common_MCFTemperatureZone[[#Headers],[Temperature zone]],0)</f>
        <v>1.4999999999999999E-2</v>
      </c>
      <c r="P237" s="26" cm="1">
        <f t="array" ref="P237">Common_InputFunctions.Utility_DisplayArrayInTable(Common_SourceData.Common_SourceData_MCFTemperatureZone_Data(),Table_SourceData_Common_MCFTemperatureZone[[#Headers],[Temperature zone]],0)</f>
        <v>0</v>
      </c>
      <c r="Q237" s="26" cm="1">
        <f t="array" ref="Q237">Common_InputFunctions.Utility_DisplayArrayInTable(Common_SourceData.Common_SourceData_MCFTemperatureZone_Data(),Table_SourceData_Common_MCFTemperatureZone[[#Headers],[Temperature zone]],0)</f>
        <v>0</v>
      </c>
      <c r="R237" s="26" cm="1">
        <f t="array" ref="R237">Common_InputFunctions.Utility_DisplayArrayInTable(Common_SourceData.Common_SourceData_MCFTemperatureZone_Data(),Table_SourceData_Common_MCFTemperatureZone[[#Headers],[Temperature zone]],0)</f>
        <v>4.7000000000000002E-3</v>
      </c>
      <c r="S237" s="2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6" cm="1">
        <f t="array" ref="E238">Common_InputFunctions.Utility_DisplayArrayInTable(Common_SourceData.Common_SourceData_MCFTemperatureZone_Data(),Table_SourceData_Common_MCFTemperatureZone[[#Headers],[Temperature zone]],0)</f>
        <v>16</v>
      </c>
      <c r="F238" s="26" cm="1">
        <f t="array" ref="F238">Common_InputFunctions.Utility_DisplayArrayInTable(Common_SourceData.Common_SourceData_MCFTemperatureZone_Data(),Table_SourceData_Common_MCFTemperatureZone[[#Headers],[Temperature zone]],0)</f>
        <v>0.75</v>
      </c>
      <c r="G238" s="26" cm="1">
        <f t="array" ref="G238">Common_InputFunctions.Utility_DisplayArrayInTable(Common_SourceData.Common_SourceData_MCFTemperatureZone_Data(),Table_SourceData_Common_MCFTemperatureZone[[#Headers],[Temperature zone]],0)</f>
        <v>0.1</v>
      </c>
      <c r="H238" s="26" cm="1">
        <f t="array" ref="H238">Common_InputFunctions.Utility_DisplayArrayInTable(Common_SourceData.Common_SourceData_MCFTemperatureZone_Data(),Table_SourceData_Common_MCFTemperatureZone[[#Headers],[Temperature zone]],0)</f>
        <v>0.18</v>
      </c>
      <c r="I238" s="26" cm="1">
        <f t="array" ref="I238">Common_InputFunctions.Utility_DisplayArrayInTable(Common_SourceData.Common_SourceData_MCFTemperatureZone_Data(),Table_SourceData_Common_MCFTemperatureZone[[#Headers],[Temperature zone]],0)</f>
        <v>5.0000000000000001E-3</v>
      </c>
      <c r="J238" s="26" cm="1">
        <f t="array" ref="J238">Common_InputFunctions.Utility_DisplayArrayInTable(Common_SourceData.Common_SourceData_MCFTemperatureZone_Data(),Table_SourceData_Common_MCFTemperatureZone[[#Headers],[Temperature zone]],0)</f>
        <v>0.01</v>
      </c>
      <c r="K238" s="26" cm="1">
        <f t="array" ref="K238">Common_InputFunctions.Utility_DisplayArrayInTable(Common_SourceData.Common_SourceData_MCFTemperatureZone_Data(),Table_SourceData_Common_MCFTemperatureZone[[#Headers],[Temperature zone]],0)</f>
        <v>0.02</v>
      </c>
      <c r="L238" s="26" cm="1">
        <f t="array" ref="L238">Common_InputFunctions.Utility_DisplayArrayInTable(Common_SourceData.Common_SourceData_MCFTemperatureZone_Data(),Table_SourceData_Common_MCFTemperatureZone[[#Headers],[Temperature zone]],0)</f>
        <v>0.03</v>
      </c>
      <c r="M238" s="26" cm="1">
        <f t="array" ref="M238">Common_InputFunctions.Utility_DisplayArrayInTable(Common_SourceData.Common_SourceData_MCFTemperatureZone_Data(),Table_SourceData_Common_MCFTemperatureZone[[#Headers],[Temperature zone]],0)</f>
        <v>0.04</v>
      </c>
      <c r="N238" s="26" cm="1">
        <f t="array" ref="N238">Common_InputFunctions.Utility_DisplayArrayInTable(Common_SourceData.Common_SourceData_MCFTemperatureZone_Data(),Table_SourceData_Common_MCFTemperatureZone[[#Headers],[Temperature zone]],0)</f>
        <v>1.4999999999999999E-2</v>
      </c>
      <c r="O238" s="26" cm="1">
        <f t="array" ref="O238">Common_InputFunctions.Utility_DisplayArrayInTable(Common_SourceData.Common_SourceData_MCFTemperatureZone_Data(),Table_SourceData_Common_MCFTemperatureZone[[#Headers],[Temperature zone]],0)</f>
        <v>1.4999999999999999E-2</v>
      </c>
      <c r="P238" s="26" cm="1">
        <f t="array" ref="P238">Common_InputFunctions.Utility_DisplayArrayInTable(Common_SourceData.Common_SourceData_MCFTemperatureZone_Data(),Table_SourceData_Common_MCFTemperatureZone[[#Headers],[Temperature zone]],0)</f>
        <v>0</v>
      </c>
      <c r="Q238" s="26" cm="1">
        <f t="array" ref="Q238">Common_InputFunctions.Utility_DisplayArrayInTable(Common_SourceData.Common_SourceData_MCFTemperatureZone_Data(),Table_SourceData_Common_MCFTemperatureZone[[#Headers],[Temperature zone]],0)</f>
        <v>0</v>
      </c>
      <c r="R238" s="26" cm="1">
        <f t="array" ref="R238">Common_InputFunctions.Utility_DisplayArrayInTable(Common_SourceData.Common_SourceData_MCFTemperatureZone_Data(),Table_SourceData_Common_MCFTemperatureZone[[#Headers],[Temperature zone]],0)</f>
        <v>4.7000000000000002E-3</v>
      </c>
      <c r="S238" s="2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6" cm="1">
        <f t="array" ref="E239">Common_InputFunctions.Utility_DisplayArrayInTable(Common_SourceData.Common_SourceData_MCFTemperatureZone_Data(),Table_SourceData_Common_MCFTemperatureZone[[#Headers],[Temperature zone]],0)</f>
        <v>17</v>
      </c>
      <c r="F239" s="26" cm="1">
        <f t="array" ref="F239">Common_InputFunctions.Utility_DisplayArrayInTable(Common_SourceData.Common_SourceData_MCFTemperatureZone_Data(),Table_SourceData_Common_MCFTemperatureZone[[#Headers],[Temperature zone]],0)</f>
        <v>0.76</v>
      </c>
      <c r="G239" s="26" cm="1">
        <f t="array" ref="G239">Common_InputFunctions.Utility_DisplayArrayInTable(Common_SourceData.Common_SourceData_MCFTemperatureZone_Data(),Table_SourceData_Common_MCFTemperatureZone[[#Headers],[Temperature zone]],0)</f>
        <v>0.1</v>
      </c>
      <c r="H239" s="26" cm="1">
        <f t="array" ref="H239">Common_InputFunctions.Utility_DisplayArrayInTable(Common_SourceData.Common_SourceData_MCFTemperatureZone_Data(),Table_SourceData_Common_MCFTemperatureZone[[#Headers],[Temperature zone]],0)</f>
        <v>0.2</v>
      </c>
      <c r="I239" s="26" cm="1">
        <f t="array" ref="I239">Common_InputFunctions.Utility_DisplayArrayInTable(Common_SourceData.Common_SourceData_MCFTemperatureZone_Data(),Table_SourceData_Common_MCFTemperatureZone[[#Headers],[Temperature zone]],0)</f>
        <v>5.0000000000000001E-3</v>
      </c>
      <c r="J239" s="26" cm="1">
        <f t="array" ref="J239">Common_InputFunctions.Utility_DisplayArrayInTable(Common_SourceData.Common_SourceData_MCFTemperatureZone_Data(),Table_SourceData_Common_MCFTemperatureZone[[#Headers],[Temperature zone]],0)</f>
        <v>0.01</v>
      </c>
      <c r="K239" s="26" cm="1">
        <f t="array" ref="K239">Common_InputFunctions.Utility_DisplayArrayInTable(Common_SourceData.Common_SourceData_MCFTemperatureZone_Data(),Table_SourceData_Common_MCFTemperatureZone[[#Headers],[Temperature zone]],0)</f>
        <v>0.02</v>
      </c>
      <c r="L239" s="26" cm="1">
        <f t="array" ref="L239">Common_InputFunctions.Utility_DisplayArrayInTable(Common_SourceData.Common_SourceData_MCFTemperatureZone_Data(),Table_SourceData_Common_MCFTemperatureZone[[#Headers],[Temperature zone]],0)</f>
        <v>0.03</v>
      </c>
      <c r="M239" s="26" cm="1">
        <f t="array" ref="M239">Common_InputFunctions.Utility_DisplayArrayInTable(Common_SourceData.Common_SourceData_MCFTemperatureZone_Data(),Table_SourceData_Common_MCFTemperatureZone[[#Headers],[Temperature zone]],0)</f>
        <v>0.04</v>
      </c>
      <c r="N239" s="26" cm="1">
        <f t="array" ref="N239">Common_InputFunctions.Utility_DisplayArrayInTable(Common_SourceData.Common_SourceData_MCFTemperatureZone_Data(),Table_SourceData_Common_MCFTemperatureZone[[#Headers],[Temperature zone]],0)</f>
        <v>1.4999999999999999E-2</v>
      </c>
      <c r="O239" s="26" cm="1">
        <f t="array" ref="O239">Common_InputFunctions.Utility_DisplayArrayInTable(Common_SourceData.Common_SourceData_MCFTemperatureZone_Data(),Table_SourceData_Common_MCFTemperatureZone[[#Headers],[Temperature zone]],0)</f>
        <v>1.4999999999999999E-2</v>
      </c>
      <c r="P239" s="26" cm="1">
        <f t="array" ref="P239">Common_InputFunctions.Utility_DisplayArrayInTable(Common_SourceData.Common_SourceData_MCFTemperatureZone_Data(),Table_SourceData_Common_MCFTemperatureZone[[#Headers],[Temperature zone]],0)</f>
        <v>0</v>
      </c>
      <c r="Q239" s="26" cm="1">
        <f t="array" ref="Q239">Common_InputFunctions.Utility_DisplayArrayInTable(Common_SourceData.Common_SourceData_MCFTemperatureZone_Data(),Table_SourceData_Common_MCFTemperatureZone[[#Headers],[Temperature zone]],0)</f>
        <v>0</v>
      </c>
      <c r="R239" s="26" cm="1">
        <f t="array" ref="R239">Common_InputFunctions.Utility_DisplayArrayInTable(Common_SourceData.Common_SourceData_MCFTemperatureZone_Data(),Table_SourceData_Common_MCFTemperatureZone[[#Headers],[Temperature zone]],0)</f>
        <v>4.7000000000000002E-3</v>
      </c>
      <c r="S239" s="2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6" cm="1">
        <f t="array" ref="E240">Common_InputFunctions.Utility_DisplayArrayInTable(Common_SourceData.Common_SourceData_MCFTemperatureZone_Data(),Table_SourceData_Common_MCFTemperatureZone[[#Headers],[Temperature zone]],0)</f>
        <v>18</v>
      </c>
      <c r="F240" s="26" cm="1">
        <f t="array" ref="F240">Common_InputFunctions.Utility_DisplayArrayInTable(Common_SourceData.Common_SourceData_MCFTemperatureZone_Data(),Table_SourceData_Common_MCFTemperatureZone[[#Headers],[Temperature zone]],0)</f>
        <v>0.77</v>
      </c>
      <c r="G240" s="26" cm="1">
        <f t="array" ref="G240">Common_InputFunctions.Utility_DisplayArrayInTable(Common_SourceData.Common_SourceData_MCFTemperatureZone_Data(),Table_SourceData_Common_MCFTemperatureZone[[#Headers],[Temperature zone]],0)</f>
        <v>0.1</v>
      </c>
      <c r="H240" s="26" cm="1">
        <f t="array" ref="H240">Common_InputFunctions.Utility_DisplayArrayInTable(Common_SourceData.Common_SourceData_MCFTemperatureZone_Data(),Table_SourceData_Common_MCFTemperatureZone[[#Headers],[Temperature zone]],0)</f>
        <v>0.22</v>
      </c>
      <c r="I240" s="26" cm="1">
        <f t="array" ref="I240">Common_InputFunctions.Utility_DisplayArrayInTable(Common_SourceData.Common_SourceData_MCFTemperatureZone_Data(),Table_SourceData_Common_MCFTemperatureZone[[#Headers],[Temperature zone]],0)</f>
        <v>5.0000000000000001E-3</v>
      </c>
      <c r="J240" s="26" cm="1">
        <f t="array" ref="J240">Common_InputFunctions.Utility_DisplayArrayInTable(Common_SourceData.Common_SourceData_MCFTemperatureZone_Data(),Table_SourceData_Common_MCFTemperatureZone[[#Headers],[Temperature zone]],0)</f>
        <v>0.01</v>
      </c>
      <c r="K240" s="26" cm="1">
        <f t="array" ref="K240">Common_InputFunctions.Utility_DisplayArrayInTable(Common_SourceData.Common_SourceData_MCFTemperatureZone_Data(),Table_SourceData_Common_MCFTemperatureZone[[#Headers],[Temperature zone]],0)</f>
        <v>0.02</v>
      </c>
      <c r="L240" s="26" cm="1">
        <f t="array" ref="L240">Common_InputFunctions.Utility_DisplayArrayInTable(Common_SourceData.Common_SourceData_MCFTemperatureZone_Data(),Table_SourceData_Common_MCFTemperatureZone[[#Headers],[Temperature zone]],0)</f>
        <v>0.03</v>
      </c>
      <c r="M240" s="26" cm="1">
        <f t="array" ref="M240">Common_InputFunctions.Utility_DisplayArrayInTable(Common_SourceData.Common_SourceData_MCFTemperatureZone_Data(),Table_SourceData_Common_MCFTemperatureZone[[#Headers],[Temperature zone]],0)</f>
        <v>0.04</v>
      </c>
      <c r="N240" s="26" cm="1">
        <f t="array" ref="N240">Common_InputFunctions.Utility_DisplayArrayInTable(Common_SourceData.Common_SourceData_MCFTemperatureZone_Data(),Table_SourceData_Common_MCFTemperatureZone[[#Headers],[Temperature zone]],0)</f>
        <v>1.4999999999999999E-2</v>
      </c>
      <c r="O240" s="26" cm="1">
        <f t="array" ref="O240">Common_InputFunctions.Utility_DisplayArrayInTable(Common_SourceData.Common_SourceData_MCFTemperatureZone_Data(),Table_SourceData_Common_MCFTemperatureZone[[#Headers],[Temperature zone]],0)</f>
        <v>1.4999999999999999E-2</v>
      </c>
      <c r="P240" s="26" cm="1">
        <f t="array" ref="P240">Common_InputFunctions.Utility_DisplayArrayInTable(Common_SourceData.Common_SourceData_MCFTemperatureZone_Data(),Table_SourceData_Common_MCFTemperatureZone[[#Headers],[Temperature zone]],0)</f>
        <v>0</v>
      </c>
      <c r="Q240" s="26" cm="1">
        <f t="array" ref="Q240">Common_InputFunctions.Utility_DisplayArrayInTable(Common_SourceData.Common_SourceData_MCFTemperatureZone_Data(),Table_SourceData_Common_MCFTemperatureZone[[#Headers],[Temperature zone]],0)</f>
        <v>0</v>
      </c>
      <c r="R240" s="26" cm="1">
        <f t="array" ref="R240">Common_InputFunctions.Utility_DisplayArrayInTable(Common_SourceData.Common_SourceData_MCFTemperatureZone_Data(),Table_SourceData_Common_MCFTemperatureZone[[#Headers],[Temperature zone]],0)</f>
        <v>4.7000000000000002E-3</v>
      </c>
      <c r="S240" s="2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6" cm="1">
        <f t="array" ref="E241">Common_InputFunctions.Utility_DisplayArrayInTable(Common_SourceData.Common_SourceData_MCFTemperatureZone_Data(),Table_SourceData_Common_MCFTemperatureZone[[#Headers],[Temperature zone]],0)</f>
        <v>19</v>
      </c>
      <c r="F241" s="26" cm="1">
        <f t="array" ref="F241">Common_InputFunctions.Utility_DisplayArrayInTable(Common_SourceData.Common_SourceData_MCFTemperatureZone_Data(),Table_SourceData_Common_MCFTemperatureZone[[#Headers],[Temperature zone]],0)</f>
        <v>0.77</v>
      </c>
      <c r="G241" s="26" cm="1">
        <f t="array" ref="G241">Common_InputFunctions.Utility_DisplayArrayInTable(Common_SourceData.Common_SourceData_MCFTemperatureZone_Data(),Table_SourceData_Common_MCFTemperatureZone[[#Headers],[Temperature zone]],0)</f>
        <v>0.1</v>
      </c>
      <c r="H241" s="26" cm="1">
        <f t="array" ref="H241">Common_InputFunctions.Utility_DisplayArrayInTable(Common_SourceData.Common_SourceData_MCFTemperatureZone_Data(),Table_SourceData_Common_MCFTemperatureZone[[#Headers],[Temperature zone]],0)</f>
        <v>0.24</v>
      </c>
      <c r="I241" s="26" cm="1">
        <f t="array" ref="I241">Common_InputFunctions.Utility_DisplayArrayInTable(Common_SourceData.Common_SourceData_MCFTemperatureZone_Data(),Table_SourceData_Common_MCFTemperatureZone[[#Headers],[Temperature zone]],0)</f>
        <v>5.0000000000000001E-3</v>
      </c>
      <c r="J241" s="26" cm="1">
        <f t="array" ref="J241">Common_InputFunctions.Utility_DisplayArrayInTable(Common_SourceData.Common_SourceData_MCFTemperatureZone_Data(),Table_SourceData_Common_MCFTemperatureZone[[#Headers],[Temperature zone]],0)</f>
        <v>0.01</v>
      </c>
      <c r="K241" s="26" cm="1">
        <f t="array" ref="K241">Common_InputFunctions.Utility_DisplayArrayInTable(Common_SourceData.Common_SourceData_MCFTemperatureZone_Data(),Table_SourceData_Common_MCFTemperatureZone[[#Headers],[Temperature zone]],0)</f>
        <v>0.02</v>
      </c>
      <c r="L241" s="26" cm="1">
        <f t="array" ref="L241">Common_InputFunctions.Utility_DisplayArrayInTable(Common_SourceData.Common_SourceData_MCFTemperatureZone_Data(),Table_SourceData_Common_MCFTemperatureZone[[#Headers],[Temperature zone]],0)</f>
        <v>0.03</v>
      </c>
      <c r="M241" s="26" cm="1">
        <f t="array" ref="M241">Common_InputFunctions.Utility_DisplayArrayInTable(Common_SourceData.Common_SourceData_MCFTemperatureZone_Data(),Table_SourceData_Common_MCFTemperatureZone[[#Headers],[Temperature zone]],0)</f>
        <v>0.04</v>
      </c>
      <c r="N241" s="26" cm="1">
        <f t="array" ref="N241">Common_InputFunctions.Utility_DisplayArrayInTable(Common_SourceData.Common_SourceData_MCFTemperatureZone_Data(),Table_SourceData_Common_MCFTemperatureZone[[#Headers],[Temperature zone]],0)</f>
        <v>1.4999999999999999E-2</v>
      </c>
      <c r="O241" s="26" cm="1">
        <f t="array" ref="O241">Common_InputFunctions.Utility_DisplayArrayInTable(Common_SourceData.Common_SourceData_MCFTemperatureZone_Data(),Table_SourceData_Common_MCFTemperatureZone[[#Headers],[Temperature zone]],0)</f>
        <v>1.4999999999999999E-2</v>
      </c>
      <c r="P241" s="26" cm="1">
        <f t="array" ref="P241">Common_InputFunctions.Utility_DisplayArrayInTable(Common_SourceData.Common_SourceData_MCFTemperatureZone_Data(),Table_SourceData_Common_MCFTemperatureZone[[#Headers],[Temperature zone]],0)</f>
        <v>0</v>
      </c>
      <c r="Q241" s="26" cm="1">
        <f t="array" ref="Q241">Common_InputFunctions.Utility_DisplayArrayInTable(Common_SourceData.Common_SourceData_MCFTemperatureZone_Data(),Table_SourceData_Common_MCFTemperatureZone[[#Headers],[Temperature zone]],0)</f>
        <v>0</v>
      </c>
      <c r="R241" s="26" cm="1">
        <f t="array" ref="R241">Common_InputFunctions.Utility_DisplayArrayInTable(Common_SourceData.Common_SourceData_MCFTemperatureZone_Data(),Table_SourceData_Common_MCFTemperatureZone[[#Headers],[Temperature zone]],0)</f>
        <v>4.7000000000000002E-3</v>
      </c>
      <c r="S241" s="2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6" cm="1">
        <f t="array" ref="E242">Common_InputFunctions.Utility_DisplayArrayInTable(Common_SourceData.Common_SourceData_MCFTemperatureZone_Data(),Table_SourceData_Common_MCFTemperatureZone[[#Headers],[Temperature zone]],0)</f>
        <v>20</v>
      </c>
      <c r="F242" s="26" cm="1">
        <f t="array" ref="F242">Common_InputFunctions.Utility_DisplayArrayInTable(Common_SourceData.Common_SourceData_MCFTemperatureZone_Data(),Table_SourceData_Common_MCFTemperatureZone[[#Headers],[Temperature zone]],0)</f>
        <v>0.78</v>
      </c>
      <c r="G242" s="26" cm="1">
        <f t="array" ref="G242">Common_InputFunctions.Utility_DisplayArrayInTable(Common_SourceData.Common_SourceData_MCFTemperatureZone_Data(),Table_SourceData_Common_MCFTemperatureZone[[#Headers],[Temperature zone]],0)</f>
        <v>0.1</v>
      </c>
      <c r="H242" s="26" cm="1">
        <f t="array" ref="H242">Common_InputFunctions.Utility_DisplayArrayInTable(Common_SourceData.Common_SourceData_MCFTemperatureZone_Data(),Table_SourceData_Common_MCFTemperatureZone[[#Headers],[Temperature zone]],0)</f>
        <v>0.26</v>
      </c>
      <c r="I242" s="26" cm="1">
        <f t="array" ref="I242">Common_InputFunctions.Utility_DisplayArrayInTable(Common_SourceData.Common_SourceData_MCFTemperatureZone_Data(),Table_SourceData_Common_MCFTemperatureZone[[#Headers],[Temperature zone]],0)</f>
        <v>5.0000000000000001E-3</v>
      </c>
      <c r="J242" s="26" cm="1">
        <f t="array" ref="J242">Common_InputFunctions.Utility_DisplayArrayInTable(Common_SourceData.Common_SourceData_MCFTemperatureZone_Data(),Table_SourceData_Common_MCFTemperatureZone[[#Headers],[Temperature zone]],0)</f>
        <v>0.01</v>
      </c>
      <c r="K242" s="26" cm="1">
        <f t="array" ref="K242">Common_InputFunctions.Utility_DisplayArrayInTable(Common_SourceData.Common_SourceData_MCFTemperatureZone_Data(),Table_SourceData_Common_MCFTemperatureZone[[#Headers],[Temperature zone]],0)</f>
        <v>0.02</v>
      </c>
      <c r="L242" s="26" cm="1">
        <f t="array" ref="L242">Common_InputFunctions.Utility_DisplayArrayInTable(Common_SourceData.Common_SourceData_MCFTemperatureZone_Data(),Table_SourceData_Common_MCFTemperatureZone[[#Headers],[Temperature zone]],0)</f>
        <v>0.03</v>
      </c>
      <c r="M242" s="26" cm="1">
        <f t="array" ref="M242">Common_InputFunctions.Utility_DisplayArrayInTable(Common_SourceData.Common_SourceData_MCFTemperatureZone_Data(),Table_SourceData_Common_MCFTemperatureZone[[#Headers],[Temperature zone]],0)</f>
        <v>0.04</v>
      </c>
      <c r="N242" s="26" cm="1">
        <f t="array" ref="N242">Common_InputFunctions.Utility_DisplayArrayInTable(Common_SourceData.Common_SourceData_MCFTemperatureZone_Data(),Table_SourceData_Common_MCFTemperatureZone[[#Headers],[Temperature zone]],0)</f>
        <v>1.4999999999999999E-2</v>
      </c>
      <c r="O242" s="26" cm="1">
        <f t="array" ref="O242">Common_InputFunctions.Utility_DisplayArrayInTable(Common_SourceData.Common_SourceData_MCFTemperatureZone_Data(),Table_SourceData_Common_MCFTemperatureZone[[#Headers],[Temperature zone]],0)</f>
        <v>1.4999999999999999E-2</v>
      </c>
      <c r="P242" s="26" cm="1">
        <f t="array" ref="P242">Common_InputFunctions.Utility_DisplayArrayInTable(Common_SourceData.Common_SourceData_MCFTemperatureZone_Data(),Table_SourceData_Common_MCFTemperatureZone[[#Headers],[Temperature zone]],0)</f>
        <v>0</v>
      </c>
      <c r="Q242" s="26" cm="1">
        <f t="array" ref="Q242">Common_InputFunctions.Utility_DisplayArrayInTable(Common_SourceData.Common_SourceData_MCFTemperatureZone_Data(),Table_SourceData_Common_MCFTemperatureZone[[#Headers],[Temperature zone]],0)</f>
        <v>0</v>
      </c>
      <c r="R242" s="26" cm="1">
        <f t="array" ref="R242">Common_InputFunctions.Utility_DisplayArrayInTable(Common_SourceData.Common_SourceData_MCFTemperatureZone_Data(),Table_SourceData_Common_MCFTemperatureZone[[#Headers],[Temperature zone]],0)</f>
        <v>4.7000000000000002E-3</v>
      </c>
      <c r="S242" s="2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6" cm="1">
        <f t="array" ref="E243">Common_InputFunctions.Utility_DisplayArrayInTable(Common_SourceData.Common_SourceData_MCFTemperatureZone_Data(),Table_SourceData_Common_MCFTemperatureZone[[#Headers],[Temperature zone]],0)</f>
        <v>21</v>
      </c>
      <c r="F243" s="26" cm="1">
        <f t="array" ref="F243">Common_InputFunctions.Utility_DisplayArrayInTable(Common_SourceData.Common_SourceData_MCFTemperatureZone_Data(),Table_SourceData_Common_MCFTemperatureZone[[#Headers],[Temperature zone]],0)</f>
        <v>0.78</v>
      </c>
      <c r="G243" s="26" cm="1">
        <f t="array" ref="G243">Common_InputFunctions.Utility_DisplayArrayInTable(Common_SourceData.Common_SourceData_MCFTemperatureZone_Data(),Table_SourceData_Common_MCFTemperatureZone[[#Headers],[Temperature zone]],0)</f>
        <v>0.1</v>
      </c>
      <c r="H243" s="26" cm="1">
        <f t="array" ref="H243">Common_InputFunctions.Utility_DisplayArrayInTable(Common_SourceData.Common_SourceData_MCFTemperatureZone_Data(),Table_SourceData_Common_MCFTemperatureZone[[#Headers],[Temperature zone]],0)</f>
        <v>0.28999999999999998</v>
      </c>
      <c r="I243" s="26" cm="1">
        <f t="array" ref="I243">Common_InputFunctions.Utility_DisplayArrayInTable(Common_SourceData.Common_SourceData_MCFTemperatureZone_Data(),Table_SourceData_Common_MCFTemperatureZone[[#Headers],[Temperature zone]],0)</f>
        <v>5.0000000000000001E-3</v>
      </c>
      <c r="J243" s="26" cm="1">
        <f t="array" ref="J243">Common_InputFunctions.Utility_DisplayArrayInTable(Common_SourceData.Common_SourceData_MCFTemperatureZone_Data(),Table_SourceData_Common_MCFTemperatureZone[[#Headers],[Temperature zone]],0)</f>
        <v>0.01</v>
      </c>
      <c r="K243" s="26" cm="1">
        <f t="array" ref="K243">Common_InputFunctions.Utility_DisplayArrayInTable(Common_SourceData.Common_SourceData_MCFTemperatureZone_Data(),Table_SourceData_Common_MCFTemperatureZone[[#Headers],[Temperature zone]],0)</f>
        <v>0.02</v>
      </c>
      <c r="L243" s="26" cm="1">
        <f t="array" ref="L243">Common_InputFunctions.Utility_DisplayArrayInTable(Common_SourceData.Common_SourceData_MCFTemperatureZone_Data(),Table_SourceData_Common_MCFTemperatureZone[[#Headers],[Temperature zone]],0)</f>
        <v>0.03</v>
      </c>
      <c r="M243" s="26" cm="1">
        <f t="array" ref="M243">Common_InputFunctions.Utility_DisplayArrayInTable(Common_SourceData.Common_SourceData_MCFTemperatureZone_Data(),Table_SourceData_Common_MCFTemperatureZone[[#Headers],[Temperature zone]],0)</f>
        <v>0.04</v>
      </c>
      <c r="N243" s="26" cm="1">
        <f t="array" ref="N243">Common_InputFunctions.Utility_DisplayArrayInTable(Common_SourceData.Common_SourceData_MCFTemperatureZone_Data(),Table_SourceData_Common_MCFTemperatureZone[[#Headers],[Temperature zone]],0)</f>
        <v>1.4999999999999999E-2</v>
      </c>
      <c r="O243" s="26" cm="1">
        <f t="array" ref="O243">Common_InputFunctions.Utility_DisplayArrayInTable(Common_SourceData.Common_SourceData_MCFTemperatureZone_Data(),Table_SourceData_Common_MCFTemperatureZone[[#Headers],[Temperature zone]],0)</f>
        <v>1.4999999999999999E-2</v>
      </c>
      <c r="P243" s="26" cm="1">
        <f t="array" ref="P243">Common_InputFunctions.Utility_DisplayArrayInTable(Common_SourceData.Common_SourceData_MCFTemperatureZone_Data(),Table_SourceData_Common_MCFTemperatureZone[[#Headers],[Temperature zone]],0)</f>
        <v>0</v>
      </c>
      <c r="Q243" s="26" cm="1">
        <f t="array" ref="Q243">Common_InputFunctions.Utility_DisplayArrayInTable(Common_SourceData.Common_SourceData_MCFTemperatureZone_Data(),Table_SourceData_Common_MCFTemperatureZone[[#Headers],[Temperature zone]],0)</f>
        <v>0</v>
      </c>
      <c r="R243" s="26" cm="1">
        <f t="array" ref="R243">Common_InputFunctions.Utility_DisplayArrayInTable(Common_SourceData.Common_SourceData_MCFTemperatureZone_Data(),Table_SourceData_Common_MCFTemperatureZone[[#Headers],[Temperature zone]],0)</f>
        <v>4.7000000000000002E-3</v>
      </c>
      <c r="S243" s="2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6" cm="1">
        <f t="array" ref="E244">Common_InputFunctions.Utility_DisplayArrayInTable(Common_SourceData.Common_SourceData_MCFTemperatureZone_Data(),Table_SourceData_Common_MCFTemperatureZone[[#Headers],[Temperature zone]],0)</f>
        <v>22</v>
      </c>
      <c r="F244" s="26" cm="1">
        <f t="array" ref="F244">Common_InputFunctions.Utility_DisplayArrayInTable(Common_SourceData.Common_SourceData_MCFTemperatureZone_Data(),Table_SourceData_Common_MCFTemperatureZone[[#Headers],[Temperature zone]],0)</f>
        <v>0.78</v>
      </c>
      <c r="G244" s="26" cm="1">
        <f t="array" ref="G244">Common_InputFunctions.Utility_DisplayArrayInTable(Common_SourceData.Common_SourceData_MCFTemperatureZone_Data(),Table_SourceData_Common_MCFTemperatureZone[[#Headers],[Temperature zone]],0)</f>
        <v>0.1</v>
      </c>
      <c r="H244" s="26" cm="1">
        <f t="array" ref="H244">Common_InputFunctions.Utility_DisplayArrayInTable(Common_SourceData.Common_SourceData_MCFTemperatureZone_Data(),Table_SourceData_Common_MCFTemperatureZone[[#Headers],[Temperature zone]],0)</f>
        <v>0.31</v>
      </c>
      <c r="I244" s="26" cm="1">
        <f t="array" ref="I244">Common_InputFunctions.Utility_DisplayArrayInTable(Common_SourceData.Common_SourceData_MCFTemperatureZone_Data(),Table_SourceData_Common_MCFTemperatureZone[[#Headers],[Temperature zone]],0)</f>
        <v>5.0000000000000001E-3</v>
      </c>
      <c r="J244" s="26" cm="1">
        <f t="array" ref="J244">Common_InputFunctions.Utility_DisplayArrayInTable(Common_SourceData.Common_SourceData_MCFTemperatureZone_Data(),Table_SourceData_Common_MCFTemperatureZone[[#Headers],[Temperature zone]],0)</f>
        <v>0.01</v>
      </c>
      <c r="K244" s="26" cm="1">
        <f t="array" ref="K244">Common_InputFunctions.Utility_DisplayArrayInTable(Common_SourceData.Common_SourceData_MCFTemperatureZone_Data(),Table_SourceData_Common_MCFTemperatureZone[[#Headers],[Temperature zone]],0)</f>
        <v>0.02</v>
      </c>
      <c r="L244" s="26" cm="1">
        <f t="array" ref="L244">Common_InputFunctions.Utility_DisplayArrayInTable(Common_SourceData.Common_SourceData_MCFTemperatureZone_Data(),Table_SourceData_Common_MCFTemperatureZone[[#Headers],[Temperature zone]],0)</f>
        <v>0.03</v>
      </c>
      <c r="M244" s="26" cm="1">
        <f t="array" ref="M244">Common_InputFunctions.Utility_DisplayArrayInTable(Common_SourceData.Common_SourceData_MCFTemperatureZone_Data(),Table_SourceData_Common_MCFTemperatureZone[[#Headers],[Temperature zone]],0)</f>
        <v>0.04</v>
      </c>
      <c r="N244" s="26" cm="1">
        <f t="array" ref="N244">Common_InputFunctions.Utility_DisplayArrayInTable(Common_SourceData.Common_SourceData_MCFTemperatureZone_Data(),Table_SourceData_Common_MCFTemperatureZone[[#Headers],[Temperature zone]],0)</f>
        <v>1.4999999999999999E-2</v>
      </c>
      <c r="O244" s="26" cm="1">
        <f t="array" ref="O244">Common_InputFunctions.Utility_DisplayArrayInTable(Common_SourceData.Common_SourceData_MCFTemperatureZone_Data(),Table_SourceData_Common_MCFTemperatureZone[[#Headers],[Temperature zone]],0)</f>
        <v>1.4999999999999999E-2</v>
      </c>
      <c r="P244" s="26" cm="1">
        <f t="array" ref="P244">Common_InputFunctions.Utility_DisplayArrayInTable(Common_SourceData.Common_SourceData_MCFTemperatureZone_Data(),Table_SourceData_Common_MCFTemperatureZone[[#Headers],[Temperature zone]],0)</f>
        <v>0</v>
      </c>
      <c r="Q244" s="26" cm="1">
        <f t="array" ref="Q244">Common_InputFunctions.Utility_DisplayArrayInTable(Common_SourceData.Common_SourceData_MCFTemperatureZone_Data(),Table_SourceData_Common_MCFTemperatureZone[[#Headers],[Temperature zone]],0)</f>
        <v>0</v>
      </c>
      <c r="R244" s="26" cm="1">
        <f t="array" ref="R244">Common_InputFunctions.Utility_DisplayArrayInTable(Common_SourceData.Common_SourceData_MCFTemperatureZone_Data(),Table_SourceData_Common_MCFTemperatureZone[[#Headers],[Temperature zone]],0)</f>
        <v>4.7000000000000002E-3</v>
      </c>
      <c r="S244" s="2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6" cm="1">
        <f t="array" ref="E245">Common_InputFunctions.Utility_DisplayArrayInTable(Common_SourceData.Common_SourceData_MCFTemperatureZone_Data(),Table_SourceData_Common_MCFTemperatureZone[[#Headers],[Temperature zone]],0)</f>
        <v>23</v>
      </c>
      <c r="F245" s="26" cm="1">
        <f t="array" ref="F245">Common_InputFunctions.Utility_DisplayArrayInTable(Common_SourceData.Common_SourceData_MCFTemperatureZone_Data(),Table_SourceData_Common_MCFTemperatureZone[[#Headers],[Temperature zone]],0)</f>
        <v>0.79</v>
      </c>
      <c r="G245" s="26" cm="1">
        <f t="array" ref="G245">Common_InputFunctions.Utility_DisplayArrayInTable(Common_SourceData.Common_SourceData_MCFTemperatureZone_Data(),Table_SourceData_Common_MCFTemperatureZone[[#Headers],[Temperature zone]],0)</f>
        <v>0.1</v>
      </c>
      <c r="H245" s="26" cm="1">
        <f t="array" ref="H245">Common_InputFunctions.Utility_DisplayArrayInTable(Common_SourceData.Common_SourceData_MCFTemperatureZone_Data(),Table_SourceData_Common_MCFTemperatureZone[[#Headers],[Temperature zone]],0)</f>
        <v>0.34</v>
      </c>
      <c r="I245" s="26" cm="1">
        <f t="array" ref="I245">Common_InputFunctions.Utility_DisplayArrayInTable(Common_SourceData.Common_SourceData_MCFTemperatureZone_Data(),Table_SourceData_Common_MCFTemperatureZone[[#Headers],[Temperature zone]],0)</f>
        <v>5.0000000000000001E-3</v>
      </c>
      <c r="J245" s="26" cm="1">
        <f t="array" ref="J245">Common_InputFunctions.Utility_DisplayArrayInTable(Common_SourceData.Common_SourceData_MCFTemperatureZone_Data(),Table_SourceData_Common_MCFTemperatureZone[[#Headers],[Temperature zone]],0)</f>
        <v>0.01</v>
      </c>
      <c r="K245" s="26" cm="1">
        <f t="array" ref="K245">Common_InputFunctions.Utility_DisplayArrayInTable(Common_SourceData.Common_SourceData_MCFTemperatureZone_Data(),Table_SourceData_Common_MCFTemperatureZone[[#Headers],[Temperature zone]],0)</f>
        <v>0.02</v>
      </c>
      <c r="L245" s="26" cm="1">
        <f t="array" ref="L245">Common_InputFunctions.Utility_DisplayArrayInTable(Common_SourceData.Common_SourceData_MCFTemperatureZone_Data(),Table_SourceData_Common_MCFTemperatureZone[[#Headers],[Temperature zone]],0)</f>
        <v>0.03</v>
      </c>
      <c r="M245" s="26" cm="1">
        <f t="array" ref="M245">Common_InputFunctions.Utility_DisplayArrayInTable(Common_SourceData.Common_SourceData_MCFTemperatureZone_Data(),Table_SourceData_Common_MCFTemperatureZone[[#Headers],[Temperature zone]],0)</f>
        <v>0.04</v>
      </c>
      <c r="N245" s="26" cm="1">
        <f t="array" ref="N245">Common_InputFunctions.Utility_DisplayArrayInTable(Common_SourceData.Common_SourceData_MCFTemperatureZone_Data(),Table_SourceData_Common_MCFTemperatureZone[[#Headers],[Temperature zone]],0)</f>
        <v>1.4999999999999999E-2</v>
      </c>
      <c r="O245" s="26" cm="1">
        <f t="array" ref="O245">Common_InputFunctions.Utility_DisplayArrayInTable(Common_SourceData.Common_SourceData_MCFTemperatureZone_Data(),Table_SourceData_Common_MCFTemperatureZone[[#Headers],[Temperature zone]],0)</f>
        <v>1.4999999999999999E-2</v>
      </c>
      <c r="P245" s="26" cm="1">
        <f t="array" ref="P245">Common_InputFunctions.Utility_DisplayArrayInTable(Common_SourceData.Common_SourceData_MCFTemperatureZone_Data(),Table_SourceData_Common_MCFTemperatureZone[[#Headers],[Temperature zone]],0)</f>
        <v>0</v>
      </c>
      <c r="Q245" s="26" cm="1">
        <f t="array" ref="Q245">Common_InputFunctions.Utility_DisplayArrayInTable(Common_SourceData.Common_SourceData_MCFTemperatureZone_Data(),Table_SourceData_Common_MCFTemperatureZone[[#Headers],[Temperature zone]],0)</f>
        <v>0</v>
      </c>
      <c r="R245" s="26" cm="1">
        <f t="array" ref="R245">Common_InputFunctions.Utility_DisplayArrayInTable(Common_SourceData.Common_SourceData_MCFTemperatureZone_Data(),Table_SourceData_Common_MCFTemperatureZone[[#Headers],[Temperature zone]],0)</f>
        <v>4.7000000000000002E-3</v>
      </c>
      <c r="S245" s="2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6" cm="1">
        <f t="array" ref="E246">Common_InputFunctions.Utility_DisplayArrayInTable(Common_SourceData.Common_SourceData_MCFTemperatureZone_Data(),Table_SourceData_Common_MCFTemperatureZone[[#Headers],[Temperature zone]],0)</f>
        <v>24</v>
      </c>
      <c r="F246" s="26" cm="1">
        <f t="array" ref="F246">Common_InputFunctions.Utility_DisplayArrayInTable(Common_SourceData.Common_SourceData_MCFTemperatureZone_Data(),Table_SourceData_Common_MCFTemperatureZone[[#Headers],[Temperature zone]],0)</f>
        <v>0.79</v>
      </c>
      <c r="G246" s="26" cm="1">
        <f t="array" ref="G246">Common_InputFunctions.Utility_DisplayArrayInTable(Common_SourceData.Common_SourceData_MCFTemperatureZone_Data(),Table_SourceData_Common_MCFTemperatureZone[[#Headers],[Temperature zone]],0)</f>
        <v>0.1</v>
      </c>
      <c r="H246" s="26" cm="1">
        <f t="array" ref="H246">Common_InputFunctions.Utility_DisplayArrayInTable(Common_SourceData.Common_SourceData_MCFTemperatureZone_Data(),Table_SourceData_Common_MCFTemperatureZone[[#Headers],[Temperature zone]],0)</f>
        <v>0.37</v>
      </c>
      <c r="I246" s="26" cm="1">
        <f t="array" ref="I246">Common_InputFunctions.Utility_DisplayArrayInTable(Common_SourceData.Common_SourceData_MCFTemperatureZone_Data(),Table_SourceData_Common_MCFTemperatureZone[[#Headers],[Temperature zone]],0)</f>
        <v>5.0000000000000001E-3</v>
      </c>
      <c r="J246" s="26" cm="1">
        <f t="array" ref="J246">Common_InputFunctions.Utility_DisplayArrayInTable(Common_SourceData.Common_SourceData_MCFTemperatureZone_Data(),Table_SourceData_Common_MCFTemperatureZone[[#Headers],[Temperature zone]],0)</f>
        <v>0.01</v>
      </c>
      <c r="K246" s="26" cm="1">
        <f t="array" ref="K246">Common_InputFunctions.Utility_DisplayArrayInTable(Common_SourceData.Common_SourceData_MCFTemperatureZone_Data(),Table_SourceData_Common_MCFTemperatureZone[[#Headers],[Temperature zone]],0)</f>
        <v>0.02</v>
      </c>
      <c r="L246" s="26" cm="1">
        <f t="array" ref="L246">Common_InputFunctions.Utility_DisplayArrayInTable(Common_SourceData.Common_SourceData_MCFTemperatureZone_Data(),Table_SourceData_Common_MCFTemperatureZone[[#Headers],[Temperature zone]],0)</f>
        <v>0.03</v>
      </c>
      <c r="M246" s="26" cm="1">
        <f t="array" ref="M246">Common_InputFunctions.Utility_DisplayArrayInTable(Common_SourceData.Common_SourceData_MCFTemperatureZone_Data(),Table_SourceData_Common_MCFTemperatureZone[[#Headers],[Temperature zone]],0)</f>
        <v>0.04</v>
      </c>
      <c r="N246" s="26" cm="1">
        <f t="array" ref="N246">Common_InputFunctions.Utility_DisplayArrayInTable(Common_SourceData.Common_SourceData_MCFTemperatureZone_Data(),Table_SourceData_Common_MCFTemperatureZone[[#Headers],[Temperature zone]],0)</f>
        <v>1.4999999999999999E-2</v>
      </c>
      <c r="O246" s="26" cm="1">
        <f t="array" ref="O246">Common_InputFunctions.Utility_DisplayArrayInTable(Common_SourceData.Common_SourceData_MCFTemperatureZone_Data(),Table_SourceData_Common_MCFTemperatureZone[[#Headers],[Temperature zone]],0)</f>
        <v>1.4999999999999999E-2</v>
      </c>
      <c r="P246" s="26" cm="1">
        <f t="array" ref="P246">Common_InputFunctions.Utility_DisplayArrayInTable(Common_SourceData.Common_SourceData_MCFTemperatureZone_Data(),Table_SourceData_Common_MCFTemperatureZone[[#Headers],[Temperature zone]],0)</f>
        <v>0</v>
      </c>
      <c r="Q246" s="26" cm="1">
        <f t="array" ref="Q246">Common_InputFunctions.Utility_DisplayArrayInTable(Common_SourceData.Common_SourceData_MCFTemperatureZone_Data(),Table_SourceData_Common_MCFTemperatureZone[[#Headers],[Temperature zone]],0)</f>
        <v>0</v>
      </c>
      <c r="R246" s="26" cm="1">
        <f t="array" ref="R246">Common_InputFunctions.Utility_DisplayArrayInTable(Common_SourceData.Common_SourceData_MCFTemperatureZone_Data(),Table_SourceData_Common_MCFTemperatureZone[[#Headers],[Temperature zone]],0)</f>
        <v>4.7000000000000002E-3</v>
      </c>
      <c r="S246" s="2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6" cm="1">
        <f t="array" ref="E247">Common_InputFunctions.Utility_DisplayArrayInTable(Common_SourceData.Common_SourceData_MCFTemperatureZone_Data(),Table_SourceData_Common_MCFTemperatureZone[[#Headers],[Temperature zone]],0)</f>
        <v>25</v>
      </c>
      <c r="F247" s="26" cm="1">
        <f t="array" ref="F247">Common_InputFunctions.Utility_DisplayArrayInTable(Common_SourceData.Common_SourceData_MCFTemperatureZone_Data(),Table_SourceData_Common_MCFTemperatureZone[[#Headers],[Temperature zone]],0)</f>
        <v>0.79</v>
      </c>
      <c r="G247" s="26" cm="1">
        <f t="array" ref="G247">Common_InputFunctions.Utility_DisplayArrayInTable(Common_SourceData.Common_SourceData_MCFTemperatureZone_Data(),Table_SourceData_Common_MCFTemperatureZone[[#Headers],[Temperature zone]],0)</f>
        <v>0.1</v>
      </c>
      <c r="H247" s="26" cm="1">
        <f t="array" ref="H247">Common_InputFunctions.Utility_DisplayArrayInTable(Common_SourceData.Common_SourceData_MCFTemperatureZone_Data(),Table_SourceData_Common_MCFTemperatureZone[[#Headers],[Temperature zone]],0)</f>
        <v>0.41</v>
      </c>
      <c r="I247" s="26" cm="1">
        <f t="array" ref="I247">Common_InputFunctions.Utility_DisplayArrayInTable(Common_SourceData.Common_SourceData_MCFTemperatureZone_Data(),Table_SourceData_Common_MCFTemperatureZone[[#Headers],[Temperature zone]],0)</f>
        <v>5.0000000000000001E-3</v>
      </c>
      <c r="J247" s="26" cm="1">
        <f t="array" ref="J247">Common_InputFunctions.Utility_DisplayArrayInTable(Common_SourceData.Common_SourceData_MCFTemperatureZone_Data(),Table_SourceData_Common_MCFTemperatureZone[[#Headers],[Temperature zone]],0)</f>
        <v>0.01</v>
      </c>
      <c r="K247" s="26" cm="1">
        <f t="array" ref="K247">Common_InputFunctions.Utility_DisplayArrayInTable(Common_SourceData.Common_SourceData_MCFTemperatureZone_Data(),Table_SourceData_Common_MCFTemperatureZone[[#Headers],[Temperature zone]],0)</f>
        <v>0.02</v>
      </c>
      <c r="L247" s="26" cm="1">
        <f t="array" ref="L247">Common_InputFunctions.Utility_DisplayArrayInTable(Common_SourceData.Common_SourceData_MCFTemperatureZone_Data(),Table_SourceData_Common_MCFTemperatureZone[[#Headers],[Temperature zone]],0)</f>
        <v>0.03</v>
      </c>
      <c r="M247" s="26" cm="1">
        <f t="array" ref="M247">Common_InputFunctions.Utility_DisplayArrayInTable(Common_SourceData.Common_SourceData_MCFTemperatureZone_Data(),Table_SourceData_Common_MCFTemperatureZone[[#Headers],[Temperature zone]],0)</f>
        <v>0.04</v>
      </c>
      <c r="N247" s="26" cm="1">
        <f t="array" ref="N247">Common_InputFunctions.Utility_DisplayArrayInTable(Common_SourceData.Common_SourceData_MCFTemperatureZone_Data(),Table_SourceData_Common_MCFTemperatureZone[[#Headers],[Temperature zone]],0)</f>
        <v>1.4999999999999999E-2</v>
      </c>
      <c r="O247" s="26" cm="1">
        <f t="array" ref="O247">Common_InputFunctions.Utility_DisplayArrayInTable(Common_SourceData.Common_SourceData_MCFTemperatureZone_Data(),Table_SourceData_Common_MCFTemperatureZone[[#Headers],[Temperature zone]],0)</f>
        <v>1.4999999999999999E-2</v>
      </c>
      <c r="P247" s="26" cm="1">
        <f t="array" ref="P247">Common_InputFunctions.Utility_DisplayArrayInTable(Common_SourceData.Common_SourceData_MCFTemperatureZone_Data(),Table_SourceData_Common_MCFTemperatureZone[[#Headers],[Temperature zone]],0)</f>
        <v>0</v>
      </c>
      <c r="Q247" s="26" cm="1">
        <f t="array" ref="Q247">Common_InputFunctions.Utility_DisplayArrayInTable(Common_SourceData.Common_SourceData_MCFTemperatureZone_Data(),Table_SourceData_Common_MCFTemperatureZone[[#Headers],[Temperature zone]],0)</f>
        <v>0</v>
      </c>
      <c r="R247" s="26" cm="1">
        <f t="array" ref="R247">Common_InputFunctions.Utility_DisplayArrayInTable(Common_SourceData.Common_SourceData_MCFTemperatureZone_Data(),Table_SourceData_Common_MCFTemperatureZone[[#Headers],[Temperature zone]],0)</f>
        <v>4.7000000000000002E-3</v>
      </c>
      <c r="S247" s="2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6" cm="1">
        <f t="array" ref="E248">Common_InputFunctions.Utility_DisplayArrayInTable(Common_SourceData.Common_SourceData_MCFTemperatureZone_Data(),Table_SourceData_Common_MCFTemperatureZone[[#Headers],[Temperature zone]],0)</f>
        <v>26</v>
      </c>
      <c r="F248" s="26" cm="1">
        <f t="array" ref="F248">Common_InputFunctions.Utility_DisplayArrayInTable(Common_SourceData.Common_SourceData_MCFTemperatureZone_Data(),Table_SourceData_Common_MCFTemperatureZone[[#Headers],[Temperature zone]],0)</f>
        <v>0.79</v>
      </c>
      <c r="G248" s="26" cm="1">
        <f t="array" ref="G248">Common_InputFunctions.Utility_DisplayArrayInTable(Common_SourceData.Common_SourceData_MCFTemperatureZone_Data(),Table_SourceData_Common_MCFTemperatureZone[[#Headers],[Temperature zone]],0)</f>
        <v>0.1</v>
      </c>
      <c r="H248" s="26" cm="1">
        <f t="array" ref="H248">Common_InputFunctions.Utility_DisplayArrayInTable(Common_SourceData.Common_SourceData_MCFTemperatureZone_Data(),Table_SourceData_Common_MCFTemperatureZone[[#Headers],[Temperature zone]],0)</f>
        <v>0.44</v>
      </c>
      <c r="I248" s="26" cm="1">
        <f t="array" ref="I248">Common_InputFunctions.Utility_DisplayArrayInTable(Common_SourceData.Common_SourceData_MCFTemperatureZone_Data(),Table_SourceData_Common_MCFTemperatureZone[[#Headers],[Temperature zone]],0)</f>
        <v>0.01</v>
      </c>
      <c r="J248" s="26" cm="1">
        <f t="array" ref="J248">Common_InputFunctions.Utility_DisplayArrayInTable(Common_SourceData.Common_SourceData_MCFTemperatureZone_Data(),Table_SourceData_Common_MCFTemperatureZone[[#Headers],[Temperature zone]],0)</f>
        <v>1.4999999999999999E-2</v>
      </c>
      <c r="K248" s="26" cm="1">
        <f t="array" ref="K248">Common_InputFunctions.Utility_DisplayArrayInTable(Common_SourceData.Common_SourceData_MCFTemperatureZone_Data(),Table_SourceData_Common_MCFTemperatureZone[[#Headers],[Temperature zone]],0)</f>
        <v>0.02</v>
      </c>
      <c r="L248" s="26" cm="1">
        <f t="array" ref="L248">Common_InputFunctions.Utility_DisplayArrayInTable(Common_SourceData.Common_SourceData_MCFTemperatureZone_Data(),Table_SourceData_Common_MCFTemperatureZone[[#Headers],[Temperature zone]],0)</f>
        <v>0.03</v>
      </c>
      <c r="M248" s="26" cm="1">
        <f t="array" ref="M248">Common_InputFunctions.Utility_DisplayArrayInTable(Common_SourceData.Common_SourceData_MCFTemperatureZone_Data(),Table_SourceData_Common_MCFTemperatureZone[[#Headers],[Temperature zone]],0)</f>
        <v>0.04</v>
      </c>
      <c r="N248" s="26" cm="1">
        <f t="array" ref="N248">Common_InputFunctions.Utility_DisplayArrayInTable(Common_SourceData.Common_SourceData_MCFTemperatureZone_Data(),Table_SourceData_Common_MCFTemperatureZone[[#Headers],[Temperature zone]],0)</f>
        <v>1.4999999999999999E-2</v>
      </c>
      <c r="O248" s="26" cm="1">
        <f t="array" ref="O248">Common_InputFunctions.Utility_DisplayArrayInTable(Common_SourceData.Common_SourceData_MCFTemperatureZone_Data(),Table_SourceData_Common_MCFTemperatureZone[[#Headers],[Temperature zone]],0)</f>
        <v>1.4999999999999999E-2</v>
      </c>
      <c r="P248" s="26" cm="1">
        <f t="array" ref="P248">Common_InputFunctions.Utility_DisplayArrayInTable(Common_SourceData.Common_SourceData_MCFTemperatureZone_Data(),Table_SourceData_Common_MCFTemperatureZone[[#Headers],[Temperature zone]],0)</f>
        <v>0</v>
      </c>
      <c r="Q248" s="26" cm="1">
        <f t="array" ref="Q248">Common_InputFunctions.Utility_DisplayArrayInTable(Common_SourceData.Common_SourceData_MCFTemperatureZone_Data(),Table_SourceData_Common_MCFTemperatureZone[[#Headers],[Temperature zone]],0)</f>
        <v>0</v>
      </c>
      <c r="R248" s="26" cm="1">
        <f t="array" ref="R248">Common_InputFunctions.Utility_DisplayArrayInTable(Common_SourceData.Common_SourceData_MCFTemperatureZone_Data(),Table_SourceData_Common_MCFTemperatureZone[[#Headers],[Temperature zone]],0)</f>
        <v>4.7000000000000002E-3</v>
      </c>
      <c r="S248" s="2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6" cm="1">
        <f t="array" ref="E249">Common_InputFunctions.Utility_DisplayArrayInTable(Common_SourceData.Common_SourceData_MCFTemperatureZone_Data(),Table_SourceData_Common_MCFTemperatureZone[[#Headers],[Temperature zone]],0)</f>
        <v>27</v>
      </c>
      <c r="F249" s="26" cm="1">
        <f t="array" ref="F249">Common_InputFunctions.Utility_DisplayArrayInTable(Common_SourceData.Common_SourceData_MCFTemperatureZone_Data(),Table_SourceData_Common_MCFTemperatureZone[[#Headers],[Temperature zone]],0)</f>
        <v>0.8</v>
      </c>
      <c r="G249" s="26" cm="1">
        <f t="array" ref="G249">Common_InputFunctions.Utility_DisplayArrayInTable(Common_SourceData.Common_SourceData_MCFTemperatureZone_Data(),Table_SourceData_Common_MCFTemperatureZone[[#Headers],[Temperature zone]],0)</f>
        <v>0.1</v>
      </c>
      <c r="H249" s="26" cm="1">
        <f t="array" ref="H249">Common_InputFunctions.Utility_DisplayArrayInTable(Common_SourceData.Common_SourceData_MCFTemperatureZone_Data(),Table_SourceData_Common_MCFTemperatureZone[[#Headers],[Temperature zone]],0)</f>
        <v>0.48</v>
      </c>
      <c r="I249" s="26" cm="1">
        <f t="array" ref="I249">Common_InputFunctions.Utility_DisplayArrayInTable(Common_SourceData.Common_SourceData_MCFTemperatureZone_Data(),Table_SourceData_Common_MCFTemperatureZone[[#Headers],[Temperature zone]],0)</f>
        <v>0.01</v>
      </c>
      <c r="J249" s="26" cm="1">
        <f t="array" ref="J249">Common_InputFunctions.Utility_DisplayArrayInTable(Common_SourceData.Common_SourceData_MCFTemperatureZone_Data(),Table_SourceData_Common_MCFTemperatureZone[[#Headers],[Temperature zone]],0)</f>
        <v>1.4999999999999999E-2</v>
      </c>
      <c r="K249" s="26" cm="1">
        <f t="array" ref="K249">Common_InputFunctions.Utility_DisplayArrayInTable(Common_SourceData.Common_SourceData_MCFTemperatureZone_Data(),Table_SourceData_Common_MCFTemperatureZone[[#Headers],[Temperature zone]],0)</f>
        <v>0.02</v>
      </c>
      <c r="L249" s="26" cm="1">
        <f t="array" ref="L249">Common_InputFunctions.Utility_DisplayArrayInTable(Common_SourceData.Common_SourceData_MCFTemperatureZone_Data(),Table_SourceData_Common_MCFTemperatureZone[[#Headers],[Temperature zone]],0)</f>
        <v>0.03</v>
      </c>
      <c r="M249" s="26" cm="1">
        <f t="array" ref="M249">Common_InputFunctions.Utility_DisplayArrayInTable(Common_SourceData.Common_SourceData_MCFTemperatureZone_Data(),Table_SourceData_Common_MCFTemperatureZone[[#Headers],[Temperature zone]],0)</f>
        <v>0.04</v>
      </c>
      <c r="N249" s="26" cm="1">
        <f t="array" ref="N249">Common_InputFunctions.Utility_DisplayArrayInTable(Common_SourceData.Common_SourceData_MCFTemperatureZone_Data(),Table_SourceData_Common_MCFTemperatureZone[[#Headers],[Temperature zone]],0)</f>
        <v>1.4999999999999999E-2</v>
      </c>
      <c r="O249" s="26" cm="1">
        <f t="array" ref="O249">Common_InputFunctions.Utility_DisplayArrayInTable(Common_SourceData.Common_SourceData_MCFTemperatureZone_Data(),Table_SourceData_Common_MCFTemperatureZone[[#Headers],[Temperature zone]],0)</f>
        <v>1.4999999999999999E-2</v>
      </c>
      <c r="P249" s="26" cm="1">
        <f t="array" ref="P249">Common_InputFunctions.Utility_DisplayArrayInTable(Common_SourceData.Common_SourceData_MCFTemperatureZone_Data(),Table_SourceData_Common_MCFTemperatureZone[[#Headers],[Temperature zone]],0)</f>
        <v>0</v>
      </c>
      <c r="Q249" s="26" cm="1">
        <f t="array" ref="Q249">Common_InputFunctions.Utility_DisplayArrayInTable(Common_SourceData.Common_SourceData_MCFTemperatureZone_Data(),Table_SourceData_Common_MCFTemperatureZone[[#Headers],[Temperature zone]],0)</f>
        <v>0</v>
      </c>
      <c r="R249" s="26" cm="1">
        <f t="array" ref="R249">Common_InputFunctions.Utility_DisplayArrayInTable(Common_SourceData.Common_SourceData_MCFTemperatureZone_Data(),Table_SourceData_Common_MCFTemperatureZone[[#Headers],[Temperature zone]],0)</f>
        <v>4.7000000000000002E-3</v>
      </c>
      <c r="S249" s="2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6" t="str" cm="1">
        <f t="array" ref="E250">Common_InputFunctions.Utility_DisplayArrayInTable(Common_SourceData.Common_SourceData_MCFTemperatureZone_Data(),Table_SourceData_Common_MCFTemperatureZone[[#Headers],[Temperature zone]],0)</f>
        <v>≥28</v>
      </c>
      <c r="F250" s="26" cm="1">
        <f t="array" ref="F250">Common_InputFunctions.Utility_DisplayArrayInTable(Common_SourceData.Common_SourceData_MCFTemperatureZone_Data(),Table_SourceData_Common_MCFTemperatureZone[[#Headers],[Temperature zone]],0)</f>
        <v>0.8</v>
      </c>
      <c r="G250" s="26" cm="1">
        <f t="array" ref="G250">Common_InputFunctions.Utility_DisplayArrayInTable(Common_SourceData.Common_SourceData_MCFTemperatureZone_Data(),Table_SourceData_Common_MCFTemperatureZone[[#Headers],[Temperature zone]],0)</f>
        <v>0.1</v>
      </c>
      <c r="H250" s="26" cm="1">
        <f t="array" ref="H250">Common_InputFunctions.Utility_DisplayArrayInTable(Common_SourceData.Common_SourceData_MCFTemperatureZone_Data(),Table_SourceData_Common_MCFTemperatureZone[[#Headers],[Temperature zone]],0)</f>
        <v>0.5</v>
      </c>
      <c r="I250" s="26" cm="1">
        <f t="array" ref="I250">Common_InputFunctions.Utility_DisplayArrayInTable(Common_SourceData.Common_SourceData_MCFTemperatureZone_Data(),Table_SourceData_Common_MCFTemperatureZone[[#Headers],[Temperature zone]],0)</f>
        <v>0.01</v>
      </c>
      <c r="J250" s="26" cm="1">
        <f t="array" ref="J250">Common_InputFunctions.Utility_DisplayArrayInTable(Common_SourceData.Common_SourceData_MCFTemperatureZone_Data(),Table_SourceData_Common_MCFTemperatureZone[[#Headers],[Temperature zone]],0)</f>
        <v>1.4999999999999999E-2</v>
      </c>
      <c r="K250" s="26" cm="1">
        <f t="array" ref="K250">Common_InputFunctions.Utility_DisplayArrayInTable(Common_SourceData.Common_SourceData_MCFTemperatureZone_Data(),Table_SourceData_Common_MCFTemperatureZone[[#Headers],[Temperature zone]],0)</f>
        <v>0.02</v>
      </c>
      <c r="L250" s="26" cm="1">
        <f t="array" ref="L250">Common_InputFunctions.Utility_DisplayArrayInTable(Common_SourceData.Common_SourceData_MCFTemperatureZone_Data(),Table_SourceData_Common_MCFTemperatureZone[[#Headers],[Temperature zone]],0)</f>
        <v>0.03</v>
      </c>
      <c r="M250" s="26" cm="1">
        <f t="array" ref="M250">Common_InputFunctions.Utility_DisplayArrayInTable(Common_SourceData.Common_SourceData_MCFTemperatureZone_Data(),Table_SourceData_Common_MCFTemperatureZone[[#Headers],[Temperature zone]],0)</f>
        <v>0.04</v>
      </c>
      <c r="N250" s="26" cm="1">
        <f t="array" ref="N250">Common_InputFunctions.Utility_DisplayArrayInTable(Common_SourceData.Common_SourceData_MCFTemperatureZone_Data(),Table_SourceData_Common_MCFTemperatureZone[[#Headers],[Temperature zone]],0)</f>
        <v>1.4999999999999999E-2</v>
      </c>
      <c r="O250" s="26" cm="1">
        <f t="array" ref="O250">Common_InputFunctions.Utility_DisplayArrayInTable(Common_SourceData.Common_SourceData_MCFTemperatureZone_Data(),Table_SourceData_Common_MCFTemperatureZone[[#Headers],[Temperature zone]],0)</f>
        <v>1.4999999999999999E-2</v>
      </c>
      <c r="P250" s="26" cm="1">
        <f t="array" ref="P250">Common_InputFunctions.Utility_DisplayArrayInTable(Common_SourceData.Common_SourceData_MCFTemperatureZone_Data(),Table_SourceData_Common_MCFTemperatureZone[[#Headers],[Temperature zone]],0)</f>
        <v>0</v>
      </c>
      <c r="Q250" s="26" cm="1">
        <f t="array" ref="Q250">Common_InputFunctions.Utility_DisplayArrayInTable(Common_SourceData.Common_SourceData_MCFTemperatureZone_Data(),Table_SourceData_Common_MCFTemperatureZone[[#Headers],[Temperature zone]],0)</f>
        <v>0</v>
      </c>
      <c r="R250" s="26" cm="1">
        <f t="array" ref="R250">Common_InputFunctions.Utility_DisplayArrayInTable(Common_SourceData.Common_SourceData_MCFTemperatureZone_Data(),Table_SourceData_Common_MCFTemperatureZone[[#Headers],[Temperature zone]],0)</f>
        <v>4.7000000000000002E-3</v>
      </c>
      <c r="S250" s="26" cm="1">
        <f t="array" ref="S250">Common_InputFunctions.Utility_DisplayArrayInTable(Common_SourceData.Common_SourceData_MCFTemperatureZone_Data(),Table_SourceData_Common_MCFTemperatureZone[[#Headers],[Temperature zone]],0)</f>
        <v>28</v>
      </c>
    </row>
    <row r="253" spans="4:19" ht="23.25" x14ac:dyDescent="0.25">
      <c r="D253" s="5" t="str" cm="1">
        <f t="array" ref="D253">Common_SourceData.Common_SourceData_EFOrganicFertiliserAndCropResidues_Title()</f>
        <v>Emission factor for organic fertiliser and crop residues returned to the soil</v>
      </c>
    </row>
    <row r="254" spans="4:19" x14ac:dyDescent="0.25">
      <c r="D254" s="4"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30" t="str" cm="1">
        <f t="array" ref="D256">Common_SourceData.Common_SourceData_EFOrganicFertiliserAndCropResidues_Unit()</f>
        <v>kg N2O - N / kg N</v>
      </c>
    </row>
    <row r="257" spans="4:5" x14ac:dyDescent="0.25">
      <c r="D257" s="26" t="s">
        <v>79</v>
      </c>
      <c r="E257" s="26" t="s">
        <v>80</v>
      </c>
    </row>
    <row r="258" spans="4:5" x14ac:dyDescent="0.25">
      <c r="D258" s="26" t="str" cm="1">
        <f t="array" ref="D258">Common_InputFunctions.Utility_DisplayArrayInTable(Common_SourceData.Common_SourceData_EFOrganicFertiliserAndCropResidues_Data(), Table_SourceData_Common_EFOrganicFertCropResidues[[#Headers],[Climate Zone]], 0)</f>
        <v>Wet climate zone</v>
      </c>
      <c r="E258" s="2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VABlAG0AcABlAHIAYQB0AHUAcgBl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RgB1AGUAbABfAFMAbwB1AHIAYwBlAEQAYQB0AGEAIgAsACIAdABlAHgAdAAiADoAIgAvACoAXABuAD0APQA9AD0APQA9AD0APQA9AD0APQA9AD0APQA9AD0APQA9AD0APQA9AD0APQA9AD0APQA9AD0APQA9AD0APQA9AD0APQA9AD0APQA9AD0APQA9AD0APQA9AD0APQA9AD0APQA9AD0APQA9AD0APQA9AD0APQA9AD0APQA9AD0APQA9AD0APQA9AD0APQA9AD0APQA9AD0AXABuAEYAdQBlAGwAIABzAGMAbwBwAGUAIAAxACAAZQBtAGkAcwBzAGkAbwBuACAAZgBhAGMAdABvAHIAcwAgAC0AIABTAHQAYQB0AGkAbwBuAGEAcgB5ACAAZwBhAHMAZQBvAHUAcwAgAGYAdQBlAGwAcwBcAG4APQA9AD0APQA9AD0APQA9AD0APQA9AD0APQA9AD0APQA9AD0APQA9AD0APQA9AD0APQA9AD0APQA9AD0APQA9AD0APQA9AD0APQA9AD0APQA9AD0APQA9AD0APQA9AD0APQA9AD0APQA9AD0APQA9AD0APQA9AD0APQA9AD0APQA9AD0APQA9AD0APQA9AD0APQA9AD0APQBcAG4AKgAvAFwAbgBcAG4ARgB1AGUAbABfAFMAYwBvAHAAZQAxAEUAbQBpAHMAcwBpAG8AbgBGAGEAYwB0AG8AcgBzAFMAdABhAHQAaQBvAG4AYQByAHkARwBhAHMAZQBvAHUAcwBfAFQAaQB0AGwAZQBcAG4APQBMAEEATQBCAEQAQQAoACgAXAAiAEYAdQBlAGwAIABzAGMAbwBwAGUAIAAxACAAZQBtAGkAcwBzAGkAbwBuACAAZgBhAGMAdABvAHIAcwAgAC0AIABTAHQAYQB0AGkAbwBuAGEAcgB5ACAAZwBhAHMAZQBvAHUAcwAgAGYAdQBlAGwAcwBcACIAKQApADsAXABuAFwAbgBGAHUAZQBsAF8AUwBjAG8AcABlADEARQBtAGkAcwBzAGkAbwBuAEYAYQBjAHQAbwByAHMAUwB0AGEAdABpAG8AbgBhAHIAeQBHAGEAcwBlAG8AdQBzAF8ARABlAHMAYwByAGkAcAB0AGkAbwBuAFwAbgA9AEwAQQBNAEIARABBACgAKABcACIARABpAHIAZQBjAHQAIAAoAFMAYwBvAHAAZQAgADEAKQAgAGUAbQBpAHMAcwBpAG8AbgAgAGYAYQBjAHQAbwByAHMAIABmAG8AcgAgAHQAaABlACAAYwBvAG4AcwB1AG0AcAB0AGkAbwBuACAAbwBmACAAZwBhAHMAZQBvAHUAcwAgAGYAdQBlAGwAcwAgAGkAbgBjAGwAdQBkAGkAbgBnACAAbABpAHEAdQBlAGYAaQBlAGQAIABuAGEAdAB1AHIAYQBsACAAZwBhAHMAIAAgAFwAIgApACkAOwBcAG4AXABuAEYAdQBlAGwAXwBTAGMAbwBwAGUAMQBFAG0AaQBzAHMAaQBvAG4ARgBhAGMAdABvAHIAcwBTAHQAYQB0AGkAbwBuAGEAcgB5AEcAYQBzAGUAbwB1AHMAXwBTAG8AdQByAGMAZQBcAG4APQBMAEEATQBCAEQAQQAoACgAXAAiAEEAdQBzAHQAcgBhAGwAaQBhAG4AIABOAGEAdABpAG8AbgBhAGwAIABHAHIAZQBlAG4AaABvAHUAcwBlACAAQQBjAGMAbwB1AG4AdABzACAARgBhAGMAdABvAHIAcwAgADIAMAAyADUAIAAtACAAVABhAGIAbABlACAANQBcACIAKQApADsAXABuAFwAbgBGAHUAZQBsAF8AUwBjAG8AcABlADEARQBtAGkAcwBzAGkAbwBuAEYAYQBjAHQAbwByAHMAUwB0AGEAdABpAG8AbgBhAHIAeQBHAGEAcwBlAG8AdQBzAF8ARABhAHQAYQBcAG4APQBMAEEATQBCAEQAQQAoAFwAbgAgACAATQBBAEsARQBBAFIAUgBBAFkAKAAxADkALAAgADcALABcAG4AIAAgACAAIABMAEEATQBCAEQAQQAoAHIALABjACwAXABuACAAIAAgACAAIAAgAEkATgBEAEUAWAAoAHsAXABuACAAIAAgACAAIAAgACAAIABcACIARgB1AGUAbAAgAGMAbwBtAGIAdQBzAHQAZQBkAFwAIgAsACAAXAAiAEUAbgBlAHIAZwB5ACAAQwBvAG4AdABlAG4AdAAgAEYAYQBjAHQAbwByACA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7AFwAbgAgACAAIAAgACAAIAAgACAAXAAiAE4AYQB0AHUAcgBhAGwAIABnAGEAcwAgAGQAaQBzAHQAcgBpAGIAdQB0AGUAZAAgAGkAbgAgAGEAIABwAGkAcABlAGwAaQBuAGUAXAAiACwAIAAwAC4AMAAzADkAMwAsACAAXAAiAG0AMwBcACIALAAgADUAMQAuADQALAAgADAALgAxACwAIAAwAC4AMAAzACwAIAA1ADEALgA1ADMAOwBcAG4AIAAgACAAIAAgACAAIAAgAFwAIgBDAG8AYQBsACAAcwBlAGEAbQAgAG0AZQB0AGgAYQBuAGUAIAB0AGgAYQB0ACAAaQBzACAAYwBhAHAAdAB1AHIAZQBkACAAZgBvAHIAIABjAG8AbQBiAHUAcwB0AGkAbwBuAFwAIgAsACAAMAAuADAAMwA3ADcALAAgAFwAIgBtADMAXAAiACwAIAA1ADEALgA0ACwAIAAwAC4AMgAsACAAMAAuADAAMwAsACAANQAxAC4ANgAzADsAXABuACAAIAAgACAAIAAgACAAIABcACIAQwBvAGEAbAAgAG0AaQBuAGUAIAB3AGEAcwB0AGUAIABnAGEAcwAgAHQAaABhAHQAIABpAHMAIABjAGEAcAB0AHUAcgBlAGQAIABmAG8AcgAgAGMAbwBtAGIAdQBzAHQAaQBvAG4AXAAiACwAIAAwAC4AMAAzADcANwAsACAAXAAiAG0AMwBcACIALAAgADUAMQAuADkALAAgADQALgA2ACwAIAAwAC4AMwAsACAANQA2AC4AOAA7AFwAbgAgACAAIAAgACAAIAAgACAAXAAiAEMAbwBtAHAAcgBlAHMAcwBlAGQAIABuAGEAdAB1AHIAYQBsACAAZwBhAHMAKAByAGUAdgBlAHIAdABpAG4AZwAgAHQAbwAgAHMAdABhAG4AZABhAHIAZAAgAGMAbwBuAGQAaQB0AGkAbwBuAHMAKQBcACIALAAgADAALgAwADMAOQAzACwAIABcACIAbQAzAFwAIgAsACAANQAxAC4ANAAsACAAMAAuADEALAAgADAALgAwADMALAAgADUAMQAuADUAMwA7AFwAbgAgACAAIAAgACAAIAAgACAAXAAiAFUAbgBwAHIAbwBjAGUAcwBzAGUAZAAgAG4AYQB0AHUAcgBhAGwAIABnAGEAcwBcACIALAAgADAALgAwADMAOQAzACwAIABcACIAbQAzAFwAIgAsACAANQAxAC4ANAAsACAAMAAuADEALAAgADAALgAwADMALAAgADUAMQAuADUAMwA7AFwAbgAgACAAIAAgACAAIAAgACAAXAAiAEUAdABoAGEAbgBlAFwAIgAsACAAMAAuADAANgAyADkALAAgAFwAIgBtADMAXAAiACwAIAA1ADYALgA1ACwAIAAwAC4AMAAzACwAIAAwAC4AMAAzACwAIAA1ADYALgA1ADYAOwBcAG4AIAAgACAAIAAgACAAIAAgAFwAIgBDAG8AawBlACAAbwB2AGUAbgAgAGcAYQBzAFwAIgAsACAAMAAuADAAMQA4ADEALAAgAFwAIgBtADMAXAAiACwAIAAzADcALgAwACwAIAAwAC4AMAAzACwAIAAwAC4AMAA1ACwAIAAzADcALgAwADgAOwBcAG4AIAAgACAAIAAgACAAIAAgAFwAIgBCAGwAYQBzAHQAIABmAHUAcgBuAGEAYwBlACAAZwBhAHMAXAAiACwAIAAwAC4AMAAwADQAMAAsACAAXAAiAG0AMwBcACIALAAgADIAMwA0AC4AMAAsACAAMAAuADAAMwAsACAAMAAuADAAMgAsACAAMgAzADQALgAwADUAOwBcAG4AIAAgACAAIAAgACAAIAAgAFwAIgBUAG8AdwBuACAAZwBhAHMAXAAiACwAIAAwAC4AMAAzADkAMAAsACAAXAAiAG0AMwBcACIALAAgADYAMAAuADIALAAgADAALgAwADQALAAgADAALgAwADMALAAgADYAMAAuADIANwA7AFwAbgAgACAAIAAgACAAIAAgACAAXAAiAEwAaQBxAHUAZQBmAGkAZQBkACAAbgBhAHQAdQByAGEAbAAgAGcAYQBzAFwAIgAsACAAMgA1AC4AMwAsACAAXAAiAGsATABcACIALAAgADUAMQAuADQALAAgADAALgAxACwAIAAwAC4AMAAzACwAIAA1ADEALgA1ADMAOwBcAG4AIAAgACAAIAAgACAAIAAgAFwAIgBHAGEAcwBlAG8AdQBzACAAZgBvAHMAcwBpAGwAIABmAHUAZQBsAHMAIABvAHQAaABlAHIAIAB0AGgAYQBuACAAdABoAG8AcwBlACAAbQBlAG4AdABpAG8AbgBlAGQAIABpAG4AIAB0AGgAZQAgAGkAdABlAG0AcwAgAGEAYgBvAHYAZQBcACIALAAgADAALgAwADMAOQAwACwAIABcACIAbQAzAFwAIgAsACAANQAxAC4ANAAsACAAMAAuADEALAAgADAALgAwADMALAAgADUAMQAuADUAMwA7AFwAbgAgACAAIAAgACAAIAAgACAAXAAiAEwAYQBuAGQAZgBpAGwAbAAgAGIAaQBvAGcAYQBzACAAdABoAGEAdAAgAGkAcwAgAGMAYQBwAHQAdQByAGUAZAAgAGYAbwByACAAYwBvAG0AYgB1AHMAdABpAG8AbgAgACgAbQBlAHQAaABhAG4AZQAgAG8AbgBsAHkAKQBcACIALAAgADAALgAwADMANwA3ACwAIABcACIAbQAzAFwAIgAsACAAMAAuADAALAAgADYALgA0ACwAIAAwAC4AMAAzACwAIAA2AC4ANAAzADsAXABuACAAIAAgACAAIAAgACAAIABcACIAUwBsAHUAZABnAGU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EEAIABiAGkAbwBnAGEAcwAgAHQAaABhAHQAIABpAHMAIABjAGEAcAB0AHUAcgBlAGQAIABmAG8AcgAgAGMAbwBtAGIAdQBzAHQAaQBvAG4ALAAgAG8AdABoAGUAcgAgAHQAaABhAG4AIAB0AGgAbwBzAGUAIABtAGUAbgB0AGkAbwBuAGUAZAAgAGkAbgAgAHQAaABlACAAaQB0AGUAbQBzACAAYQBiAG8AdgBlAFwAIgAsACAAMAAuADAAMwA3ADAALAAgAFwAIgBtADMAXAAiACwAIAAwAC4AMAAsACAANgAuADQALAAgADAALgAwADMALAAgADYALgA0ADMAOwBcAG4AIAAgACAAIAAgACAAIAAgAFwAIgBCAGkAbwBtAGUAdABoAGEAbgBlAFwAIgAsACAAMAAuADAAMwA5ADMALAAgAFwAIgBtADMAXAAiACwAIAAwAC4AMAAsACAAMAAuADEALAAgADAALgAwADMALAAgADAALgAxADMAOwBcAG4AIAAgACAAIAAgACAAIAAgAFwAIgBIAHkAZAByAG8AZwBlAG4AXAAiACwAIAAwAC4AMAAxADIAMgAsACAAXAAiAG0AMwBcACIALAAgADAALgAwACwAIAAwAC4AMAAsACAAMAAuADUALAAgADAALgA1ADsAXABuACAAIAAgACAAIAAgACAAIABcACIATgBhAHQAdQByAGEAbAAgAGcAYQBzACAAZABpAHMAdAByAGkAYgB1AHQAZQBkACAAaQBuACAAYQAgAHAAaQBwAGUAbABpAG4AZQAgAC0AIABHAGkAZwBhAGoAbwB1AGwAZQBzAFwAIgAsACAAMQAsACAAXAAiAEcASgBcACIALAAgADUAMQAuADQALAAgADAALgAxACwAIAAwAC4AMAAzACwAIAA1ADEALgA1ADMAOwBcAG4AIAAgACAAIAAgACAAIAAgAFwAIgBUAG8AdwBuACAAZwBhAHMAIAAtACAARwBpAGcAYQBqAG8AdQBsAGUAcwBcACIALAAgADEALAAgAFwAIgBHAEoAXAAiACwAIAA2ADAALgAyACwAIAAwAC4AMAA0ACwAIAAwAC4AMAAzACwAIAA2ADAALgAyADcAXABuACAAIAAgACAAIAAgAH0ALAAgAHIALAAgAGMAKQBcAG4AKQApACkAOwBcAG4AXABuAEYAdQBlAGwAXwBTAGMAbwBwAGUAMQBFAG0AaQBzAHMAaQBvAG4ARgBhAGMAdABvAHIAcwBTAHQAYQB0AGkAbwBuAGEAcgB5AEcAYQBzAGUAbwB1AHMAXwBWAGEAcgBpAGEAdABpAG8AbgBcAG4APQBMAEEATQBCAEQAQQAoACgAXAAiAFYAQQBSAEkAQQBUAEkATwBOACAATwBGACAAUwBPAFUAUgBDAEUAIABEAEEAVABBADoAIABcAHUAMAAwADIANwBOAGEAdAB1AHIAYQBsACAAZwBhAHMAIABkAGkAcwB0AHIAaQBiAHUAdABlAGQAIABpAG4AIABhACAAcABpAHAAZQBsAGkAbgBlACAALQAgAEcAaQBnAGEAagBvAHUAbABlAHMAXAB1ADAAMAAyADcAIABhAG4AZAAgAFwAdQAwADAAMgA3AFQAbwB3AG4AIABnAGEAcwAgAC0AIABHAGkAZwBhAGoAbwB1AGwAZQBzAFwAdQAwADAAMgA3ACAAdwBlAHIAZQAgAGEAZABkAGUAZAAsACAAZQBhAGMAaAAgAHcAaQB0AGgAIABhAG4AIABlAG4AZQByAGcAeQAgAGMAbwBuAHQAZQBuAHQAIABmAGEAYwB0AG8AcgAgAG8AZgAgADEAIABHAEoAIABwAGUAcgAgAHUAbgBpAHQAIABvAGYAIABmAHUAZQBsAC4AIABUAGgAaQBzACAAaQBzACAAZgBvAHIAIAB1AHMAZQByAHMAIAB3AGgAbwAgAGgAYQB2AGUAIABmAHUAZQBsACAAYwBvAG4AcwB1AG0AcAB0AGkAbwBuACAAZABhAHQAYQAgAGkAbgAgAEcASgAgAHIAYQB0AGgAZQByACAAdABoAGEAbgAgAG0AMwAuAFwAIgApACkAOwBcAG4AXABuAFwAbgAvACoAXABuAD0APQA9AD0APQA9AD0APQA9AD0APQA9AD0APQA9AD0APQA9AD0APQA9AD0APQA9AD0APQA9AD0APQA9AD0APQA9AD0APQA9AD0APQA9AD0APQA9AD0APQA9AD0APQA9AD0APQA9AD0APQA9AD0APQA9AD0APQA9AD0APQA9AD0APQA9AD0APQA9AD0APQA9AD0APQA9AD0AXABuAEYAdQBlAGwAIABzAGMAbwBwAGUAIAAzACAAZQBtAGkAcwBzAGkAbwBuACAAZgBhAGMAdABvAHIAcwAgAC0AIABTAHQAYQB0AGkAbwBuAGEAcgB5ACAAZwBhAHMAZQBvAHUAcwAgAGYAdQBlAGwAcwBcAG4APQA9AD0APQA9AD0APQA9AD0APQA9AD0APQA9AD0APQA9AD0APQA9AD0APQA9AD0APQA9AD0APQA9AD0APQA9AD0APQA9AD0APQA9AD0APQA9AD0APQA9AD0APQA9AD0APQA9AD0APQA9AD0APQA9AD0APQA9AD0APQA9AD0APQA9AD0APQA9AD0APQA9AD0APQA9AD0APQBcAG4AKgAvAFwAbgBcAG4ARgB1AGUAbABfAFMAYwBvAHAAZQAzAEUAbQBpAHMAcwBpAG8AbgBGAGEAYwB0AG8AcgBzAFMAdABhAHQAaQBvAG4AYQByAHkARwBhAHMAZQBvAHUAcwBfAFQAaQB0AGwAZQBcAG4APQBMAEEATQBCAEQAQQAoACgAXAAiAEYAdQBlAGwAIABzAGMAbwBwAGUAIAAzACAAZQBtAGkAcwBzAGkAbwBuACAAZgBhAGMAdABvAHIAcwAgAC0AIABTAHQAYQB0AGkAbwBuAGEAcgB5ACAAZwBhAHMAZQBvAHUAcwAgAGYAdQBlAGwAcwBcACIAKQApADsAXABuAFwAbgBGAHUAZQBsAF8AUwBjAG8AcABlADMARQBtAGkAcwBzAGkAbwBuAEYAYQBjAHQAbwByAHMAUwB0AGEAdABpAG8AbgBhAHIAeQBHAGEAcwBlAG8AdQBzAF8ARABlAHMAYwByAGkAcAB0AGkAbwBuAFwAbgA9AEwAQQBNAEIARABBACgAKABcACIASQBuAGQAaQByAGUAYwB0ACAAKABTAGMAbwBwAGUAIAAzACkAIABlAG0AaQBzAHMAaQBvAG4AIABmAGEAYwB0AG8AcgBzACAAZgBvAHIAIAB0AGgAZQAgAGMAbwBuAHMAdQBtAHAAdABpAG8AbgAgAG8AZgAgAG4AYQB0AHUAcgBhAGwAIABnAGEAcwAuAFwAIgApACkAOwBcAG4AXABuAEYAdQBlAGwAXwBTAGMAbwBwAGUAMwBFAG0AaQBzAHMAaQBvAG4ARgBhAGMAdABvAHIAcwBTAHQAYQB0AGkAbwBuAGEAcgB5AEcAYQBzAGUAbwB1AHMAXwBTAG8AdQByAGMAZQBcAG4APQBMAEEATQBCAEQAQQAoACgAXAAiAEEAdQBzAHQAcgBhAGwAaQBhAG4AIABOAGEAdABpAG8AbgBhAGwAIABHAHIAZQBlAG4AaABvAHUAcwBlACAAQQBjAGMAbwB1AG4AdABzACAARgBhAGMAdABvAHIAcwAgADIAMAAyADUAIAAtACAAVABhAGIAbABlACAANgBcACIAKQApADsAXABuAFwAbgBGAHUAZQBsAF8AUwBjAG8AcABlADMARQBtAGkAcwBzAGkAbwBuAEYAYQBjAHQAbwByAHMAUwB0AGEAdABpAG8AbgBhAHIAeQBHAGEAcwBlAG8AdQBzAF8ARABhAHQAYQBcAG4APQBMAEEATQBCAEQAQQAoAFwAbgAgACAATQBBAEsARQBBAFIAUgBBAFkAKAA5ACwAIAAzACwAXABuACAAIAAgACAATABBAE0AQgBEAEEAKAByACwAYwAsAFwAbgAgACAAIAAgACAAIABJAE4ARABFAFgAKAB7AFwAbgAgACAAIAAgACAAIAAgACAAXAAiAFMAdABhAHQAZQAgAG8AcgAgAHQAZQByAHIAaQB0AG8AcgB5AFwAIgAsACAAXAAiAFMAYwBvAHAAZQAgADMAIABFAG0AaQBzAHMAaQBvAG4AIABGAGEAYwB0AG8AcgBzACAAZgBvAHIAIABOAGEAdAB1AHIAYQBsACAARwBhAHMAIAAoAGsAZwAgAEMATwAyACAALQAgAGUAIAAvACAARwBKACkAIABNAGUAdAByAG8AXAAiACwAIABcACIAUwBjAG8AcABlACAAMwAgAEUAbQBpAHMAcwBpAG8AbgAgAEYAYQBjAHQAbwByAHMAIABmAG8AcgAgAE4AYQB0AHUAcgBhAGwAIABHAGEAcwAgACgAawBnACAAQwBPADIAIAAtACAAZQAgAC8AIABHAEoAKQAgAE4AbwBuACAALQAgAE0AZQB0AHIAbwBcACIAOwBcAG4AIAAgACAAIAAgACAAIAAgAFwAIgBOAGUAdwAgAFMAbwB1AHQAaAAgAFcAYQBsAGUAcwBcACIALAAgADEAMwAuADEALAAgADEANAAuADAAOwBcAG4AIAAgACAAIAAgACAAIAAgAFwAIgBBAEMAVABcACIALAAgADEAMwAuADEALAAgADEANAAuADAAOwBcAG4AIAAgACAAIAAgACAAIAAgAFwAIgBWAGkAYwB0AG8AcgBpAGEAXAAiACwAIAA0AC4AMAAsACAANAAuADAAOwBcAG4AIAAgACAAIAAgACAAIAAgAFwAIgBRAHUAZQBlAG4AcwBsAGEAbgBkAFwAIgAsACAAOAAuADgALAAgADcALgA5ADsAXABuACAAIAAgACAAIAAgACAAIABcACIAUwBvAHUAdABoACAAQQB1AHMAdAByAGEAbABpAGEAXAAiACwAIAAxADAALgA3ACwAIAAxADAALgA2ADsAXABuACAAIAAgACAAIAAgACAAIABcACIAVwBlAHMAdABlAHIAbgAgAEEAdQBzAHQAcgBhAGwAaQBhAFwAIgAsACAANAAuADEALAAgADQALgAwADsAXABuACAAIAAgACAAIAAgACAAIABcACIAVABhAHMAbQBhAG4AaQBhAFwAIgAsACAANAAuADAALAAgADQALgAwADsAXABuACAAIAAgACAAIAAgACAAIABcACIATgBvAHIAdABoAGUAcgBuACAAVABlAHIAcgBpAHQAbwByAHkAXAAiACwAIAA0AC4AMQAsACAANAAuADAAXABuACAAIAAgACAAIAAgAH0ALAAgAHIALAAgAGMAKQBcAG4AKQApACkAOwBcAG4AXABuAEYAdQBlAGwAXwBTAGMAbwBwAGUAMwBFAG0AaQBzAHMAaQBvAG4ARgBhAGMAdABvAHIAcwBTAHQAYQB0AGkAbwBuAGEAcgB5AEcAYQBzAGUAbwB1AHMAXwBWAGEAcgBpAGEAdABpAG8AbgBcAG4APQBMAEEATQBCAEQAQQAoACgAXAAiAFYAQQBSAEkAQQBUAEkATwBOACAATwBGACAAUwBPAFUAUgBDAEUAIABEAEEAVABBADoAIABOAFMAVwAgAGEAbgBkACAAQQBDAFQAIABzAHAAbABpAHQAIABpAG4AdABvACAAcwBlAHAAYQByAGEAdABlACAAcgBvAHcAcwAuACAAXAB1ADAAMAAyADcAQwBcAHUAMAAwADIANwAgAFYAYQBsAHUAZQBzACAAZgBvAHIAIABUAGEAcwBtAGEAbgBpAGEAIABhAG4AZAAgAE4AbwByAHQAaABlAHIAbgAgAFQAZQByAHIAaQB0AG8AcgB5ACAAcgBlAHAAbABhAGMAZQBkACAAdwBpAHQAaAAgAHQAaABvAHMAZQAgAGYAbwByACAAVgBpAGMAdABvAHIAaQBhACAAYQBuAGQAIABXAGUAcwB0AGUAcgBuACAAQQB1AHMAdAByAGEAbABpAGEAIAByAGUAcwBwAGUAYwB0AGkAdgBlAGwAeQAuACAAKABTAGUAZQAgAGEAcABwAGUAbgBkAGkAYwBlAHMAKQBcACIAKQApADsAXABuAFwAbgBGAHUAZQBsAF8AUwBjAG8AcABlADMARQBtAGkAcwBzAGkAbwBuAEYAYQBjAHQAbwByAHMAUwB0AGEAdABpAG8AbgBhAHIAeQBHAGEAcwBlAG8AdQBzAF8AQQBwAHAAZQBuAGQAaQBjAGUAcwBcAG4APQBMAEEATQBCAEQAQQAoAFwAbgAgACAATQBBAEsARQBBAFIAUgBBAFkAKAAxADIALAAgADIALABcAG4AIAAgACAAIABMAEEATQBCAEQAQQAoAHIALABjACwAXABuACAAIAAgACAAIAAgAEkATgBEAEUAWAAoAHsAXABuACAAIAAgACAAIAAgACAAIABcACIALQBcACIALAAgAFwAIgBBAHMAIABTAGMAbwBwAGUAIAAzACAAZgBhAGMAdABvAHIAcwAgAGEAcgBlACAAYwBhAGwAYwB1AGwAYQB0AGUAZAAgAGEAdAAgAHQAaABlACAAcABvAGkAbgB0ACAAdwBoAGUAcgBlACAAbgBhAHQAdQByAGEAbAAgAGcAYQBzACAAaQBzACAAZABlAGwAaQB2AGUAcgBlAGQAIAB0AG8AIABlAG4AZAAgAHUAcwBlAHIAcwAsACAAaQB0ACAAaQBzACAAbgBlAGMAZQBzAHMAYQByAHkAIAB0AG8AIABjAGEAbABjAHUAbABhAHQAZQAgAGMAbwBuAHMAdQBtAHAAdABpAG8AbgAgAGEAdAAgAGUAYQBjAGgAIABvAGYAIAB0AGgAZQAgAGwAbwBhAGQAIABjAGUAbgB0AHIAZQBzAC4AXAAiADsAXABuACAAIAAgACAAIAAgACAAIABcACIAXAAiACwAIABcACIARwBhAHMAIAByAGUAYQBjAGgAZQBzACAAZQBuAGQAIAB1AHMAZQByAHMAIABlAGkAdABoAGUAcgAgAGYAcgBvAG0AIAB0AGgAZQAgAG0AZQB0AHIAbwAgAGQAaQBzAHQAcgBpAGIAdQB0AGkAbwBuACAAbgBlAHQAdwBvAHIAawBzACAAbwByACAAZABpAHIAZQBjAHQAIABmAHIAbwBtACAAdABoAGUAIABoAGkAZwBoACAALQAgAHAAcgBlAHMAcwB1AHIAZQAgAGQAaQBzAHQAcgBpAGIAdQB0AGkAbwBuACAAcABpAHAAZQBsAGkAbgBlAHMALgBcACIAOwBcAG4AIAAgACAAIAAgACAAIAAgAFwAIgBcACIALAAgAFwAIgBIAG8AdQBzAGUAaABvAGwAZABzACAAYQBuAGQAIABjAG8AbQBtAGUAcgBjAGkAYQBsACAAdQBzAGUAcgBzACAAdABlAG4AZAAgAHQAbwAgAGIAZQAgAHMAZQByAHYAZQBkACAAYgB5ACAAdABoAGUAIABmAG8AcgBtAGUAcgAsACAAYQBuAGQAIABlAGwAZQBjAHQAcgBpAGMAaQB0AHkAIABnAGUAbgBlAHIAYQB0AG8AcgBzACAAYQBuAGQAIABsAGEAcgBnAGUAIABpAG4AZAB1AHMAdAByAGkAYQBsACAAcABsAGEAbgB0AHMAIABmAHIAbwBtACAAdABoAGUAIABsAGEAdAB0AGUAcgAuAFwAIgA7AFwAbgAgACAAIAAgACAAIAAgACAAXAAiAC0AXAAiACwAIABcACIATQBlAHQAcgBvACAAaQBzACAAZABlAGYAaQBuAGUAZAAgAGEAcwAgAGwAbwBjAGEAdABlAGQAIABvAG4AIABvAHIAIABlAGEAcwB0ACAAbwBmACAAdABoAGUAIABkAGkAdgBpAGQAaQBuAGcAIAByAGEAbgBnAGUAIABpAG4AIABOAFMAVwAsACAAaQBuAGMAbAB1AGQAaQBuAGcAIABDAGEAbgBiAGUAcgByAGEAIABhAG4AZAAgAFEAdQBlAGEAbgBiAGUAeQBhAG4ALAAgAE0AZQBsAGIAbwB1AHIAbgBlACwAIABCAHIAaQBzAGIAYQBuAGUALAAgAEEAZABlAGwAYQBpAGQAZQAgAG8AcgAgAFAAZQByAHQAaAAuAFwAIgA7AFwAbgAgACAAIAAgACAAIAAgACAAXAAiAFwAIgAsACAAXAAiAE8AdABoAGUAcgB3AGkAcwBlACwAIAB0AGgAZQAgAG4AbwBuACAALQAgAG0AZQB0AHIAbwAgAGYAYQBjAHQAbwByACAAcwBoAG8AdQBsAGQAIABiAGUAIAB1AHMAZQBkAC4AXAAiADsAXABuACAAIAAgACAAIAAgACAAIABcACIALQBcACIALAAgAFwAIgBGAGEAYwB0AG8AcgBzACAAYQByAGUAIABjAGEAbABjAHUAbABhAHQAZQBkACAAZgBvAHIAIABhAGwAbAAgAG4AYQB0AHUAcgBhAGwAIABnAGEAcwAgAGQAaQBzAHQAcgBpAGIAdQB0AGUAZAAgAGkAbgAgAGEAIABwAGkAcABlAGwAaQBuAGUAIAB3AGgAaQBjAGgAIABtAGEAeQAgAGkAbgBjAGwAdQBkAGUAIABjAG8AYQBsACAAcwBlAGEAbQAgAG0AZQB0AGgAYQBuAGUALgBcACIAOwBcAG4AIAAgACAAIAAgACAAIAAgAFwAIgAtAFwAIgAsACAAXAAiAFQAYQBiAGwAZQAgADYAIABpAHMAIABuAG8AdAAgAGEAcABwAGwAaQBjAGEAYgBsAGUAIAB0AG8AIABlAHQAaABhAG4AZQAuACAAUwBlAGUAIABUAGEAYgBsAGUAIAA3ACAASQBuAGQAaQByAGUAYwB0ACAAKABTAGMAbwBwAGUAIAAzACkAIABlAG0AaQBzAHMAaQBvAG4AcwAgAGYAcgBvAG0AIAB0AGgAZQAgAGMAbwBuAHMAdQBtAHAAdABpAG8AbgAgAG8AZgAgAGUAdABoAGEAbgBlAC4AXAAiADsAXABuACAAIAAgACAAIAAgACAAIABcACIALQBcACIALAAgAFwAIgBDACAAPQAgAEMAbwBuAGYAaQBkAGUAbgB0AGkAYQBsAC4AIABTAGMAbwBwAGUAIAAzACAAZQBtAGkAcwBzAGkAbwBuACAAZgBhAGMAdABvAHIAcwAgAGYAbwByACAAVABhAHMAbQBhAG4AaQBhACAAYQBuAGQAIAB0AGgAZQAgAE4AbwByAHQAaABlAHIAbgAgAFQAZQByAHIAaQB0AG8AcgB5ACAAYQByAGUAIABuAG8AdAAgAGEAdgBhAGkAbABhAGIAbABlACAAZAB1AGUAIAB0AG8AIABjAG8AbgBmAGkAZABlAG4AdABpAGEAbABpAHQAeQAgAGMAbwBuAHMAdAByAGEAaQBuAHQAcwAgAHQAaABhAHQAIABhAHIAaQBzAGUAXAAiADsAXABuACAAIAAgACAAIAAgACAAIABcACIAXAAiACwAIABcACIAZgByAG8AbQAgAHQAaABlACAAdQBzAGUAIABvAGYAIABhACAAbABpAG0AaQB0AGUAZAAgAG4AdQBtAGIAZQByACAAbwBmACAATgBHAEUAUgAgAGQAYQB0AGEAIABpAG4AcAB1AHQAcwAuACAASQB0ACAAaQBzACAAcwB1AGcAZwBlAHMAdABlAGQAIAB0AGgAYQB0ACAAZgBvAHIAIABUAGEAcwBtAGEAbgBpAGEAIAB0AGgAZQAgAHUAcwBlACAAbwBmACAAdABoAGUAIABWAGkAYwB0AG8AcgBpAGEAbgAgAGUAbQBpAHMAcwBpAG8AbgAgAGYAYQBjAHQAbwByAHMAIABpAHMAIABhAHAAcAByAG8AcAByAGkAYQB0AGUALABcACIAOwBcAG4AIAAgACAAIAAgACAAIAAgAFwAIgBcACIALAAgAFwAIgB3AGgAaQBsAGUAIABmAG8AcgAgAE4AbwByAHQAaABlAHIAbgAgAFQAZQByAHIAaQB0AG8AcgB5ACAAdABoAGUAIAB1AHMAZQAgAG8AZgAgAHQAaABlACAAVwBlAHMAdABlAHIAbgAgAEEAdQBzAHQAcgBhAGwAaQBhAG4AIABlAG0AaQBzAHMAaQBvAG4AIABmAGEAYwB0AG8AcgBzACAAaQBzACAAYQBwAHAAcgBvAHAAcgBpAGEAdABlAC4AXAAiADsAXABuACAAIAAgACAAIAAgACAAIABcACIALQBcACIALAAgAFwAIgBTAGMAbwBwAGUAIAAzACAAZQBtAGkAcwBzAGkAbwBuACAAZgBhAGMAdABvAHIAcwAgAGQAbwAgAG4AbwB0ACAAaQBuAGMAbAB1AGQAZQAgAGYAdQBnAGkAdABpAHYAZQAgAGUAbQBpAHMAcwBpAG8AbgAgAGwAZQBhAGsAYQBnAGUAIABmAHIAbwBtACAAbABvAHcAIABwAHIAZQBzAHMAdQByAGUAIABuAGEAdAB1AHIAYQBsACAAZwBhAHMAIABkAGkAcwB0AHIAaQBiAHUAdABpAG8AbgAgAHAAaQBwAGUAbABpAG4AZQAgAG4AZQB0AHcAbwByAGsAcwAgAHcAaABpAGwAZQAgAHQAaABvAHMAZQAgAGYAcgBvAG0AIABoAGkAZwBoACAAcAByAGUAcwBzAHUAcgBlAFwAIgA7AFwAbgAgACAAIAAgACAAIAAgACAAXAAiAFwAIgAsACAAXAAiAGcAYQBzACAAbgBlAHQAdwBvAHIAawBzACAAYQByAGUAIABjAG8AbgBzAGkAZABlAHIAZQBkACAAbgBlAGcAbABpAGcAaQBiAGwAZQAu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FMAdABhAHQAaQBvAG4AYQByAHkAIABsAGkAcQB1AGkAZAAgAGYAdQBlAGwAcw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MAdABhAHQAaQBvAG4AYQByAHkATABpAHEAdQBpAGQAXwBUAGkAdABsAGUAXABuAD0ATABBAE0AQgBEAEEAKAAoAFwAIgBGAHUAZQBsACAAcwBjAG8AcABlACAAMQAgAGEAbgBkACAAMwAgAGUAbQBpAHMAcwBpAG8AbgAgAGYAYQBjAHQAbwByAHMAIAAtACAAUwB0AGEAdABpAG8AbgBhAHIAeQAgAGwAaQBxAHUAaQBkACAAZgB1AGUAbABzAFwAIgApACkAOwBcAG4AXABuAEYAdQBlAGwAXwBTAGMAbwBwAGUAMQBTAGMAbwBwAGUAMwBFAG0AaQBzAHMAaQBvAG4ARgBhAGMAdABvAHIAcwBTAHQAYQB0AGkAbwBuAGEAcgB5AEwAaQBxAHUAaQBkAF8ARABlAHMAYwByAGkAcAB0AGkAbwBuAFwAbgA9AEwAQQBNAEIARABBACgAKABcACIARABpAHIAZQBjAHQAIAAoAFMAYwBvAHAAZQAgADEAKQAgAGEAbgBkACAAaQBuAGQAaQByAGUAYwB0ACAAKABzAGMAbwBwAGUAIAAzACkAIABlAG0AaQBzAHMAaQBvAG4AIABmAGEAYwB0AG8AcgBzACAAZgBvAHIAIAB0AGgAZQAgAGMAbwBuAHMAdQBtAHAAdABpAG8AbgAgAG8AZgAgAGwAaQBxAHUAaQBkACAAZgB1AGUAbABzACwAIABpAG4AYwBsAHUAZABpAG4AZwAgAGMAZQByAHQAYQBpAG4AIABwAGUAdAByAG8AbABlAHUAbQAgAGIAYQBzAGUAZAAgAHAAcgBvAGQAdQBjAHQAcwAgAGYAbwByACAAcwB0AGEAdABpAG8AbgBhAHIAeQAgAGUAbgBlAHIAZwB5ACAAcAB1AHIAcABvAHMAZQBzAC4AXAAiACkAKQA7AFwAbgBcAG4ARgB1AGUAbABfAFMAYwBvAHAAZQAxAFMAYwBvAHAAZQAzAEUAbQBpAHMAcwBpAG8AbgBGAGEAYwB0AG8AcgBzAFMAdABhAHQAaQBvAG4AYQByAHkATABpAHEAdQBpAGQAXwBTAG8AdQByAGMAZQBcAG4APQBMAEEATQBCAEQAQQAoACgAXAAiAEEAdQBzAHQAcgBhAGwAaQBhAG4AIABOAGEAdABpAG8AbgBhAGwAIABHAHIAZQBlAG4AaABvAHUAcwBlACAAQQBjAGMAbwB1AG4AdABzACAARgBhAGMAdABvAHIAcwAgADIAMAAyADUAIAAtACAAVABhAGIAbABlACAAOABcACIAKQApADsAXABuAFwAbgBGAHUAZQBsAF8AUwBjAG8AcABlADEAUwBjAG8AcABlADMARQBtAGkAcwBzAGkAbwBuAEYAYQBjAHQAbwByAHMAUwB0AGEAdABpAG8AbgBhAHIAeQBMAGkAcQB1AGkAZABfAEQAYQB0AGEAXABuAD0ATABBAE0AQgBEAEEAKABcAG4AIAAgAE0AQQBLAEUAQQBSAFIAQQBZACgAMgA1ACwAIAA4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LAAgAFwAIgBTAGMAbwBwAGUAIAAzACAARQBtAGkAcwBzAGkAbwBuACAARgBhAGMAdABvAHIAIAAoAGsAZwAgAEMATwAyACAALQAgAGUAIAAvACAARwBKACkAXAAiADsAXABuACAAIAAgACAAIAAgACAAIABcACIAUABlAHQAcgBvAGwAZQB1AG0AIABiAGEAcwBlAGQAIABvAGkAbABzACAAKABvAHQAaABlAHIAIAB0AGgAYQBuACAAcABlAHQAcgBvAGwAZQB1AG0AIABiAGEAcwBlAGQAIABvAGkAbAAgAHUAcwBlAGQAIABhAHMAIABmAHUAZQBsACkALAAgAGUALgBnAC4AIABsAHUAYgByAGkAYwBhAG4AdABzAFwAIgAsACAAMwA4AC4AOAAsACAAXAAiAGsAbABcACIALAAgADEAMwAuADkALAAgADAALgAwACwAIAAwAC4AMAAsACAAMQAzAC4AOQAsACAAMQA4AC4AMAA7AFwAbgAgACAAIAAgACAAIAAgACAAXAAiAFAAZQB0AHIAbwBsAGUAdQBtACAAYgBhAHMAZQBkACAAZwByAGUAYQBzAGUAcwBcACIALAAgADMAOAAuADgALAAgAFwAIgBrAGwAXAAiACwAIAAzAC4ANQAsACAAMAAuADAALAAgADAALgAwACwAIAAzAC4ANQAsACAAMQA4AC4AMAA7AFwAbgAgACAAIAAgACAAIAAgACAAXAAiAEMAcgB1AGQAZQAgAG8AaQBsACAAaQBuAGMAbAB1AGQAaQBuAGcAIABjAHIAdQBkAGUAIABvAGkAbAAgAGMAbwBuAGQAZQBuAHMAYQB0AGUAcwBcACIALAAgADQANQAuADMALAAgAFwAIgB0AFwAIgAsACAANgA5AC4ANgAsACAAMAAuADAAOAAsACAAMAAuADIALAAgADYAOQAuADgAOAAsACAAXAAiAE4ARQBcACIAOwBcAG4AIAAgACAAIAAgACAAIAAgAFwAIgBPAHQAaABlAHIAIABuAGEAdAB1AHIAYQBsACAAZwBhAHMAIABsAGkAcQB1AGkAZABzAFwAIgAsACAANAA2AC4ANQAsACAAXAAiAHQAXAAiACwAIAA2ADEALgAwACwAIAAwAC4AMAA4ACwAIAAwAC4AMgAsACAANgAxAC4AMgA4ACwAIABcACIATgBFAFwAIgA7AFwAbgAgACAAIAAgACAAIAAgACAAXAAiAEEAdQB0AG8AbQBvAHQAaQB2AGUAIABnAGEAcwBvAGwAaQBuAGUAIAAvACAAcABlAHQAcgBvAGwAIAAoAG8AdABoAGUAcgAgAHQAaABhAG4AIABmAG8AcgAgAHUAcwBlACAAYQBzACAAZgB1AGUAbAAgAGkAbgAgAGEAbgAgAGEAaQByAGMAcgBhAGYAdAApAFwAIgAsACAAMwA0AC4AMgAsACAAXAAiAGsATABcACIALAAgADYANwAuADQALAAgADAALgAyACwAIAAwAC4AMgAsACAANgA3AC4AOAAwACwAIAAxADcALgAyADsAXABuACAAIAAgACAAIAAgACAAIABcACIAQQB2AGkAYQB0AGkAbwBuACAAZwBhAHMAbwBsAGkAbgBlAFwAIgAsACAAMwAzAC4AMQAsACAAXAAiAGsATABcACIALAAgADYANwAsACAAMAAuADIALAAgADAALgAyACwAIAA2ADcALgA0ADAALAAgADEAOAAuADAAOwBcAG4AIAAgACAAIAAgACAAIAAgAFwAIgBLAGUAcgBvAHMAZQBuAGUAIAAoAG8AdABoAGUAcgAgAHQAaABhAG4AIABmAG8AcgAgAHUAcwBlACAAYQBzACAAZgB1AGUAbAAgAGkAbgAgAGEAbgAgAGEAaQByAGMAcgBhAGYAdAApAFwAIgAsACAAMwA3AC4ANQAsACAAXAAiAGsATABcACIALAAgADYAOAAuADkALAAgADAALgAwADEALAAgADAALgAyACwAIAA2ADkALgAxADEALAAgADEAOAAuADAAOwBcAG4AIAAgACAAIAAgACAAIAAgAFwAIgBBAHYAaQBhAHQAaQBvAG4AIAB0AHUAcgBiAGkAbgBlACAAZgB1AGUAbAAgAC8AIABrAGUAcgBvAHMAZQBuAGUAXAAiACwAIAAzADYALgA4ACwAIABcACIAawBMAFwAIgAsACAANgA5AC4ANgAsACAAMAAuADAAMgAsACAAMAAuADIALAAgADYAOQAuADgAMgAsACAAMQA4AC4AMAA7AFwAbgAgACAAIAAgACAAIAAgACAAXAAiAEgAZQBhAHQAaQBuAGcAIABvAGkAbABcACIALAAgADMANwAuADMALAAgAFwAIgBrAEwAXAAiACwAIAA2ADkALgA1ACwAIAAwAC4AMAAzACwAIAAwAC4AMgAsACAANgA5AC4ANwAzACwAIAAxADgALgAwADsAXABuACAAIAAgACAAIAAgACAAIABcACIARABpAGUAcwBlAGwAIABvAGkAbABcACIALAAgADMAOAAuADYALAAgAFwAIgBrAEwAXAAiACwAIAA2ADkALgA5ACwAIAAwAC4AMQAsACAAMAAuADIALAAgADcAMAAuADIAMAAsACAAMQA3AC4AMwA7AFwAbgAgACAAIAAgACAAIAAgACAAXAAiAEYAdQBlAGwAIABvAGkAbABcACIALAAgADMAOQAuADcALAAgAFwAIgBrAEwAXAAiACwAIAA3ADMALgA2ACwAIAAwAC4AMAA0ACwAIAAwAC4AMgAsACAANwAzAC4AOAA0ACwAIAAxADgALgAwADsAXABuACAAIAAgACAAIAAgACAAIABcACIATABpAHEAdQBlAGYAaQBlAGQAIABhAHIAbwBtAGEAdABpAGMAIABoAHkAZAByAG8AYwBhAHIAYgBvAG4AcwBcACIALAAgADMANAAuADQALAAgAFwAIgBrAEwAXAAiACwAIAA2ADkALgA3ACwAIAAwAC4AMAAzACwAIAAwAC4AMgAsACAANgA5AC4AOQAzACwAIAAxADgALgAwADsAXABuACAAIAAgACAAIAAgACAAIABcACIAUwBvAGwAdgBlAG4AdABzADoAIABtAGkAbgBlAHIAYQBsACAAdAB1AHIAcABlAG4AdABpAG4AZQAgAG8AcgAgAHcAaABpAHQAZQAgAHMAcABpAHIAaQB0AHMAXAAiACwAIAAzADQALgA0ACwAIABcACIAawBMAFwAIgAsACAANgA5AC4ANwAsACAAMAAuADAAMwAsACAAMAAuADIALAAgADYAOQAuADkAMwAsACAAMQA4AC4AMAA7AFwAbgAgACAAIAAgACAAIAAgACAAXAAiAEwAaQBxAHUAZQBmAGkAZQBkACAAcABlAHQAcgBvAGwAZQB1AG0AIABnAGEAcwAgACgATABQAEcAKQBcACIALAAgADIANQAuADcALAAgAFwAIgBrAEwAXAAiACwAIAA2ADAALgAyACwAIAAwAC4AMgAsACAAMAAuADIALAAgADYAMAAuADYAMAAsACAAMgAwAC4AMgA7AFwAbgAgACAAIAAgACAAIAAgACAAXAAiAE4AYQBwAGgAdABoAGEAXAAiACwAIAAzADEALgA0ACwAIABcACIAawBMAFwAIgAsACAANgA5AC4AOAAsACAAMAAuADAAMQAsACAAMAAuADAAMQAsACAANgA5AC4AOAAyACwAIAAxADgALgAwADsAXABuACAAIAAgACAAIAAgACAAIABcACIAUABlAHQAcgBvAGwAZQB1AG0AIABjAG8AawBlAFwAIgAsACAAMwA0AC4AMgAsACAAXAAiAHQAXAAiACwAIAA5ADIALgA2ACwAIAAwAC4AMAA4ACwAIAAwAC4AMgAsACAAOQAyAC4AOAA4ACwAIAAxADgALgAwADsAXABuACAAIAAgACAAIAAgACAAIABcACIAUgBlAGYAaQBuAGUAcgB5ACAAZwBhAHMAIABhAG4AZAAgAGwAaQBxAHUAaQBkAHMAXAAiACwAIAA0ADIALgA5ACwAIABcACIAdABcACIALAAgADUANAAuADcALAAgADAALgAwADMALAAgADAALgAwADMALAAgADUANAAuADcANgAsACAAMQA4AC4AMAA7AFwAbgAgACAAIAAgACAAIAAgACAAXAAiAFIAZQBmAGkAbgBlAHIAeQAgAGMAbwBrAGUAXAAiACwAIAAzADQALgAyACwAIABcACIAdABcACIALAAgADkAMgAuADYALAAgADAALgAwADgALAAgADAALgAyACwAIAA5ADIALgA4ADgALAAgADEAOAAuADAAOwBcAG4AIAAgACAAIAAgACAAIAAgAFwAIgBQAGUAdAByAG8AbABlAHUAbQAgAGIAYQBzAGUAZAAgAHAAcgBvAGQAdQBjAHQAcwAgAG8AdABoAGUAcgAgAHQAaABhAG4AIABtAGUAbgB0AGkAbwBuAGUAZAAgAGkAbgAgAHQAaABlACAAaQB0AGUAbQBzACAAYQBiAG8AdgBlAFwAIgAsACAAMwA0AC4ANAAsACAAXAAiAGsATABcACIALAAgADYAOQAuADgALAAgADAALgAwADIALAAgADAALgAxACwAIAA2ADkALgA5ADIALAAgADEAOAAuADAAOwBcAG4AIAAgACAAIAAgACAAIAAgAFwAIgBCAGkAbwBkAGkAZQBzAGUAbABcACIALAAgADMANAAuADYALAAgAFwAIgBrAEwAXAAiACwAIAAwAC4AMAAsACAAMAAuADAAOAAsACAAMAAuADIALAAgADAALgAyADgALAAgAFwAIgBOAEUAXAAiADsAXABuACAAIAAgACAAIAAgACAAIABcACIARQB0AGgAYQBuAG8AbAAgAGYAbwByACAAdQBzAGUAIABhAHMAIABhACAAZgB1AGUAbAAgAGkAbgAgAGEAbgAgAGkAbgB0AGUAcgBuAGEAbAAgAGMAbwBtAGIAdQBzAHQAaQBvAG4AIABlAG4AZwBpAG4AZQBcACIALAAgADIAMwAuADQALAAgAFwAIgBrAEwAXAAiACwAIAAwAC4AMAAsACAAMAAuADAAOAAsACAAMAAuADIALAAgADAALgAyADgALAAgAFwAIgBOAEUAXAAiADsAXABuACAAIAAgACAAIAAgACAAIABcACIAQgBpAG8AZgB1AGUAbABzACAAbwB0AGgAZQByACAAdABoAGEAbgAgAHQAaABvAHMAZQAgAG0AZQBuAHQAaQBvAG4AZQBkACAAaQBuACAAdABoAGUAIABpAHQAZQBtAHMAIABhAGIAbwB2AGUAIABhAG4AZAAgAGIAZQBsAG8AdwBcACIALAAgADIAMwAuADQALAAgAFwAIgBrAEwAXAAiACwAIAAwAC4AMAAsACAAMAAuADAAOAAsACAAMAAuADIALAAgADAALgAyADgALAAgAFwAIgBOAEUAXAAiADsAXABuACAAIAAgACAAIAAgACAAIABcACIAUgBlAG4AZQB3AGEAYgBsAGUAIABhAHYAaQBhAHQAaQBvAG4AIABrAGUAcgBvAHMAZQBuAGUAXAAiACwAIAAzADYALgA4ACwAIABcACIAawBMAFwAIgAsACAAMAAuADAALAAgADAALgAwADIALAAgADAALgAyACwAIAAwAC4AMgAyACwAIABcACIATgBFAFwAIgA7AFwAbgAgACAAIAAgACAAIAAgACAAXAAiAFIAZQBuAGUAdwBhAGIAbABlACAAZABpAGUAcwBlAGwAXAAiACwAIAAzADgALgA2ACwAIABcACIAawBMAFwAIgAsACAAMAAuADAALAAgADAALgAxACwAIAAwAC4AMgAsACAAMAAuADMAMAAsACAAXAAiAE4ARQBcACIAXABuACAAIAAgACAAIAAgAH0ALAAgAHIALAAgAGMAKQBcAG4AKQApACkAOwBcAG4AXABuAEYAdQBlAGwAXwBTAGMAbwBwAGUAMQBTAGMAbwBwAGUAMwBFAG0AaQBzAHMAaQBvAG4ARgBhAGMAdABvAHIAcwBTAHQAYQB0AGkAbwBuAGEAcgB5AEwAaQBxAHUAaQBkAF8AVgBhAHIAaQBhAHQAaQBvAG4AXABuAD0ATABBAE0AQgBEAEEAKABcACIAVgBBAFIASQBBAFQASQBPAE4AIABPAEYAIABTAE8AVQBSAEMARQAgAEQAQQBUAEEAOgAgAFwAdQAwADAAMgA3AE4ARQBcAHUAMAAwADIANwAgAHYAYQBsAHUAZQBzACAAcgBlAHQAdQByAG4AZQBkACAAYQBzACAAegBlAHIAbwAgAGYAbwByACAAYwBhAGwAYwB1AGwAYQB0AGkAbwBuAHMALgBcACIAKQA7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VAByAGEAbgBzAHAAbwByAHQ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UAHIAYQBuAHMAcABvAHIAdABfAFQAaQB0AGwAZQBcAG4APQBMAEEATQBCAEQAQQAoACgAXAAiAEYAdQBlAGwAIABzAGMAbwBwAGUAIAAxACAAYQBuAGQAIAAzACAAZQBtAGkAcwBzAGkAbwBuACAAZgBhAGMAdABvAHIAcwAgAC0AIABUAHIAYQBuAHMAcABvAHIAdABcACIAKQApADsAXABuAFwAbgBGAHUAZQBsAF8AUwBjAG8AcABlADEAUwBjAG8AcABlADMARQBtAGkAcwBzAGkAbwBuAEYAYQBjAHQAbwByAHMAVAByAGEAbgBzAHAAbwByAHQAXwBEAGUAcwBjAHIAaQBwAHQAaQBvAG4AXABuAD0ATABBAE0AQgBEAEEAKAAoAFwAIgBEAGkAcgBlAGMAdAAgACgAcwBjAG8AcABlACAAMQApACAAYQBuAGQAIABpAG4AZABpAHIAZQBjAHQAIAAoAHMAYwBvAHAAZQAgADMAKQAgAGUAbQBpAHMAcwBpAG8AbgAgAGYAYQBjAHQAbwByAHMAIABmAG8AcgAgAHQAaABlACAAYwBvAG4AcwB1AG0AcAB0AGkAbwBuACAAbwBmACAAdAByAGEAbgBzAHAAbwByAHQAIABmAHUAZQBsAHMAIABpAG4AIABkAGkAZgBmAGUAcgBlAG4AdAAgAHQAcgBhAG4AcwBwAG8AcgB0ACAAZQBxAHUAaQBwAG0AZQBuAHQAXAAiACkAKQA7AFwAbgBcAG4ARgB1AGUAbABfAFMAYwBvAHAAZQAxAFMAYwBvAHAAZQAzAEUAbQBpAHMAcwBpAG8AbgBGAGEAYwB0AG8AcgBzAFQAcgBhAG4AcwBwAG8AcgB0AF8AUwBvAHUAcgBjAGUAXABuAD0ATABBAE0AQgBEAEEAKAAoAFwAIgBBAHUAcwB0AHIAYQBsAGkAYQBuACAATgBhAHQAaQBvAG4AYQBsACAARwByAGUAZQBuAGgAbwB1AHMAZQAgAEEAYwBjAG8AdQBuAHQAcwAgAEYAYQBjAHQAbwByAHMAIAAyADAAMgA1ACAALQAgAFQAYQBiAGwAZQAgADkAXAAiACkAKQA7AFwAbgBcAG4ARgB1AGUAbABfAFMAYwBvAHAAZQAxAFMAYwBvAHAAZQAzAEUAbQBpAHMAcwBpAG8AbgBGAGEAYwB0AG8AcgBzAFQAcgBhAG4AcwBwAG8AcgB0AF8ARABhAHQAYQBcAG4APQBMAEEATQBCAEQAQQAoAFwAbgAgACAATQBBAEsARQBBAFIAUgBBAFkAKAAyADYALAAgADEAMAAsAFwAbgAgACAAIAAgAEwAQQBNAEIARABBACgAcgAsAGMALABcAG4AIAAgACAAIAAgACAASQBOAEQARQBYACgAewBcAG4AIAAgACAAIAAgACAAIAAgAFwAIgBUAHIAYQBuAHMAcABvAHIAdAAgAHQAeQBwAGUAXAAiACwAIABcACIARgB1AGUAbAAgAGMAbwBtAGIAdQBzAHQAZQBkAFwAIgAsACAAXAAiAEUAbgBlAHIAZwB5ACAAQwBvAG4AdABlAG4AdAAgAEYAYQBjAHQAbwBy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LAAgAFwAIgBTAGMAbwBwAGUAIAAzACAARQBtAGkAcwBzAGkAbwBuACAARgBhAGMAdABvAHIAIAAoAGsAZwAgAEMATwAyACAALQAgAGUAIAAvACAARwBKACkAXAAiACwAIABcACIAUwBvAHUAcgBjAGUAXAAiADsAXABuACAAIAAgACAAIAAgACAAIABcACIAQwBhAHIAcwAgAGEAbgBkACAAbABpAGcAaAB0ACAAYwBvAG0AbQBlAHIAYwBpAGEAbAAgAHYAZQBoAGkAYwBsAGUAcwBcACIALAAgAFwAIgBHAGEAcwBvAGwAaQBuAGUAXAAiACwAIAAzADQALgAyACwAIABcACIAawBsAFwAIgAsACAANgA3AC4ANAAsACAAMAAuADAAMgAsACAAMAAuADIALAAgADYANwAuADYAMgAsACAAMQA3AC4AMgAsACAAXAAiAE4ARwBBAEYAIAAyADAAMgA1ADoAIABUAGEAYgBsAGUAIAA5AFwAIgA7AFwAbgAgACAAIAAgACAAIAAgACAAXAAiAEMAYQByAHMAIABhAG4AZAAgAGwAaQBnAGgAdAAgAGMAbwBtAG0AZQByAGMAaQBhAGwAIAB2AGUAaABpAGMAbABlAHMAXAAiACwAIABcACIARABpAGUAcwBlAGwAIABvAGkAbABcACIALAAgADMAOAAuADYALAAgAFwAIgBrAGwAXAAiACwAIAA2ADkALgA5ACwAIAAwAC4AMAAxACwAIAAwAC4ANQAsACAANwAwAC4ANAAxACwAIAAxADcALgAzACwAIABcACIATgBHAEEARgAgADIAMAAyADUAOgAgAFQAYQBiAGwAZQAgADkAXAAiADsAXABuACAAIAAgACAAIAAgACAAIABcACIAQwBhAHIAcwAgAGEAbgBkACAAbABpAGcAaAB0ACAAYwBvAG0AbQBlAHIAYwBpAGEAbAAgAHYAZQBoAGkAYwBsAGUAcwBcACIALAAgAFwAIgBMAGkAcQB1AGUAZgBpAGUAZAAgAHAAZQB0AHIAbwBsAGUAdQBtACAAZwBhAHMAIAAoAEwAUABHACkAXAAiACwAIAAyADYALgAyACwAIABcACIAawBsAFwAIgAsACAANgAwAC4AMgAsACAAMAAuADUALAAgADAALgAzACwAIAA2ADEALgAwADAALAAgADIAMAAuADIALAAgAFwAIgBOAEcAQQBGACAAMgAwADIANQA6ACAAVABhAGIAbABlACAAOQBcACIAOwBcAG4AIAAgACAAIAAgACAAIAAgAFwAIgBDAGEAcgBzACAAYQBuAGQAIABsAGkAZwBoAHQAIABjAG8AbQBtAGUAcgBjAGkAYQBsACAAdgBlAGgAaQBjAGwAZQBzAFwAIgAsACAAXAAiAEYAdQBlAGwAIABvAGkAbABcACIALAAgADMAOQAuADcALAAgAFwAIgBrAGwAXAAiACwAIAA3ADMALgA2ACwAIAAwAC4AMAA4ACwAIAAwAC4ANQAsACAANwA0AC4AMQA4ACwAIAAxADgALgAwACwAIABcACIATgBHAEEARgAgADIAMAAyADUAOgAgAFQAYQBiAGwAZQAgADkAXAAiADsAXABuACAAIAAgACAAIAAgACAAIABcACIAQwBhAHIAcwAgAGEAbgBkACAAbABpAGcAaAB0ACAAYwBvAG0AbQBlAHIAYwBpAGEAbAAgAHYAZQBoAGkAYwBsAGUAcwBcACIALAAgAFwAIgBFAHQAaABhAG4AbwBsAFwAIgAsACAAMgAzAC4ANAAsACAAXAAiAGsAbABcACIALAAgADAALgAwACwAIAAwAC4AMgAsACAAMAAuADIALAAgADAALgA0ACwAIABcACIATgBFAFwAIgAsACAAXAAiAE4ARwBBAEYAIAAyADAAMgA1ADoAIABUAGEAYgBsAGUAIAA5AFwAIgA7AFwAbgAgACAAIAAgACAAIAAgACAAXAAiAEMAYQByAHMAIABhAG4AZAAgAGwAaQBnAGgAdAAgAGMAbwBtAG0AZQByAGMAaQBhAGwAIAB2AGUAaABpAGMAbABlAHMAXAAiACwAIABcACIAQgBpAG8AZABpAGUAcwBlAGwAXAAiACwAIAAzADQALgA2ACwAIABcACIAawBsAFwAIgAsACAAMAAuADAALAAgADAALgA4ACwAIAAxAC4ANwAsACAAMgAuADUALAAgAFwAIgBOAEUAXAAiACwAIABcACIATgBHAEEARgAgADIAMAAyADUAOgAgAFQAYQBiAGwAZQAgADkAXAAiADsAXABuACAAIAAgACAAIAAgACAAIABcACIAQwBhAHIAcwAgAGEAbgBkACAAbABpAGcAaAB0ACAAYwBvAG0AbQBlAHIAYwBpAGEAbAAgAHYAZQBoAGkAYwBsAGUAcwBcACIALAAgAFwAIgBSAGUAbgBlAHcAYQBiAGwAZQAgAGQAaQBlAHMAZQBsAFwAIgAsACAAMwA4AC4ANgAsACAAXAAiAGsAbABcACIALAAgADAALgAwACwAIAAwAC4AMAAxACwAIAAwAC4ANQAsACAAMAAuADUAMQAsACAAXAAiAE4ARQBcACIALAAgAFwAIgBOAEcAQQBGACAAMgAwADIANQA6ACAAVABhAGIAbABlACAAOQBcACIAOwBcAG4AIAAgACAAIAAgACAAIAAgAFwAIgBDAGEAcgBzACAAYQBuAGQAIABsAGkAZwBoAHQAIABjAG8AbQBtAGUAcgBjAGkAYQBsACAAdgBlAGgAaQBjAGwAZQBzAFwAIgAsACAAXAAiAE8AdABoAGUAcgAgAGIAaQBvAGYAdQBlAGwAcwBcACIALAAgADIAMwAuADQALAAgAFwAIgBrAGwAXAAiACwAIAAwAC4AMAAsACAAMAAuADgALAAgADEALgA3ACwAIAAyAC4ANQAsACAAXAAiAE4ARQBcACIALAAgAFwAIgBOAEcAQQBGACAAMgAwADIANQA6ACAAVABhAGIAbABlACAAOQBcACIAOwBcAG4AIAAgACAAIAAgACAAIAAgAFwAIgBMAGkAZwBoAHQAIABkAHUAdAB5ACAAdgBlAGgAaQBjAGwAZQBzAFwAIgAsACAAXAAiAEMAbwBtAHAAcgBlAHMAcwBlAGQAIABuAGEAdAB1AHIAYQBsACAAZwBhAHMAXAAiACwAIAAwAC4AMAAzADkAMwAsACAAXAAiAG0AMwBcACIALAAgADUAMQAuADQALAAgADcALgAzACwAIAAwAC4AMwAsACAANQA5AC4AMAAsACAAMQA4AC4AMAAsACAAXAAiAE4ARwBBAEYAIAAyADAAMgA1ADoAIABUAGEAYgBsAGUAIAA5AFwAIgA7AFwAbgAgACAAIAAgACAAIAAgACAAXAAiAEwAaQBnAGgAdAAgAGQAdQB0AHkAIAB2AGUAaABpAGMAbABlAHMAXAAiACwAIABcACIATABpAHEAdQBlAGYAaQBlAGQAIABuAGEAdAB1AHIAYQBsACAAZwBhAHMAXAAiACwAIAAyADUALgAzACwAIABcACIAawBsAFwAIgAsACAANQAxAC4ANAAsACAANwAuADMALAAgADAALgAzACwAIAA1ADkALgAwACwAIAAxADgALgAwACwAIABcACIATgBHAEEARgAgADIAMAAyADUAOgAgAFQAYQBiAGwAZQAgADkAXAAiADsAXABuACAAIAAgACAAIAAgACAAIABcACIASABlAGEAdgB5ACAAZAB1AHQAeQAgAHYAZQBoAGkAYwBsAGUAcwBcACIALAAgAFwAIgBDAG8AbQBwAHIAZQBzAHMAZQBkACAAbgBhAHQAdQByAGEAbAAgAGcAYQBzAFwAIgAsACAAMAAuADAAMwA5ADMALAAgAFwAIgBtADMAXAAiACwAIAA1ADEALgA0ACwAIAAyAC4AOAAsACAAMAAuADMALAAgADUANAAuADUALAAgADEAOAAuADAALAAgAFwAIgBOAEcAQQBGACAAMgAwADIANQA6ACAAVABhAGIAbABlACAAOQBcACIAOwBcAG4AIAAgACAAIAAgACAAIAAgAFwAIgBIAGUAYQB2AHkAIABkAHUAdAB5ACAAdgBlAGgAaQBjAGwAZQBzAFwAIgAsACAAXAAiAEwAaQBxAHUAZQBmAGkAZQBkACAAbgBhAHQAdQByAGEAbAAgAGcAYQBzAFwAIgAsACAAMgA1AC4AMwAsACAAXAAiAGsAbABcACIALAAgADUAMQAuADQALAAgADIALgA4ACwAIAAwAC4AMwAsACAANQA0AC4ANQAsACAAMQA4AC4AMAAsACAAXAAiAE4ARwBBAEYAIAAyADAAMgA1ADoAIABUAGEAYgBsAGUAIAA5AFwAIgA7AFwAbgAgACAAIAAgACAAIAAgACAAXAAiAEgAZQBhAHYAeQAgAGQAdQB0AHkAIAB2AGUAaABpAGMAbABlAHMAXAAiACwAIABcACIARABpAGUAcwBlAGwAIABvAGkAbAAgAC0AIABFAHUAcgBvACAAaQB2ACAAbwByACAAaABpAGcAaABlAHIAXAAiACwAIAAzADgALgA2ACwAIABcACIAawBsAFwAIgAsACAANgA5AC4AOQAsACAAMAAuADAANwAsACAAMAAuADQALAAgADcAMAAuADMANwAsACAAMQA3AC4AMwAsACAAXAAiAE4ARwBBAEYAIAAyADAAMgA1ADoAIABUAGEAYgBsAGUAIAA5AFwAIgA7AFwAbgAgACAAIAAgACAAIAAgACAAXAAiAEgAZQBhAHYAeQAgAGQAdQB0AHkAIAB2AGUAaABpAGMAbABlAHMAXAAiACwAIABcACIARABpAGUAcwBlAGwAIABvAGkAbAAgAC0AIABFAHUAcgBvACAAaQBpAGkAXAAiACwAIAAzADgALgA2ACwAIABcACIAawBsAFwAIgAsACAANgA5AC4AOQAsACAAMAAuADEALAAgADAALgA0ACwAIAA3ADAALgA0ACwAIAAxADcALgAzACwAIABcACIATgBHAEEARgAgADIAMAAyADUAOgAgAFQAYQBiAGwAZQAgADkAXAAiADsAXABuACAAIAAgACAAIAAgACAAIABcACIASABlAGEAdgB5ACAAZAB1AHQAeQAgAHYAZQBoAGkAYwBsAGUAcwBcACIALAAgAFwAIgBEAGkAZQBzAGUAbAAgAG8AaQBsACAALQAgAEUAdQByAG8AIABpAFwAIgAsACAAMwA4AC4ANgAsACAAXAAiAGsAbABcACIALAAgADYAOQAuADkALAAgADAALgAyACwAIAAwAC4ANAAsACAANwAwAC4ANQAsACAAMQA3AC4AMwAsACAAXAAiAE4ARwBBAEYAIAAyADAAMgA1ADoAIABUAGEAYgBsAGUAIAA5AFwAIgA7AFwAbgAgACAAIAAgACAAIAAgACAAXAAiAEgAZQBhAHYAeQAgAGQAdQB0AHkAIAB2AGUAaABpAGMAbABlAHMAXAAiACwAIABcACIAUgBlAG4AZQB3AGEAYgBsAGUAIABkAGkAZQBzAGUAbAAgABMgIABFAHUAcgBvACAAaQB2ACAAbwByACAAaABpAGcAaABlAHIAXAAiACwAIAAzADgALgA2ACwAIABcACIAawBsAFwAIgAsACAAMAAuADAALAAgADAALgAwADcALAAgADAALgA0ACwAIAAwAC4ANAA3ACwAIABcACIATgBFAFwAIgAsACAAXAAiAE4ARwBBAEYAIAAyADAAMgA1ADoAIABUAGEAYgBsAGUAIAA5AFwAIgA7AFwAbgAgACAAIAAgACAAIAAgACAAXAAiAEgAZQBhAHYAeQAgAGQAdQB0AHkAIAB2AGUAaABpAGMAbABlAHMAXAAiACwAIABcACIAUgBlAG4AZQB3AGEAYgBsAGUAIABkAGkAZQBzAGUAbAAgABMgIABFAHUAcgBvACAAaQBpAGkAXAAiACwAIAAzADgALgA2ACwAIABcACIAawBsAFwAIgAsACAAMAAuADAALAAgADAALgAxACwAIAAwAC4ANAAsACAAMAAuADUALAAgAFwAIgBOAEUAXAAiACwAIABcACIATgBHAEEARgAgADIAMAAyADUAOgAgAFQAYQBiAGwAZQAgADkAXAAiADsAXABuACAAIAAgACAAIAAgACAAIABcACIASABlAGEAdgB5ACAAZAB1AHQAeQAgAHYAZQBoAGkAYwBsAGUAcwBcACIALAAgAFwAIgBSAGUAbgBlAHcAYQBiAGwAZQAgAGQAaQBlAHMAZQBsACAAEyAgAEUAdQByAG8AIABpAFwAIgAsACAAMwA4AC4ANgAsACAAXAAiAGsAbABcACIALAAgADAALgAwACwAIAAwAC4AMgAsACAAMAAuADQALAAgADAALgA2ACwAIABcACIATgBFAFwAIgAsACAAXAAiAE4ARwBBAEYAIAAyADAAMgA1ADoAIABUAGEAYgBsAGUAIAA5AFwAIgA7AFwAbgAgACAAIAAgACAAIAAgACAAXAAiAEEAdgBpAGEAdABpAG8AbgBcACIALAAgAFwAIgBHAGEAcwBvAGwAaQBuAGUAIABmAG8AcgAgAHUAcwBlACAAYQBzACAAZgB1AGUAbAAgAGkAbgAgAGEAbgAgAGEAaQByAGMAcgBhAGYAdABcACIALAAgADMAMwAuADEALAAgAFwAIgBrAGwAXAAiACwAIAA2ADcALgAwACwAIAAwAC4AMAA2ACwAIAAwAC4ANgAsACAANgA3AC4ANgA2ACwAIAAxADgALgAwACwAIABcACIATgBHAEEARgAgADIAMAAyADUAOgAgAFQAYQBiAGwAZQAgADkAXAAiADsAXABuACAAIAAgACAAIAAgACAAIABcACIAQQB2AGkAYQB0AGkAbwBuAFwAIgAsACAAXAAiAEsAZQByAG8AcwBlAG4AZQAgAGYAbwByACAAdQBzAGUAIABhAHMAIABmAHUAZQBsACAAaQBuACAAYQBuACAAYQBpAHIAYwByAGEAZgB0AFwAIgAsACAAMwA2AC4AOAAsACAAXAAiAGsAbABcACIALAAgADYAOQAuADYALAAgADAALgAwADEALAAgADAALgA2ACwAIAA3ADAALgAyADEALAAgADEAOAAuADAALAAgAFwAIgBOAEcAQQBGACAAMgAwADIANQA6ACAAVABhAGIAbABlACAAOQBcACIAOwBcAG4AIAAgACAAIAAgACAAIAAgAFwAIgBBAHYAaQBhAHQAaQBvAG4AXAAiACwAIABcACIAUgBlAG4AZQB3AGEAYgBsAGUAIABhAHYAaQBhAHQAaQBvAG4AIABrAGUAcgBvAHMAZQBuAGUAXAAiACwAIAAzADYALgA4ACwAIABcACIAawBsAFwAIgAsACAAMAAuADAALAAgADAALgAwADEALAAgADAALgA2ACwAIAAwAC4ANgAxACwAIABcACIATgBFAFwAIgAsACAAXAAiAE4ARwBBAEYAIAAyADAAMgA1ADoAIABUAGEAYgBsAGUAIAA5AFwAIgA7AFwAbgAgACAAIAAgACAAIAAgACAAXAAiAFYAZQBzAHMAZQBsAHMAXAAiACwAIABcACIARwBhAHMAbwBsAGkAbgBlAFwAIgAsACAAMwA0AC4AMgAsACAAXAAiAGsATABcACIALAAgADYANwAuADQALAAgADEAMAAuADEALAAgADAALgAzACwAIABcACIAXAAiACwAIAAxADcALgAyACwAIABcACIAVgBFAEUAUgBHACAAMgAwADIANgA6ACAAVABhAGIAbABlACAAQQAuADQALgAyAC4AMQBcACIAOwBcAG4AIAAgACAAIAAgACAAIAAgAFwAIgBWAGUAcwBzAGUAbABzAFwAIgAsACAAXAAiAEQAaQBlAHMAZQBsACAAbwBpAGwAXAAiACwAIAAzADgALgA2ACwAIABcACIAawBMAFwAIgAsACAANgA5AC4AOQAsACAAMAAuADIALAAgADAALgA1ACwAIABcACIAXAAiACwAIAAxADcALgAzACwAIABcACIAVgBFAEUAUgBHACAAMgAwADIANgA6ACAAVABhAGIAbABlACAAQQAuADQALgAyAC4AMQBcACIAOwBcAG4AIAAgACAAIAAgACAAIAAgAFwAIgBWAGUAcwBzAGUAbABzAFwAIgAsACAAXAAiAEYAdQBlAGwAIABPAGkAbABcACIALAAgADMAOQAuADcALAAgAFwAIgBrAEwAXAAiACwAIAA3ADMALgA2ACwAIAAwAC4AMgAsACAAMAAuADUALAAgAFwAIgBcACIALAAgADEAOAAuADAALAAgAFwAIgBWAEUARQBSAEcAIAAyADAAMgA2ADoAIABUAGEAYgBsAGUAIABBAC4ANAAuADIALgAxAFwAIgA7AFwAbgAgACAAIAAgACAAIAAgACAAXAAiAE8AZgBmAC0AcgBvAGEAZAAgAEEAZwByAGkAYwB1AGwAdAB1AHIAZQAgAGEAbgBkACAAZgBvAHIAZQBzAHQAcgB5ACAAZQBxAHUAaQBwAG0AZQBuAHQAXAAiACwAIABcACIARABpAGUAcwBlAGwAIABvAGkAbABcACIALAAgADMAOAAuADYALAAgAFwAIgBrAEwAXAAiACwAIAA2ADkALgA5ACwAIAAwAC4AMwAsACAAMAAuADUALAAgAFwAIgBcACIALAAgADEANwAuADMALAAgAFwAIgBWAEUARQBSAEcAIAAyADAAMgA2ADoAIABUAGEAYgBsAGUAIABBAC4ANAAuADIALgAxAFwAIgBcAG4AIAAgACAAIAAgACAAfQAsACAAcgAsACAAYwApAFwAbgApACkAKQA7AFwAbgBcAG4ARgB1AGUAbABfAFMAYwBvAHAAZQAxAFMAYwBvAHAAZQAzAEUAbQBpAHMAcwBpAG8AbgBGAGEAYwB0AG8AcgBzAFQAcgBhAG4AcwBwAG8AcgB0AF8AVgBhAHIAaQBhAHQAaQBvAG4AXABuAD0ATABBAE0AQgBEAEEAKABcACIAVgBBAFIASQBBAFQASQBPAE4AIABPAEYAIABTAE8AVQBSAEMARQAgAEQAQQBUAEEAOgAgAFwAdQAwADAAMgA3AE4ARQBcAHUAMAAwADIANwAgAHYAYQBsAHUAZQBzACAAcgBlAHQAdQByAG4AZQBkACAAYQBzACAAegBlAHIAbwAgAGYAbwByACAAYwBhAGwAYwB1AGwAYQB0AGkAbwBuAHMALgBcACIAKQA7AFwAbg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E8AZgBmAC0AcgBhAGQAIABlAHEAdQBpAHAAbQBlAG4AdAAgAGEAbgBkACAAdgBlAHMAcwBlAGwAcw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E8AZgBmAFIAbwBhAGQAXwBUAGkAdABsAGUAXABuAD0ATABBAE0AQgBEAEEAKAAoAFwAIgBGAHUAZQBsACAAcwBjAG8AcABlACAAMQAgAGEAbgBkACAAMwAgAGUAbQBpAHMAcwBpAG8AbgAgAGYAYQBjAHQAbwByAHMAIAAtACAATwBmAGYALQByAG8AYQBkACAAZQBxAHUAaQBwAG0AZQBuAHQAIABhAG4AZAAgAHYAZQBzAHMAZQBsAHMAXAAiACkAKQA7AFwAbgBcAG4ARgB1AGUAbABfAFMAYwBvAHAAZQAxAFMAYwBvAHAAZQAzAEUAbQBpAHMAcwBpAG8AbgBGAGEAYwB0AG8AcgBzAFQAcgBhAG4AcwBwAG8AcgB0AE8AZgBmAFIAbwBhAGQAXwBEAGUAcwBjAHIAaQBwAHQAaQBvAG4AXABuAD0ATABBAE0AQgBEAEEAKAAoAFwAIgBEAGkAcgBlAGMAdAAgACgAcwBjAG8AcABlACAAMQApACAAYQBuAGQAIABpAG4AZABpAHIAZQBjAHQAIAAoAHMAYwBvAHAAZQAgADMAKQAgAGUAbQBpAHMAcwBpAG8AbgAgAGYAYQBjAHQAbwByAHMAIABmAG8AcgAgAHQAaABlACAAYwBvAG4AcwB1AG0AcAB0AGkAbwBuACAAbwBmACAAZgB1AGUAbABzACAAaQBuACAAbwBmAGYALQByAG8AYQBkACAAZQBxAHUAaQBwAG0AZQBuAHQAIABhAG4AZAAgAHYAZQBzAHMAZQBsAHMAXAAiACkAKQA7AFwAbgBcAG4ARgB1AGUAbABfAFMAYwBvAHAAZQAxAFMAYwBvAHAAZQAzAEUAbQBpAHMAcwBpAG8AbgBGAGEAYwB0AG8AcgBzAFQAcgBhAG4AcwBwAG8AcgB0AE8AZgBmAFIAbwBhAGQAXwBTAG8AdQByAGMAZQBcAG4APQBMAEEATQBCAEQAQQAoACgAXAAiAFYARQBFAFIARwAgADIAMAAyADYAOgAgAFQAYQBiAGwAZQAgAEEALgA0AC4AMgAuADEAXAAiACkAKQA7AFwAbgBcAG4ARgB1AGUAbABfAFMAYwBvAHAAZQAxAFMAYwBvAHAAZQAzAEUAbQBpAHMAcwBpAG8AbgBGAGEAYwB0AG8AcgBzAFQAcgBhAG4AcwBwAG8AcgB0AE8AZgBmAFIAbwBhAGQAXwBEAGEAdABhAFwAbgA9AEwAQQBNAEIARABBACgAXABuACAAIABNAEEASwBFAEEAUgBSAEEAWQAoADUALAAgADcALABcAG4AIAAgACAAIABMAEEATQBCAEQAQQAoAHIALABjACwAXABuACAAIAAgACAAIAAgAEkATgBEAEUAWAAoAHsAXABuACAAIAAgACAAIAAgACAAIABcACIAVAByAGEAbgBzAHAAbwByAHQAIAB0AHkAcABlACAAdABcACIALAAgAFwAIgBGAHUAZQBsACAAdAB5AHAAZQAgAHEAXAAiACwAIABcACIARQBDAFQAcgBhAG4AcwAsAHEAIAAoAEcASgAvAGsATAApAFwAIgAsACAAXAAiAFMAYwBvAHAAZQAgADEAIABDAE8AMgAgAEUARgBUAHIAYQBuACwAMQAsAHQAcQBnACAAKABrAGcAIABDAE8AMgAtAGUALwBHAEoAKQBcACIALAAgAFwAIgBTAGMAbwBwAGUAIAAxACAAQwBIADQAIABFAEYAVAByAGEAbgAsADEALAB0AGcAZwAgACgAawBnACAAQwBPADIALQBlAC8ARwBKACkAXAAiACwAIABcACIAUwBjAG8AcABlACAAMQAgAE4AMgBPACAARQBGAFQAcgBhAG4ALAAxACwAdABnAGcAIAAoAGsAZwAgAEMATwAyAC0AZQAvAEcASgApAFwAIgAsACAAXAAiAFMAYwBvAHAAZQAgADMAIABFAEYAVAByAGEAbgBzACwAMwAsAHEAIAAoAGsAZwAgAEMATwAyAC0AZQAvAEcASgApAFwAIgA7AFwAbgAgACAAIAAgACAAIAAgACAAXAAiAFYAZQBzAHMAZQBsAFwAIgAsACAAXAAiAFAAZQB0AHIAbwBsAFwAIgAsACAAMwA0AC4AMgAsACAANgA3AC4ANAAsACAAMQAwAC4AMQAsACAAMAAuADMALAAgADEANwAuADIAOwBcAG4AIAAgACAAIAAgACAAIAAgAFwAIgBWAGUAcwBzAGUAbABcACIALAAgAFwAIgBEAGkAZQBzAGUAbABcACIALAAgADMAOAAuADYALAAgADYAOQAuADkALAAgADAALgAyACwAIAAwAC4ANQAsACAAMQA3AC4AMwA7AFwAbgAgACAAIAAgACAAIAAgACAAXAAiAFYAZQBzAHMAZQBsAFwAIgAsACAAXAAiAEYAdQBlAGwAIABPAGkAbABcACIALAAgADMAOQAuADcALAAgADcAMwAuADYALAAgADAALgAyACwAIAAwAC4ANQAsACAAMQA4AC4AMAA7AFwAbgAgACAAIAAgACAAIAAgACAAXAAiAE8AZgBmAC0AcgBvAGEAZAAgAEEAZwByAGkAYwB1AGwAdAB1AHIAZQAgAGEAbgBkACAAZgBvAHIAZQBzAHQAcgB5ACAAZQBxAHUAaQBwAG0AZQBuAHQAXAAiACwAIABcACIARABpAGUAcwBlAGwAXAAiACwAIAAzADgALgA2ACwAIAA2ADkALgA5ACwAIAAwAC4AMwAsACAAMAAuADUALAAgADEANwAuADMAXABuACAAIAAgACAAIAAgAH0ALAAgAHIALAAgAGMAKQBcAG4AKQApACkAOwBcAG4AXABuAFwAbgBcAG4AIgB9ACwAewAiAHAAYQB0AGgAIgA6ACIALwBwAHIAbwBqAGUAYwB0AHMALwBGAHUAZQBsAF8ASQBuAHAAdQB0AEYAdQBuAGMAdABpAG8AbgBzACIALAAiAHQAZQB4AHQAIgA6ACIARgB1AGUAbABfAEcAZQB0AFQAcgBhAG4AcwBwAG8AcgB0AEYAdQBlAGwAUwB0AHIAaQBuAGcAXABuAD0ATABBAE0AQgBEAEEAKABcAG4AIAAgACAAIABDAGUAbABsACwAXABuACAAIAAgACAATABFAEYAVAAoAEMAZQBsAGwALAAgAEYASQBOAEQAKABcACIALAAgAFwAIgAsAEMAZQBsAGwAKQAgAC0AMQApAFwAbgApADsAXABuAFwAbgBGAHUAZQBsAF8ARwBlAHQAUwB0AGEAdABpAG8AbgBhAHIAeQBGAHUAZQBsAFMAdAByAGkAbgBnAFwAbgA9AEwAQQBNAEIARABBACgAXABuACAAIAAgACAAQwBlAGwAbAAsAFwAbgAgACAAIAAgAFIASQBHAEgAVAAoAEMAZQBsAGwALABMAEUATgAoAEMAZQBsAGwAKQAtAEYASQBOAEQAKABcACIALAAgAFwAIgAsAEMAZQBsAGwAKQApAFwAbgApADsAXABuAFwAbgBGAHUAZQBsAF8AVABvAHQAYQBsAEMAbwBuAHMAdQBtAHAAdABpAG8AbgBcAG4APQAgAEwAQQBNAEIARABBACgAXABuACAAIAAgACAARgB1AGUAbABDAG8AbgBzAHUAbQBwAHQAaQBvAG4AQQByAHIAYQB5ACwAIABGAHUAZQBsAFUAcwBlAEEAcgByAGEAeQAsACAARgB1AGUAbABVAHMAZQAsACAARgB1AGUAbABUAHkAcABlAEEAcgByAGEAeQAsACAARgB1AGUAbABUAHkAcABlACwAXABuACAAIAAgACAASQBGAEUAUgBSAE8AUgAoAFwAbgAgACAAIAAgAFMAVQBNACgAXABuACAAIAAgACAAIAAgAEYASQBMAFQARQBSACgAXABuACAAIAAgACAAIAAgACAAIABGAHUAZQBsAEMAbwBuAHMAdQBtAHAAdABpAG8AbgBBAHIAcgBhAHkALABcAG4AIAAgACAAIAAgACAAIAAgACgARgB1AGUAbABUAHkAcABlAEEAcgByAGEAeQAgAD0AIABGAHUAZQBsAFQAeQBwAGUAKQAgACoAIABcAG4AIAAgACAAIAAgACAAIAAgACgARgB1AGUAbABVAHMAZQBBAHIAcgBhAHkAIAA9ACAARgB1AGUAbABVAHMAZQApAFwAbgAgACAAIAAgACAAIAApAFwAbgAgACAAIAAgACkALABcAG4AIAAgACAAIAAwAFwAbgAgACAAKQBcAG4AKQA7ACIAfQAsAHsAIgBwAGEAdABoACIAOgAiAC8AcAByAG8AagBlAGMAdABzAC8ARgB1AGUAbABfAEUAcQB1AGEAdABpAG8AbgBzACIALAAiAHQAZQB4AHQAIgA6ACIALwAqAFwAbgA9AD0APQA9AD0APQA9AD0APQA9AD0APQA9AD0APQA9AD0APQA9AD0APQA9AD0APQA9AD0APQA9AD0APQA9AD0APQA9AD0APQA9AD0AXABuADgAOgAgAEYAdQBlAGwAIABVAHMAZQBcAG4APQA9AD0APQA9AD0APQA9AD0APQA9AD0APQA9AD0APQA9AD0APQA9AD0APQA9AD0APQA9AD0APQA9AD0APQA9AD0APQA9AD0APQA9AFwAbgA4AC4AMQAgAEYAdQBlAGwAIABVAHMAZQAgAC0AIABUAHIAYQBuAHMAcABvAHIAdAAgAGYAdQBlAGwAXABuAD0APQA9AD0APQA9AD0APQA9AD0APQA9AD0APQA9AD0APQA9AD0APQA9AD0APQA9AD0APQA9AD0APQA9AD0APQA9AD0APQA9AD0APQBcAG4AKgAvAFwAbgBcAG4AXABuAFYARQBFAFIARwBfADgAXwBGAHUAZQBsAEMAbwBtAGIAdQBzAHQAaQBvAG4AXABuACAAIAA9AEwAQQBNAEIARABBACgAXABuACAAIAAgACAAUQAsACAARQBDACwAIABFAEYALABcAG4AIAAgACAAIAAoAFEAIAAqACAARQBDACAAKgAgAEUARgApACAAKgAgADEAMAAgAF4AIAAtACAAMwBcAG4AIAAgACkAXABuADsAXABuAFwAbgAvACoAIABcAG4ALQAtAC0ALQAtAC0ALQAtAC0ALQAtAC0ALQAtAC0ALQAtAC0ALQAtAC0ALQAtAC0ALQAtAC0ALQAtAC0ALQAtAC0ALQAtAC0ALQAtAFwAbgBWAEUARQBSAEcAXwA4AF8AMQBfADEAXwAxAF8AXwAxAF8ARgB1AGUAbABDAG8AbQBiAHUAcwB0AGkAbwBuAFQAcgBhAG4AcwBwAG8AcgB0AFwAbgBFAG0AaQBzAHMAaQBvAG4AcwAgAGYAbwByACAAZQBhAGMAaAAgAEcASABHACAAZgByAG8AbQAgAHQAaABlACAAYwBvAG0AYgB1AHMAdABpAG8AbgAgAG8AZgAgAGYAdQBlAGwAcwAgAGYAbwByACAAdAByAGEAbgBzAHAAbwByAHQAIABlAG4AZQByAGcAeQAgAHAAdQByAHAAbwBzAGUAcwBcAG4AUQAgADoAIABBAG0AbwB1AG4AdAAgAG8AZgAgAGYAdQBlAGwAIAB0AHkAcABlACAAcQAgAGMAbwBtAGIAdQBzAHQAZQBkACAAZgBvAHIAIAB0AHIAYQBuAHMAcABvAHIAdAAgAGUAbgBlAHIAZwB5ACAAcAB1AHIAcABvAHMAZQBzACAAOgAgAGsATABcAG4ARQBDACAAOgAgAGUAbgBlAHIAZwB5ACAAYwBvAG4AdABlAG4AdAAgAGYAYQBjAHQAbwByACAAZgBvAHIAIAB0AHIAYQBuAHMAcABvAHIAdAAgAGUAbgBlAHIAZwB5ACAAcAB1AHIAcABvAHMAZQBzACAAOgAgAEcASgAvAGsATABcAG4ARQBGACAAOgAgAFMAYwBvAHAAZQAgADEAIABlAG0AaQBzAHMAaQBvAG4AIABmAGEAYwB0AG8AcgAgAGYAbwByACAAdAByAGEAbgBzAHAAbwByAHQAIABlAG4AZQByAGcAeQAgAHAAdQByAHAAbwBzAGUAcwAgAGYAbwByACAAZQBhAGMAaAAgAGcAcgBlAGUAbgBoAG8AdQBzAGUAIABnAGEAcwAgADoAIABrAGcAIABDAE8AMgBlACAALwAgAEcASgBcAG4ALQAtAC0ALQAtAC0ALQAtAC0ALQAtAC0ALQAtAC0ALQAtAC0ALQAtAC0ALQAtAC0ALQAtAC0ALQAtAC0ALQAtAC0ALQAtAC0ALQAtAFwAbgAqAC8AXABuAFwAbgBcAG4AVgBFAEUAUgBHAF8AOABfADEAXwAxAF8AMQBfAF8AMQBfAEYAdQBlAGwAQwBvAG0AYgB1AHMAdABpAG8AbgBUAHIAYQBuAHMAcABvAHIAdABcAG4AIAAgAD0ATABBAE0AQgBEAEEAKABcAG4AIAAgACAAIABRAF8AVAByAGEAbgBzAHQAcQAsACAARQBDAF8AVAByAGEAbgBzAHEALAAgAEUARgBfAFQAcgBhAG4AcwAxAHQAcQBnACwAXABuACAAIAAgACAAVgBFAEUAUgBHAF8AOABfAEYAdQBlAGwAQwBvAG0AYgB1AHMAdABpAG8AbgAoAFEAXwBUAHIAYQBuAHMAdABxACwAIABFAEMAXwBUAHIAYQBuAHMAcQAsACAARQBGAF8AVAByAGEAbgBzADEAdABxAGcAKQBcAG4AIAAgACkAXABuADsAXABuAFwAbgBWAEUARQBSAEcAXwA4AF8AMQBfADEAXwAxAF8AXwAxAF8ARgB1AGUAbABDAG8AbQBiAHUAcwB0AGkAbwBuAFQAcgBhAG4AcwBwAG8AcgB0AF8AVABpAHQAbABlAFwAbgAgACAAPQBMAEEATQBCAEQAQQAoAFwAIgBFAG0AaQBzAHMAaQBvAG4AcwAgAGYAbwByACAAZQBhAGMAaAAgAEcASABHACAAZgByAG8AbQAgAHQAaABlACAAYwBvAG0AYgB1AHMAdABpAG8AbgAgAG8AZgAgAGYAdQBlAGwAcwAgAGYAbwByACAAdAByAGEAbgBzAHAAbwByAHQAIABlAG4AZQByAGcAeQAgAHAAdQByAHAAbwBzAGUAcwBcACIAKQA7AFwAbgBcAG4AVgBFAEUAUgBHAF8AOABfADEAXwAxAF8AMQBfAF8AMQBfAEYAdQBlAGwAQwBvAG0AYgB1AHMAdABpAG8AbgBUAHIAYQBuAHMAcABvAHIAdABfAFYAYQByAGkAYQBiAGwAZQBcAG4AIAAgAD0ATABBAE0AQgBEAEEAKABcACIARQBfAGcAXAAiACkAOwBcAG4AXABuAFYARQBFAFIARwBfADgAXwAxAF8AMQBfADEAXwBfADEAXwBGAHUAZQBsAEMAbwBtAGIAdQBzAHQAaQBvAG4AVAByAGEAbgBzAHAAbwByAHQAXwBVAG4AaQB0AFwAbgAgACAAPQBMAEEATQBCAEQAQQAoAFwAIgB0ACAAQwBPADIALQBlAFwAIgApADsAXABuAFwAbgBWAEUARQBSAEcAXwA4AF8AMQBfADEAXwAxAF8AXwAxAF8ARgB1AGUAbABDAG8AbQBiAHUAcwB0AGkAbwBuAFQAcgBhAG4AcwBwAG8AcgB0AF8AUwBvAHUAcgBjAGUAXABuACAAIAA9AEwAQQBNAEIARABBACgAXAAiAFYARQBFAFIARwAgADIAMAAyADYAOgAgADgALgAxAC4AMQAuADEALAAgAEUAcQB1AGEAdABpAG8AbgAgACgAMQApAFwAIgApADsAXABuAFwAbgBWAEUARQBSAEcAXwA4AF8AMQBfADEAXwAxAF8AXwAxAF8ARgB1AGUAbABDAG8AbQBiAHUAcwB0AGkAbwBuAFQAcgBhAG4AcwBwAG8AcgB0AF8ATgBJAFIAUgBlAGYAZQByAGUAbgBjAGUAXABuACAAIAA9AEwAQQBNAEIARABBACgAXAAiAEEAdQBzAHQAcgBhAGwAaQBhAG4AIABOAGEAdABpAG8AbgBhAGwAIABHAHIAZQBlAG4AaABvAHUAcwBlACAAQQBjAGMAbwB1AG4AdABzACAARgBhAGMAdABvAHIAcwAgADIAMAAyADUAIAAtACAAMgAuADMAIABFAHMAdABpAG0AYQB0AGkAbgBnACAAZQBtAGkAcwBzAGkAbwBuAHMAIABmAHIAbwBtACAAdAByAGEAbgBzAHAAbwByAHQAIABmAHUAZQBsAHMAXAAiACkAOwBcAG4AXABuAFYARQBFAFIARwBfADgAXwAxAF8AMQBfADEAXwBfADEAXwBGAHUAZQBsAEMAbwBtAGIAdQBzAHQAaQBvAG4AVAByAGEAbgBzAHAAbwByAHQAXwBMAGEAdABlAHgARQBxAHUAYQB0AGkAbwBuAFwAbgAgACAAPQBMAEEATQBCAEQAQQAoAFwAIgBFAF8AZwA9AFwAXABzAHUAbQBcAFwAbgBvAGwAaQBtAGkAdABzAF8AdAAgAFwAXABzAHUAbQBcAFwAbgBvAGwAaQBtAGkAdABzAF8AcQBcAFwAbABlAGYAdAAoAFEAXwB7AFQAcgBhAG4AcwAsAHQAcQB9AFwAXAB0AGkAbQBlAHMAIABFAEMAXwB7AFQAcgBhAG4AcwAsAHEAfQBcAFwAdABpAG0AZQBzACAARQBGAF8AewBUAHIAYQBuAHMALAAxACwAdABxAGcAfQBcAFwAcgBpAGcAaAB0ACkAXABcAHQAaQBtAGUAcwAgADEAMABeAHsALQAzAH0AXAAiACkAOwBcAG4AXABuAFYARQBFAFIARwBfADgAXwAxAF8AMQBfADEAXwBfADEAXwBGAHUAZQBsAEMAbwBtAGIAdQBzAHQAaQBvAG4AVAByAGEAbgBzAHAAbwByAHQAXwBBAHIAZwB1AG0AZQBuAHQAcwBcAG4AIAAgAD0ATABBAE0AQgBEAEEAKABcAG4AIAAgACAAIABNAEEASwBFAEEAUgBSAEEAWQAoADcALAAgADQALAAgAFwAbgAgACAAIAAgACAAIABMAEEATQBCAEQAQQAoAHIALABjACwAIABcAG4AIAAgACAAIAAgACAAIAAgAEkATgBEAEUAWAAoAHsAXABuACAAIAAgACAAIAAgACAAIAAgACAAXAAiAFEAXwBUAHIAYQBuAHMAdABxAFwAIgAsACAAXAAiAEEAbQBvAHUAbgB0ACAAbwBmACAAZgB1AGUAbAAgAHQAeQBwAGUAIABxACAAYwBvAG0AYgB1AHMAdABlAGQAIABmAG8AcgAgAHQAcgBhAG4AcwBwAG8AcgB0ACAAZQBuAGUAcgBnAHkAIABwAHUAcgBwAG8AcwBlAHMAXAAiACwAIABcACIAVgBhAHIAaQBlAHMAIABiAGEAcwBlAGQAIABvAG4AIABmAHUAZQBsACAAdAB5AHAAZQA6ACAAawBMACwAIABtADMALAAgAEcASgBcACIALAAgAFwAIgBJAG4AcAB1AHQAXAAiADsAXABuACAAIAAgACAAIAAgACAAIAAgACAAXAAiAEUAQwBfAFQAcgBhAG4AcwBxAFwAIgAsACAAXAAiAEUAbgBlAHIAZwB5ACAAYwBvAG4AdABlAG4AdAAgAGYAYQBjAHQAbwByACAAZgBvAHIAIAB0AHIAYQBuAHMAcABvAHIAdAAgAGUAbgBlAHIAZwB5ACAAcAB1AHIAcABvAHMAZQBzAFwAIgAsACAAXAAiAEcASgAgAC8AIAB1AG4AaQB0ACAAbwBmACAAZgB1AGUAbABcACIALAAgAFwAIgBDAG8AbgBzAHQAYQBuAHQAXAAiADsAXABuACAAIAAgACAAIAAgACAAIAAgACAAXAAiAEUARgBfAFQAcgBhAG4AcwAxAHQAcQBnAFwAIgAsACAAXAAiAFMAYwBvAHAAZQAgADEAIABlAG0AaQBzAHMAaQBvAG4AIABmAGEAYwB0AG8AcgAgAGYAbwByACAAdAByAGEAbgBzAHAAbwByAHQAIABlAG4AZQByAGcAeQAgAHAAdQByAHAAbwBzAGUAcwAgAGYAbwByACAAZQBhAGMAaAAgAGcAcgBlAGUAbgBoAG8AdQBzAGUAIABnAGEAcwBcACIALAAgAFwAIgBrAGcAIABDAE8AMgBlACAALwAgAEcASgBcACIALAAgAFwAIgBDAG8AbgBzAHQAYQBuAHQAXAAiADsAXABuACAAIAAgACAAIAAgACAAIAAgACAAXAAiAHEAXAAiACwAIABcACIARgB1AGUAbAAgAHQAeQBwAGUAXAAiACwAIABcACIAXAAiACwAIABcACIAQwBvAG4AcwB0AGEAbgB0AFwAIgA7AFwAbgAgACAAIAAgACAAIAAgACAAIAAgAFwAIgBUAHIAYQBuAHMAXAAiACwAIABcACIAVAByAGEAbgBzAHAAbwByAHQ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OABfADIAXwAxAF8AMQBfAF8AMQBfAEYAdQBlAGwAQwBvAG0AYgB1AHMAdABpAG8AbgBTAHQAYQB0AGkAbwBuAGEAcgB5AFwAbgBFAG0AaQBzAHMAaQBvAG4AcwAgAGYAbwByACAAZQBhAGMAaAAgAEcASABHACAAZgByAG8AbQAgAHQAaABlACAAcwB0AGEAdABpAG8AbgBhAHIAeQAgAGMAbwBtAGIAdQBzAHQAaQBvAG4AIABvAGYAIABmAHUAZQBsAHMAXABuAFEAIAA6ACAAQQBtAG8AdQBuAHQAIABvAGYAIABmAHUAZQBsACAAdAB5AHAAZQAgAHEAIAB1AHMAZQBkACAAZgBvAHIAIABzAHQAYQB0AGkAbwBuAGEAcgB5ACAAYwBvAG0AYgB1AHMAdABpAG8AbgAgAG8AcABlAHIAYQB0AGkAbwBuAHMAIAA6ACAAawBMAFwAbgBFAEMAIAA6ACAARQBuAGUAcgBnAHkAIABjAG8AbgB0AGUAbgB0ACAAZgBhAGMAdABvAHIAIABmAG8AcgAgAHMAdABhAHQAaQBvAG4AYQByAHkAIABjAG8AbQBiAHUAcwB0AGkAbwBuACAAbwBwAGUAcgBhAHQAaQBvAG4AcwAgADoAIABHAEoALwBrAEwAXABuAEUARgAgADoAIABTAGMAbwBwAGUAIAAxACAAZQBtAGkAcwBzAGkAbwBuACAAZgBhAGMAdABvAHIAIABmAG8AcgAgAHMAdABhAHQAaQBvAG4AYQByAHkAIABjAG8AbQBiAHUAcwB0AGkAbwBuACAAZgBvAHIAIABlAGEAYwBoACAAZwByAGUAZQBuAGgAbwB1AHMAZQAgAGcAYQBzACAAOgAgAGsAZwAgAEMATwAyAGUAIAAvACAARwBKAFwAbgAtAC0ALQAtAC0ALQAtAC0ALQAtAC0ALQAtAC0ALQAtAC0ALQAtAC0ALQAtAC0ALQAtAC0ALQAtAC0ALQAtAC0ALQAtAC0ALQAtAC0AXABuACoALwBcAG4AXABuAFwAbgBWAEUARQBSAEcAXwA4AF8AMgBfADEAXwAxAF8AXwAxAF8ARgB1AGUAbABDAG8AbQBiAHUAcwB0AGkAbwBuAFMAdABhAHQAaQBvAG4AYQByAHkAXABuACAAIAA9AEwAQQBNAEIARABBACgAXABuACAAIAAgACAAUQBfAFMAQwBxACwAIABFAEMAXwBTAEMAcQAsACAARQBGAF8AUwBDADEAcQBnACwAXABuACAAIAAgACAAVgBFAEUAUgBHAF8AOABfAEYAdQBlAGwAQwBvAG0AYgB1AHMAdABpAG8AbgAoAFEAXwBTAEMAcQAsACAARQBDAF8AUwBDAHEALAAgAEUARgBfAFMAQwAxAHEAZwApAFwAbgAgACAAKQBcAG4AOwBcAG4AXABuAFYARQBFAFIARwBfADgAXwAyAF8AMQBfADEAXwBfADEAXwBGAHUAZQBsAEMAbwBtAGIAdQBzAHQAaQBvAG4AUwB0AGEAdABpAG8AbgBhAHIAeQBfAFQAaQB0AGwAZQBcAG4AIAAgAD0ATABBAE0AQgBEAEEAKABcACIARQBtAGkAcwBzAGkAbwBuAHMAIABmAG8AcgAgAGUAYQBjAGgAIABHAEgARwAgAGYAcgBvAG0AIAB0AGgAZQAgAHMAdABhAHQAaQBvAG4AYQByAHkAIABjAG8AbQBiAHUAcwB0AGkAbwBuACAAbwBmACAAZgB1AGUAbABzAFwAIgApADsAXABuAFwAbgBWAEUARQBSAEcAXwA4AF8AMgBfADEAXwAxAF8AXwAxAF8ARgB1AGUAbABDAG8AbQBiAHUAcwB0AGkAbwBuAFMAdABhAHQAaQBvAG4AYQByAHkAXwBWAGEAcgBpAGEAYgBsAGUAXABuACAAIAA9AEwAQQBNAEIARABBACgAXAAiAEUAXwBnAFwAIgApADsAXABuAFwAbgBWAEUARQBSAEcAXwA4AF8AMgBfADEAXwAxAF8AXwAxAF8ARgB1AGUAbABDAG8AbQBiAHUAcwB0AGkAbwBuAFMAdABhAHQAaQBvAG4AYQByAHkAXwBVAG4AaQB0AFwAbgAgACAAPQBMAEEATQBCAEQAQQAoAFwAIgB0ACAAQwBPADIALQBlAFwAIgApADsAXABuAFwAbgBWAEUARQBSAEcAXwA4AF8AMgBfADEAXwAxAF8AXwAxAF8ARgB1AGUAbABDAG8AbQBiAHUAcwB0AGkAbwBuAFMAdABhAHQAaQBvAG4AYQByAHkAXwBTAG8AdQByAGMAZQBcAG4AIAAgAD0ATABBAE0AQgBEAEEAKABcACIAVgBFAEUAUgBHACAAMgAwADIANgA6ACAAOAAuADIALgAxAC4AMQAsACAARQBxAHUAYQB0AGkAbwBuACAAKAAxACkAXAAiACkAOwBcAG4AXABuAFYARQBFAFIARwBfADgAXwAyAF8AMQBfADEAXwBfADEAXwBGAHUAZQBsAEMAbwBtAGIAdQBzAHQAaQBvAG4AUwB0AGEAdABpAG8AbgBhAHIAeQBfAE4ASQBSAFIAZQBmAGUAcgBlAG4AYwBlAFwAbgAgACAAPQBMAEEATQBCAEQAQQAoAFwAIgBBAHUAcwB0AHIAYQBsAGkAYQBuACAATgBhAHQAaQBvAG4AYQBsACAARwByAGUAZQBuAGgAbwB1AHMAZQAgAEEAYwBjAG8AdQBuAHQAcwAgAEYAYQBjAHQAbwByAHMAIAAyADAAMgA1ACAALQAgADIALgAyACAARQBzAHQAaQBtAGEAdABpAG4AZwAgAGUAbQBpAHMAcwBpAG8AbgBzACAAZgByAG8AbQAgAHMAdABhAHQAaQBvAG4AYQByAHkAIABlAG4AZQByAGcAeQAgAHMAbwB1AHIAYwBlAHMAIAAtACAAQwBhAGwAYwB1AGwAYQB0AGkAbgBnACAAZQBtAGkAcwBzAGkAbwBuAHMAIABmAHIAbwBtACAAcwB0AGEAdABpAG8AbgBhAHIAeQAgAGMAbwBtAGIAdQBzAHQAaQBvAG4AIABvAGYAIABsAGkAcQB1AGkAZAAgAGYAdQBlAGwAcwBcACIAKQA7AFwAbgBcAG4AVgBFAEUAUgBHAF8AOABfADIAXwAxAF8AMQBfAF8AMQBfAEYAdQBlAGwAQwBvAG0AYgB1AHMAdABpAG8AbgBTAHQAYQB0AGkAbwBuAGEAcgB5AF8ATABhAHQAZQB4AEUAcQB1AGEAdABpAG8AbgBcAG4AIAAgAD0ATABBAE0AQgBEAEEAKABcACIARQBfAGcAPQBcAFwAcwB1AG0AXABcAG4AbwBsAGkAbQBpAHQAcwBfAHQAIABcAFwAcwB1AG0AXABcAG4AbwBsAGkAbQBpAHQAcwBfAHEAXABcAGwAZQBmAHQAKABRAF8AewBTAEMALABxAH0AXABcAHQAaQBtAGUAcwAgAEUAQwBfAHsAUwBDACwAcQB9AFwAXAB0AGkAbQBlAHMAIABFAEYAXwB7AFMAQwAsADEALABxAGcAfQBcAFwAcgBpAGcAaAB0ACkAXABcAHQAaQBtAGUAcwAgADEAMABeAHsALQAzAH0AXAAiACkAOwBcAG4AXABuAFYARQBFAFIARwBfADgAXwAyAF8AMQBfADEAXwBfADEAXwBGAHUAZQBsAEMAbwBtAGIAdQBzAHQAaQBvAG4AUwB0AGEAdABpAG8AbgBhAHIAeQBfAEEAcgBnAHUAbQBlAG4AdABzAFwAbgAgACAAPQBMAEEATQBCAEQAQQAoAFwAbgAgACAAIAAgAE0AQQBLAEUAQQBSAFIAQQBZACgANwAsACAANAAsACAAXABuACAAIAAgACAAIAAgAEwAQQBNAEIARABBACgAcgAsAGMALAAgAFwAbgAgACAAIAAgACAAIAAgACAASQBOAEQARQBYACgAewBcAG4AIAAgACAAIAAgACAAIAAgACAAIABcACIAUQBfAFMAQwBxAFwAIgAsACAAXAAiAEEAbQBvAHUAbgB0ACAAbwBmACAAZgB1AGUAbAAgAHQAeQBwAGUAIABxACAAdQBzAGUAZAAgAGYAbwByACAAcwB0AGEAdABpAG8AbgBhAHIAeQAgAGMAbwBtAGIAdQBzAHQAaQBvAG4AIABvAHAAZQByAGEAdABpAG8AbgBzAFwAIgAsACAAXAAiAFYAYQByAGkAZQBzACAAYgBhAHMAZQBkACAAbwBuACAAZgB1AGUAbAAgAHQAeQBwAGUAOgAgAGsATAAsACAAbQAzACwAIABHAEoAXAAiACwAIABcACIASQBuAHAAdQB0AFwAIgA7AFwAbgAgACAAIAAgACAAIAAgACAAIAAgAFwAIgBFAEMAXwBTAEMAcQBcACIALAAgAFwAIgBFAG4AZQByAGcAeQAgAGMAbwBuAHQAZQBuAHQAIABmAGEAYwB0AG8AcgAgAGYAbwByACAAcwB0AGEAdABpAG8AbgBhAHIAeQAgAGMAbwBtAGIAdQBzAHQAaQBvAG4AIABvAHAAZQByAGEAdABpAG8AbgBzAFwAIgAsACAAXAAiAEcASgAgAC8AIAB1AG4AaQB0ACAAbwBmACAAZgB1AGUAbABcACIALAAgAFwAIgBDAG8AbgBzAHQAYQBuAHQAXAAiADsAXABuACAAIAAgACAAIAAgACAAIAAgACAAXAAiAEUARgBfAFMAQwAxAHEAZwBcACIALAAgAFwAIgBTAGMAbwBwAGUAIAAxACAAZQBtAGkAcwBzAGkAbwBuACAAZgBhAGMAdABvAHIAIABmAG8AcgAgAHMAdABhAHQAaQBvAG4AYQByAHkAIABjAG8AbQBiAHUAcwB0AGkAbwBu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MAQwBcACIALAAgAFwAIgBTAHQAYQB0AGkAbwBuAGEAcgB5ACAAYwBvAG0AYgB1AHMAdABpAG8AbgBcACIALAAgAFwAIgBcACIALAAgAFwAIgBDAG8AbgBzAHQAYQBuAHQAXAAiADsAXABuACAAIAAgACAAIAAgACAAIAAgACAAXAAiAGcAXAAiACwAIABcACIARwByAGUAZQBuAGgAbwB1AHMAZQAgAGcAYQBzAFwAIgAsACAAXAAiAFwAIgAsACAAXAAiAEMAbwBuAHMAdABhAG4AdABcACIAOwBcAG4AIAAgACAAIAAgACAAIAAgACAAIABcACIAMQBcACIALAAgAFwAIgBTAGMAbwBwAGUAIAAxAFwAIgAsACAAXAAiAFwAIgAsACAAXAAiAEMAbwBuAHMAdABhAG4AdABcACIAXABuACAAIAAgACAAIAAgACAAIAB9ACwAIAByACwAIABjACkAXABuACAAIAAgACAAIAAgACkAXABuACAAIAAgACAAKQBcAG4AIAAgACkAOwBcAG4AXABuACIAfQAsAHsAIgBwAGEAdABoACIAOgAiAC8AcAByAG8AagBlAGMAdABzAC8AUgBlAGYAcgBpAGcAZQByAGEAbgB0AHMAXwBFAHEAdQBhAHQAaQBvAG4AcwAiACwAIgB0AGUAeAB0ACIAOgAiAC8AKgBcAG4APQA9AD0APQA9AD0APQA9AD0APQA9AD0APQA9AD0APQA9AD0APQA9AD0APQA9AD0APQA9AD0APQA9AD0APQA9AD0APQA9AD0APQA9AFwAbgA5ADoAIABSAGUAZgByAGkAZwBlAHIAYQBuAHQAIABVAHMAZQBcAG4APQA9AD0APQA9AD0APQA9AD0APQA9AD0APQA9AD0APQA9AD0APQA9AD0APQA9AD0APQA9AD0APQA9AD0APQA9AD0APQA9AD0APQA9AFwAbgA5AC4AMQAgAFIAZQBmAHIAaQBnAGUAcgBhAG4AdAAgAFUAcwBlAFwAbgA9AD0APQA9AD0APQA9AD0APQA9AD0APQA9AD0APQA9AD0APQA9AD0APQA9AD0APQA9AD0APQA9AD0APQA9AD0APQA9AD0APQA9AD0AXABuACoALwBcAG4AXABuAC8AKgAgAFwAbgAtAC0ALQAtAC0ALQAtAC0ALQAtAC0ALQAtAC0ALQAtAC0ALQAtAC0ALQAtAC0ALQAtAC0ALQAtAC0ALQAtAC0ALQAtAC0ALQAtAC0AXABuAFYARQBFAFIARwBfADkAXwAxAF8AMQBfAF8AMQBfAFIAZQBmAHIAaQBnAGUAcgBhAG4AdABMAGUAYQBrAGkAbgBnAFwAbgBUAGgAZQAgAHQAbwB0AGEAbAAgAGUAbQBpAHMAcwBpAG8AbgBzACAAbwBmACAAcgBlAGYAcgBpAGcAZQByAGEAbgB0ACAAbABlAGEAawBpAG4AZwAgAGQAdQByAGkAbgBnACAAbwBwAGUAcgBhAHQAaQBvAG4AIAAoAG4AbwB0ACAAZAB1AHIAaQBuAGcAIABpAG4AcwB0AGEAbABsAGEAdABpAG8AbgAgAG8AcgAgAGQAaQBzAHAAbwBzAGEAbAApAFwAbgBHAFcAUABSACAAOgAgAEcAbABvAGIAYQBsACAAdwBhAHIAbQBpAG4AZwAgAHAAbwB0AGUAbgB0AGkAYQBsACAAbwBmACAAcgBlAGYAcgBpAGcAZQByAGEAbgB0ACAAUgAgADoAIABEAGkAbQBlAG4AcwBpAG8AbgBsAGUAcwBzAFwAbgBjAGgAYQByAGcAZQBfAFIAYQAgADoAIABBAG0AbwB1AG4AdAAgAG8AZgAgAHIAZQBmAHIAaQBnAGUAcgBhAG4AdAAgAFIAIABjAG8AbgB0AGEAaQBuAGUAZAAgAGkAbgAgAGEAcABwAGwAaQBhAG4AYwBlACAAYQAgADoAIABrAGcAXABuAGwAZQBhAGsAYQBnAGUAcgBhAHQAZQBfAGEAIAA6ACAAUAByAGMAZQBuAHQAYQBnAGUAIABvAGYAIAB0AG8AdABhAGwAIABjAGgAYQByAGcAZQAgAGwAZQBhAGsAZQBkACAAZgByAG8AbQAgAGEAcABwAGwAaQBhAG4AYwBlACAAYQAgAGUAYQBjAGgAIAB5AGUAYQByACAAOgAgAFAAZQByAGMAZQBuAHQAXABuAC0ALQAtAC0ALQAtAC0ALQAtAC0ALQAtAC0ALQAtAC0ALQAtAC0ALQAtAC0ALQAtAC0ALQAtAC0ALQAtAC0ALQAtAC0ALQAtAC0ALQBcAG4AKgAvAFwAbgBcAG4AXABuAFYARQBFAFIARwBfADkAXwAxAF8AMQBfAF8AMQBfAFIAZQBmAHIAaQBnAGUAcgBhAG4AdABMAGUAYQBrAGkAbgBnAFwAbgAgACAAPQBMAEEATQBCAEQAQQAoAFwAbgAgACAAIAAgAGMAaABhAHIAZwBlAF8AUgBhACwAIABsAGUAYQBrAGEAZwBlAHIAYQB0AGUAXwBhACwAXABuACAAIAAgACAAKABjAGgAYQByAGcAZQBfAFIAYQAgACoAIAAoAGwAZQBhAGsAYQBnAGUAcgBhAHQAZQBfAGEALwAxADAAMAApACkAIAAqACAAMQAwACAAXgAgAC0AIAAzAFwAbgAgACAAKQA7AFwAbgBcAG4AVgBFAEUAUgBHAF8AOQBfADEAXwAxAF8AXwAxAF8AUgBlAGYAcgBpAGcAZQByAGEAbgB0AEwAZQBhAGsAaQBuAGcARwBXAFAAXABuACAAIAA9AEwAQQBNAEIARABBACgAXABuACAAIAAgACAARQBfAFIALAAgAEcAVwBQAF8AUgAsAFwAbgAgACAAIAAgACgAKABFAF8AUgAgACoAIAAxADAAXgAzACkAIAAqACAARwBXAFAAXwBSACkAIAAqACAAMQAwAF4ALQAzAFwAbgAgACAAKQA7AFwAbgBcAG4AVgBFAEUAUgBHAF8AOQBfADEAXwAxAF8AXwAxAF8AUgBlAGYAcgBpAGcAZQByAGEAbgB0AEwAZQBhAGsAaQBuAGcAXwBUAGkAdABsAGUAXABuACAAIAA9AEwAQQBNAEIARABBACgAXAAiAFQAaABlACAAdABvAHQAYQBsACAAZQBtAGkAcwBzAGkAbwBuAHMAIABvAGYAIAByAGUAZgByAGkAZwBlAHIAYQBuAHQAIABsAGUAYQBrAGkAbgBnACAAZAB1AHIAaQBuAGcAIABvAHAAZQByAGEAdABpAG8AbgAgACgAbgBvAHQAIABkAHUAcgBpAG4AZwAgAGkAbgBzAHQAYQBsAGwAYQB0AGkAbwBuACAAbwByACAAZABpAHMAcABvAHMAYQBsACkAXAAiACkAOwBcAG4AXABuAFYARQBFAFIARwBfADkAXwAxAF8AMQBfAF8AMQBfAFIAZQBmAHIAaQBnAGUAcgBhAG4AdABMAGUAYQBrAGkAbgBnAEcAVwBQAF8AVABpAHQAbABlAFwAbgAgACAAPQBMAEEATQBCAEQAQQAoAFwAIgBSAGUAZgByAGkAZwBlAHIAYQBuAHQAIABsAGUAYQBrAGEAZwBlACAAZQBtAGkAcwBzAGkAbwBuAHMAIABjAG8AbgB2AGUAcgB0AGUAZAAgAHQAbwAgAEMATwAyAC0AZQBcACIAKQA7AFwAbgBcAG4AVgBFAEUAUgBHAF8AOQBfADEAXwAxAF8AXwAxAF8AUgBlAGYAcgBpAGcAZQByAGEAbgB0AEwAZQBhAGsAaQBuAGcAXwBWAGEAcgBpAGEAYgBsAGUAXABuACAAIAA9AEwAQQBNAEIARABBACgAXAAiAEUAXwBSAFwAIgApADsAXABuAFwAbgBWAEUARQBSAEcAXwA5AF8AMQBfADEAXwBfADEAXwBSAGUAZgByAGkAZwBlAHIAYQBuAHQATABlAGEAawBpAG4AZwBHAFcAUABfAFYAYQByAGkAYQBiAGwAZQBcAG4AIAAgAD0ATABBAE0AQgBEAEEAKABcACIARQBfAEMATwAyAGUAXAAiACkAOwBcAG4AXABuAFYARQBFAFIARwBfADkAXwAxAF8AMQBfAF8AMQBfAFIAZQBmAHIAaQBnAGUAcgBhAG4AdABMAGUAYQBrAGkAbgBnAF8AVQBuAGkAdABcAG4AIAAgAD0ATABBAE0AQgBEAEEAKABcACIAdAAgAHIAZQBmAHIAaQBnAGUAcgBhAG4AdAAgAGcAYQBzAFwAIgApADsAXABuAFwAbgBWAEUARQBSAEcAXwA5AF8AMQBfADEAXwBfADEAXwBSAGUAZgByAGkAZwBlAHIAYQBuAHQATABlAGEAawBpAG4AZwBHAFcAUABfAFUAbgBpAHQAXABuACAAIAA9AEwAQQBNAEIARABBACgAXAAiAHQAIABDAE8AMgAtAGUAXAAiACkAOwBcAG4AXABuAFYARQBFAFIARwBfADkAXwAxAF8AMQBfAF8AMQBfAFIAZQBmAHIAaQBnAGUAcgBhAG4AdABMAGUAYQBrAGkAbgBnAF8AUwBvAHUAcgBjAGUAXABuACAAIAA9AEwAQQBNAEIARABBACgAXAAiAFYARQBFAFIARwAgADIAMAAyADYAOgAgADkALgAxAC4AMQAsACAARQBxAHUAYQB0AGkAbwBuACAAKAAxACkAXAAiACkAOwBcAG4AXABuAFYARQBFAFIARwBfADkAXwAxAF8AMQBfAF8AMQBfAFIAZQBmAHIAaQBnAGUAcgBhAG4AdABMAGUAYQBrAGkAbgBnAEcAVwBQAF8AUwBvAHUAcgBjAGUAXABuACAAIAA9AEwAQQBNAEIARABBACgAXAAiAEEAdQBzAHQAcgBhAGwAaQBhAG4AIABOAGEAdABpAG8AbgBhAGwAIABHAHIAZQBlAG4AaABvAHUAcwBlACAAQQBjAGMAbwB1AG4AdABzACAARgBhAGMAdABvAHIAcwAgADIAMAAyADUAIAAtACAAMwAuADEAIABFAHMAdABpAG0AYQB0AGkAbgBnACAAaQBuAGQAdQBzAHQAcgBpAGEAbAAgAHAAcgBvAGMAZQBzAHMAZQBzACAAZQBtAGkAcwBzAGkAbwBuAHMAIAAtACAAUgBlAGYAcgBpAGcAZQByAGEAbgB0ACAAbABlAGEAawBhAGcAZQBcACIAKQA7AFwAbgBcAG4AVgBFAEUAUgBHAF8AOQBfADEAXwAxAF8AXwAxAF8AUgBlAGYAcgBpAGcAZQByAGEAbgB0AEwAZQBhAGsAaQBuAGcAXwBSAGUAYQBkAGEAYgBsAGUARQBxAHUAYQB0AGkAbwBuAFwAbgAgACAAPQBMAEEATQBCAEQAQQAoAFwAIgBjAGgAYQByAGcAZQBfAFIAYQAgACoAIAAoAGwAZQBhAGsAYQBnAGUAcgBhAHQAZQBfAGEALwAxADAAMAApACAAKgAgADEAMAAgAF4AIAAtACAAMwBcACIAKQA7AFwAbgBcAG4AVgBFAEUAUgBHAF8AOQBfADEAXwAxAF8AXwAxAF8AUgBlAGYAcgBpAGcAZQByAGEAbgB0AEwAZQBhAGsAaQBuAGcAXwBMAGEAdABlAHgARQBxAHUAYQB0AGkAbwBuAFwAbgAgACAAPQBMAEEATQBCAEQAQQAoAFwAIgBFAF8AUgAgAD0AIABcAFwAcwB1AG0AXABcAG4AbwBsAGkAbQBpAHQAcwBfAGEAIABcAFwAbABlAGYAdAAoACAAYwBoAGEAcgBnAGUAXwB7AFIAYQB9ACAAXABcAHQAaQBtAGUAcwAgAFwAXABmAHIAYQBjAHsAbABlAGEAawBhAGcAZQBcAFwALAByAGEAdABlAF8AYQB9AHsAMQAwADAAfQAgAFwAXAByAGkAZwBoAHQAKQAgAFwAXAB0AGkAbQBlAHMAIAAxADAAXgB7AC0AMwB9AFwAIgApADsAXABuAFwAbgBWAEUARQBSAEcAXwA5AF8AMQBfADEAXwBfADEAXwBSAGUAZgByAGkAZwBlAHIAYQBuAHQATABlAGEAawBpAG4AZwBHAFcAUABfAEwAYQB0AGUAeABFAHEAdQBhAHQAaQBvAG4AXABuACAAIAA9AEwAQQBNAEIARABBACgAXAAiAEUAXwBDAE8AMgBlACAAPQAgAFwAXABsAGUAZgB0ACgARQBfAFIAIABcAFwAdABpAG0AZQBzACAAMQAwAF4AewAzAH0AIABcAFwAcgBpAGcAaAB0ACkAIABcAFwAdABpAG0AZQBzACAARwBXAFAAXwBSACAAXABcAHQAaQBtAGUAcwAgADEAMABeAHsALQAzAH0AXAAiACkAOwBcAG4AXABuAFYARQBFAFIARwBfADkAXwAxAF8AMQBfAF8AMQBfAFIAZQBmAHIAaQBnAGUAcgBhAG4AdABMAGUAYQBrAGkAbgBnAF8AQQByAGcAdQBtAGUAbgB0AHMAXABuACAAIAA9AEwAQQBNAEIARABBACgAXABuACAAIAAgACAATQBBAEsARQBBAFIAUgBBAFkAKAA0ACwAIAA0ACwAIABcAG4AIAAgACAAIAAgACAATABBAE0AQgBEAEEAKAByACwAYwAsACAAXABuACAAIAAgACAAIAAgACAAIABJAE4ARABFAFgAKAB7AFwAbgAgACAAIAAgACAAIAAgACAAIAAgAFwAIgBjAGgAYQByAGcAZQBfAFIAYQBcACIALAAgAFwAIgBBAG0AbwB1AG4AdAAgAG8AZgAgAHIAZQBmAHIAaQBnAGUAcgBhAG4AdAAgAFIAIABjAG8AbgB0AGEAaQBuAGUAZAAgAGkAbgAgAGEAcABwAGwAaQBhAG4AYwBlACAAYQBcACIALAAgAFwAIgBrAGcAXAAiACwAIABcACIASQBuAHAAdQB0AFwAIgA7AFwAbgAgACAAIAAgACAAIAAgACAAIAAgAFwAIgBsAGUAYQBrAGEAZwBlAHIAYQB0AGUAXwBhAFwAIgAsACAAXAAiAFAAcgBjAGUAbgB0AGEAZwBlACAAbwBmACAAdABvAHQAYQBsACAAYwBoAGEAcgBnAGUAIABsAGUAYQBrAGUAZAAgAGYAcgBvAG0AIABhAHAAcABsAGkAYQBuAGMAZQAgAGEAIABlAGEAYwBoACAAeQBlAGEAcgBcACIALAAgAFwAIgBQAGUAcgBjAGUAbgB0AFwAIgAsACAAXAAiAEMAbwBuAHMAdABhAG4AdABcACIAOwBcAG4AIAAgACAAIAAgACAAIAAgACAAIABcACIAYQBcACIALAAgAFwAIgBBAHAAcABsAGkAYQBuAGMAZQAgAHQAeQBwAGUAXAAiACwAIABcACIAXAAiACwAIABcACIASQBuAHAAdQB0AFwAIgA7AFwAbgAgACAAIAAgACAAIAAgACAAIAAgAFwAIgBSAFwAIgAsACAAXAAiAFIAZQBmAHIAaQBnAGUAcgBhAG4AdABcACIALAAgAFwAIgBcACIALAAgAFwAIgBJAG4AcAB1AHQAXAAiAFwAbgAgACAAIAAgACAAIAAgACAAfQAsACAAcgAsACAAYwApAFwAbgAgACAAIAAgACAAIAApAFwAbgAgACAAIAAgACkAXABuACAAIAApADsAXABuAFwAbgBWAEUARQBSAEcAXwA5AF8AMQBfADEAXwBfADEAXwBSAGUAZgByAGkAZwBlAHIAYQBuAHQATABlAGEAawBpAG4AZwBHAFcAUABfAEEAcgBnAHUAbQBlAG4AdABzAFwAbgAgACAAPQBMAEEATQBCAEQAQQAoAFwAbgAgACAAIAAgAE0AQQBLAEUAQQBSAFIAQQBZACgAMgAsACAANAAsACAAXABuACAAIAAgACAAIAAgAEwAQQBNAEIARABBACgAcgAsAGMALAAgAFwAbgAgACAAIAAgACAAIAAgACAASQBOAEQARQBYACgAewBcAG4AIAAgACAAIAAgACAAIAAgACAAIABcACIARQBfAFIAXAAiACwAIABcACIAVABvAHQAYQBsACAAZQBtAGkAcwBzAGkAbwBuAHMAIABvAGYAIAByAGUAZgByAGkAZwBlAHIAYQBuAHQAIABSAFwAIgAsACAAXAAiAHQAIAByAGUAZgByAGkAZwBlAHIAYQBuAHQAIABnAGEAcwBcACIALAAgAFwAIgBDAGEAbABjAHUAbABhAHQAZQBkACAAZgByAG8AbQAgADkALgAxAC4AMQAgACgAMQApAFwAIgA7AFwAbgAgACAAIAAgACAAIAAgACAAIAAgAFwAIgBHAFcAUABfAFIAXAAiACwAIABcACIARwBsAG8AYgBhAGwAIAB3AGEAcgBtAGkAbgBnACAAcABvAHQAZQBuAHQAaQBhAGwAIABvAGYAIAByAGUAZgByAGkAZwBlAHIAYQBuAHQAIABSAFwAIgAsACAAXAAiAEQAaQBtAGUAbgBzAGkAbwBuAGwAZQBzAHMAXAAiACwAIABcACIAQwBvAG4AcwB0AGEAbgB0AFwAIgBcAG4AIAAgACAAIAAgACAAIAAgAH0ALAAgAHIALAAgAGMAKQBcAG4AIAAgACAAIAAgACAAKQBcAG4AIAAgACAAIAApAFwAbgAgACAAKQA7AFwAbgBcAG4AVgBFAEUAUgBHAF8AOQBfADEAXwAxAF8AXwAxAF8AUgBlAGYAcgBpAGcAZQByAGEAbgB0AEwAZQBhAGsAaQBuAGcAXwBWAGEAcgBpAGEAdABpAG8AbgBcAG4AIAAgAD0ATABBAE0AQgBEAEEAKABcACIAVgBBAFIASQBBAFQASQBPAE4AIABPAE4AIABTAE8AVQBSAEMARQA6ACAAQQBkAGQAZQBkACAAZQBxAHUAYQB0AGkAbwBuACAAdABvACAAYwBvAG4AdgBlAHIAdAAgAHIAZQBmAHIAaQBnAGUAcgBhAG4AdAAgAFIAIAB0AG8AIABDAE8AMgAtAGUAIAB1AHMAaQBuAGcAIAB0AGgAZQAgAHIAZQBmAHIAaQBnAGUAcgBhAG4AdABcAHUAMAAwADIANwBzACAAZwBsAG8AYgBhAGwAIAB3AGEAcgBtAGkAbgBnACAAcABvAHQAZQBuAHQAaQBhAGwAIAAoAEcAVwBQACkALgBcACIAKQA7ACIAfQAsAHsAIgBwAGEAdABoACIAOgAiAC8AcAByAG8AagBlAGMAdABzAC8AUgBlAGYAcgBpAGcAZQByAGEAbgB0AHMAXwBTAG8AdQByAGMAZQBEAGEAdABhACIALAAiAHQAZQB4AHQAIgA6ACIALwAqAFwAbgA9AD0APQA9AD0APQA9AD0APQA9AD0APQA9AD0APQA9AD0APQA9AD0APQA9AD0APQA9AD0APQA9AD0APQA9AD0APQA9AD0APQA9AD0APQA9AD0APQA9AD0APQA9AD0APQA9AD0APQA9AD0APQA9AD0APQA9AD0APQA9AD0APQA9AD0APQA9AD0APQA9AD0APQA9AD0APQA9AFwAbgBBAHAAcABlAG4AZABpAHgAIAAyACAARwBsAG8AYgBhAGwAIABXAGEAcgBtAGkAbgBnACAAUABvAHQAZQBuAHQAaQBhAGwAcwA6ACAAVABhAGIAbABlACAAMgAzACAARwBsAG8AYgBhAGwAIABXAGEAcgBtAGkAbgBnACAAUABvAHQAZQBuAHQAaQBhAGwAcwBcAG4APQA9AD0APQA9AD0APQA9AD0APQA9AD0APQA9AD0APQA9AD0APQA9AD0APQA9AD0APQA9AD0APQA9AD0APQA9AD0APQA9AD0APQA9AD0APQA9AD0APQA9AD0APQA9AD0APQA9AD0APQA9AD0APQA9AD0APQA9AD0APQA9AD0APQA9AD0APQA9AD0APQA9AD0APQA9AD0APQBcAG4AKgAvAFwAbgBcAG4AUgBlAGYAcgBpAGcAZQByAGEAbgB0AHMAXwBDAGgAZQBtAGkAYwBhAGwARwBXAFAAXwBUAGkAdABsAGUAXABuAD0ATABBAE0AQgBEAEEAKAAoAFwAIgBHAGwAbwBiAGEAbAAgAFcAYQByAG0AaQBuAGcAIABQAG8AdABlAG4AdABpAGEAbABzAFwAIgApACkAOwBcAG4AXABuAFIAZQBmAHIAaQBnAGUAcgBhAG4AdABzAF8AQwBoAGUAbQBpAGMAYQBsAEcAVwBQAF8ARABlAHMAYwByAGkAcAB0AGkAbwBuAFwAbgA9AEwAQQBNAEIARABBACgAKABcACIAXAAiACkAKQA7AFwAbgBcAG4AUgBlAGYAcgBpAGcAZQByAGEAbgB0AHMAXwBDAGgAZQBtAGkAYwBhAGwARwBXAFAAXwBTAG8AdQByAGMAZQBcAG4APQBMAEEATQBCAEQAQQAoACgAXAAiAEEAdQBzAHQAcgBhAGwAaQBhAG4AIABOAGEAdABpAG8AbgBhAGwAIABHAHIAZQBlAG4AaABvAHUAcwBlACAAQQBjAGMAbwB1AG4AdABzACAARgBhAGMAdABvAHIAcwAgADIAMAAyADUAIAAtACAAQQBwAHAAZQBuAGQAaQB4ACAAMgAgAC0AIABUAGEAYgBsAGUAIAAyADMAXAAiACkAKQA7AFwAbgBcAG4AUgBlAGYAcgBpAGcAZQByAGEAbgB0AHMAXwBDAGgAZQBtAGkAYwBhAGwARwBXAFAAXwBEAGEAdABhAFwAbgA9AEwAQQBNAEIARABBACgAXABuACAAIABNAEEASwBFAEEAUgBSAEEAWQAoADMAOQAsACAANQAsAFwAbgAgACAAIAAgAEwAQQBNAEIARABBACgAcgAsAGMALABcAG4AIAAgACAAIAAgACAASQBOAEQARQBYACgAewBcAG4AIAAgACAAIAAgACAAIAAgAFwAIgBHAGEAcwBcACIALAAgAFwAIgBDAGgAZQBtAGkAYwBhAGwAIABmAG8AcgBtAHUAbABhAFwAIgAsACAAXAAiAEcAbABvAGIAYQBsACAAVwBhAHIAbQBpAG4AZwAgAFAAbwB0AGUAbgB0AGkAYQBsACAAKABBAFIANQApAFwAIgAsACAAXAAiAEcAYQBzACAALQAgAEYAQwAgAG4AYQBtAGUAXAAiACwAIABcACIAQQBkAGkAdABpAG8AbgBhAGwAIABkAGEAdABhACAAcwBvAHUAcgBjAGUAXAAiADsAXABuACAAIAAgACAAIAAgACAAIABcACIAQwBhAHIAYgBvAG4AIABkAGkAbwB4AGkAZABlAFwAIgAsACAAXAAiAEMATwAyAFwAIgAsACAAMQAsACAAXAAiAEMATwAyAFwAIgAsACAAXAAiAFwAIgA7AFwAbgAgACAAIAAgACAAIAAgACAAXAAiAE0AZQB0AGgAYQBuAGUAXAAiACwAIABcACIAQwBIADQAXAAiACwAIAAyADgALAAgAFwAIgBDAEgANABcACIALAAgAFwAIgBcACIAOwBcAG4AIAAgACAAIAAgACAAIAAgAFwAIgBOAGkAdAByAG8AdQBzACAAbwB4AGkAZABlAFwAIgAsACAAXAAiAE4AMgBPAFwAIgAsACAAMgA2ADUALAAgAFwAIgBOADIATwBcACIALAAgAFwAIgBcACIAOwBcAG4AIAAgACAAIAAgACAAIAAgAFwAIgBTAHUAbABwAGgAdQByACAAaABlAHgAYQBmAGwAdQBvAHIAaQBkAGUAXAAiACwAIABcACIAUwBGADYAXAAiACwAIAAyADMANQAwADAALAAgAFwAIgBTAEYANgBcACIALAAgAFwAIgBcACIAOwBcAG4AIAAgACAAIAAgACAAIAAgAFwAIgBIAEYAQwAtADIAMwAgACgAUgAtADIAMwApAFwAIgAsACAAXAAiAEMASABGADMAXAAiACwAIAAgADEAMgA0ADAAMAAsACAAXAAiAEgARgBDAC0AMgAzAFwAIgAsACAAXAAiAFwAIgA7AFwAbgAgACAAIAAgACAAIAAgACAAXAAiAEgARgBDAC0AMwAyACAAKABSAC0AMwAyACkAXAAiACwAIABcACIAQwBIADIARgAyAFwAIgAsACAANgA3ADcALAAgAFwAIgBIAEYAQwAtADMAMgBcACIALAAgAFwAIgBcACIAOwBcAG4AIAAgACAAIAAgACAAIAAgAFwAIgBIAEYAQwAtADQAMQAgACgAUgAtADQAMQApAFwAIgAsACAAXAAiAEMASAAzAEYAXAAiACwAIAAgADEAMQA2ACwAIABcACIASABGAEMALQA0ADEAXAAiACwAIABcACIAXAAiADsAXABuACAAIAAgACAAIAAgACAAIABcACIASABGAEMALQA0ADMALQAxADAAbQBlAGUAIAAoAFIALQA0ADMAMQAwAG0AZQBlACkAXAAiACwAIABcACIAQwA1AEgAMgBGADEAMABcACIALAAgADEANgA1ADAALAAgAFwAIgBIAEYAQwAtADQAMwAtADEAMABtAGUAZQBcACIALAAgAFwAIgBcACIAOwBcAG4AIAAgACAAIAAgACAAIAAgAFwAIgBIAEYAQwAtADEAMgA1ACAAKABSAC0AMQAyADUAKQBcACIALAAgAFwAIgBDADIASABGADUAXAAiACwAIAAgADMAMQA3ADAALAAgAFwAIgBIAEYAQwAtADEAMgA1AFwAIgAsACAAXAAiAFwAIgA7AFwAbgAgACAAIAAgACAAIAAgACAAXAAiAEgARgBDAC0AMQAzADQAIAAoAFIALQAxADMANAApAFwAIgAsACAAXAAiAEMAMgBIADIARgA0ACAAKABDAEgARgAyAEMASABGADIAKQBcACIALAAgACAAMQAxADIAMAAsACAAXAAiAEgARgBDAC0AMQAzADQAXAAiACwAIABcACIAXAAiADsAXABuACAAIAAgACAAIAAgACAAIABcACIASABGAEMALQAxADMANABhACAAKABSAC0AMQAzADQAYQApAFwAIgAsACAAXAAiAEMAMgBIADIARgA0ACAAKABDAEgAMgBGAEMARgAzACkAXAAiACwAIAAxADMAMAAwACwAIABcACIASABGAEMALQAxADMANABhAFwAIgAsACAAXAAiAFwAIgA7AFwAbgAgACAAIAAgACAAIAAgACAAXAAiAEgARgBDAC0AMQA0ADMAIAAoAFIALQAxADQAMwApAFwAIgAsACAAXAAiAEMAMgBIADMARgAzACAAKABDAEgARgAyAEMASAAyAEYAKQBcACIALAAgADMAMgA4ACwAIABcACIASABGAEMALQAxADQAMwBcACIALAAgAFwAIgBcACIAOwBcAG4AIAAgACAAIAAgACAAIAAgAFwAIgBIAEYAQwAtADEANAAzAGEAIAAoAFIALQAxADQAMwBhACkAXAAiACwAIABcACIAQwAyAEgAMwBGADMAIAAoAEMARgAzAEMASAAzACkAXAAiACwAIAA0ADgAMAAwACwAIABcACIASABGAEMALQAxADQAMwBhAFwAIgAsACAAXAAiAFwAIgA7AFwAbgAgACAAIAAgACAAIAAgACAAXAAiAEgARgBDAC0AMQA1ADIAYQAgACgAUgAtADEANQAyAGEAKQBcACIALAAgAFwAIgBDADIASAA0AEYAMgAgACgAQwBIADMAQwBIAEYAMgApAFwAIgAsACAAMQAzADgALAAgAFwAIgBIAEYAQwAtADEANQAyAGEAXAAiACwAIABcACIAXAAiADsAXABuACAAIAAgACAAIAAgACAAIABcACIASABGAEMALQAyADIANwBlAGEAIAAoAFIALQAyADIANwBlAGEAKQBcACIALAAgAFwAIgBDADMASABGADcAXAAiACwAIAAzADMANQAwACwAIABcACIASABGAEMALQAyADIANwBlAGEAXAAiACwAIABcACIAXAAiADsAXABuACAAIAAgACAAIAAgACAAIABcACIASABGAEMALQAyADMANgBmAGEAIAAoAFIALQAyADMANgBmAGEAKQBcACIALAAgAFwAIgBDADMASAAyAEYANgBcACIALAAgADgAMAA2ADAALAAgAFwAIgBIAEYAQwAtADIAMwA2AGYAYQBcACIALAAgAFwAIgBcACIAOwBcAG4AIAAgACAAIAAgACAAIAAgAFwAIgBIAEYAQwAtADIANAA1AGMAYQAgACgAUgAtADIANAA1AGMAYQApAFwAIgAsACAAXAAiAEMAMwBIADMARgA1AFwAIgAsACAANwAxADYALAAgAFwAIgBIAEYAQwAtADIANAA1AGMAYQBcACIALAAgAFwAIgBcACIAOwBcAG4AIAAgACAAIAAgACAAIAAgAFwAIgBIAEYAQwAtADIANAA1AGYAYQAgACgAUgAtADIANAA1AGYAYQApAFwAIgAsACAAXAAiAEMASABGADIAQwBIADIAQwBGADMAXAAiACwAIAA4ADUAOAAsACAAXAAiAEgARgBDAC0AMgA0ADUAZgBhAFwAIgAsACAAXAAiAFwAIgA7AFwAbgAgACAAIAAgACAAIAAgACAAXAAiAEgARgBDAC0AMwA2ADUAbQBmAGMAIAAoAFIALQAzADYANQBtAGYAYwApAFwAIgAsACAAXAAiAEMASAAzAEMARgAyAEMASAAyAEMARgAzAFwAIgAsACAAOAAwADQALAAgAFwAIgBIAEYAQwAtADMANgA1AG0AZgBjAFwAIgAsACAAXAAiAFwAIgA7AFwAbgAgACAAIAAgACAAIAAgACAAXAAiAEgAQwBGAEMALQAyADIAIAAoAFIALQAyADIAKQBcACIALAAgAFwAIgBDAEgAQwBsAEYAMgBcACIALAAgADEANwA2ADAALAAgAFwAIgBIAEMARgBDAC0AMgAyAFwAIgAsACAAXAAiAFwAIgA7AFwAbgAgACAAIAAgACAAIAAgACAAXAAiAEgAQwBGAEMALQAxADIAMwAgACgAUgAtADEAMgAzACkAXAAiACwAIABcACIAQwBIAEMAbAAyADIAQwBGADMAXAAiACwAIAA3ADkALAAgAFwAIgBIAEMARgBDAC0AMQAyADMAXAAiACwAIABcACIAXAAiADsAXABuACAAIAAgACAAIAAgACAAIABcACIASABDAEYAQwAtADEAMgA0ACAAKABSAC0AMQAyADQAKQBcACIALAAgAFwAIgBDAEgAQwBsAEYAQwBGADMAXAAiACwAIAA1ADIANwAsACAAXAAiAEgAQwBGAEMALQAxADIANABcACIALAAgAFwAIgBcACIAOwBcAG4AIAAgACAAIAAgACAAIAAgAFwAIgBIAEMARgBDAC0AMQA0ADEAYgAgACgAUgAtADEANAAxAGIAKQBcACIALAAgAFwAIgBDAEgAMwBDAEMAbAAyAEYAXAAiACwAIAA3ADgAMgAsACAAXAAiAEgAQwBGAEMALQAxADQAMQBiAFwAIgAsACAAXAAiAFwAIgA7AFwAbgAgACAAIAAgACAAIAAgACAAXAAiAEgAQwBGAEMALQAxADQAMgBiACAAKABSAC0AMQA0ADIAYgApAFwAIgAsACAAXAAiAEMASAAyAEMAQwBsAEYAMgBcACIALAAgADEAOQA4ADAALAAgAFwAIgBIAEMARgBDAC0AMQA0ADIAYgBcACIALAAgAFwAIgBcACIAOwBcAG4AIAAgACAAIAAgACAAIAAgAFwAIgBIAEMARgBDAC0AMgAyADUAYwBhACAAKABSAC0AMgAyADUAYwBhACkAXAAiACwAIABcACIAQwBIAEMAbAAyAEMARgAyAEMARgAzAFwAIgAsACAAMQAyADcALAAgAFwAIgBIAEMARgBDAC0AMgAyADUAYwBhAFwAIgAsACAAXAAiAFwAIgA7AFwAbgAgACAAIAAgACAAIAAgACAAXAAiAEgAQwBGAEMALQAyADIANQBjAGIAIAAoAFIALQAyADIANQBjAGIAKQBcACIALAAgAFwAIgBDAEgAQwBsAEYAQwBGADIAQwBDAEkARgAyAFwAIgAsACAANQAyADUALAAgAFwAIgBIAEMARgBDAC0AMgAyADUAYwBiAFwAIgAsACAAXAAiAFwAIgA7AFwAbgAgACAAIAAgACAAIAAgACAAXAAiAFAARgBDAC0AMQA0ACAAUABlAHIAZgBsAHUAbwByAG8AbQBlAHQAaABhAG4AZQAgACgAdABlAHQAcgBhAGYAbAB1AG8AcgBvAG0AZQB0AGgAYQBuAGUAKQBcACIALAAgAFwAIgBDAEYANABcACIALAAgADYANgAzADAALAAgAFwAIgBQAEYAQwAtADEANABcACIALAAgAFwAIgBcACIAOwBcAG4AIAAgACAAIAAgACAAIAAgAFwAIgBQAEYAQwAtADEAMQA2ACAAUABlAHIAZgBsAHUAbwByAG8AZQB0AGgAYQBuAGUAIAAoAGgAZQB4AGEAZgBsAHUAbwByAG8AZQB0AGgAYQBuAGUAKQBcACIALAAgAFwAIgBDADIARgA2AFwAIgAsACAAMQAxADEAMAAwACwAIABcACIAUABGAEMALQAxADEANgBcACIALAAgAFwAIgBcACIAOwBcAG4AIAAgACAAIAAgACAAIAAgAFwAIgBQAEYAQwAtADIAMQA4ACAAUABlAHIAZgBsAHUAbwByAG8AcAByAG8AcABhAG4AZQBcACIALAAgAFwAIgBDADMARgA4AFwAIgAsACAAOAA5ADAAMAAsACAAXAAiAFAARgBDAC0AMgAxADgAXAAiACwAIABcACIAXAAiADsAXABuACAAIAAgACAAIAAgACAAIABcACIAUABGAEMALQAzADEALQAxADAAIABQAGUAcgBmAGwAdQBvAHIAbwBiAHUAdABhAG4AZQBcACIALAAgAFwAIgBDADQARgAxADAAXAAiACwAIAA5ADIAMAAwACwAIABcACIAUABGAEMALQAzADEALQAxADAAXAAiACwAIABcACIAXAAiADsAXABuACAAIAAgACAAIAAgACAAIABcACIAUABGAEMALQAzADEAOAAgAFAAZQByAGYAbAB1AG8AcgBvAGMAeQBjAGwAbwBiAHUAdABhAG4AZQBcACIALAAgAFwAIgBjAC0AQwA0AEYAOABcACIALAAgADkANQA0ADAALAAgAFwAIgBQAEYAQwAtADMAMQA4AFwAIgAsACAAXAAiAFwAIgA7AFwAbgAgACAAIAAgACAAIAAgACAAXAAiAFAARgBDAC0ANAAxAC0AMQAyACAAUABlAHIAZgBsAHUAbwByAG8AcABlAG4AdABhAG4AZQBcACIALAAgAFwAIgBDADUARgAxADIAXAAiACwAIAA4ADUANQAwACwAIABcACIAUABGAEMALQA0ADEALQAxADIAXAAiACwAIABcACIAXAAiADsAXABuACAAIAAgACAAIAAgACAAIABcACIAUABGAEMALQA1ADEALQAxADQAIABQAGUAcgBmAGwAdQBvAHIAbwBoAGUAeABhAG4AZQBcACIALAAgAFwAIgBDADYARgAxADQAXAAiACwAIAA3ADkAMQAwACwAIABcACIAUABGAEMALQA1ADEALQAxADQAXAAiACwAIABcACIAXAAiADsAXABuACAAIAAgACAAIAAgACAAIABcACIAUABGAEMALQA5ADEALQAxADgAIABQAGUAcgBmAGwAdQBuAGEAZgBlAG4AZQBcACIALAAgAFwAIgBDADEAMABGADEAOABcACIALAAgADcAMQA5ADAALAAgAFwAIgBQAEYAQwAtADkAMQAtADEAOABcACIALAAgAFwAIgBcACIAOwBcAG4AIAAgACAAIAAgACAAIAAgAFwAIgBDAEYAQwAtADEAMgBcACIALAAgAFwAIgBDAEMAbAAyAEYAMgBcACIALAAgADEAMAAyADAAMAAsACAAXAAiAEMARgBDAC0AMQAyAFwAIgAsACAAXAAiAEkAUABDAEMAIABHAGwAbwBiAGEAbAAgAFcAYQByAG0AaQBuAGcAIABQAG8AdABlAG4AdABpAGEAbAAgAFYAYQBsAHUAZQBzACAAdgAyAC4AMAAgAC0AIAAoAEEAUgA1ACkAXAAiADsAXABuACAAIAAgACAAIAAgACAAIABcACIAQwBGAEMALQAxADMAXAAiACwAIABcACIAQwBDAGwARgAzAFwAIgAsACAAMQAzADkAMAAwACwAIABcACIAQwBGAEMALQAxADMAXAAiACwAIABcACIASQBQAEMAQwAgAEcAbABvAGIAYQBsACAAVwBhAHIAbQBpAG4AZwAgAFAAbwB0AGUAbgB0AGkAYQBsACAAVgBhAGwAdQBlAHMAIAB2ADIALgAwACAALQAgACgAQQBSADUAKQBcACIAOwBcAG4AIAAgACAAIAAgACAAIAAgAFwAIgBDAEYAQwAtADEAMQA0AFwAIgAsACAAXAAiAEMAQwBsAEYAMgBDAEMAbABGADIAXAAiACwAIAA4ADUAOQAwACwAIABcACIAQwBGAEMALQAxADEANABcACIALAAgAFwAIgBJAFAAQwBDACAARwBsAG8AYgBhAGwAIABXAGEAcgBtAGkAbgBnACAAUABvAHQAZQBuAHQAaQBhAGwAIABWAGEAbAB1AGUAcwAgAHYAMgAuADAAIAAtACAAKABBAFIANQApAFwAIgA7AFwAbgAgACAAIAAgACAAIAAgACAAXAAiAEMARgBDAC0AMQAxADUAXAAiACwAIABcACIAQwBDAGwARgAyAEMARgAzAFwAIgAsACAANwA2ADcAMAAsACAAXAAiAEMARgBDAC0AMQAxADUAXAAiACwAIABcACIASQBQAEMAQwAgAEcAbABvAGIAYQBsACAAVwBhAHIAbQBpAG4AZwAgAFAAbwB0AGUAbgB0AGkAYQBsACAAVgBhAGwAdQBlAHMAIAB2ADIALgAwACAALQAgACgAQQBSADUAKQBcACIAXABuACAAIAAgACAAIAAgAH0ALAAgAHIALAAgAGMAKQBcAG4AKQApACkAOwBcAG4AXABuAFIAZQBmAHIAaQBnAGUAcgBhAG4AdABzAF8AQwBoAGUAbQBpAGMAYQBsAEcAVwBQAF8AVgBhAHIAaQBhAHQAaQBvAG4AXABuAD0ATABBAE0AQgBEAEEAKAAoAFwAIgBWAEEAUgBJAEEAVABJAE8ATgAgAE8ARgAgAFMATwBVAFIAQwBFACAARABBAFQAQQA6ACAAQQBkAGQAZQBkACAAXAB1ADAAMAAyADcARwBBAFMAIAAtACAARgBDACAAbgBhAG0AZQBcAHUAMAAwADIANwAgAGMAbwBsAHUAbQBuACAAdwBpAHQAaAAgAHQAcgB1AG4AYwBhAHQAZQBkACAAZwBhAHMAIABuAGEAbQBlACAAdABvACAAYQBsAGwAbwB3ACAAbQBhAHQAYwBoAGkAbgBnACAAdwBpAHQAaAAgAG8AdABoAGUAcgAgAHQAYQBiAGwAZQBzAC4AIABBAGQAZABlAGQAIABlAHgAdAByAGEAIABnAGEAcwBlAHMAIABmAHIAbwBtACAASQBQAEMAQwAgAEcAbABvAGIAYQBsACAAVwBhAHIAbQBpAG4AZwAgAFAAbwB0AGUAbgB0AGkAYQBsACAAVgBhAGwAdQBlAHMAIAB2ADIALgAwACAALQAgACgAQQBSADUAKQAuACAAQQBkAGQAZQBkACAAXAB1ADAAMAAyADcAQQBkAGQAaQB0AGkAbwBuAGEAbAAgAGQAYQB0AGEAIABzAG8AdQByAGMAZQBcAHUAMAAwADIANwAgAGMAbwBsAHUAbQBuAC4AXAAiACkAKQA7AFwAbgBcAG4ALwAqAFwAbgA9AD0APQA9AD0APQA9AD0APQA9AD0APQA9AD0APQA9AD0APQA9AD0APQA9AD0APQA9AD0APQA9AD0APQA9AD0APQA9AD0APQA9AD0APQA9AD0APQA9AD0APQA9AD0APQA9AD0APQA9AD0APQA9AD0APQA9AD0APQA9AD0APQA9AD0APQA9AD0APQA9AD0APQA9AD0APQA9AFwAbgBBAHAAcABlAG4AZABpAHgAIAAyACAARwBsAG8AYgBhAGwAIABXAGEAcgBtAGkAbgBnACAAUABvAHQAZQBuAHQAaQBhAGwAcwA6ACAAQgBsAGUAbgBkAGUAZAAgAHIAZQBmAHIAaQBnAGUAcgBhAG4AdABzAFwAbgA9AD0APQA9AD0APQA9AD0APQA9AD0APQA9AD0APQA9AD0APQA9AD0APQA9AD0APQA9AD0APQA9AD0APQA9AD0APQA9AD0APQA9AD0APQA9AD0APQA9AD0APQA9AD0APQA9AD0APQA9AD0APQA9AD0APQA9AD0APQA9AD0APQA9AD0APQA9AD0APQA9AD0APQA9AD0APQA9AFwAbgAqAC8AXABuAFwAbgBSAGUAZgByAGkAZwBlAHIAYQBuAHQAcwBfAEMAaABlAG0AaQBjAGEAbABCAGwAZQBuAGQAcwBfAFQAaQB0AGwAZQBcAG4APQBMAEEATQBCAEQAQQAoACgAXAAiAEIAbABlAG4AZABlAGQAIAByAGUAZgByAGkAZwBlAHIAYQBuAHQAcwAgACgAbQBhAG4AeQAgAGMAbwBuAHQAYQBpAG4AaQBuAGcAIABIAEYAQwBTACAAYQBuAGQALwBvAHIAIABQAEYAQwBTACkAXAAiACkAKQA7AFwAbgBcAG4AUgBlAGYAcgBpAGcAZQByAGEAbgB0AHMAXwBDAGgAZQBtAGkAYwBhAGwAQgBsAGUAbgBkAHMAXwBEAGUAcwBjAHIAaQBwAHQAaQBvAG4AXABuAD0ATABBAE0AQgBEAEEAKAAoAFwAIgBcACIAKQApADsAXABuAFwAbgBSAGUAZgByAGkAZwBlAHIAYQBuAHQAcwBfAEMAaABlAG0AaQBjAGEAbABCAGwAZQBuAGQAcwBfAFMAbwB1AHIAYwBlAFwAbgA9AEwAQQBNAEIARABBACgAKABcACIAQQB1AHMAdAByAGEAbABpAGEAbgAgAE4AYQB0AGkAbwBuAGEAbAAgAEcAcgBlAGUAbgBoAG8AdQBzAGUAIABBAGMAYwBvAHUAbgB0AHMAIABGAGEAYwB0AG8AcgBzACAAMgAwADIANQAgAC0AIABBAHAAcABlAG4AZABpAHgAIAAyACAALQAgAFQAYQBiAGwAZQAgADIANABcACIAKQApADsAXABuAFwAbgBSAGUAZgByAGkAZwBlAHIAYQBuAHQAcwBfAEMAaABlAG0AaQBjAGEAbABCAGwAZQBuAGQAcwBfAEQAYQB0AGEAXABuAD0ATABBAE0AQgBEAEEAKABcAG4AIAAgAE0AQQBLAEUAQQBSAFIAQQBZACgANQAxACwAIAAzACwAXABuACAAIAAgACAATABBAE0AQgBEAEEAKAByACwAYwAsAFwAbgAgACAAIAAgACAAIABJAE4ARABFAFgAKAB7AFwAbgAgACAAIAAgACAAIAAgACAAXAAiAEIAbABlAG4AZABcACIALAAgAFwAIgBDAG8AbgBzAHQAaQB0AHUAZQBuAHQAcwBcACIALAAgAFwAIgBDAG8AbQBwAG8AcwBpAHQAaQBvAG4AIAAoACUAKQBcACIAOwBcAG4AIAAgACAAIAAgACAAIAAgAFwAIgBSAC0ANAAwADAAXAAiACwAIABcACIAQwBGAEMALQAxADIALwBDAEYAQwAtADEAMQA0AFwAIgAsACAAXAAiAFIALQA0ADAAMAAgAGMAYQBuACAAaABhAHYAZQAgAHYAYQByAGkAbwB1AHMAIABwAHIAbwBwAG8AcgB0AGkAbwBuAHMAIABvAGYAIABDAEYAQwAtADEAMgAgAGEAbgBkACAAQwBGAEMALQAxADEANAAuACAAVABoAGUAIABlAHgAYQBjAHQAIABjAG8AbQBwAG8AcwBpAHQAaQBvAG4AIABuAGUAZQBkAHMAIAB0AG8AIABiAGUAIABzAHAAZQBjAGkAZgBpAGUAZAAsACAAZQAuAGcALgAsACAAUgAtADQAMAAwACAAKAA2ADAALwA0ADAAKQAuAFwAIgA7AFwAbgAgACAAIAAgACAAIAAgACAAXAAiAFIALQA0ADAAMQBBAFwAIgAsACAAXAAiAEgAQwBGAEMALQAyADIALwBIAEYAQwAtADEANQAyAGEALwBIAEMARgBDAC0AMQAyADQAXAAiACwAIABcACIAKAA1ADMALgAwAC8AMQAzAC4AMAAvADMANAAuADAAKQBcACIAOwBcAG4AIAAgACAAIAAgACAAIAAgAFwAIgBSAC0ANAAwADEAQgBcACIALAAgAFwAIgBIAEMARgBDAC0AMgAyAC8ASABGAEMALQAxADUAMgBhAC8ASABDAEYAQwAtADEAMgA0AFwAIgAsACAAXAAiACgANgAxAC4AMAAvADEAMQAuADAALwAyADgALgAwACkAXAAiADsAXABuACAAIAAgACAAIAAgACAAIABcACIAUgAtADQAMAAxAEMAXAAiACwAIABcACIASABDAEYAQwAtADIAMgAvAEgARgBDAC0AMQA1ADIAYQAvAEgAQwBGAEMALQAxADIANABcACIALAAgAFwAIgAoADMAMwAuADAALwAxADUALgAwAC8ANQAyAC4AMAApAFwAIgA7AFwAbgAgACAAIAAgACAAIAAgACAAXAAiAFIALQA0ADAAMgBBAFwAIgAsACAAXAAiAEgARgBDAC0AMQAyADUALwBIAEMALQAyADkAMAAvAEgAQwBGAEMALQAyADIAXAAiACwAIABcACIAKAA2ADAALgAwAC8AMgAuADAALwAzADgALgAwACkAXAAiADsAXABuACAAIAAgACAAIAAgACAAIABcACIAUgAtADQAMAAyAEIAXAAiACwAIABcACIASABGAEMALQAxADIANQAvAEgAQwAtADIAOQAwAC8ASABDAEYAQwAtADIAMgBcACIALAAgAFwAIgAoADMAOAAuADAALwAyAC4AMAAvADYAMAAuADAAKQBcACIAOwBcAG4AIAAgACAAIAAgACAAIAAgAFwAIgBSAC0ANAAwADMAQQBcACIALAAgAFwAIgBIAEMALQAyADkAMAAvAEgAQwBGAEMALQAyADIALwBQAEYAQwAtADIAMQA4AFwAIgAsACAAXAAiACgANQAuADAALwA3ADUALgAwAC8AMgAwAC4AMAApAFwAIgA7AFwAbgAgACAAIAAgACAAIAAgACAAXAAiAFIALQA0ADAAMwBCAFwAIgAsACAAXAAiAEgAQwAtADIAOQAwAC8ASABDAEYAQwAtADIAMgAvAFAARgBDAC0AMgAxADgAXAAiACwAIABcACIAKAA1AC4AMAAvADUANgAuADAALwAzADkALgAwACkAXAAiADsAXABuACAAIAAgACAAIAAgACAAIABcACIAUgAtADQAMAA0AEEAXAAiACwAIABcACIASABGAEMALQAxADIANQAvAEgARgBDAC0AMQA0ADMAYQAvAEgARgBDAC0AMQAzADQAYQBcACIALAAgAFwAIgAoADQANAAuADAALwA1ADIALgAwAC8ANAAuADAAKQBcACIAOwBcAG4AIAAgACAAIAAgACAAIAAgAFwAIgBSAC0ANAAwADUAQQBcACIALAAgAFwAIgBIAEMARgBDAC0AMgAyAC8AIABIAEYAQwAtADEANQAyAGEALwBIAEMARgBDAC0AMQA0ADIAYgAvAFAARgBDAC0AMwAxADgAXAAiACwAIABcACIAKAA0ADUALgAwAC8ANwAuADAALwA1AC4ANQAvADQAMgAuADUAKQBcACIAOwBcAG4AIAAgACAAIAAgACAAIAAgAFwAIgBSAC0ANAAwADYAQQBcACIALAAgAFwAIgBIAEMARgBDAC0AMgAyAC8ASABDAC0ANgAwADAAYQAvAEgAQwBGAEMALQAxADQAMgBiAFwAIgAsACAAXAAiACgANQA1AC4AMAAvADEANAAuADAALwA0ADEALgAwACkAXAAiADsAXABuACAAIAAgACAAIAAgACAAIABcACIAUgAtADQAMAA3AEEAXAAiACwAIABcACIASABGAEMALQAzADIALwBIAEYAQwAtADEAMgA1AC8ASABGAEMALQAxADMANABhAFwAIgAsACAAXAAiACgAMgAwAC4AMAAvADQAMAAuADAALwA0ADAALgAwACkAXAAiADsAXABuACAAIAAgACAAIAAgACAAIABcACIAUgAtADQAMAA3AEIAXAAiACwAIABcACIASABGAEMALQAzADIALwBIAEYAQwAtADEAMgA1AC8ASABGAEMALQAxADMANABhAFwAIgAsACAAXAAiACgAMQAwAC4AMAAvADcAMAAuADAALwAyADAALgAwACkAXAAiADsAXABuACAAIAAgACAAIAAgACAAIABcACIAUgAtADQAMAA3AEMAXAAiACwAIABcACIASABGAEMALQAzADIALwBIAEYAQwAtADEAMgA1AC8ASABGAEMALQAxADMANABhAFwAIgAsACAAXAAiACgAMgAzAC4AMAAvADIANQAuADAALwA1ADIALgAwACkAXAAiADsAXABuACAAIAAgACAAIAAgACAAIABcACIAUgAtADQAMAA3AEQAXAAiACwAIABcACIASABGAEMALQAzADIALwBIAEYAQwAtADEAMgA1AC8ASABGAEMALQAxADMANABhAFwAIgAsACAAXAAiACgAMQA1AC4AMAAvADEANQAuADAALwA3ADAALgAwACkAXAAiADsAXABuACAAIAAgACAAIAAgACAAIABcACIAUgAtADQAMAA3AEUAXAAiACwAIABcACIASABGAEMALQAzADIALwBIAEYAQwAtADEAMgA1AC8ASABGAEMALQAxADMANABhAFwAIgAsACAAXAAiACgAMgA1AC4AMAAvADEANQAuADAALwA2ADAALgAwACkAXAAiADsAXABuACAAIAAgACAAIAAgACAAIABcACIAUgAtADQAMAA4AEEAXAAiACwAIABcACIASABGAEMALQAxADIANQAvAEgARgBDAC0AMQA0ADMAYQAvAEgAQwBGAEMALQAyADIAXAAiACwAIABcACIAKAA3AC4AMAAvADQANgAuADAALwA0ADcALgAwACkAXAAiADsAXABuACAAIAAgACAAIAAgACAAIABcACIAUgAtADQAMAA5AEEAXAAiACwAIABcACIASABDAEYAQwAtADIAMgAvAEgAQwBGAEMALQAxADIANAAvAEgAQwBGAEMALQAxADQAMgBiAFwAIgAsACAAXAAiACgANgAwAC4AMAAvADIANQAuADAALwAxADUALgAwACkAXAAiADsAXABuACAAIAAgACAAIAAgACAAIABcACIAUgAtADQAMAA5AEIAXAAiACwAIABcACIASABDAEYAQwAtADIAMgAvAEgAQwBGAEMALQAxADIANAAvAEgAQwBGAEMALQAxADQAMgBiAFwAIgAsACAAXAAiACgANgA1AC4AMAAvADIANQAuADAALwAxADAALgAwACkAXAAiADsAXABuACAAIAAgACAAIAAgACAAIABcACIAUgAtADQAMQAwAEEAXAAiACwAIABcACIASABGAEMALQAzADIALwBIAEYAQwAtADEAMgA1AFwAIgAsACAAXAAiACgANQAwAC4AMAAvADUAMAAuADAAKQBcACIAOwBcAG4AIAAgACAAIAAgACAAIAAgAFwAIgBSAC0ANAAxADAAQgBcACIALAAgAFwAIgBIAEYAQwAtADMAMgAvAEgARgBDAC0AMQAyADUAXAAiACwAIABcACIAKAA0ADUALgAwAC8ANQA1AC4AMAApAFwAIgA7AFwAbgAgACAAIAAgACAAIAAgACAAXAAiAFIALQA0ADEAMQBBAFwAIgAsACAAXAAiAEgAQwAtADEAMgA3ADAALwBIAEMARgBDAC0AMgAyAC8ASABGAEMALQAxADUAMgBhAFwAIgAsACAAXAAiACgAMQAuADUALwA4ADcALgA1AC8AMQAxAC4AMAApAFwAIgA7AFwAbgAgACAAIAAgACAAIAAgACAAXAAiAFIALQA0ADEAMQBCAFwAIgAsACAAXAAiAEgAQwAtADEAMgA3ADAALwBIAEMARgBDAC0AMgAyAC8ASABGAEMALQAxADUAMgBhAFwAIgAsACAAXAAiACgAMwAuADAALwA5ADQALgAwAC8AMwAuADAAKQBcACIAOwBcAG4AIAAgACAAIAAgACAAIAAgAFwAIgBSAC0ANAAxADEAQwBcACIALAAgAFwAIgBIAEMALQAxADIANwAwAC8ASABDAEYAQwAtADIAMgAvAEgARgBDAC0AMQA1ADIAYQBcACIALAAgAFwAIgAoADMALgAwAC8AOQA1AC4ANQAvADEALgA1ACkAXAAiADsAXABuACAAIAAgACAAIAAgACAAIABcACIAUgAtADQAMQAyAEEAXAAiACwAIABcACIASABDAEYAQwAtADIAMgAvAFAARgBDAC0AMgAxADgALwBIAEMARgBDAC0AMQA0ADIAYgBcACIALAAgAFwAIgAoADcAMAAuADAALwA1AC4AMAAvADIANQAuADAAKQBcACIAOwBcAG4AIAAgACAAIAAgACAAIAAgAFwAIgBSAC0ANAAxADMAQQBcACIALAAgAFwAIgBQAEYAQwAtADIAMQA4AC8ASABGAEMALQAxADMANABhAC8ASABDAC0ANgAwADAAYQBcACIALAAgAFwAIgAoADkALgAwAC8AOAA4AC4AMAAvADMALgAwACkAXAAiADsAXABuACAAIAAgACAAIAAgACAAIABcACIAUgAtADQAMQA0AEEAXAAiACwAIABcACIASABDAEYAQwAtADIAMgAvAEgAQwBGAEMALQAxADIANAAvAEgAQwAtADYAMAAwAGEALwBIAEMARgBDAC0AMQA0ADIAYgBcACIALAAgAFwAIgAoADUAMQAuADAALwAyADgALgA1AC8ANAAuADAALwAxADYALgA1ACkAXAAiADsAXABuACAAIAAgACAAIAAgACAAIABcACIAUgAtADQAMQA0AEIAXAAiACwAIABcACIASABDAEYAQwAtADIAMgAvAEgAQwBGAEMALQAxADIANAAvAEgAQwAtADYAMAAwAGEALwBIAEMARgBDAC0AMQA0ADIAYgBcACIALAAgAFwAIgAoADUAMAAuADAALwAzADkALgAwAC8AMQAuADUALwA5AC4ANQApAFwAIgA7AFwAbgAgACAAIAAgACAAIAAgACAAXAAiAFIALQA0ADEANQBBAFwAIgAsACAAXAAiAEgAQwBGAEMALQAyADIALwBIAEYAQwAtADEANQAyAGEAXAAiACwAIABcACIAKAA4ADIALgAwAC8AMQA4AC4AMAApAFwAIgA7AFwAbgAgACAAIAAgACAAIAAgACAAXAAiAFIALQA0ADEANQBCAFwAIgAsACAAXAAiAEgAQwBGAEMALQAyADIALwBIAEYAQwAtADEANQAyAGEAXAAiACwAIABcACIAKAAyADUALgAwAC8ANwA1AC4AMAApAFwAIgA7AFwAbgAgACAAIAAgACAAIAAgACAAXAAiAFIALQA0ADEANgBBAFwAIgAsACAAXAAiAEgARgBDAC0AMQAzADQAYQAvAEgAQwBGAEMALQAxADIANAAvAEgAQwAtADYAMAAwAFwAIgAsACAAXAAiACgANQA5AC4AMAAvADMAOQAuADUALwAxAC4ANQApAFwAIgA7AFwAbgAgACAAIAAgACAAIAAgACAAXAAiAFIALQA0ADEANwBBAFwAIgAsACAAXAAiAEgARgBDAC0AMQAyADUALwBIAEYAQwAtADEAMwA0AGEALwBIAEMALQA2ADAAMABcACIALAAgAFwAIgAoADQANgAuADYALwA1ADAALgAwAC8AMwAuADQAKQBcACIAOwBcAG4AIAAgACAAIAAgACAAIAAgAFwAIgBSAC0ANAAxADgAQQBcACIALAAgAFwAIgBIAEMALQAyADkAMAAvAEgAQwBGAEMALQAyADIALwBIAEYAQwAtADEANQAyAGEAXAAiACwAIABcACIAKAAxAC4ANQAvADkANgAuADAALwAyAC4ANQApAFwAIgA7AFwAbgAgACAAIAAgACAAIAAgACAAXAAiAFIALQA0ADEAOQBBAFwAIgAsACAAXAAiAEgARgBDAC0AMQAyADUALwBIAEYAQwAtADEAMwA0AGEALwBIAEUALQBFADEANwAwAFwAIgAsACAAXAAiACgANwA3AC4AMAAvADEAOQAuADAALwA0AC4AMAApAFwAIgA7AFwAbgAgACAAIAAgACAAIAAgACAAXAAiAFIALQA0ADIAMABBAFwAIgAsACAAXAAiAEgARgBDAC0AMQAzADQAYQAvAEgAQwBGAEMALQAxADQAMgBiAFwAIgAsACAAXAAiACgAOAA4AC4AMAAvADEAMgAuADAAKQBcACIAOwBcAG4AIAAgACAAIAAgACAAIAAgAFwAIgBSAC0ANAAyADEAQQBcACIALAAgAFwAIgBIAEYAQwAtADEAMgA1AC8ASABGAEMALQAxADMANABhAFwAIgAsACAAXAAiACgANQA4AC4AMAAvADQAMgAuADAAKQBcACIAOwBcAG4AIAAgACAAIAAgACAAIAAgAFwAIgBSAC0ANAAyADIAQQBcACIALAAgAFwAIgBIAEYAQwAtADEAMgA1AC8ASABGAEMALQAxADMANABhAC8ASABDAC0ANgAwADAAYQBcACIALAAgAFwAIgAoADgANQAuADEALwAxADEALgA1AC8AMwAuADQAKQBcACIAOwBcAG4AIAAgACAAIAAgACAAIAAgAFwAIgBSAC0ANAAyADIAQgBcACIALAAgAFwAIgBIAEYAQwAtADEAMgA1AC8ASABGAEMALQAxADMANABhAC8ASABDAC0ANgAwADAAYQBcACIALAAgAFwAIgAoADUANQAuADAALwA0ADIALgAwAC8AMwAuADAAKQBcACIAOwBcAG4AIAAgACAAIAAgACAAIAAgAFwAIgBSAC0ANAAyADIAQwBcACIALAAgAFwAIgBIAEYAQwAtADEAMgA1AC8ASABGAEMALQAxADMANABhAC8ASABDAC0ANgAwADAAYQBcACIALAAgAFwAIgAoADgAMgAuADAALwAxADUALgAwAC8AMwAuADAAKQBcACIAOwBcAG4AIAAgACAAIAAgACAAIAAgAFwAIgBSAC0ANQAwADAAXAAiACwAIABcACIAQwBGAEMALQAxADIALwBIAEYAQwAtADEANQAyAGEAXAAiACwAIABcACIAKAA3ADMALgA4AC8AMgA2AC4AMgApAFwAIgA7AFwAbgAgACAAIAAgACAAIAAgACAAXAAiAFIALQA1ADAAMQBcACIALAAgAFwAIgBIAEMARgBDAC0AMgAyAC8AQwBGAEMALQAxADIAXAAiACwAIABcACIAKAA3ADUALgAwAC8AMgA1AC4AMAApAFwAIgA7AFwAbgAgACAAIAAgACAAIAAgACAAXAAiAFIALQA1ADAAMgBcACIALAAgAFwAIgBIAEMARgBDAC0AMgAyAC8AQwBGAEMALQAxADEANQBcACIALAAgAFwAIgAoADQAOAAuADgALwA1ADEALgAyACkAXAAiADsAXABuACAAIAAgACAAIAAgACAAIABcACIAUgAtADUAMAAzAFwAIgAsACAAXAAiAEgARgBDAC0AMgAzAC8AQwBGAEMALQAxADMAXAAiACwAIABcACIAKAA0ADAALgAxAC8ANQA5AC4AOQApAFwAIgA7AFwAbgAgACAAIAAgACAAIAAgACAAXAAiAFIALQA1ADAANABcACIALAAgAFwAIgBIAEYAQwAtADMAMgAvAEMARgBDAC0AMQAxADUAXAAiACwAIABcACIAKAA0ADgALgAyAC8ANQAxAC4AOAApAFwAIgA7AFwAbgAgACAAIAAgACAAIAAgACAAXAAiAFIALQA1ADAANQBcACIALAAgAFwAIgBDAEYAQwAtADEAMgAvAEgAQwBGAEMALQAzADEAXAAiACwAIABcACIAKAA3ADgALgAwAC8AMgAyAC4AMAApAFwAIgA7AFwAbgAgACAAIAAgACAAIAAgACAAXAAiAFIALQA1ADAANgBcACIALAAgAFwAIgBDAEYAQwAtADMAMQAvAEMARgBDAC0AMQAxADQAXAAiACwAIABcACIAKAA1ADUALgAxAC8ANAA0AC4AOQApAFwAIgA7AFwAbgAgACAAIAAgACAAIAAgACAAXAAiAFIALQA1ADAANwBBAFwAIgAsACAAXAAiAEgARgBDAC0AMQAyADUALwBIAEYAQwAtADEANAAzAGEAXAAiACwAIABcACIAKAA1ADAALgAwAC8ANQAwAC4AMAApAFwAIgA7AFwAbgAgACAAIAAgACAAIAAgACAAXAAiAFIALQA1ADAAOABBAFwAIgAsACAAXAAiAEgARgBDAC0AMgAzAC8AUABGAEMALQAxADEANgBcACIALAAgAFwAIgAoADMAOQAuADAALwA2ADEALgAwACkAXAAiADsAXABuACAAIAAgACAAIAAgACAAIABcACIAUgAtADUAMAA4AEIAXAAiACwAIABcACIASABGAEMALQAyADMALwBQAEYAQwAtADEAMQA2AFwAIgAsACAAXAAiACgANAA2AC4AMAAvADUANAAuADAAKQBcACIAOwBcAG4AIAAgACAAIAAgACAAIAAgAFwAIgBSAC0ANQAwADkAQQBcACIALAAgAFwAIgBIAEMARgBDAC0AMgAyAC8AUABGAEMALQAyADEAOABcACIALAAgAFwAIgAoADQANAAuADAALwA1ADYALgAwACkAXAAiAFwAbgAgACAAIAAgACAAIAB9ACwAIAByACwAIABjACkAXABuACkAKQApADsAXABuAFwAbgBSAGUAZgByAGkAZwBlAHIAYQBuAHQAcwBfAEMAaABlAG0AaQBjAGEAbABCAGwAZQBuAGQAcwBfAFYAYQByAGkAYQB0AGkAbwBuAFwAbgA9AEwAQQBNAEIARABBACgAKABcACIAVgBBAFIASQBBAFQASQBPAE4AIABPAEYAIABTAE8AVQBSAEMARQAgAEQAQQBUAEEAOgAgAEYAaQB4AGUAZAAgAHQAeQBwAG8AIAAtACAAYwBoAGEAbgBnAGUAZAAgAEgAQwA2ADAAMABhACAAdABvACAASABDAC0ANgAwADAAYQAgAGYAbwByACAAYgBsAGUAbgBkACAAUgAtADQAMQA0AEIALgAgAEYAaQB4AGUAZAAgAHQAeQBwAG8AIABmAG8AcgAgAGIAbABlAG4AZAAgAFIALQA0ADAANQBBACAALQAgAEMAaABhAG4AZwBlAGQAIABIAEMARgBDADEANAAyAGIAIAB0AG8AIABIAEMARgBDAC0AMQA0ADIAYgAuAFwAIgApACkAOwBcAG4AXABuAFwAbgAvACoAXABuAD0APQA9AD0APQA9AD0APQA9AD0APQA9AD0APQA9AD0APQA9AD0APQA9AD0APQA9AD0APQA9AD0APQA9AD0APQA9AD0APQA9AD0APQA9AD0APQA9AD0APQA9AD0APQA9AD0APQA9AD0APQA9AD0APQA9AD0APQA9AD0APQA9AD0APQA9AD0APQA9AD0APQA9AD0APQA9AD0AXABuAEwAZQBhAGsAYQBnAGUAIAByAGEAdABlAHMAIABmAG8AcgAgAGMAbwBtAG0AbwBuACAAcgBlAGYAcgBpAGcAZQByAGEAdABpAG8AbgAgAGEAbgBkACAAYQBpAHIAXABuAD0APQA9AD0APQA9AD0APQA9AD0APQA9AD0APQA9AD0APQA9AD0APQA9AD0APQA9AD0APQA9AD0APQA9AD0APQA9AD0APQA9AD0APQA9AD0APQA9AD0APQA9AD0APQA9AD0APQA9AD0APQA9AD0APQA9AD0APQA9AD0APQA9AD0APQA9AD0APQA9AD0APQA9AD0APQA9AD0AXABuACoALwBcAG4AXABuAFIAZQBmAHIAaQBnAGUAcgBhAG4AdABzAF8ATABlAGEAawBhAGcAZQBSAGEAdABlAHMAXwBUAGkAdABsAGUAXABuAD0ATABBAE0AQgBEAEEAKAAoAFwAIgBJAG4AZABpAGMAYQB0AGkAdgBlACAAbABlAGEAawBhAGcAZQAgAHIAYQB0AGUAcwAgAGYAbwByACAAYwBvAG0AbQBvAG4AIAByAGUAZgByAGkAZwBlAHIAYQB0AGkAbwBuACAAYQBuAGQAIABhAGkAcgAgAC0AIABjAG8AbgBkAGkAdABpAG8AbgBpAG4AZwAgAGUAcQB1AGkAcABtAGUAbgB0AFwAIgApACkAOwBcAG4AXABuAFIAZQBmAHIAaQBnAGUAcgBhAG4AdABzAF8ATABlAGEAawBhAGcAZQBSAGEAdABlAHMAXwBEAGUAcwBjAHIAaQBwAHQAaQBvAG4AXABuAD0ATABBAE0AQgBEAEEAKAAoAFwAIgBcACIAKQApADsAXABuAFwAbgBSAGUAZgByAGkAZwBlAHIAYQBuAHQAcwBfAEwAZQBhAGsAYQBnAGUAUgBhAHQAZQBzAF8AUwBvAHUAcgBjAGUAXABuAD0ATABBAE0AQgBEAEEAKAAoAFwAIgBBAHUAcwB0AHIAYQBsAGkAYQBuACAATgBhAHQAaQBvAG4AYQBsACAARwByAGUAZQBuAGgAbwB1AHMAZQAgAEEAYwBjAG8AdQBuAHQAcwAgAEYAYQBjAHQAbwByAHMAIAAyADAAMgA1ACAALQAgAFQAYQBiAGwAZQAgADEAMABcACIAKQApADsAXABuAFwAbgBSAGUAZgByAGkAZwBlAHIAYQBuAHQAcwBfAEwAZQBhAGsAYQBnAGUAUgBhAHQAZQBzAF8ARABhAHQAYQBcAG4APQBMAEEATQBCAEQAQQAoAFwAbgAgACAATQBBAEsARQBBAFIAUgBBAFkAKAA4ADEALAAgADIALABcAG4AIAAgACAAIABMAEEATQBCAEQAQQAoAHIALABjACwAXABuACAAIAAgACAAIAAgAEkATgBEAEUAWAAoAHsAXABuACAAIAAgACAAIAAgACAAIABcACIAUAByAG8AZAB1AGMAdABcACIALAAgAFwAIgBBAG4AbgB1AGEAbAAgAGwAZQBhAGsAYQBnAGUAIAByAGEAdABlACAAKAAlACkAXAAiADsAXABuACAAIAAgACAAIAAgACAAIABcACIARABvAG0AZQBzAHQAaQBjACAAcgBlAGYAcgBpAGcAZQByAGEAdABvAHIAcwBcACIALAAgADEALgA3ADsAXABuACAAIAAgACAAIAAgACAAIABcACIAVAByAGEAbgBzAHAAbwByAHQAIAByAGUAZgByAGkAZwBlAHIAYQB0AGkAbwBuAFwAIgAsACAAMQA1AC4ANwA7AFwAbgAgACAAIAAgACAAIAAgACAAXAAiAEQAbwBtAGUAcwB0AGkAYwAgAEEALwBDACAAcABvAHIAdABhAGIAbABlAFwAIgAsACAAMgAuADUAOwBcAG4AIAAgACAAIAAgACAAIAAgAFwAIgBEAG8AbQBlAHMAdABpAGMAIABBAC8AQwAgAHMAcABsAGkAdABcACIALAAgADMALgA1ADsAXABuACAAIAAgACAAIAAgACAAIABcACIARABvAG0AZQBzAHQAaQBjACAAQQAvAEMAIABwAGEAYwBrAGEAZwBlAGQAXAAiACwAIAAyAC4ANQA7AFwAbgAgACAAIAAgACAAIAAgACAAXAAiAEwAaQBnAGgAdAAgAHYAZQBoAGkAYwBsAGUAIABBAC8AQwBcACIALAAgADYALgA3ADsAXABuACAAIAAgACAAIAAgACAAIABcACIASABlAGEAdgB5ACAAdgBlAGgAaQBjAGwAZQAgAEEALwBDAFwAIgAsACAAMQAwAC4AOABcAG4AIAAgACAAIAAgACAAfQAsACAAcgAsACAAYwApAFwAbgApACkAKQA7AFwAbgBcAG4AUgBlAGYAcgBpAGcAZQByAGEAbgB0AHMAXwBMAGUAYQBrAGEAZwBlAFIAYQB0AGUAcwBfAFYAYQByAGkAYQB0AGkAbwBuAFwAbgA9AEwAQQBNAEIARABBACgAKABcACIAXAAiACkAKQA7AFwAbgBcAG4AIgB9ACwAewAiAHAAYQB0AGgAIgA6ACIALwBwAHIAbwBqAGUAYwB0AHMALwBSAGUAZgByAGkAZwBlAHIAYQBuAHQAcwBfAEkAbgBwAHUAdABGAHUAbgBjAHQAaQBvAG4AcwAiACwAIgB0AGUAeAB0ACIAOgAiAFIAZQBmAHIAaQBnAGUAcgBhAG4AdABzAF8AQwBhAGwAYwB1AGwAYQB0AGUAQgBsAGUAbgBkAEcAVwBQAFwAbgA9AEwAQQBNAEIARABBACgAXABuACAAIABDAG8AbgBzAHQAaQB0AHUAZQBuAHQARgBhAGMAdABpAG8AbgAxACwAIABDAG8AbgBzAHQAaQB0AHUAZQBuAHQARwBXAFAAMQAsACAAXABuACAAIABDAG8AbgBzAHQAaQB0AHUAZQBuAHQARgBhAGMAdABpAG8AbgAyACwAIABDAG8AbgBzAHQAaQB0AHUAZQBuAHQARwBXAFAAMgAsACAAXABuACAAIABDAG8AbgBzAHQAaQB0AHUAZQBuAHQARgBhAGMAdABpAG8AbgAzACwAIABDAG8AbgBzAHQAaQB0AHUAZQBuAHQARwBXAFAAMwAsACAAXABuACAAIABDAG8AbgBzAHQAaQB0AHUAZQBuAHQARgBhAGMAdABpAG8AbgA0ACwAIABDAG8AbgBzAHQAaQB0AHUAZQBuAHQARwBXAFAANAAsAFwAbgAgACAAKABDAG8AbgBzAHQAaQB0AHUAZQBuAHQARgBhAGMAdABpAG8AbgAxACAAKgAgAEMAbwBuAHMAdABpAHQAdQBlAG4AdABHAFcAUAAxACkAIAArAFwAbgAgACAAKABDAG8AbgBzAHQAaQB0AHUAZQBuAHQARgBhAGMAdABpAG8AbgAyACAAKgAgAEMAbwBuAHMAdABpAHQAdQBlAG4AdABHAFcAUAAyACkAIAArAFwAbgAgACAAKABDAG8AbgBzAHQAaQB0AHUAZQBuAHQARgBhAGMAdABpAG8AbgAzACAAKgAgAEMAbwBuAHMAdABpAHQAdQBlAG4AdABHAFcAUAAzACkAIAArAFwAbgAgACAAKABDAG8AbgBzAHQAaQB0AHUAZQBuAHQARgBhAGMAdABpAG8AbgA0ACAAKgAgAEMAbwBuAHMAdABpAHQAdQBlAG4AdABHAFcAUAA0ACkAXABuACkAOw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RgB1AGUAbABfAFMAbwB1AHIAYwBlAEQAYQB0AGEALgBGAHUAZQBsAF8AUwBjAG8AcABlADEARQBtAGkAcwBzAGkAbwBuAEYAYQBjAHQAbwByAHMAUwB0AGEAdABpAG8AbgBhAHIAeQBHAGEAcwBlAG8AdQBzAF8AVABpAHQAbABlACIALAAiAEYAdQBlAGwAXwBTAG8AdQByAGMAZQBEAGEAdABhAC4ARgB1AGUAbABfAFMAYwBvAHAAZQAxAEUAbQBpAHMAcwBpAG8AbgBGAGEAYwB0AG8AcgBzAFMAdABhAHQAaQBvAG4AYQByAHkARwBhAHMAZQBvAHUAcwBfAEQAZQBzAGMAcgBpAHAAdABpAG8AbgAiACwAIgBGAHUAZQBsAF8AUwBvAHUAcgBjAGUARABhAHQAYQAuAEYAdQBlAGwAXwBTAGMAbwBwAGUAMQBFAG0AaQBzAHMAaQBvAG4ARgBhAGMAdABvAHIAcwBTAHQAYQB0AGkAbwBuAGEAcgB5AEcAYQBzAGUAbwB1AHMAXwBTAG8AdQByAGMAZQAiACwAIgBGAHUAZQBsAF8AUwBvAHUAcgBjAGUARABhAHQAYQAuAEYAdQBlAGwAXwBTAGMAbwBwAGUAMQBFAG0AaQBzAHMAaQBvAG4ARgBhAGMAdABvAHIAcwBTAHQAYQB0AGkAbwBuAGEAcgB5AEcAYQBzAGUAbwB1AHMAXwBEAGEAdABhACIALAAiAEYAdQBlAGwAXwBTAG8AdQByAGMAZQBEAGEAdABhAC4ARgB1AGUAbABfAFMAYwBvAHAAZQAxAEUAbQBpAHMAcwBpAG8AbgBGAGEAYwB0AG8AcgBzAFMAdABhAHQAaQBvAG4AYQByAHkARwBhAHMAZQBvAHUAcwBfAFYAYQByAGkAYQB0AGkAbwBuACIALAAiAEYAdQBlAGwAXwBTAG8AdQByAGMAZQBEAGEAdABhAC4ARgB1AGUAbABfAFMAYwBvAHAAZQAzAEUAbQBpAHMAcwBpAG8AbgBGAGEAYwB0AG8AcgBzAFMAdABhAHQAaQBvAG4AYQByAHkARwBhAHMAZQBvAHUAcwBfAFQAaQB0AGwAZQAiACwAIgBGAHUAZQBsAF8AUwBvAHUAcgBjAGUARABhAHQAYQAuAEYAdQBlAGwAXwBTAGMAbwBwAGUAMwBFAG0AaQBzAHMAaQBvAG4ARgBhAGMAdABvAHIAcwBTAHQAYQB0AGkAbwBuAGEAcgB5AEcAYQBzAGUAbwB1AHMAXwBEAGUAcwBjAHIAaQBwAHQAaQBvAG4AIgAsACIARgB1AGUAbABfAFMAbwB1AHIAYwBlAEQAYQB0AGEALgBGAHUAZQBsAF8AUwBjAG8AcABlADMARQBtAGkAcwBzAGkAbwBuAEYAYQBjAHQAbwByAHMAUwB0AGEAdABpAG8AbgBhAHIAeQBHAGEAcwBlAG8AdQBzAF8AUwBvAHUAcgBjAGUAIgAsACIARgB1AGUAbABfAFMAbwB1AHIAYwBlAEQAYQB0AGEALgBGAHUAZQBsAF8AUwBjAG8AcABlADMARQBtAGkAcwBzAGkAbwBuAEYAYQBjAHQAbwByAHMAUwB0AGEAdABpAG8AbgBhAHIAeQBHAGEAcwBlAG8AdQBzAF8ARABhAHQAYQAiACwAIgBGAHUAZQBsAF8AUwBvAHUAcgBjAGUARABhAHQAYQAuAEYAdQBlAGwAXwBTAGMAbwBwAGUAMwBFAG0AaQBzAHMAaQBvAG4ARgBhAGMAdABvAHIAcwBTAHQAYQB0AGkAbwBuAGEAcgB5AEcAYQBzAGUAbwB1AHMAXwBWAGEAcgBpAGEAdABpAG8AbgAiACwAIgBGAHUAZQBsAF8AUwBvAHUAcgBjAGUARABhAHQAYQAuAEYAdQBlAGwAXwBTAGMAbwBwAGUAMwBFAG0AaQBzAHMAaQBvAG4ARgBhAGMAdABvAHIAcwBTAHQAYQB0AGkAbwBuAGEAcgB5AEcAYQBzAGUAbwB1AHMAXwBBAHAAcABlAG4AZABpAGMAZQBzACIALAAiAEYAdQBlAGwAXwBTAG8AdQByAGMAZQBEAGEAdABhAC4ARgB1AGUAbABfAFMAYwBvAHAAZQAxAFMAYwBvAHAAZQAzAEUAbQBpAHMAcwBpAG8AbgBGAGEAYwB0AG8AcgBzAFMAdABhAHQAaQBvAG4AYQByAHkATABpAHEAdQBpAGQAXwBUAGkAdABsAGUAIgAsACIARgB1AGUAbABfAFMAbwB1AHIAYwBlAEQAYQB0AGEALgBGAHUAZQBsAF8AUwBjAG8AcABlADEAUwBjAG8AcABlADMARQBtAGkAcwBzAGkAbwBuAEYAYQBjAHQAbwByAHMAUwB0AGEAdABpAG8AbgBhAHIAeQBMAGkAcQB1AGkAZABfAEQAZQBzAGMAcgBpAHAAdABpAG8AbgAiACwAIgBGAHUAZQBsAF8AUwBvAHUAcgBjAGUARABhAHQAYQAuAEYAdQBlAGwAXwBTAGMAbwBwAGUAMQBTAGMAbwBwAGUAMwBFAG0AaQBzAHMAaQBvAG4ARgBhAGMAdABvAHIAcwBTAHQAYQB0AGkAbwBuAGEAcgB5AEwAaQBxAHUAaQBkAF8AUwBvAHUAcgBjAGUAIgAsACIARgB1AGUAbABfAFMAbwB1AHIAYwBlAEQAYQB0AGEALgBGAHUAZQBsAF8AUwBjAG8AcABlADEAUwBjAG8AcABlADMARQBtAGkAcwBzAGkAbwBuAEYAYQBjAHQAbwByAHMAUwB0AGEAdABpAG8AbgBhAHIAeQBMAGkAcQB1AGkAZABfAEQAYQB0AGEAIgAsACIARgB1AGUAbABfAFMAbwB1AHIAYwBlAEQAYQB0AGEALgBGAHUAZQBsAF8AUwBjAG8AcABlADEAUwBjAG8AcABlADMARQBtAGkAcwBzAGkAbwBuAEYAYQBjAHQAbwByAHMAUwB0AGEAdABpAG8AbgBhAHIAeQBMAGkAcQB1AGkAZABfAFYAYQByAGkAYQB0AGkAbwBuACIALAAiAEYAdQBlAGwAXwBTAG8AdQByAGMAZQBEAGEAdABhAC4ARgB1AGUAbABfAFMAYwBvAHAAZQAxAFMAYwBvAHAAZQAzAEUAbQBpAHMAcwBpAG8AbgBGAGEAYwB0AG8AcgBzAFQAcgBhAG4AcwBwAG8AcgB0AF8AVABpAHQAbABlACIALAAiAEYAdQBlAGwAXwBTAG8AdQByAGMAZQBEAGEAdABhAC4ARgB1AGUAbABfAFMAYwBvAHAAZQAxAFMAYwBvAHAAZQAzAEUAbQBpAHMAcwBpAG8AbgBGAGEAYwB0AG8AcgBzAFQAcgBhAG4AcwBwAG8AcgB0AF8ARABlAHMAYwByAGkAcAB0AGkAbwBuACIALAAiAEYAdQBlAGwAXwBTAG8AdQByAGMAZQBEAGEAdABhAC4ARgB1AGUAbABfAFMAYwBvAHAAZQAxAFMAYwBvAHAAZQAzAEUAbQBpAHMAcwBpAG8AbgBGAGEAYwB0AG8AcgBzAFQAcgBhAG4AcwBwAG8AcgB0AF8AUwBvAHUAcgBjAGUAIgAsACIARgB1AGUAbABfAFMAbwB1AHIAYwBlAEQAYQB0AGEALgBGAHUAZQBsAF8AUwBjAG8AcABlADEAUwBjAG8AcABlADMARQBtAGkAcwBzAGkAbwBuAEYAYQBjAHQAbwByAHMAVAByAGEAbgBzAHAAbwByAHQAXwBEAGEAdABhACIALAAiAEYAdQBlAGwAXwBTAG8AdQByAGMAZQBEAGEAdABhAC4ARgB1AGUAbABfAFMAYwBvAHAAZQAxAFMAYwBvAHAAZQAzAEUAbQBpAHMAcwBpAG8AbgBGAGEAYwB0AG8AcgBzAFQAcgBhAG4AcwBwAG8AcgB0AF8AVgBhAHIAaQBhAHQAaQBvAG4AIgAsACIARgB1AGUAbABfAFMAbwB1AHIAYwBlAEQAYQB0AGEALgBGAHUAZQBsAF8AUwBjAG8AcABlADEAUwBjAG8AcABlADMARQBtAGkAcwBzAGkAbwBuAEYAYQBjAHQAbwByAHMAVAByAGEAbgBzAHAAbwByAHQATwBmAGYAUgBvAGEAZABfAFQAaQB0AGwAZQAiACwAIgBGAHUAZQBsAF8AUwBvAHUAcgBjAGUARABhAHQAYQAuAEYAdQBlAGwAXwBTAGMAbwBwAGUAMQBTAGMAbwBwAGUAMwBFAG0AaQBzAHMAaQBvAG4ARgBhAGMAdABvAHIAcwBUAHIAYQBuAHMAcABvAHIAdABPAGYAZgBSAG8AYQBkAF8ARABlAHMAYwByAGkAcAB0AGkAbwBuACIALAAiAEYAdQBlAGwAXwBTAG8AdQByAGMAZQBEAGEAdABhAC4ARgB1AGUAbABfAFMAYwBvAHAAZQAxAFMAYwBvAHAAZQAzAEUAbQBpAHMAcwBpAG8AbgBGAGEAYwB0AG8AcgBzAFQAcgBhAG4AcwBwAG8AcgB0AE8AZgBmAFIAbwBhAGQAXwBTAG8AdQByAGMAZQAiACwAIgBGAHUAZQBsAF8AUwBvAHUAcgBjAGUARABhAHQAYQAuAEYAdQBlAGwAXwBTAGMAbwBwAGUAMQBTAGMAbwBwAGUAMwBFAG0AaQBzAHMAaQBvAG4ARgBhAGMAdABvAHIAcwBUAHIAYQBuAHMAcABvAHIAdABPAGYAZgBSAG8AYQBkAF8ARABhAHQAYQAiACwAIgBGAHUAZQBsAF8ASQBuAHAAdQB0AEYAdQBuAGMAdABpAG8AbgBzAC4ARgB1AGUAbABfAEcAZQB0AFQAcgBhAG4AcwBwAG8AcgB0AEYAdQBlAGwAUwB0AHIAaQBuAGcAIgAsACIARgB1AGUAbABfAEkAbgBwAHUAdABGAHUAbgBjAHQAaQBvAG4AcwAuAEYAdQBlAGwAXwBHAGUAdABTAHQAYQB0AGkAbwBuAGEAcgB5AEYAdQBlAGwAUwB0AHIAaQBuAGcAIgAsACIARgB1AGUAbABfAEkAbgBwAHUAdABGAHUAbgBjAHQAaQBvAG4AcwAuAEYAdQBlAGwAXwBUAG8AdABhAGwAQwBvAG4AcwB1AG0AcAB0AGkAbwBuACIALAAiAEYAdQBlAGwAXwBFAHEAdQBhAHQAaQBvAG4AcwAuAFYARQBFAFIARwBfADgAXwBGAHUAZQBsAEMAbwBtAGIAdQBzAHQAaQBvAG4AIgAsACIARgB1AGUAbABfAEUAcQB1AGEAdABpAG8AbgBzAC4AVgBFAEUAUgBHAF8AOABfADEAXwAxAF8AMQBfAF8AMQBfAEYAdQBlAGwAQwBvAG0AYgB1AHMAdABpAG8AbgBUAHIAYQBuAHMAcABvAHIAdAAiACwAIgBGAHUAZQBsAF8ARQBxAHUAYQB0AGkAbwBuAHMALgBWAEUARQBSAEcAXwA4AF8AMQBfADEAXwAxAF8AXwAxAF8ARgB1AGUAbABDAG8AbQBiAHUAcwB0AGkAbwBuAFQAcgBhAG4AcwBwAG8AcgB0AF8AVABpAHQAbABlACIALAAiAEYAdQBlAGwAXwBFAHEAdQBhAHQAaQBvAG4AcwAuAFYARQBFAFIARwBfADgAXwAxAF8AMQBfADEAXwBfADEAXwBGAHUAZQBsAEMAbwBtAGIAdQBzAHQAaQBvAG4AVAByAGEAbgBzAHAAbwByAHQAXwBWAGEAcgBpAGEAYgBsAGUAIgAsACIARgB1AGUAbABfAEUAcQB1AGEAdABpAG8AbgBzAC4AVgBFAEUAUgBHAF8AOABfADEAXwAxAF8AMQBfAF8AMQBfAEYAdQBlAGwAQwBvAG0AYgB1AHMAdABpAG8AbgBUAHIAYQBuAHMAcABvAHIAdABfAFUAbgBpAHQAIgAsACIARgB1AGUAbABfAEUAcQB1AGEAdABpAG8AbgBzAC4AVgBFAEUAUgBHAF8AOABfADEAXwAxAF8AMQBfAF8AMQBfAEYAdQBlAGwAQwBvAG0AYgB1AHMAdABpAG8AbgBUAHIAYQBuAHMAcABvAHIAdABfAFMAbwB1AHIAYwBlACIALAAiAEYAdQBlAGwAXwBFAHEAdQBhAHQAaQBvAG4AcwAuAFYARQBFAFIARwBfADgAXwAxAF8AMQBfADEAXwBfADEAXwBGAHUAZQBsAEMAbwBtAGIAdQBzAHQAaQBvAG4AVAByAGEAbgBzAHAAbwByAHQAXwBOAEkAUgBSAGUAZgBlAHIAZQBuAGMAZQAiACwAIgBGAHUAZQBsAF8ARQBxAHUAYQB0AGkAbwBuAHMALgBWAEUARQBSAEcAXwA4AF8AMQBfADEAXwAxAF8AXwAxAF8ARgB1AGUAbABDAG8AbQBiAHUAcwB0AGkAbwBuAFQAcgBhAG4AcwBwAG8AcgB0AF8ATABhAHQAZQB4AEUAcQB1AGEAdABpAG8AbgAiACwAIgBGAHUAZQBsAF8ARQBxAHUAYQB0AGkAbwBuAHMALgBWAEUARQBSAEcAXwA4AF8AMQBfADEAXwAxAF8AXwAxAF8ARgB1AGUAbABDAG8AbQBiAHUAcwB0AGkAbwBuAFQAcgBhAG4AcwBwAG8AcgB0AF8AQQByAGcAdQBtAGUAbgB0AHMAIgAsACIARgB1AGUAbABfAEUAcQB1AGEAdABpAG8AbgBzAC4AVgBFAEUAUgBHAF8AOABfADIAXwAxAF8AMQBfAF8AMQBfAEYAdQBlAGwAQwBvAG0AYgB1AHMAdABpAG8AbgBTAHQAYQB0AGkAbwBuAGEAcgB5ACIALAAiAEYAdQBlAGwAXwBFAHEAdQBhAHQAaQBvAG4AcwAuAFYARQBFAFIARwBfADgAXwAyAF8AMQBfADEAXwBfADEAXwBGAHUAZQBsAEMAbwBtAGIAdQBzAHQAaQBvAG4AUwB0AGEAdABpAG8AbgBhAHIAeQBfAFQAaQB0AGwAZQAiACwAIgBGAHUAZQBsAF8ARQBxAHUAYQB0AGkAbwBuAHMALgBWAEUARQBSAEcAXwA4AF8AMgBfADEAXwAxAF8AXwAxAF8ARgB1AGUAbABDAG8AbQBiAHUAcwB0AGkAbwBuAFMAdABhAHQAaQBvAG4AYQByAHkAXwBWAGEAcgBpAGEAYgBsAGUAIgAsACIARgB1AGUAbABfAEUAcQB1AGEAdABpAG8AbgBzAC4AVgBFAEUAUgBHAF8AOABfADIAXwAxAF8AMQBfAF8AMQBfAEYAdQBlAGwAQwBvAG0AYgB1AHMAdABpAG8AbgBTAHQAYQB0AGkAbwBuAGEAcgB5AF8AVQBuAGkAdAAiACwAIgBGAHUAZQBsAF8ARQBxAHUAYQB0AGkAbwBuAHMALgBWAEUARQBSAEcAXwA4AF8AMgBfADEAXwAxAF8AXwAxAF8ARgB1AGUAbABDAG8AbQBiAHUAcwB0AGkAbwBuAFMAdABhAHQAaQBvAG4AYQByAHkAXwBTAG8AdQByAGMAZQAiACwAIgBGAHUAZQBsAF8ARQBxAHUAYQB0AGkAbwBuAHMALgBWAEUARQBSAEcAXwA4AF8AMgBfADEAXwAxAF8AXwAxAF8ARgB1AGUAbABDAG8AbQBiAHUAcwB0AGkAbwBuAFMAdABhAHQAaQBvAG4AYQByAHkAXwBOAEkAUgBSAGUAZgBlAHIAZQBuAGMAZQAiACwAIgBGAHUAZQBsAF8ARQBxAHUAYQB0AGkAbwBuAHMALgBWAEUARQBSAEcAXwA4AF8AMgBfADEAXwAxAF8AXwAxAF8ARgB1AGUAbABDAG8AbQBiAHUAcwB0AGkAbwBuAFMAdABhAHQAaQBvAG4AYQByAHkAXwBMAGEAdABlAHgARQBxAHUAYQB0AGkAbwBuACIALAAiAEYAdQBlAGwAXwBFAHEAdQBhAHQAaQBvAG4AcwAuAFYARQBFAFIARwBfADgAXwAyAF8AMQBfADEAXwBfADEAXwBGAHUAZQBsAEMAbwBtAGIAdQBzAHQAaQBvAG4AUwB0AGEAdABpAG8AbgBhAHIAeQBfAEEAcgBnAHUAbQBlAG4AdABzACIALAAiAEYAdQBlAGwAXwBFAHEAdQBhAHQAaQBvAG4AcwAuAFYARQBFAFIARwBfADgAXwBYAF8ARgB1AGUAbABDAG8AbQBiAHUAcwB0AGkAbwBuAEcAZQBuAGUAcgBpAGMAIgAsACIARgB1AGUAbABfAEUAcQB1AGEAdABpAG8AbgBzAC4AVgBFAEUAUgBHAF8AOABfAFgAXwBGAHUAZQBsAEMAbwBtAGIAdQBzAHQAaQBvAG4ARwBlAG4AZQByAGkAYwBfAFQAaQB0AGwAZQAiACwAIgBGAHUAZQBsAF8ARQBxAHUAYQB0AGkAbwBuAHMALgBWAEUARQBSAEcAXwA4AF8AWABfAEYAdQBlAGwAQwBvAG0AYgB1AHMAdABpAG8AbgBHAGUAbgBlAHIAaQBjAF8AVgBhAHIAaQBhAGIAbABlACIALAAiAEYAdQBlAGwAXwBFAHEAdQBhAHQAaQBvAG4AcwAuAFYARQBFAFIARwBfADgAXwBYAF8ARgB1AGUAbABDAG8AbQBiAHUAcwB0AGkAbwBuAEcAZQBuAGUAcgBpAGMAXwBVAG4AaQB0ACIALAAiAEYAdQBlAGwAXwBFAHEAdQBhAHQAaQBvAG4AcwAuAFYARQBFAFIARwBfADgAXwBYAF8ARgB1AGUAbABDAG8AbQBiAHUAcwB0AGkAbwBuAEcAZQBuAGUAcgBpAGMAXwBTAG8AdQByAGMAZQAiACwAIgBGAHUAZQBsAF8ARQBxAHUAYQB0AGkAbwBuAHMALgBWAEUARQBSAEcAXwA4AF8AWABfAEYAdQBlAGwAQwBvAG0AYgB1AHMAdABpAG8AbgBHAGUAbgBlAHIAaQBjAF8ATgBJAFIAUgBlAGYAZQByAGUAbgBjAGUAIgAsACIARgB1AGUAbABfAEUAcQB1AGEAdABpAG8AbgBzAC4AVgBFAEUAUgBHAF8AOABfAFgAXwBGAHUAZQBsAEMAbwBtAGIAdQBzAHQAaQBvAG4ARwBlAG4AZQByAGkAYwBfAEwAYQB0AGUAeABFAHEAdQBhAHQAaQBvAG4AIgAsACIARgB1AGUAbABfAEUAcQB1AGEAdABpAG8AbgBzAC4AVgBFAEUAUgBHAF8AOABfAFgAXwBGAHUAZQBsAEMAbwBtAGIAdQBzAHQAaQBvAG4ARwBlAG4AZQByAGkAYwBfAEEAcgBnAHUAbQBlAG4AdABzACIALAAiAEYAdQBlAGwAXwBFAHEAdQBhAHQAaQBvAG4AcwAuAFYARQBFAFIARwBfADgAXwBYAF8ARgB1AGUAbABDAG8AbQBiAHUAcwB0AGkAbwBuAEcAZQBuAGUAcgBpAGMAXwBWAGEAcgBpAGEAdABpAG8AbgAiACwAIgBSAGUAZgByAGkAZwBlAHIAYQBuAHQAcwBfAEUAcQB1AGEAdABpAG8AbgBzAC4AVgBFAEUAUgBHAF8AOQBfADEAXwAxAF8AXwAxAF8AUgBlAGYAcgBpAGcAZQByAGEAbgB0AEwAZQBhAGsAaQBuAGcAIgAsACIAUgBlAGYAcgBpAGcAZQByAGEAbgB0AHMAXwBFAHEAdQBhAHQAaQBvAG4AcwAuAFYARQBFAFIARwBfADkAXwAxAF8AMQBfAF8AMQBfAFIAZQBmAHIAaQBnAGUAcgBhAG4AdABMAGUAYQBrAGkAbgBnAEcAVwBQACIALAAiAFIAZQBmAHIAaQBnAGUAcgBhAG4AdABzAF8ARQBxAHUAYQB0AGkAbwBuAHMALgBWAEUARQBSAEcAXwA5AF8AMQBfADEAXwBfADEAXwBSAGUAZgByAGkAZwBlAHIAYQBuAHQATABlAGEAawBpAG4AZwBfAFQAaQB0AGwAZQAiACwAIgBSAGUAZgByAGkAZwBlAHIAYQBuAHQAcwBfAEUAcQB1AGEAdABpAG8AbgBzAC4AVgBFAEUAUgBHAF8AOQBfADEAXwAxAF8AXwAxAF8AUgBlAGYAcgBpAGcAZQByAGEAbgB0AEwAZQBhAGsAaQBuAGcARwBXAFAAXwBUAGkAdABsAGUAIgAsACIAUgBlAGYAcgBpAGcAZQByAGEAbgB0AHMAXwBFAHEAdQBhAHQAaQBvAG4AcwAuAFYARQBFAFIARwBfADkAXwAxAF8AMQBfAF8AMQBfAFIAZQBmAHIAaQBnAGUAcgBhAG4AdABMAGUAYQBrAGkAbgBnAF8AVgBhAHIAaQBhAGIAbABlACIALAAiAFIAZQBmAHIAaQBnAGUAcgBhAG4AdABzAF8ARQBxAHUAYQB0AGkAbwBuAHMALgBWAEUARQBSAEcAXwA5AF8AMQBfADEAXwBfADEAXwBSAGUAZgByAGkAZwBlAHIAYQBuAHQATABlAGEAawBpAG4AZwBHAFcAUABfAFYAYQByAGkAYQBiAGwAZQAiACwAIgBSAGUAZgByAGkAZwBlAHIAYQBuAHQAcwBfAEUAcQB1AGEAdABpAG8AbgBzAC4AVgBFAEUAUgBHAF8AOQBfADEAXwAxAF8AXwAxAF8AUgBlAGYAcgBpAGcAZQByAGEAbgB0AEwAZQBhAGsAaQBuAGcAXwBVAG4AaQB0ACIALAAiAFIAZQBmAHIAaQBnAGUAcgBhAG4AdABzAF8ARQBxAHUAYQB0AGkAbwBuAHMALgBWAEUARQBSAEcAXwA5AF8AMQBfADEAXwBfADEAXwBSAGUAZgByAGkAZwBlAHIAYQBuAHQATABlAGEAawBpAG4AZwBHAFcAUABfAFUAbgBpAHQAIgAsACIAUgBlAGYAcgBpAGcAZQByAGEAbgB0AHMAXwBFAHEAdQBhAHQAaQBvAG4AcwAuAFYARQBFAFIARwBfADkAXwAxAF8AMQBfAF8AMQBfAFIAZQBmAHIAaQBnAGUAcgBhAG4AdABMAGUAYQBrAGkAbgBnAF8AUwBvAHUAcgBjAGUAIgAsACIAUgBlAGYAcgBpAGcAZQByAGEAbgB0AHMAXwBFAHEAdQBhAHQAaQBvAG4AcwAuAFYARQBFAFIARwBfADkAXwAxAF8AMQBfAF8AMQBfAFIAZQBmAHIAaQBnAGUAcgBhAG4AdABMAGUAYQBrAGkAbgBnAEcAVwBQAF8AUwBvAHUAcgBjAGUAIgAsACIAUgBlAGYAcgBpAGcAZQByAGEAbgB0AHMAXwBFAHEAdQBhAHQAaQBvAG4AcwAuAFYARQBFAFIARwBfADkAXwAxAF8AMQBfAF8AMQBfAFIAZQBmAHIAaQBnAGUAcgBhAG4AdABMAGUAYQBrAGkAbgBnAF8AUgBlAGEAZABhAGIAbABlAEUAcQB1AGEAdABpAG8AbgAiACwAIgBSAGUAZgByAGkAZwBlAHIAYQBuAHQAcwBfAEUAcQB1AGEAdABpAG8AbgBzAC4AVgBFAEUAUgBHAF8AOQBfADEAXwAxAF8AXwAxAF8AUgBlAGYAcgBpAGcAZQByAGEAbgB0AEwAZQBhAGsAaQBuAGcAXwBMAGEAdABlAHgARQBxAHUAYQB0AGkAbwBuACIALAAiAFIAZQBmAHIAaQBnAGUAcgBhAG4AdABzAF8ARQBxAHUAYQB0AGkAbwBuAHMALgBWAEUARQBSAEcAXwA5AF8AMQBfADEAXwBfADEAXwBSAGUAZgByAGkAZwBlAHIAYQBuAHQATABlAGEAawBpAG4AZwBHAFcAUABfAEwAYQB0AGUAeABFAHEAdQBhAHQAaQBvAG4AIgAsACIAUgBlAGYAcgBpAGcAZQByAGEAbgB0AHMAXwBFAHEAdQBhAHQAaQBvAG4AcwAuAFYARQBFAFIARwBfADkAXwAxAF8AMQBfAF8AMQBfAFIAZQBmAHIAaQBnAGUAcgBhAG4AdABMAGUAYQBrAGkAbgBnAF8AQQByAGcAdQBtAGUAbgB0AHMAIgAsACIAUgBlAGYAcgBpAGcAZQByAGEAbgB0AHMAXwBFAHEAdQBhAHQAaQBvAG4AcwAuAFYARQBFAFIARwBfADkAXwAxAF8AMQBfAF8AMQBfAFIAZQBmAHIAaQBnAGUAcgBhAG4AdABMAGUAYQBrAGkAbgBnAEcAVwBQAF8AQQByAGcAdQBtAGUAbgB0AHMAIgAsACIAUgBlAGYAcgBpAGcAZQByAGEAbgB0AHMAXwBFAHEAdQBhAHQAaQBvAG4AcwAuAFYARQBFAFIARwBfADkAXwAxAF8AMQBfAF8AMQBfAFIAZQBmAHIAaQBnAGUAcgBhAG4AdABMAGUAYQBrAGkAbgBnAF8AVgBhAHIAaQBhAHQAaQBvAG4AIgAsACIAUgBlAGYAcgBpAGcAZQByAGEAbgB0AHMAXwBTAG8AdQByAGMAZQBEAGEAdABhAC4AUgBlAGYAcgBpAGcAZQByAGEAbgB0AHMAXwBDAGgAZQBtAGkAYwBhAGwARwBXAFAAXwBUAGkAdABsAGUAIgAsACIAUgBlAGYAcgBpAGcAZQByAGEAbgB0AHMAXwBTAG8AdQByAGMAZQBEAGEAdABhAC4AUgBlAGYAcgBpAGcAZQByAGEAbgB0AHMAXwBDAGgAZQBtAGkAYwBhAGwARwBXAFAAXwBEAGUAcwBjAHIAaQBwAHQAaQBvAG4AIgAsACIAUgBlAGYAcgBpAGcAZQByAGEAbgB0AHMAXwBTAG8AdQByAGMAZQBEAGEAdABhAC4AUgBlAGYAcgBpAGcAZQByAGEAbgB0AHMAXwBDAGgAZQBtAGkAYwBhAGwARwBXAFAAXwBTAG8AdQByAGMAZQAiACwAIgBSAGUAZgByAGkAZwBlAHIAYQBuAHQAcwBfAFMAbwB1AHIAYwBlAEQAYQB0AGEALgBSAGUAZgByAGkAZwBlAHIAYQBuAHQAcwBfAEMAaABlAG0AaQBjAGEAbABHAFcAUABfAEQAYQB0AGEAIgAsACIAUgBlAGYAcgBpAGcAZQByAGEAbgB0AHMAXwBTAG8AdQByAGMAZQBEAGEAdABhAC4AUgBlAGYAcgBpAGcAZQByAGEAbgB0AHMAXwBDAGgAZQBtAGkAYwBhAGwARwBXAFAAXwBWAGEAcgBpAGEAdABpAG8AbgAiACwAIgBSAGUAZgByAGkAZwBlAHIAYQBuAHQAcwBfAFMAbwB1AHIAYwBlAEQAYQB0AGEALgBSAGUAZgByAGkAZwBlAHIAYQBuAHQAcwBfAEMAaABlAG0AaQBjAGEAbABCAGwAZQBuAGQAcwBfAFQAaQB0AGwAZQAiACwAIgBSAGUAZgByAGkAZwBlAHIAYQBuAHQAcwBfAFMAbwB1AHIAYwBlAEQAYQB0AGEALgBSAGUAZgByAGkAZwBlAHIAYQBuAHQAcwBfAEMAaABlAG0AaQBjAGEAbABCAGwAZQBuAGQAcwBfAEQAZQBzAGMAcgBpAHAAdABpAG8AbgAiACwAIgBSAGUAZgByAGkAZwBlAHIAYQBuAHQAcwBfAFMAbwB1AHIAYwBlAEQAYQB0AGEALgBSAGUAZgByAGkAZwBlAHIAYQBuAHQAcwBfAEMAaABlAG0AaQBjAGEAbABCAGwAZQBuAGQAcwBfAFMAbwB1AHIAYwBlACIALAAiAFIAZQBmAHIAaQBnAGUAcgBhAG4AdABzAF8AUwBvAHUAcgBjAGUARABhAHQAYQAuAFIAZQBmAHIAaQBnAGUAcgBhAG4AdABzAF8AQwBoAGUAbQBpAGMAYQBsAEIAbABlAG4AZABzAF8ARABhAHQAYQAiACwAIgBSAGUAZgByAGkAZwBlAHIAYQBuAHQAcwBfAFMAbwB1AHIAYwBlAEQAYQB0AGEALgBSAGUAZgByAGkAZwBlAHIAYQBuAHQAcwBfAEMAaABlAG0AaQBjAGEAbABCAGwAZQBuAGQAcwBfAFYAYQByAGkAYQB0AGkAbwBuACIALAAiAFIAZQBmAHIAaQBnAGUAcgBhAG4AdABzAF8AUwBvAHUAcgBjAGUARABhAHQAYQAuAFIAZQBmAHIAaQBnAGUAcgBhAG4AdABzAF8ATABlAGEAawBhAGcAZQBSAGEAdABlAHMAXwBUAGkAdABsAGUAIgAsACIAUgBlAGYAcgBpAGcAZQByAGEAbgB0AHMAXwBTAG8AdQByAGMAZQBEAGEAdABhAC4AUgBlAGYAcgBpAGcAZQByAGEAbgB0AHMAXwBMAGUAYQBrAGEAZwBlAFIAYQB0AGUAcwBfAEQAZQBzAGMAcgBpAHAAdABpAG8AbgAiACwAIgBSAGUAZgByAGkAZwBlAHIAYQBuAHQAcwBfAFMAbwB1AHIAYwBlAEQAYQB0AGEALgBSAGUAZgByAGkAZwBlAHIAYQBuAHQAcwBfAEwAZQBhAGsAYQBnAGUAUgBhAHQAZQBzAF8AUwBvAHUAcgBjAGUAIgAsACIAUgBlAGYAcgBpAGcAZQByAGEAbgB0AHMAXwBTAG8AdQByAGMAZQBEAGEAdABhAC4AUgBlAGYAcgBpAGcAZQByAGEAbgB0AHMAXwBMAGUAYQBrAGEAZwBlAFIAYQB0AGUAcwBfAEQAYQB0AGEAIgAsACIAUgBlAGYAcgBpAGcAZQByAGEAbgB0AHMAXwBTAG8AdQByAGMAZQBEAGEAdABhAC4AUgBlAGYAcgBpAGcAZQByAGEAbgB0AHMAXwBMAGUAYQBrAGEAZwBlAFIAYQB0AGUAcwBfAFYAYQByAGkAYQB0AGkAbwBuACIALAAiAFIAZQBmAHIAaQBnAGUAcgBhAG4AdABzAF8ASQBuAHAAdQB0AEYAdQBuAGMAdABpAG8AbgBzAC4AUgBlAGYAcgBpAGcAZQByAGEAbgB0AHMAXwBDAGEAbABjAHUAbABhAHQAZQBCAGwAZQBuAGQARwBXAFA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23</vt:i4>
      </vt:variant>
    </vt:vector>
  </HeadingPairs>
  <TitlesOfParts>
    <vt:vector size="30" baseType="lpstr">
      <vt:lpstr>Home</vt:lpstr>
      <vt:lpstr>Overview</vt:lpstr>
      <vt:lpstr>Results</vt:lpstr>
      <vt:lpstr>Input - Refrigerants</vt:lpstr>
      <vt:lpstr>9.1.1.1-2 Refrigerant use</vt:lpstr>
      <vt:lpstr>Constants - Refrigerants</vt:lpstr>
      <vt:lpstr>Constants - Common</vt:lpstr>
      <vt:lpstr>Table_E_CO2e</vt:lpstr>
      <vt:lpstr>Table_E_R</vt:lpstr>
      <vt:lpstr>VEERG_9_1_1__1_RefrigerantLeaking_Result_Blend1_Name_Method1</vt:lpstr>
      <vt:lpstr>VEERG_9_1_1__1_RefrigerantLeaking_Result_Blend1_Value_Method1</vt:lpstr>
      <vt:lpstr>VEERG_9_1_1__1_RefrigerantLeaking_Result_Blend10_Name_Method1</vt:lpstr>
      <vt:lpstr>VEERG_9_1_1__1_RefrigerantLeaking_Result_Blend10_Value_Method1</vt:lpstr>
      <vt:lpstr>VEERG_9_1_1__1_RefrigerantLeaking_Result_Blend2_Name_Method1</vt:lpstr>
      <vt:lpstr>VEERG_9_1_1__1_RefrigerantLeaking_Result_Blend2_Value_Method1</vt:lpstr>
      <vt:lpstr>VEERG_9_1_1__1_RefrigerantLeaking_Result_Blend3_Name_Method1</vt:lpstr>
      <vt:lpstr>VEERG_9_1_1__1_RefrigerantLeaking_Result_Blend3_Value_Method1</vt:lpstr>
      <vt:lpstr>VEERG_9_1_1__1_RefrigerantLeaking_Result_Blend4_Name_Method1</vt:lpstr>
      <vt:lpstr>VEERG_9_1_1__1_RefrigerantLeaking_Result_Blend4_Value_Method1</vt:lpstr>
      <vt:lpstr>VEERG_9_1_1__1_RefrigerantLeaking_Result_Blend5_Name_Method1</vt:lpstr>
      <vt:lpstr>VEERG_9_1_1__1_RefrigerantLeaking_Result_Blend5_Value_Method1</vt:lpstr>
      <vt:lpstr>VEERG_9_1_1__1_RefrigerantLeaking_Result_Blend6_Name_Method1</vt:lpstr>
      <vt:lpstr>VEERG_9_1_1__1_RefrigerantLeaking_Result_Blend6_Value_Method1</vt:lpstr>
      <vt:lpstr>VEERG_9_1_1__1_RefrigerantLeaking_Result_Blend7_Name_Method1</vt:lpstr>
      <vt:lpstr>VEERG_9_1_1__1_RefrigerantLeaking_Result_Blend7_Value_Method1</vt:lpstr>
      <vt:lpstr>VEERG_9_1_1__1_RefrigerantLeaking_Result_Blend8_Name_Method1</vt:lpstr>
      <vt:lpstr>VEERG_9_1_1__1_RefrigerantLeaking_Result_Blend8_Value_Method1</vt:lpstr>
      <vt:lpstr>VEERG_9_1_1__1_RefrigerantLeaking_Result_Blend9_Name_Method1</vt:lpstr>
      <vt:lpstr>VEERG_9_1_1__1_RefrigerantLeaking_Result_Blend9_Value_Method1</vt:lpstr>
      <vt:lpstr>VEERG_9_1_1__1_RefrigerantLeakingGWP_Result_Method1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2026-07-08T08:54:26Z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