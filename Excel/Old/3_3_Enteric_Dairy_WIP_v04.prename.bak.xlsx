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B247A0B-09D9-45D8-9B90-21CD70C286A3}"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9"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9" i="69" l="1"/>
  <c r="I68" i="69"/>
  <c r="I67" i="69"/>
  <c r="F56" i="70"/>
  <c r="E56" i="70"/>
  <c r="F55" i="70"/>
  <c r="E55" i="70"/>
  <c r="I41" i="70"/>
  <c r="H41" i="70"/>
  <c r="G41" i="70"/>
  <c r="F41" i="70"/>
  <c r="E41" i="70"/>
  <c r="I40" i="70"/>
  <c r="H40" i="70"/>
  <c r="G40" i="70"/>
  <c r="F40" i="70"/>
  <c r="E40" i="70"/>
  <c r="I37" i="70"/>
  <c r="H37" i="70"/>
  <c r="G37" i="70"/>
  <c r="F37" i="70"/>
  <c r="E37" i="70"/>
  <c r="I36" i="70"/>
  <c r="H36" i="70"/>
  <c r="G36" i="70"/>
  <c r="F36" i="70"/>
  <c r="E36" i="70"/>
  <c r="G9" i="79"/>
  <c r="G8" i="79"/>
  <c r="E30" i="15"/>
  <c r="E33" i="15"/>
  <c r="E32" i="15"/>
  <c r="E31" i="15"/>
  <c r="P185" i="69"/>
  <c r="G185"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H54" i="109" s="1"/>
  <c r="E54" i="109" a="1"/>
  <c r="E54" i="109" s="1"/>
  <c r="D54" i="109" a="1"/>
  <c r="D54" i="109" s="1"/>
  <c r="G53" i="109" a="1"/>
  <c r="G53" i="109" s="1"/>
  <c r="F53" i="109" a="1"/>
  <c r="F53" i="109" s="1"/>
  <c r="H53" i="109" s="1"/>
  <c r="E53" i="109" a="1"/>
  <c r="E53" i="109" s="1"/>
  <c r="D53" i="109" a="1"/>
  <c r="D53" i="109" s="1"/>
  <c r="G52" i="109" a="1"/>
  <c r="G52" i="109" s="1"/>
  <c r="F52" i="109" a="1"/>
  <c r="F52" i="109" s="1"/>
  <c r="H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H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P37" i="69" a="1"/>
  <c r="P37" i="69" s="1"/>
  <c r="M37" i="69" a="1"/>
  <c r="M37" i="69" s="1"/>
  <c r="I64" i="69"/>
  <c r="I37" i="69"/>
  <c r="H51" i="109" l="1"/>
  <c r="H50" i="109"/>
  <c r="H48" i="109"/>
  <c r="D6" i="69" a="1"/>
  <c r="D6" i="69" s="1"/>
  <c r="D227" i="79" a="1"/>
  <c r="D227" i="79" s="1"/>
  <c r="R40" i="69" s="1"/>
  <c r="D226" i="79" a="1"/>
  <c r="D226" i="79" s="1"/>
  <c r="D225" i="79" a="1"/>
  <c r="D225" i="79" s="1"/>
  <c r="D224" i="79" a="1"/>
  <c r="D224" i="79" s="1"/>
  <c r="D223" i="79" a="1"/>
  <c r="D223" i="79" s="1"/>
  <c r="D221" i="79" a="1"/>
  <c r="D221" i="79" s="1"/>
  <c r="R39" i="69" s="1"/>
  <c r="D220" i="79" a="1"/>
  <c r="D220" i="79" s="1"/>
  <c r="D219" i="79" a="1"/>
  <c r="D219" i="79" s="1"/>
  <c r="D218" i="79" a="1"/>
  <c r="D218" i="79" s="1"/>
  <c r="D217" i="79" a="1"/>
  <c r="D217" i="79" s="1"/>
  <c r="I39" i="69" l="1"/>
  <c r="I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D180" i="79" a="1"/>
  <c r="D180" i="79" s="1"/>
  <c r="D179" i="79" a="1"/>
  <c r="D179" i="79" s="1"/>
  <c r="D178" i="79" a="1"/>
  <c r="D178" i="79" s="1"/>
  <c r="D177" i="79" a="1"/>
  <c r="D177" i="79" s="1"/>
  <c r="D174" i="79" a="1"/>
  <c r="D174" i="79" s="1"/>
  <c r="D173" i="79" a="1"/>
  <c r="D173" i="79" s="1"/>
  <c r="D172" i="79" a="1"/>
  <c r="D172" i="79" s="1"/>
  <c r="D171" i="79" a="1"/>
  <c r="D171" i="79" s="1"/>
  <c r="D170" i="79" a="1"/>
  <c r="D170" i="79" s="1"/>
  <c r="D167" i="79" a="1"/>
  <c r="D167" i="7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 i="69" a="1"/>
  <c r="E86" i="69" a="1"/>
  <c r="Q19" i="69" l="1"/>
  <c r="Q24" i="69" s="1" a="1"/>
  <c r="Q24" i="69" s="1"/>
  <c r="Q80" i="69" s="1" a="1"/>
  <c r="Q80" i="69" s="1"/>
  <c r="N19" i="69"/>
  <c r="N24" i="69" s="1" a="1"/>
  <c r="N24" i="69" s="1"/>
  <c r="N80" i="69" s="1" a="1"/>
  <c r="N80" i="69" s="1"/>
  <c r="P19" i="69"/>
  <c r="P24" i="69" s="1" a="1"/>
  <c r="P24" i="69" s="1"/>
  <c r="P80" i="69" s="1" a="1"/>
  <c r="P80" i="69" s="1"/>
  <c r="M19" i="69"/>
  <c r="M24" i="69" s="1" a="1"/>
  <c r="M24" i="69" s="1"/>
  <c r="O19" i="69"/>
  <c r="O24" i="69" s="1" a="1"/>
  <c r="O24" i="69" s="1"/>
  <c r="O80" i="69" s="1" a="1"/>
  <c r="O80" i="69" s="1"/>
  <c r="R115" i="69"/>
  <c r="E19" i="69"/>
  <c r="F19" i="69"/>
  <c r="G19" i="69"/>
  <c r="H19" i="69"/>
  <c r="I24" i="69"/>
  <c r="R24" i="69"/>
  <c r="E86" i="69"/>
  <c r="I80" i="69"/>
  <c r="E57" i="69"/>
  <c r="E8" i="69"/>
  <c r="D19" i="69" l="1"/>
  <c r="D24" i="69" s="1" a="1"/>
  <c r="D24"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D80" i="69" l="1" a="1"/>
  <c r="D80" i="69" s="1"/>
  <c r="M80" i="69" a="1"/>
  <c r="M80" i="69" s="1"/>
  <c r="E28" i="70"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<sst xmlns="http://schemas.openxmlformats.org/spreadsheetml/2006/main" count="522" uniqueCount="253">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</sst>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4FBC06E-6616-4324-89DF-F028C686F55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0817674-2007-4F9E-BC3A-0845F22968B5}" name="State/Territory">
      <calculatedColumnFormula array="1">Common_InputFunctions.Utility_DisplayArrayInTable(Common_SourceData.Common_SourceData_AustralianStatesTerritories_Data(),Table_AustralianStates[[#Headers],[State/Territory]],0)</calculatedColumnFormula>
    </tableColumn>
    <tableColumn id="2" xr3:uid="{681D4613-4582-48DE-B73D-E225D87C21CA}" name="Common Name">
      <calculatedColumnFormula array="1">Common_InputFunctions.Utility_DisplayArrayInTable(Common_SourceData.Common_SourceData_AustralianStatesTerritories_Data(),Table_AustralianStates[[#Headers],[State/Territory]],0)</calculatedColumnFormula>
    </tableColumn>
    <tableColumn id="3" xr3:uid="{49D95DBE-A8EB-4448-918C-9183850F9F8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F3BEC2E-5AE6-46AF-9295-CA71AC8D6981}" name="Table_WASA4Areas" displayName="Table_WASA4Areas" ref="D20:D30" totalsRowShown="0">
  <autoFilter ref="D20:D30" xr:uid="{5FA81339-C6C8-4D36-BEEA-6C4AEDD9E676}">
    <filterColumn colId="0" hiddenButton="1"/>
  </autoFilter>
  <tableColumns count="1">
    <tableColumn id="1" xr3:uid="{35E4C276-54C1-4953-BD12-44941336B49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8969B0D-11EF-4B79-B4CE-D5C1DB362853}" name="Table_GWPData" displayName="Table_GWPData" ref="D36:E43" totalsRowShown="0">
  <autoFilter ref="D36:E43" xr:uid="{B8E87A66-3E41-4AD3-925D-01EE21B43D7A}">
    <filterColumn colId="0" hiddenButton="1"/>
    <filterColumn colId="1" hiddenButton="1"/>
  </autoFilter>
  <tableColumns count="2">
    <tableColumn id="1" xr3:uid="{469C9167-39B2-4964-BBE3-850178E60F15}" name="Gas">
      <calculatedColumnFormula array="1">Common_InputFunctions.Utility_DisplayArrayInTable(Common_SourceData.Common_SourceData_GWP_Data(), Table_GWPData[[#Headers],[Gas]], 0)</calculatedColumnFormula>
    </tableColumn>
    <tableColumn id="2" xr3:uid="{2C2AF300-F1C4-4B41-AC39-39B9A6EB680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C9AA4C-7A11-4ABD-82EC-0F5DF17F9F3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8264207-D30F-4DC0-A64C-2E4D9CC3C94D}" name="Gas">
      <calculatedColumnFormula array="1">Common_InputFunctions.Utility_DisplayArrayInTable(Common_SourceData.Common_SourceData_ConvertGasElementalToMolecular_Data(),Table_GasToMolecularConversionFactor[[#Headers],[Gas]], 0)</calculatedColumnFormula>
    </tableColumn>
    <tableColumn id="5" xr3:uid="{BE8B2C11-77B9-40CC-9DEA-93E7AF650B86}" name="Conversion factor">
      <calculatedColumnFormula array="1">Common_InputFunctions.Utility_DisplayArrayInTable(Common_SourceData.Common_SourceData_ConvertGasElementalToMolecular_Data(),Table_GasToMolecularConversionFactor[[#Headers],[Gas]], 0)</calculatedColumnFormula>
    </tableColumn>
    <tableColumn id="2" xr3:uid="{D12D33B2-0675-4D98-B000-9CCC3592E54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1CABDC-99F6-4DDC-B7D2-1E09AF21720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2944E5A2-AA37-4919-912F-CB88AD99EE7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F3A7EA8-D1DE-4995-957F-A62F668AE4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6C8AFF-1527-4D4E-862B-762F1EFFCE1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A414E38-3A3F-4A8A-80DA-A31535DD8D2E}"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1A94B158-2746-47B1-9666-3B7607FE93A3}"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EECAFEE-3BA5-4DE6-BEFF-F6A8DCEADB1A}"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4B40EEC6-6C28-4FA1-8AD9-42CB3F040AF0}"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275927B-CB21-4B39-9CBA-DAD8AC1F8CD4}"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C9517343-8183-40F8-B344-6A71A4548DAB}"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120D4943-CF66-4E62-A3BF-CBFCDCB155B7}"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965A780D-01B7-4004-A982-B12A9FEF6096}"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DCC8D36-6A1A-4845-8CCF-B1F6A550D89C}"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AAF55BCB-1595-465E-B955-472A2D78D385}"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FE35B57A-1E50-4C95-B5A4-4682101A2017}"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4BCA386-0B38-4CDF-AE7E-51DFF7D5EBB0}"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0F1586D2-75DB-4417-9563-BCCCA047BA30}"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7B518F5-BA60-4CAD-B757-ADFE445D0556}"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26430A1E-5080-446C-AEDE-3B5222A8D725}"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8E81ECD-6421-46CD-9C5D-5B13D6A924B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E7BB60E-E05B-42D5-A768-65C0C904494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F5A0839-C41A-4310-A2D3-2892A2242282}"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C1D9540-A017-4505-8F63-DA499266A51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D22E1DF-8274-4BFA-9EC4-D472C0E190CD}" name="Temperature Zone">
      <calculatedColumnFormula array="1">Common_InputFunctions.Utility_DisplayArrayInTable(Common_SourceData.Common_SourceData_TemperatureZones_Data(),Table_SourceData_TemperatureZones[[#Headers],[Temperature Zone]],0)</calculatedColumnFormula>
    </tableColumn>
    <tableColumn id="2" xr3:uid="{583E77C7-7561-4F75-9A49-6D5221BB2575}" name="MAT">
      <calculatedColumnFormula array="1">Common_InputFunctions.Utility_DisplayArrayInTable(Common_SourceData.Common_SourceData_TemperatureZones_Data(),Table_SourceData_TemperatureZones[[#Headers],[Temperature Zone]],0)</calculatedColumnFormula>
    </tableColumn>
    <tableColumn id="3" xr3:uid="{68C98498-91EA-4B9E-A937-76E38B629C3E}" name="Min MAT">
      <calculatedColumnFormula array="1">Common_InputFunctions.Utility_DisplayArrayInTable(Common_SourceData.Common_SourceData_TemperatureZones_Data(),Table_SourceData_TemperatureZones[[#Headers],[Temperature Zone]],0)</calculatedColumnFormula>
    </tableColumn>
    <tableColumn id="4" xr3:uid="{C33C37CF-90D6-4391-A682-A0E8AA1A4A2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D826EEF-344C-4293-8F4E-6EEF0899A3D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1C02851-59F9-40BF-BD34-F70AD66F4302}" name="Rainfall Zone">
      <calculatedColumnFormula array="1">Common_InputFunctions.Utility_DisplayArrayInTable(Common_SourceData.Common_SourceData_RainfallZones_Data(),Table_SourceData_RainfallZones[[#Headers],[Rainfall Zone]],0)</calculatedColumnFormula>
    </tableColumn>
    <tableColumn id="2" xr3:uid="{7D9549C8-2C00-4BBF-9D27-173A50F22208}" name="Annual rainfall">
      <calculatedColumnFormula array="1">Common_InputFunctions.Utility_DisplayArrayInTable(Common_SourceData.Common_SourceData_RainfallZones_Data(),Table_SourceData_RainfallZones[[#Headers],[Rainfall Zone]],0)</calculatedColumnFormula>
    </tableColumn>
    <tableColumn id="3" xr3:uid="{189220B1-8740-4696-AA85-A923A11D4D6F}" name="Min rainfall">
      <calculatedColumnFormula array="1">Common_InputFunctions.Utility_DisplayArrayInTable(Common_SourceData.Common_SourceData_RainfallZones_Data(),Table_SourceData_RainfallZones[[#Headers],[Rainfall Zone]],0)</calculatedColumnFormula>
    </tableColumn>
    <tableColumn id="4" xr3:uid="{A5C032FA-A843-4C47-A3C7-89A82BE331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CA772BA-6F21-40D7-9539-8C5DEC23051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7A27B71-FB15-420D-8268-C658905751BE}" name="Leaching Zone">
      <calculatedColumnFormula array="1">Common_InputFunctions.Utility_DisplayArrayInTable(Common_SourceData.Common_SourceData_LeachingZones_Data(), Table_SourceData_LeachingZones[[#Headers],[Leaching Zone]], 0)</calculatedColumnFormula>
    </tableColumn>
    <tableColumn id="2" xr3:uid="{9714A8E3-6E32-40C6-8728-EA438117954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506D169-C98F-4264-BD8C-FB44880CBFA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B905FC5-8A57-4A4B-AA71-2CF9FC237773}" name="Data source">
      <calculatedColumnFormula array="1">Common_InputFunctions.Utility_DisplayArrayInTable(Common_SourceData.Common_SourceData_DataScores_Scope3_Data(), Table_SourceData_DataScores_Scope3[[#Headers],[Data source]], 0)</calculatedColumnFormula>
    </tableColumn>
    <tableColumn id="2" xr3:uid="{0E70953F-437D-4664-B7E0-B7297EF87B5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4E70F90-877B-4539-9854-EB7CA862920F}" name="Table_SourceData_FracWET" displayName="Table_SourceData_FracWET" ref="D134:E136" totalsRowShown="0">
  <autoFilter ref="D134:E136" xr:uid="{308E99BE-FE1F-47A4-B2CA-97217277C4E9}">
    <filterColumn colId="0" hiddenButton="1"/>
    <filterColumn colId="1" hiddenButton="1"/>
  </autoFilter>
  <tableColumns count="2">
    <tableColumn id="1" xr3:uid="{E8A1F41A-33CE-4DF7-8B1A-FC76629DD724}" name="Is in leaching zone">
      <calculatedColumnFormula array="1">Common_InputFunctions.Utility_DisplayArrayInTable(Common_SourceData.Common_SourceData_FracWET_Data(),Table_SourceData_FracWET[[#Headers],[Is in leaching zone]],0)</calculatedColumnFormula>
    </tableColumn>
    <tableColumn id="2" xr3:uid="{5DD0E495-8CF2-4021-BA82-80D952171215}"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034DF7B-195E-4092-B8C1-08FDB3553C2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1F617A4-1173-43F5-B00C-E0AF3A6DF420}" name="Production system j">
      <calculatedColumnFormula array="1">Common_InputFunctions.Utility_DisplayArrayInTable(Common_SourceData.Common_SourceData_EFN2O_Data(), Table_SourceData_Common_EFN2O[[#Headers],[Production system j]], 0)</calculatedColumnFormula>
    </tableColumn>
    <tableColumn id="2" xr3:uid="{995697E7-A167-41A9-9251-7799FAA96575}" name="EFN2O">
      <calculatedColumnFormula array="1">Common_InputFunctions.Utility_DisplayArrayInTable(Common_SourceData.Common_SourceData_EFN2O_Data(), Table_SourceData_Common_EFN2O[[#Headers],[Production system j]], 0)</calculatedColumnFormula>
    </tableColumn>
    <tableColumn id="3" xr3:uid="{A85F0861-2DA7-4648-BF96-A86BE4F29A82}" name="Production system only">
      <calculatedColumnFormula array="1">Common_InputFunctions.Utility_DisplayArrayInTable(Common_SourceData.Common_SourceData_EFN2O_Data(), Table_SourceData_Common_EFN2O[[#Headers],[Production system j]], 0)</calculatedColumnFormula>
    </tableColumn>
    <tableColumn id="4" xr3:uid="{F0C288EE-5F0D-4CDF-AB76-EB642DA58275}" name="Irrigation method">
      <calculatedColumnFormula array="1">Common_InputFunctions.Utility_DisplayArrayInTable(Common_SourceData.Common_SourceData_EFN2O_Data(), Table_SourceData_Common_EFN2O[[#Headers],[Production system j]], 0)</calculatedColumnFormula>
    </tableColumn>
    <tableColumn id="5" xr3:uid="{3388F967-1587-480A-9C17-D8E2554B59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80E25DC-0ACA-4DF6-8596-9C66FD28396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35E318E-29B2-4287-9810-650AD9A93EB9}" name="Irrigation type i">
      <calculatedColumnFormula array="1">Common_InputFunctions.Utility_DisplayArrayInTable(Common_SourceData.Common_SourceData_FracWETIrrigation_Data(), Table_SourceData_FracWETIrrigation[[#Headers],[Irrigation type i]], 0)</calculatedColumnFormula>
    </tableColumn>
    <tableColumn id="2" xr3:uid="{828D61AA-6EC1-48C5-A513-18EB70C7E564}"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770625B-3250-4837-80E3-43A6E048E3B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03F890F-AB18-4559-9F6B-5260AE2E6BB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DD1491E-6689-4562-8FA1-E2B1CD7DB8DA}"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12B08DA-6439-4F06-9850-A9AFFAA891C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7E8202B-0E9D-4252-A8CF-5C24729DB5D8}" name="Month">
      <calculatedColumnFormula array="1">Common_InputFunctions.Utility_DisplayArrayInTable(Common_SourceData.Common_SourceData_MonthsToSeasons_Data(), Table_SourceData_Common_MonthToSeason[[#Headers],[Month]], 0)</calculatedColumnFormula>
    </tableColumn>
    <tableColumn id="2" xr3:uid="{407B6CA2-0BDE-418D-BAF7-40E593308FBE}"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868AB5F-874C-44B0-9FD6-C5939D3D23F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41711A-6C06-4B9C-8AF7-FECD84D2F7D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CCC4CD6-E07A-473E-8BE8-8198D291D723}"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62A3DF8-C546-4785-9EA1-9F1610FE1BD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B8538E7-6F22-4010-B6B6-1B2B5BB3C4F4}"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8B2436E-A703-4307-A76A-A7BBFA35EFF0}"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9D31AD-60FE-4359-B26D-5305971B810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D6328AD-EF4B-46E7-BF21-C4D3B4D3217E}"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AE8BAB6-C335-4419-901D-9583D514C563}"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C45863B-7470-4113-BA37-8B9C0A412874}"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19D1626-A6E4-4D2D-86D0-578D28B648D3}"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F61B6A0-9609-43A4-BC29-EEE0ECEEE981}"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B83CBA1-5F50-4BAD-9ABA-D4454582392F}"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CA88090-2A11-4834-958D-D1121575A3E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8A6480F-F4B8-4C37-B032-952A9D84A365}"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CAEFB15-5DE1-4403-8B4C-5848A9E2DBD1}"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66E677E-F70F-480C-B578-600AC86686EA}"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2B935F9-4948-40B7-A0C4-8ED6A52FDFD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450A06E-D16D-4610-B8C4-E40BEDEEE2F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5DC1E4A-787F-4FD7-BF73-312392A2BFBD}"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216</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235</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215</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109</v>
      </c>
      <c r="E6" s="113" t="s">
        <v>193</v>
      </c>
      <c r="F6" s="113" t="s">
        <v>194</v>
      </c>
      <c r="G6" s="113" t="s">
        <v>123</v>
      </c>
      <c r="H6" s="113" t="s">
        <v>195</v>
      </c>
      <c r="I6" s="113" t="s">
        <v>196</v>
      </c>
      <c r="J6" s="113" t="s">
        <v>124</v>
      </c>
      <c r="K6" s="24"/>
    </row>
    <row r="7" spans="1:11" ht="20.100000000000001" customHeight="1" x14ac:dyDescent="0.25">
      <c r="A7" s="20" t="s">
        <v>1</v>
      </c>
      <c r="C7" s="24"/>
      <c r="D7" s="1" t="s">
        <v>234</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191</v>
      </c>
      <c r="K7" s="24"/>
    </row>
    <row r="8" spans="1:11" ht="20.100000000000001" customHeight="1" x14ac:dyDescent="0.3">
      <c r="A8" s="17" t="str">
        <f>HYPERLINK("#'Input - Site'!A1", "Site")</f>
        <v>Site</v>
      </c>
      <c r="C8" s="24"/>
      <c r="D8" s="31" t="s">
        <v>122</v>
      </c>
      <c r="E8" s="25"/>
      <c r="F8" s="25"/>
      <c r="G8" s="31"/>
      <c r="H8" s="112">
        <f>SUM(H7)</f>
        <v>909.01111515171999</v>
      </c>
      <c r="I8" s="112">
        <f>SUM(I7:I7)</f>
        <v>909.01111515171999</v>
      </c>
      <c r="J8" s="107" t="s">
        <v>191</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95</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E26/E27</f>
        <v>0.45324283559577677</v>
      </c>
      <c r="F29" s="2"/>
    </row>
    <row r="30" spans="1:25" ht="20.100000000000001" customHeight="1" x14ac:dyDescent="0.25">
      <c r="A30"/>
      <c r="D30" s="10" t="s">
        <v>33</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E55" sqref="E55"/>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149</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96</v>
      </c>
      <c r="N5" s="3"/>
      <c r="R5" s="7"/>
    </row>
    <row r="6" spans="1:23" ht="20.100000000000001" customHeight="1" x14ac:dyDescent="0.25">
      <c r="A6" s="16"/>
      <c r="N6" s="3"/>
      <c r="R6" s="7"/>
    </row>
    <row r="7" spans="1:23" ht="20.100000000000001" customHeight="1" x14ac:dyDescent="0.25">
      <c r="A7" s="20" t="s">
        <v>1</v>
      </c>
      <c r="D7" s="1" t="s">
        <v>127</v>
      </c>
      <c r="E7" s="42" t="s">
        <v>163</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128</v>
      </c>
      <c r="F9" s="41" t="s">
        <v>145</v>
      </c>
      <c r="G9" s="41" t="s">
        <v>146</v>
      </c>
      <c r="H9" s="41" t="s">
        <v>147</v>
      </c>
      <c r="I9" s="41" t="s">
        <v>148</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98</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160</v>
      </c>
      <c r="R12" s="7"/>
    </row>
    <row r="13" spans="1:23" ht="20.100000000000001" customHeight="1" x14ac:dyDescent="0.25">
      <c r="A13" s="17"/>
      <c r="D13" s="64" t="s">
        <v>158</v>
      </c>
      <c r="E13" s="41" t="s">
        <v>128</v>
      </c>
      <c r="F13" s="41" t="s">
        <v>145</v>
      </c>
      <c r="G13" s="41" t="s">
        <v>146</v>
      </c>
      <c r="H13" s="41" t="s">
        <v>147</v>
      </c>
      <c r="I13" s="41" t="s">
        <v>148</v>
      </c>
      <c r="R13" s="40"/>
    </row>
    <row r="14" spans="1:23" ht="20.100000000000001" customHeight="1" x14ac:dyDescent="0.25">
      <c r="A14" s="18" t="s">
        <v>2</v>
      </c>
      <c r="D14" s="1" t="s">
        <v>161</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150</v>
      </c>
      <c r="K14" s="2"/>
      <c r="L14" s="2"/>
      <c r="M14" s="2"/>
      <c r="R14" s="40"/>
    </row>
    <row r="15" spans="1:23" ht="20.100000000000001" customHeight="1" x14ac:dyDescent="0.25">
      <c r="A15" s="17" t="str">
        <f>HYPERLINK("#'Constants - Dairy'!A1", "Constants - Dairy")</f>
        <v>Constants - Dairy</v>
      </c>
      <c r="D15" s="1" t="s">
        <v>162</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151</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157</v>
      </c>
      <c r="E17" s="41" t="s">
        <v>128</v>
      </c>
      <c r="F17" s="41" t="s">
        <v>145</v>
      </c>
      <c r="G17" s="41" t="s">
        <v>146</v>
      </c>
      <c r="H17" s="41" t="s">
        <v>147</v>
      </c>
      <c r="I17" s="41" t="s">
        <v>148</v>
      </c>
      <c r="R17" s="7"/>
    </row>
    <row r="18" spans="1:18" ht="20.100000000000001" customHeight="1" x14ac:dyDescent="0.25">
      <c r="A18" s="17" t="str">
        <f>HYPERLINK("#'Acknowledgements'!A1", "Acknowledgements")</f>
        <v>Acknowledgements</v>
      </c>
      <c r="D18" s="1" t="s">
        <v>161</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150</v>
      </c>
      <c r="K18" s="2"/>
      <c r="L18" s="2"/>
      <c r="M18" s="2"/>
      <c r="R18" s="7"/>
    </row>
    <row r="19" spans="1:18" ht="20.100000000000001" customHeight="1" x14ac:dyDescent="0.25">
      <c r="D19" s="1" t="s">
        <v>162</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151</v>
      </c>
      <c r="K19" s="2"/>
      <c r="L19" s="2"/>
      <c r="M19" s="2"/>
      <c r="R19" s="7"/>
    </row>
    <row r="20" spans="1:18" ht="20.100000000000001" customHeight="1" x14ac:dyDescent="0.25">
      <c r="R20" s="7"/>
    </row>
    <row r="21" spans="1:18" ht="20.100000000000001" customHeight="1" x14ac:dyDescent="0.25">
      <c r="D21" s="50" t="s">
        <v>97</v>
      </c>
      <c r="R21" s="7"/>
    </row>
    <row r="22" spans="1:18" ht="20.100000000000001" customHeight="1" x14ac:dyDescent="0.25">
      <c r="R22" s="7"/>
    </row>
    <row r="23" spans="1:18" ht="20.100000000000001" customHeight="1" x14ac:dyDescent="0.25">
      <c r="D23" s="64" t="s">
        <v>158</v>
      </c>
      <c r="E23" s="41" t="s">
        <v>128</v>
      </c>
      <c r="F23" s="41" t="s">
        <v>145</v>
      </c>
      <c r="G23" s="41" t="s">
        <v>146</v>
      </c>
      <c r="H23" s="41" t="s">
        <v>147</v>
      </c>
      <c r="I23" s="41" t="s">
        <v>148</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52</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52</v>
      </c>
      <c r="K25" s="2"/>
      <c r="L25" s="2"/>
      <c r="M25" s="2"/>
      <c r="R25" s="7"/>
    </row>
    <row r="26" spans="1:18" ht="20.100000000000001" customHeight="1" x14ac:dyDescent="0.25">
      <c r="R26" s="7"/>
    </row>
    <row r="27" spans="1:18" ht="20.100000000000001" customHeight="1" x14ac:dyDescent="0.25">
      <c r="D27" s="64" t="s">
        <v>157</v>
      </c>
      <c r="E27" s="41" t="s">
        <v>128</v>
      </c>
      <c r="F27" s="41" t="s">
        <v>145</v>
      </c>
      <c r="G27" s="41" t="s">
        <v>146</v>
      </c>
      <c r="H27" s="41" t="s">
        <v>147</v>
      </c>
      <c r="I27" s="41" t="s">
        <v>148</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52</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158</v>
      </c>
      <c r="E35" s="41" t="s">
        <v>128</v>
      </c>
      <c r="F35" s="41" t="s">
        <v>145</v>
      </c>
      <c r="G35" s="41" t="s">
        <v>146</v>
      </c>
      <c r="H35" s="41" t="s">
        <v>147</v>
      </c>
      <c r="I35" s="41" t="s">
        <v>148</v>
      </c>
      <c r="R35" s="7"/>
    </row>
    <row r="36" spans="1:18" ht="20.100000000000001" customHeight="1" x14ac:dyDescent="0.25">
      <c r="D36" s="1" t="s">
        <v>16</v>
      </c>
      <c r="E36" s="54">
        <f>SourceData_Dairy_DryMatterDigestibility_Data</f>
        <v>0.75</v>
      </c>
      <c r="F36" s="54">
        <f>SourceData_Dairy_DryMatterDigestibility_Data</f>
        <v>0.75</v>
      </c>
      <c r="G36" s="54">
        <f>SourceData_Dairy_DryMatterDigestibility_Data</f>
        <v>0.75</v>
      </c>
      <c r="H36" s="54">
        <f>SourceData_Dairy_DryMatterDigestibility_Data</f>
        <v>0.75</v>
      </c>
      <c r="I36" s="54">
        <f>SourceData_Dairy_DryMatterDigestibility_Data</f>
        <v>0.75</v>
      </c>
      <c r="J36" s="2" t="s">
        <v>93</v>
      </c>
      <c r="K36" s="2"/>
      <c r="L36" s="2"/>
      <c r="M36" s="2"/>
      <c r="R36" s="7"/>
    </row>
    <row r="37" spans="1:18" ht="20.100000000000001" customHeight="1" x14ac:dyDescent="0.25">
      <c r="D37" s="1" t="s">
        <v>101</v>
      </c>
      <c r="E37" s="54">
        <f>SourceData_Dairy_CrudeProtein_Data</f>
        <v>0.2</v>
      </c>
      <c r="F37" s="54">
        <f>SourceData_Dairy_CrudeProtein_Data</f>
        <v>0.2</v>
      </c>
      <c r="G37" s="54">
        <f>SourceData_Dairy_CrudeProtein_Data</f>
        <v>0.2</v>
      </c>
      <c r="H37" s="54">
        <f>SourceData_Dairy_CrudeProtein_Data</f>
        <v>0.2</v>
      </c>
      <c r="I37" s="54">
        <f>SourceData_Dairy_CrudeProtein_Data</f>
        <v>0.2</v>
      </c>
      <c r="J37" s="2" t="s">
        <v>93</v>
      </c>
      <c r="K37" s="2"/>
      <c r="L37" s="2"/>
      <c r="M37" s="2"/>
      <c r="R37" s="7"/>
    </row>
    <row r="38" spans="1:18" ht="20.100000000000001" customHeight="1" x14ac:dyDescent="0.25">
      <c r="K38" s="2"/>
      <c r="L38" s="2"/>
      <c r="M38" s="2"/>
      <c r="R38" s="7"/>
    </row>
    <row r="39" spans="1:18" ht="20.100000000000001" customHeight="1" x14ac:dyDescent="0.25">
      <c r="A39" s="17"/>
      <c r="D39" s="64" t="s">
        <v>157</v>
      </c>
      <c r="E39" s="41" t="s">
        <v>128</v>
      </c>
      <c r="F39" s="41" t="s">
        <v>145</v>
      </c>
      <c r="G39" s="41" t="s">
        <v>146</v>
      </c>
      <c r="H39" s="41" t="s">
        <v>147</v>
      </c>
      <c r="I39" s="41" t="s">
        <v>148</v>
      </c>
      <c r="R39" s="7"/>
    </row>
    <row r="40" spans="1:18" ht="20.100000000000001" customHeight="1" x14ac:dyDescent="0.25">
      <c r="D40" s="1" t="s">
        <v>16</v>
      </c>
      <c r="E40" s="67">
        <f>SourceData_Dairy_DryMatterDigestibility_Data</f>
        <v>0.75</v>
      </c>
      <c r="F40" s="67">
        <f>SourceData_Dairy_DryMatterDigestibility_Data</f>
        <v>0.75</v>
      </c>
      <c r="G40" s="67">
        <f>SourceData_Dairy_DryMatterDigestibility_Data</f>
        <v>0.75</v>
      </c>
      <c r="H40" s="67">
        <f>SourceData_Dairy_DryMatterDigestibility_Data</f>
        <v>0.75</v>
      </c>
      <c r="I40" s="67">
        <f>SourceData_Dairy_DryMatterDigestibility_Data</f>
        <v>0.75</v>
      </c>
      <c r="J40" s="2" t="s">
        <v>93</v>
      </c>
      <c r="K40" s="2"/>
      <c r="R40" s="7"/>
    </row>
    <row r="41" spans="1:18" ht="20.100000000000001" customHeight="1" x14ac:dyDescent="0.25">
      <c r="A41" s="47"/>
      <c r="D41" s="1" t="s">
        <v>101</v>
      </c>
      <c r="E41" s="67">
        <f>SourceData_Dairy_CrudeProtein_Data</f>
        <v>0.2</v>
      </c>
      <c r="F41" s="67">
        <f>SourceData_Dairy_CrudeProtein_Data</f>
        <v>0.2</v>
      </c>
      <c r="G41" s="67">
        <f>SourceData_Dairy_CrudeProtein_Data</f>
        <v>0.2</v>
      </c>
      <c r="H41" s="67">
        <f>SourceData_Dairy_CrudeProtein_Data</f>
        <v>0.2</v>
      </c>
      <c r="I41" s="67">
        <f>SourceData_Dairy_CrudeProtein_Data</f>
        <v>0.2</v>
      </c>
      <c r="J41" s="2" t="s">
        <v>93</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152</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237</v>
      </c>
      <c r="E49" s="42" t="s">
        <v>250</v>
      </c>
      <c r="F49" s="2" t="s">
        <v>9</v>
      </c>
      <c r="H49" s="3"/>
      <c r="I49" s="3"/>
      <c r="J49" s="3"/>
      <c r="K49" s="3"/>
      <c r="L49" s="3"/>
      <c r="M49" s="3"/>
      <c r="R49" s="7"/>
    </row>
    <row r="50" spans="4:18" ht="20.100000000000001" customHeight="1" x14ac:dyDescent="0.25">
      <c r="R50" s="7"/>
    </row>
    <row r="51" spans="4:18" ht="20.100000000000001" customHeight="1" x14ac:dyDescent="0.25">
      <c r="E51" s="41" t="s">
        <v>128</v>
      </c>
      <c r="R51" s="7"/>
    </row>
    <row r="52" spans="4:18" ht="20.100000000000001" customHeight="1" x14ac:dyDescent="0.25">
      <c r="D52" s="1" t="s">
        <v>153</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247</v>
      </c>
      <c r="E54" s="41" t="s">
        <v>244</v>
      </c>
      <c r="F54" s="41" t="s">
        <v>245</v>
      </c>
      <c r="R54" s="7"/>
    </row>
    <row r="55" spans="4:18" ht="20.100000000000001" customHeight="1" x14ac:dyDescent="0.25">
      <c r="D55" s="1" t="s">
        <v>242</v>
      </c>
      <c r="E55" s="124">
        <f>SourceData_Dairy_FatContentInMilk_Data/100</f>
        <v>0.04</v>
      </c>
      <c r="F55" s="132">
        <f>SourceData_Dairy_FatContentInMilk_Data/100</f>
        <v>0.04</v>
      </c>
      <c r="G55" s="2" t="s">
        <v>246</v>
      </c>
      <c r="R55" s="7"/>
    </row>
    <row r="56" spans="4:18" ht="20.100000000000001" customHeight="1" x14ac:dyDescent="0.25">
      <c r="D56" s="1" t="s">
        <v>243</v>
      </c>
      <c r="E56" s="124">
        <f>SourceData_Dairy_ProteinContentInMilk_Data/100</f>
        <v>3.3000000000000002E-2</v>
      </c>
      <c r="F56" s="132">
        <f>SourceData_Dairy_ProteinContentInMilk_Data/100</f>
        <v>3.3000000000000002E-2</v>
      </c>
      <c r="G56" s="2" t="s">
        <v>246</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R41" sqref="R4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218</v>
      </c>
      <c r="K1"/>
    </row>
    <row r="2" spans="1:19" s="9" customFormat="1" ht="20.100000000000001" customHeight="1" x14ac:dyDescent="0.25">
      <c r="K2"/>
    </row>
    <row r="3" spans="1:19" ht="20.100000000000001" customHeight="1" x14ac:dyDescent="0.25">
      <c r="A3" s="17" t="str">
        <f>HYPERLINK("#'Home'!A1", "Home")</f>
        <v>Home</v>
      </c>
      <c r="C3" s="4"/>
      <c r="D3" s="4" t="s">
        <v>104</v>
      </c>
      <c r="E3" s="4"/>
      <c r="F3" s="4"/>
      <c r="G3" s="4"/>
      <c r="H3" s="4"/>
      <c r="I3" s="4"/>
      <c r="J3" s="4"/>
      <c r="L3" s="4"/>
      <c r="M3" s="4" t="s">
        <v>105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106</v>
      </c>
      <c r="M16" s="101" t="s">
        <v>108</v>
      </c>
    </row>
    <row r="17" spans="1:19" ht="20.100000000000001" customHeight="1" x14ac:dyDescent="0.25">
      <c r="A17" s="17" t="str">
        <f>HYPERLINK("#'Constants - Common'!A1", "Constants - Common")</f>
        <v>Constants - Common</v>
      </c>
      <c r="D17" s="100" t="s">
        <v>107</v>
      </c>
      <c r="M17" s="100" t="s">
        <v>185</v>
      </c>
    </row>
    <row r="18" spans="1:19" ht="20.100000000000001" customHeight="1" x14ac:dyDescent="0.25">
      <c r="A18" s="17" t="str">
        <f>HYPERLINK("#'Acknowledgements'!A1", "Acknowledgements")</f>
        <v>Acknowledgements</v>
      </c>
      <c r="D18" s="41" t="s">
        <v>128</v>
      </c>
      <c r="E18" s="41" t="s">
        <v>145</v>
      </c>
      <c r="F18" s="41" t="s">
        <v>146</v>
      </c>
      <c r="G18" s="41" t="s">
        <v>147</v>
      </c>
      <c r="H18" s="41" t="s">
        <v>148</v>
      </c>
      <c r="M18" s="41" t="s">
        <v>128</v>
      </c>
      <c r="N18" s="41" t="s">
        <v>145</v>
      </c>
      <c r="O18" s="41" t="s">
        <v>146</v>
      </c>
      <c r="P18" s="41" t="s">
        <v>147</v>
      </c>
      <c r="Q18" s="41" t="s">
        <v>148</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174</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174</v>
      </c>
    </row>
    <row r="20" spans="1:19" ht="20.100000000000001" customHeight="1" x14ac:dyDescent="0.25"/>
    <row r="21" spans="1:19" ht="20.100000000000001" customHeight="1" x14ac:dyDescent="0.25">
      <c r="D21" s="101" t="s">
        <v>175</v>
      </c>
      <c r="M21" s="101" t="s">
        <v>177</v>
      </c>
    </row>
    <row r="22" spans="1:19" ht="20.100000000000001" customHeight="1" x14ac:dyDescent="0.25">
      <c r="D22" s="100" t="s">
        <v>176</v>
      </c>
      <c r="M22" s="100" t="s">
        <v>178</v>
      </c>
    </row>
    <row r="23" spans="1:19" ht="20.100000000000001" customHeight="1" x14ac:dyDescent="0.25">
      <c r="D23" s="53" t="s">
        <v>128</v>
      </c>
      <c r="E23" s="53" t="s">
        <v>145</v>
      </c>
      <c r="F23" s="53" t="s">
        <v>146</v>
      </c>
      <c r="G23" s="53" t="s">
        <v>147</v>
      </c>
      <c r="H23" s="53" t="s">
        <v>148</v>
      </c>
      <c r="M23" s="53" t="s">
        <v>128</v>
      </c>
      <c r="N23" s="53" t="s">
        <v>145</v>
      </c>
      <c r="O23" s="53" t="s">
        <v>146</v>
      </c>
      <c r="P23" s="53" t="s">
        <v>147</v>
      </c>
      <c r="Q23" s="53" t="s">
        <v>148</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238</v>
      </c>
    </row>
    <row r="43" spans="4:18" ht="20.100000000000001" customHeight="1" x14ac:dyDescent="0.25">
      <c r="D43" s="100" t="s">
        <v>239</v>
      </c>
    </row>
    <row r="44" spans="4:18" ht="20.100000000000001" customHeight="1" x14ac:dyDescent="0.25">
      <c r="D44" s="41" t="s">
        <v>128</v>
      </c>
      <c r="E44" s="41" t="s">
        <v>145</v>
      </c>
      <c r="F44" s="41" t="s">
        <v>146</v>
      </c>
      <c r="G44" s="41" t="s">
        <v>147</v>
      </c>
      <c r="H44" s="41" t="s">
        <v>148</v>
      </c>
    </row>
    <row r="45" spans="4:18" ht="20.100000000000001" customHeight="1" x14ac:dyDescent="0.25">
      <c r="D45" s="54">
        <f>IF($I$37="Milk solids", 'Input - Dairy'!$E$52, 0)</f>
        <v>0</v>
      </c>
      <c r="E45" s="54">
        <v>0</v>
      </c>
      <c r="F45" s="54">
        <v>0</v>
      </c>
      <c r="G45" s="54">
        <v>0</v>
      </c>
      <c r="H45" s="54">
        <v>0</v>
      </c>
      <c r="I45" s="2" t="s">
        <v>181</v>
      </c>
    </row>
    <row r="46" spans="4:18" ht="20.100000000000001" customHeight="1" x14ac:dyDescent="0.25"/>
    <row r="47" spans="4:18" ht="20.100000000000001" customHeight="1" x14ac:dyDescent="0.25">
      <c r="D47" s="101" t="s">
        <v>240</v>
      </c>
      <c r="M47" s="101" t="s">
        <v>248</v>
      </c>
    </row>
    <row r="48" spans="4:18" ht="20.100000000000001" customHeight="1" x14ac:dyDescent="0.25">
      <c r="D48" s="100" t="s">
        <v>241</v>
      </c>
      <c r="M48" s="100" t="s">
        <v>249</v>
      </c>
    </row>
    <row r="49" spans="1:19" ht="20.100000000000001" customHeight="1" x14ac:dyDescent="0.25">
      <c r="D49" s="53" t="s">
        <v>128</v>
      </c>
      <c r="E49" s="53" t="s">
        <v>145</v>
      </c>
      <c r="F49" s="53" t="s">
        <v>146</v>
      </c>
      <c r="G49" s="53" t="s">
        <v>147</v>
      </c>
      <c r="H49" s="53" t="s">
        <v>148</v>
      </c>
      <c r="M49" s="53" t="s">
        <v>128</v>
      </c>
      <c r="N49" s="53" t="s">
        <v>145</v>
      </c>
      <c r="O49" s="53" t="s">
        <v>146</v>
      </c>
      <c r="P49" s="53" t="s">
        <v>147</v>
      </c>
      <c r="Q49" s="53" t="s">
        <v>148</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181</v>
      </c>
      <c r="M50" s="54" cm="1">
        <f t="array" ref="M50">EntericMethane_Dairy_Equations.VEERG_3_3_1_1__5_MilkProductionFromMilkSolids(D45,R39,R40)</f>
        <v>0</v>
      </c>
      <c r="N50" s="54">
        <v>0</v>
      </c>
      <c r="O50" s="54">
        <v>0</v>
      </c>
      <c r="P50" s="54">
        <v>0</v>
      </c>
      <c r="Q50" s="54">
        <v>0</v>
      </c>
      <c r="R50" s="2" t="s">
        <v>181</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SourceData_Dairy_NetEnergy_Data</f>
        <v>3.0539999999999998</v>
      </c>
    </row>
    <row r="68" spans="4:18" ht="20.100000000000001" customHeight="1" x14ac:dyDescent="0.25">
      <c r="D68" s="122" t="str">
        <v>GEC</v>
      </c>
      <c r="E68" s="121" t="str">
        <v>gross energy content</v>
      </c>
      <c r="F68" s="123"/>
      <c r="G68" s="122" t="str">
        <v>MJ/kgDM</v>
      </c>
      <c r="H68" s="118" t="str">
        <v>Constant</v>
      </c>
      <c r="I68" s="122">
        <f>SourceData_Dairy_GrossEnergyContent_Data</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SourceData_Dairy_EfficiencyOfUseOfMetabolizableEnergy_Data</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184</v>
      </c>
    </row>
    <row r="73" spans="4:18" ht="20.100000000000001" customHeight="1" x14ac:dyDescent="0.25">
      <c r="D73" s="100" t="s">
        <v>152</v>
      </c>
    </row>
    <row r="74" spans="4:18" ht="20.100000000000001" customHeight="1" x14ac:dyDescent="0.25">
      <c r="D74" s="41" t="s">
        <v>128</v>
      </c>
      <c r="E74" s="41" t="s">
        <v>145</v>
      </c>
      <c r="F74" s="41" t="s">
        <v>146</v>
      </c>
      <c r="G74" s="41" t="s">
        <v>147</v>
      </c>
      <c r="H74" s="41" t="s">
        <v>148</v>
      </c>
    </row>
    <row r="75" spans="4:18" ht="20.100000000000001" customHeight="1" x14ac:dyDescent="0.25">
      <c r="D75" s="54">
        <f>IF(I64="Milk solids", 0, 'Input - Dairy'!$E$52)</f>
        <v>20</v>
      </c>
      <c r="E75" s="54">
        <v>0</v>
      </c>
      <c r="F75" s="54">
        <v>0</v>
      </c>
      <c r="G75" s="54">
        <v>0</v>
      </c>
      <c r="H75" s="54">
        <v>0</v>
      </c>
      <c r="I75" s="2" t="s">
        <v>181</v>
      </c>
    </row>
    <row r="76" spans="4:18" ht="20.100000000000001" customHeight="1" x14ac:dyDescent="0.25"/>
    <row r="77" spans="4:18" ht="20.100000000000001" customHeight="1" x14ac:dyDescent="0.25">
      <c r="D77" s="101" t="s">
        <v>179</v>
      </c>
      <c r="M77" s="101" t="s">
        <v>182</v>
      </c>
    </row>
    <row r="78" spans="4:18" ht="20.100000000000001" customHeight="1" x14ac:dyDescent="0.25">
      <c r="D78" s="100" t="s">
        <v>180</v>
      </c>
      <c r="M78" s="100" t="s">
        <v>183</v>
      </c>
    </row>
    <row r="79" spans="4:18" ht="20.100000000000001" customHeight="1" x14ac:dyDescent="0.25">
      <c r="D79" s="53" t="s">
        <v>128</v>
      </c>
      <c r="E79" s="53" t="s">
        <v>145</v>
      </c>
      <c r="F79" s="53" t="s">
        <v>146</v>
      </c>
      <c r="G79" s="53" t="s">
        <v>147</v>
      </c>
      <c r="H79" s="53" t="s">
        <v>148</v>
      </c>
      <c r="M79" s="53" t="s">
        <v>128</v>
      </c>
      <c r="N79" s="53" t="s">
        <v>145</v>
      </c>
      <c r="O79" s="53" t="s">
        <v>146</v>
      </c>
      <c r="P79" s="53" t="s">
        <v>147</v>
      </c>
      <c r="Q79" s="53" t="s">
        <v>148</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164</v>
      </c>
      <c r="M97" s="101" t="s">
        <v>166</v>
      </c>
    </row>
    <row r="98" spans="1:18" ht="20.100000000000001" customHeight="1" x14ac:dyDescent="0.25">
      <c r="D98" s="100" t="s">
        <v>165</v>
      </c>
      <c r="M98" s="100" t="s">
        <v>167</v>
      </c>
    </row>
    <row r="99" spans="1:18" ht="20.100000000000001" customHeight="1" x14ac:dyDescent="0.25">
      <c r="D99" s="41" t="s">
        <v>128</v>
      </c>
      <c r="E99" s="41" t="s">
        <v>145</v>
      </c>
      <c r="F99" s="41" t="s">
        <v>146</v>
      </c>
      <c r="G99" s="41" t="s">
        <v>147</v>
      </c>
      <c r="H99" s="41" t="s">
        <v>148</v>
      </c>
      <c r="M99" s="41" t="s">
        <v>128</v>
      </c>
      <c r="N99" s="41" t="s">
        <v>145</v>
      </c>
      <c r="O99" s="41" t="s">
        <v>146</v>
      </c>
      <c r="P99" s="41" t="s">
        <v>147</v>
      </c>
      <c r="Q99" s="41" t="s">
        <v>148</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150</v>
      </c>
      <c r="M100" s="54">
        <f>'Input - Dairy'!$E$18</f>
        <v>550</v>
      </c>
      <c r="N100" s="54">
        <f>'Input - Dairy'!$F$18</f>
        <v>380</v>
      </c>
      <c r="O100" s="54">
        <f>'Input - Dairy'!$G$18</f>
        <v>155</v>
      </c>
      <c r="P100" s="54">
        <f>'Input - Dairy'!$H$18</f>
        <v>600</v>
      </c>
      <c r="Q100" s="54">
        <f>'Input - Dairy'!$I$18</f>
        <v>225</v>
      </c>
      <c r="R100" s="2" t="s">
        <v>150</v>
      </c>
    </row>
    <row r="101" spans="1:18" ht="20.100000000000001" customHeight="1" x14ac:dyDescent="0.25"/>
    <row r="102" spans="1:18" ht="20.100000000000001" customHeight="1" x14ac:dyDescent="0.25">
      <c r="D102" s="101" t="s">
        <v>168</v>
      </c>
      <c r="M102" s="101" t="s">
        <v>170</v>
      </c>
    </row>
    <row r="103" spans="1:18" ht="20.100000000000001" customHeight="1" x14ac:dyDescent="0.25">
      <c r="D103" s="100" t="s">
        <v>169</v>
      </c>
      <c r="M103" s="100" t="s">
        <v>171</v>
      </c>
    </row>
    <row r="104" spans="1:18" ht="20.100000000000001" customHeight="1" x14ac:dyDescent="0.25">
      <c r="D104" s="41" t="s">
        <v>128</v>
      </c>
      <c r="E104" s="41" t="s">
        <v>145</v>
      </c>
      <c r="F104" s="41" t="s">
        <v>146</v>
      </c>
      <c r="G104" s="41" t="s">
        <v>147</v>
      </c>
      <c r="H104" s="41" t="s">
        <v>148</v>
      </c>
      <c r="M104" s="41" t="s">
        <v>128</v>
      </c>
      <c r="N104" s="41" t="s">
        <v>145</v>
      </c>
      <c r="O104" s="41" t="s">
        <v>146</v>
      </c>
      <c r="P104" s="41" t="s">
        <v>147</v>
      </c>
      <c r="Q104" s="41" t="s">
        <v>148</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151</v>
      </c>
      <c r="M105" s="54">
        <f>'Input - Dairy'!$E$19</f>
        <v>1.6E-2</v>
      </c>
      <c r="N105" s="54">
        <f>'Input - Dairy'!$F$19</f>
        <v>0.6</v>
      </c>
      <c r="O105" s="54">
        <f>'Input - Dairy'!$G$19</f>
        <v>0.56999999999999995</v>
      </c>
      <c r="P105" s="54">
        <f>'Input - Dairy'!$H$19</f>
        <v>0.1</v>
      </c>
      <c r="Q105" s="54">
        <f>'Input - Dairy'!$I$19</f>
        <v>0.8</v>
      </c>
      <c r="R105" s="2" t="s">
        <v>151</v>
      </c>
    </row>
    <row r="106" spans="1:18" ht="20.100000000000001" customHeight="1" x14ac:dyDescent="0.25"/>
    <row r="107" spans="1:18" ht="20.100000000000001" customHeight="1" x14ac:dyDescent="0.25">
      <c r="D107" s="101" t="s">
        <v>172</v>
      </c>
    </row>
    <row r="108" spans="1:18" ht="20.100000000000001" customHeight="1" x14ac:dyDescent="0.25">
      <c r="D108" s="100" t="s">
        <v>173</v>
      </c>
    </row>
    <row r="109" spans="1:18" ht="20.100000000000001" customHeight="1" x14ac:dyDescent="0.25">
      <c r="D109" s="53" t="s">
        <v>128</v>
      </c>
      <c r="E109" s="53" t="s">
        <v>145</v>
      </c>
      <c r="F109" s="53" t="s">
        <v>146</v>
      </c>
      <c r="G109" s="53" t="s">
        <v>147</v>
      </c>
      <c r="H109" s="53" t="s">
        <v>148</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102</v>
      </c>
      <c r="M112" s="101" t="s">
        <v>103</v>
      </c>
    </row>
    <row r="113" spans="3:19" ht="20.100000000000001" customHeight="1" x14ac:dyDescent="0.25">
      <c r="D113" s="100" t="s">
        <v>187</v>
      </c>
      <c r="M113" s="100" t="s">
        <v>186</v>
      </c>
    </row>
    <row r="114" spans="3:19" ht="20.100000000000001" customHeight="1" x14ac:dyDescent="0.25">
      <c r="D114" s="53" t="s">
        <v>128</v>
      </c>
      <c r="E114" s="53" t="s">
        <v>145</v>
      </c>
      <c r="F114" s="53" t="s">
        <v>146</v>
      </c>
      <c r="G114" s="53" t="s">
        <v>147</v>
      </c>
      <c r="H114" s="53" t="s">
        <v>148</v>
      </c>
      <c r="M114" s="53" t="s">
        <v>128</v>
      </c>
      <c r="N114" s="53" t="s">
        <v>145</v>
      </c>
      <c r="O114" s="53" t="s">
        <v>146</v>
      </c>
      <c r="P114" s="53" t="s">
        <v>147</v>
      </c>
      <c r="Q114" s="53" t="s">
        <v>148</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219</v>
      </c>
      <c r="M129" s="101" t="s">
        <v>221</v>
      </c>
    </row>
    <row r="130" spans="3:19" ht="20.100000000000001" customHeight="1" x14ac:dyDescent="0.25">
      <c r="D130" s="100" t="s">
        <v>220</v>
      </c>
      <c r="M130" s="100" t="s">
        <v>222</v>
      </c>
    </row>
    <row r="131" spans="3:19" ht="20.100000000000001" customHeight="1" x14ac:dyDescent="0.25">
      <c r="D131" s="53" t="s">
        <v>128</v>
      </c>
      <c r="E131" s="53" t="s">
        <v>145</v>
      </c>
      <c r="F131" s="53" t="s">
        <v>146</v>
      </c>
      <c r="G131" s="53" t="s">
        <v>147</v>
      </c>
      <c r="H131" s="53" t="s">
        <v>148</v>
      </c>
      <c r="M131" s="53" t="s">
        <v>128</v>
      </c>
      <c r="N131" s="53" t="s">
        <v>145</v>
      </c>
      <c r="O131" s="53" t="s">
        <v>146</v>
      </c>
      <c r="P131" s="53" t="s">
        <v>147</v>
      </c>
      <c r="Q131" s="53" t="s">
        <v>148</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99</v>
      </c>
    </row>
    <row r="158" spans="1:9" ht="20.100000000000001" customHeight="1" x14ac:dyDescent="0.25">
      <c r="D158" s="100" t="s">
        <v>223</v>
      </c>
    </row>
    <row r="159" spans="1:9" ht="20.100000000000001" customHeight="1" x14ac:dyDescent="0.25">
      <c r="D159" s="41" t="s">
        <v>128</v>
      </c>
      <c r="E159" s="41" t="s">
        <v>145</v>
      </c>
      <c r="F159" s="41" t="s">
        <v>146</v>
      </c>
      <c r="G159" s="41" t="s">
        <v>147</v>
      </c>
      <c r="H159" s="41" t="s">
        <v>148</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188</v>
      </c>
      <c r="M162" s="101" t="s">
        <v>189</v>
      </c>
    </row>
    <row r="163" spans="4:18" ht="20.100000000000001" customHeight="1" x14ac:dyDescent="0.25">
      <c r="D163" s="100" t="s">
        <v>224</v>
      </c>
      <c r="M163" s="100" t="s">
        <v>226</v>
      </c>
    </row>
    <row r="164" spans="4:18" ht="20.100000000000001" customHeight="1" x14ac:dyDescent="0.25">
      <c r="D164" s="41" t="s">
        <v>128</v>
      </c>
      <c r="E164" s="41" t="s">
        <v>145</v>
      </c>
      <c r="F164" s="41" t="s">
        <v>146</v>
      </c>
      <c r="G164" s="41" t="s">
        <v>147</v>
      </c>
      <c r="H164" s="41" t="s">
        <v>148</v>
      </c>
      <c r="M164" s="41" t="s">
        <v>128</v>
      </c>
      <c r="N164" s="41" t="s">
        <v>145</v>
      </c>
      <c r="O164" s="41" t="s">
        <v>146</v>
      </c>
      <c r="P164" s="41" t="s">
        <v>147</v>
      </c>
      <c r="Q164" s="41" t="s">
        <v>148</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229</v>
      </c>
      <c r="M167" s="101" t="s">
        <v>227</v>
      </c>
    </row>
    <row r="168" spans="4:18" ht="20.100000000000001" customHeight="1" x14ac:dyDescent="0.25">
      <c r="D168" s="100" t="s">
        <v>225</v>
      </c>
      <c r="M168" s="100" t="s">
        <v>228</v>
      </c>
    </row>
    <row r="169" spans="4:18" ht="20.100000000000001" customHeight="1" x14ac:dyDescent="0.25">
      <c r="D169" s="41" t="s">
        <v>128</v>
      </c>
      <c r="E169" s="41" t="s">
        <v>145</v>
      </c>
      <c r="F169" s="41" t="s">
        <v>146</v>
      </c>
      <c r="G169" s="41" t="s">
        <v>147</v>
      </c>
      <c r="H169" s="41" t="s">
        <v>148</v>
      </c>
      <c r="M169" s="41" t="s">
        <v>128</v>
      </c>
      <c r="N169" s="41" t="s">
        <v>145</v>
      </c>
      <c r="O169" s="41" t="s">
        <v>146</v>
      </c>
      <c r="P169" s="41" t="s">
        <v>147</v>
      </c>
      <c r="Q169" s="41" t="s">
        <v>148</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230</v>
      </c>
    </row>
    <row r="173" spans="4:18" ht="20.100000000000001" customHeight="1" x14ac:dyDescent="0.25">
      <c r="D173" s="100" t="s">
        <v>225</v>
      </c>
    </row>
    <row r="174" spans="4:18" ht="20.100000000000001" customHeight="1" x14ac:dyDescent="0.25">
      <c r="D174" s="53" t="s">
        <v>146</v>
      </c>
      <c r="E174" s="53" t="s">
        <v>148</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231</v>
      </c>
      <c r="M177" s="101" t="s">
        <v>231</v>
      </c>
    </row>
    <row r="178" spans="1:18" ht="20.100000000000001" customHeight="1" x14ac:dyDescent="0.25">
      <c r="A178" s="125" t="str">
        <f>HYPERLINK("#A1", "▲ Back to top")</f>
        <v>▲ Back to top</v>
      </c>
      <c r="D178" s="100" t="s">
        <v>232</v>
      </c>
      <c r="M178" s="100" t="s">
        <v>232</v>
      </c>
    </row>
    <row r="179" spans="1:18" ht="20.100000000000001" customHeight="1" x14ac:dyDescent="0.25">
      <c r="D179" s="53" t="s">
        <v>128</v>
      </c>
      <c r="E179" s="53" t="s">
        <v>145</v>
      </c>
      <c r="F179" s="53" t="s">
        <v>146</v>
      </c>
      <c r="G179" s="53" t="s">
        <v>147</v>
      </c>
      <c r="H179" s="53" t="s">
        <v>148</v>
      </c>
      <c r="M179" s="53" t="s">
        <v>128</v>
      </c>
      <c r="N179" s="53" t="s">
        <v>145</v>
      </c>
      <c r="O179" s="53" t="s">
        <v>146</v>
      </c>
      <c r="P179" s="53" t="s">
        <v>147</v>
      </c>
      <c r="Q179" s="53" t="s">
        <v>148</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233</v>
      </c>
      <c r="E182" s="104">
        <f>SUM(D180:H180)</f>
        <v>32.464682683989999</v>
      </c>
      <c r="F182" s="105" t="str">
        <f>$E$146</f>
        <v>t CH4</v>
      </c>
      <c r="M182" s="103" t="s">
        <v>233</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100</v>
      </c>
      <c r="E187" s="48" cm="1">
        <f t="array" ref="E187">Common_Equations.Common_ConvertN2OToCO2e(G184,G185)</f>
        <v>909.01111515171999</v>
      </c>
      <c r="F187" s="107" t="str" cm="1">
        <f t="array" ref="F187">Common_Equations.Common_ConvertN2OToCO2e_Unit()</f>
        <v>t CO2e</v>
      </c>
      <c r="M187" s="48" t="s">
        <v>100</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125</v>
      </c>
      <c r="G5" s="6" t="s">
        <v>126</v>
      </c>
      <c r="J5" s="6" t="s">
        <v>116</v>
      </c>
      <c r="M5" s="1"/>
    </row>
    <row r="6" spans="1:21" ht="20.100000000000001" customHeight="1" x14ac:dyDescent="0.25">
      <c r="A6" s="16"/>
      <c r="M6" s="1"/>
    </row>
    <row r="7" spans="1:21" ht="20.100000000000001" customHeight="1" x14ac:dyDescent="0.25">
      <c r="A7" s="20" t="s">
        <v>1</v>
      </c>
      <c r="D7" s="99" t="s">
        <v>65</v>
      </c>
      <c r="E7" s="39" t="s">
        <v>76</v>
      </c>
      <c r="G7" s="39" t="s">
        <v>115</v>
      </c>
      <c r="J7" s="39" t="s">
        <v>113</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117</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118</v>
      </c>
      <c r="M9" s="1"/>
    </row>
    <row r="10" spans="1:21" ht="20.100000000000001" customHeight="1" x14ac:dyDescent="0.25">
      <c r="A10" s="17"/>
      <c r="D10" s="39" t="str">
        <f>'Constants - Livestock'!$E$13</f>
        <v>Drains to paddock</v>
      </c>
      <c r="E10" s="39" t="str">
        <f>'Constants - Livestock'!$F$13</f>
        <v>Drains to paddock (m=3b)</v>
      </c>
      <c r="J10" s="1" t="s">
        <v>119</v>
      </c>
      <c r="M10" s="1"/>
    </row>
    <row r="11" spans="1:21" ht="20.100000000000001" customHeight="1" x14ac:dyDescent="0.25">
      <c r="A11" s="19" t="s">
        <v>72</v>
      </c>
      <c r="D11" s="39" t="str">
        <f>'Constants - Livestock'!$E$14</f>
        <v>Solid storage</v>
      </c>
      <c r="E11" s="39" t="str">
        <f>'Constants - Livestock'!$F$14</f>
        <v>Solid storage (m=4)</v>
      </c>
      <c r="J11" s="1" t="s">
        <v>120</v>
      </c>
      <c r="M11" s="1"/>
    </row>
    <row r="12" spans="1:21" ht="20.100000000000001" customHeight="1" x14ac:dyDescent="0.25">
      <c r="A12" s="17" t="str">
        <f>HYPERLINK("#'3.3.1.1-2 Enteric Methane'!A1", "3.3.1.1-2 Enteric Methane")</f>
        <v>3.3.1.1-2 Enteric Methane</v>
      </c>
      <c r="J12" s="1" t="s">
        <v>121</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127</v>
      </c>
      <c r="E21" s="39" t="s">
        <v>128</v>
      </c>
      <c r="F21" s="39" t="s">
        <v>129</v>
      </c>
      <c r="G21" s="39" t="s">
        <v>130</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127</v>
      </c>
      <c r="E38" s="39" t="s">
        <v>132</v>
      </c>
      <c r="F38" s="39" t="s">
        <v>131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128</v>
      </c>
      <c r="E46" s="39" t="s">
        <v>129</v>
      </c>
      <c r="F46" s="39" t="s">
        <v>130</v>
      </c>
      <c r="G46" s="39" t="s">
        <v>132</v>
      </c>
      <c r="H46" s="39" t="s">
        <v>131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128</v>
      </c>
      <c r="E54" s="116" t="s">
        <v>129</v>
      </c>
      <c r="F54" s="116" t="s">
        <v>130</v>
      </c>
      <c r="G54" s="116" t="s">
        <v>132</v>
      </c>
      <c r="H54" s="116" t="s">
        <v>131</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133</v>
      </c>
      <c r="E62" s="39" t="s">
        <v>134</v>
      </c>
      <c r="F62" s="39" t="s">
        <v>135</v>
      </c>
      <c r="G62" s="39" t="s">
        <v>136</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144</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137</v>
      </c>
      <c r="F86" s="39" t="s">
        <v>138</v>
      </c>
      <c r="G86" s="39" t="s">
        <v>144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133</v>
      </c>
      <c r="E98" s="39" t="s">
        <v>139</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133</v>
      </c>
      <c r="E107" s="39" t="s">
        <v>140</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141</v>
      </c>
      <c r="E116" s="39" t="s">
        <v>114</v>
      </c>
      <c r="F116" s="39" t="s">
        <v>142</v>
      </c>
      <c r="G116" s="39" t="s">
        <v>143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137</v>
      </c>
      <c r="F128" s="39" t="s">
        <v>144</v>
      </c>
      <c r="G128" s="108" t="s">
        <v>156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133</v>
      </c>
      <c r="E141" s="39" t="s">
        <v>154</v>
      </c>
      <c r="F141" s="39" t="s">
        <v>155</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Fraction</v>
      </c>
      <c r="M208" s="24"/>
    </row>
    <row r="209" spans="1:13" x14ac:dyDescent="0.25">
      <c r="D209" s="55"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3BB9-136D-4B47-A1BB-D94777677BDA}">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190</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110</v>
      </c>
      <c r="E186" s="39" t="s">
        <v>111</v>
      </c>
      <c r="F186" s="39" t="s">
        <v>112</v>
      </c>
      <c r="G186" s="39" t="s">
        <v>113</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197</v>
      </c>
      <c r="E212" s="39" t="s">
        <v>198</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200</v>
      </c>
      <c r="F231" s="38" t="s">
        <v>201</v>
      </c>
      <c r="G231" s="39" t="s">
        <v>202</v>
      </c>
      <c r="H231" s="39" t="s">
        <v>203</v>
      </c>
      <c r="I231" s="39" t="s">
        <v>204</v>
      </c>
      <c r="J231" s="39" t="s">
        <v>205</v>
      </c>
      <c r="K231" s="39" t="s">
        <v>206</v>
      </c>
      <c r="L231" s="39" t="s">
        <v>207</v>
      </c>
      <c r="M231" s="39" t="s">
        <v>208</v>
      </c>
      <c r="N231" s="39" t="s">
        <v>209</v>
      </c>
      <c r="O231" s="39" t="s">
        <v>210</v>
      </c>
      <c r="P231" s="39" t="s">
        <v>211</v>
      </c>
      <c r="Q231" s="39" t="s">
        <v>212</v>
      </c>
      <c r="R231" s="39" t="s">
        <v>213</v>
      </c>
      <c r="S231" s="39" t="s">
        <v>214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251</v>
      </c>
      <c r="E257" s="39" t="s">
        <v>252</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