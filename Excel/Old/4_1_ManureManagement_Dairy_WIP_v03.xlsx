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8A6397E9-C914-4F68-A041-E17F8C0B08ED}" xr6:coauthVersionLast="47" xr6:coauthVersionMax="47" xr10:uidLastSave="{00000000-0000-0000-0000-000000000000}"/>
  <bookViews>
    <workbookView xWindow="2730" yWindow="2730" windowWidth="28800" windowHeight="15345" firstSheet="9" activeTab="9" xr2:uid="{992023F3-CAB7-4E5B-A348-08D563A0EF40}"/>
  </bookViews>
  <sheets>
    <sheet name="Home" sheetId="71" r:id="rId1"/>
    <sheet name="Results" sheetId="13" r:id="rId2"/>
    <sheet name="Input - Site" sheetId="15" r:id="rId3"/>
    <sheet name="Input - Dairy" sheetId="70" r:id="rId4"/>
    <sheet name="4.3.1.1-2 Methane" sheetId="69" r:id="rId5"/>
    <sheet name="4.3.1.3-4 Direct N20" sheetId="76" r:id="rId6"/>
    <sheet name="4.1.1.5-6 Atmos Deposition" sheetId="82" r:id="rId7"/>
    <sheet name="4.1.1.9 Manure applied to soils" sheetId="81" r:id="rId8"/>
    <sheet name="Constants - Dairy" sheetId="79" r:id="rId9"/>
    <sheet name="Constants - Common" sheetId="102" r:id="rId10"/>
    <sheet name="Constants - Livestock" sheetId="43" r:id="rId11"/>
    <sheet name="Acknowledgements" sheetId="72" r:id="rId12"/>
    <sheet name="Tab template" sheetId="74" r:id="rId13"/>
  </sheets>
  <externalReferences>
    <externalReference r:id="rId14"/>
    <externalReference r:id="rId15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[0]!Common_InputFunctions.Utility_LookupValueInTableNumber(_xlpm.LeachingZone, _xlpm.LeachingZoneLookup, _xlpm.LeachingZoneFracWETLookup), _xlpm.ProductionSystemFracWET, [0]!Common_InputFunctions.Utility_LookupValueInTableNumber(_xlpm.ProductionSystem,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 localSheetId="9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ntericMethane_Dairy_Equations.VEERG_3_3_1_1__1_TotalAnnualMethaneFromEntericFermentation">_xlfn.LAMBDA(_xlpm.N_j124,_xlpm.M_j124,_xlpm.D_j124,_xlpm.N_j35,_xlpm.M_j35,_xlpm.D_j35,_xlpm.MPW_ENTERIC_j35, ((_xlpm.N_j124 * _xlpm.M_j124 * _xlpm.D_j124) + (_xlpm.N_j35 * _xlpm.M_j35 * _xlpm.D_j35) + (_xlpm.N_j35 * _xlpm.MPW_ENTERIC_j35 * _xlpm.D_j35)) * 10 ^ -3)</definedName>
    <definedName name="EntericMethane_Dairy_Equations.VEERG_3_3_1_1__1_TotalAnnualMethaneFromEntericFermentation_Arguments">_xlfn.LAMBDA(_xlfn.MAKEARRAY(7, 2, _xlfn.LAMBDA(_xlpm.r,_xlpm.c, INDEX({"N_j124","number of dairy cattle in classes j=1,2,4 (head)";"M_j124","daily enteric methane production for classes j=1,2,4 (kg CH4/head/day)";"D_j124","duration of stay on the farm for classes j=1,2,4 (days)";"N_j35","number of dairy cattle in classes j=3,5 (head)";"M_j35","daily enteric methane production for classes j=3,5 (kg CH4/head/day)";"D_j35","duration of stay on the farm for classes j=3,5 (days)";"MPW_ENTERIC_j35","daily methane production for pre-weaned heifer and bull calves (kg CH4/head/day)"}, _xlpm.r, _xlpm.c))))</definedName>
    <definedName name="EntericMethane_Dairy_Equations.VEERG_3_3_1_1__1_TotalAnnualMethaneFromEntericFermentation_LatexEquation">_xlfn.LAMBDA("E_{enteric}=((N_{j=1,2,4}\times M_{j=1,2,4}\times D_{j=1,2,4})+(N_{j=3,5}\times M_{j=3,5}\times D_{j=3,5})+(N_{j=3,5}\times MPW_{ENTERIC,j=3,5}\times D_{j=3,5}))\times 10^{-3}")</definedName>
    <definedName name="EntericMethane_Dairy_Equations.VEERG_3_3_1_1__1_TotalAnnualMethaneFromEntericFermentation_NIRReference">_xlfn.LAMBDA("")</definedName>
    <definedName name="EntericMethane_Dairy_Equations.VEERG_3_3_1_1__1_TotalAnnualMethaneFromEntericFermentation_Source">_xlfn.LAMBDA("VEERG 2026: 3.3.1.1, Equation (1)")</definedName>
    <definedName name="EntericMethane_Dairy_Equations.VEERG_3_3_1_1__1_TotalAnnualMethaneFromEntericFermentation_Title">_xlfn.LAMBDA("Total annual methane production from enteric fermentation in dairy cattle")</definedName>
    <definedName name="EntericMethane_Dairy_Equations.VEERG_3_3_1_1__1_TotalAnnualMethaneFromEntericFermentation_Unit">_xlfn.LAMBDA("t CH4")</definedName>
    <definedName name="EntericMethane_Dairy_Equations.VEERG_3_3_1_1__1_TotalAnnualMethaneFromEntericFermentation_Variable">_xlfn.LAMBDA("E_enteric")</definedName>
    <definedName name="EntericMethane_Dairy_Equations.VEERG_3_3_1_1__2_DailyEntericMethaneProduction">_xlfn.LAMBDA(_xlpm.I_j, 20.7 * _xlpm.I_j * 10 ^ -3)</definedName>
    <definedName name="EntericMethane_Dairy_Equations.VEERG_3_3_1_1__2_DailyEntericMethaneProduction_Arguments">_xlfn.LAMBDA(_xlfn.MAKEARRAY(1, 2, _xlfn.LAMBDA(_xlpm.r,_xlpm.c, INDEX({"I_j","dry matter feed intake (kg DM/head/day)"}, _xlpm.r, _xlpm.c))))</definedName>
    <definedName name="EntericMethane_Dairy_Equations.VEERG_3_3_1_1__2_DailyEntericMethaneProduction_LatexEquation">_xlfn.LAMBDA("M_j=20.7\times I_j\times 10^{-3}")</definedName>
    <definedName name="EntericMethane_Dairy_Equations.VEERG_3_3_1_1__2_DailyEntericMethaneProduction_NIRReference">_xlfn.LAMBDA("Charmley et al. (2015)")</definedName>
    <definedName name="EntericMethane_Dairy_Equations.VEERG_3_3_1_1__2_DailyEntericMethaneProduction_Source">_xlfn.LAMBDA("VEERG 2026: 3.3.1.1, Equation (2)")</definedName>
    <definedName name="EntericMethane_Dairy_Equations.VEERG_3_3_1_1__2_DailyEntericMethaneProduction_Title">_xlfn.LAMBDA("Daily production of enteric methane")</definedName>
    <definedName name="EntericMethane_Dairy_Equations.VEERG_3_3_1_1__2_DailyEntericMethaneProduction_Unit">_xlfn.LAMBDA("kg CH4/head/day")</definedName>
    <definedName name="EntericMethane_Dairy_Equations.VEERG_3_3_1_1__2_DailyEntericMethaneProduction_Variable">_xlfn.LAMBDA("M_j")</definedName>
    <definedName name="EntericMethane_Dairy_Equations.VEERG_3_3_1_1__3_DryMatterFeedIntake">_xlfn.LAMBDA(_xlpm.W_j,_xlpm.LWG_j,_xlpm.MR_j,_xlpm.MI_j, (1.185 + 0.00454 * _xlpm.W_j - 0.0000026 * _xlpm.W_j ^ 2 + 0.315 * _xlpm.LWG_j) ^ 2 * _xlpm.MR_j + _xlpm.MI_j)</definedName>
    <definedName name="EntericMethane_Dairy_Equations.VEERG_3_3_1_1__3_DryMatterFeedIntake_Arguments">_xlfn.LAMBDA(_xlfn.MAKEARRAY(4, 2, _xlfn.LAMBDA(_xlpm.r,_xlpm.c, INDEX({"W_j","liveweight (kg)";"LWG_j","liveweight gain (kg/head/day)";"MR_j","increase in metabolic rate when producing milk (fraction)";"MI_j","additional intake required for milk production (kg DM/head/day)"}, _xlpm.r, _xlpm.c))))</definedName>
    <definedName name="EntericMethane_Dairy_Equations.VEERG_3_3_1_1__3_DryMatterFeedIntake_LatexEquation">_xlfn.LAMBDA("I_j=(1.185+0.00454\times W_j-0.0000026\times W_j^2+0.315\times LWG_j)^2\times MR_j+MI_j")</definedName>
    <definedName name="EntericMethane_Dairy_Equations.VEERG_3_3_1_1__3_DryMatterFeedIntake_NIRReference">_xlfn.LAMBDA("Minson and McDonald (1987)")</definedName>
    <definedName name="EntericMethane_Dairy_Equations.VEERG_3_3_1_1__3_DryMatterFeedIntake_Source">_xlfn.LAMBDA("VEERG 2026: 3.3.1.1, Equation (3)")</definedName>
    <definedName name="EntericMethane_Dairy_Equations.VEERG_3_3_1_1__3_DryMatterFeedIntake_Title">_xlfn.LAMBDA("Feed intake based on Minson and McDonald (1987)")</definedName>
    <definedName name="EntericMethane_Dairy_Equations.VEERG_3_3_1_1__3_DryMatterFeedIntake_Unit">_xlfn.LAMBDA("kg DM/head/day")</definedName>
    <definedName name="EntericMethane_Dairy_Equations.VEERG_3_3_1_1__3_DryMatterFeedIntake_Variable">_xlfn.LAMBDA("I_j")</definedName>
    <definedName name="EntericMethane_Dairy_Equations.VEERG_3_3_1_1__4_AdditionalIntakeForMilkProduction">_xlfn.LAMBDA(_xlpm.MP_j,_xlpm.NE,_xlpm.GEC,_xlpm.k,_xlpm.qm_j, (_xlpm.MP_j * 1.03 * _xlpm.NE) / (_xlpm.GEC * _xlpm.k * _xlpm.qm_j))</definedName>
    <definedName name="EntericMethane_Dairy_Equations.VEERG_3_3_1_1__4_AdditionalIntakeForMilkProduction_Arguments">_xlfn.LAMBDA(_xlfn.MAKEARRAY(5, 2, _xlfn.LAMBDA(_xlpm.r,_xlpm.c, INDEX({"MP_j","milk production (L/head/day)";"NE","net energy (MJ net energy/kg milk)";"GEC","gross energy content (MJ/kgDM)";"k","efficiency of metabolizable energy use for milk production (fraction)";"qm_j","metabolisability of the diet (fraction)"}, _xlpm.r, _xlpm.c))))</definedName>
    <definedName name="EntericMethane_Dairy_Equations.VEERG_3_3_1_1__4_AdditionalIntakeForMilkProduction_LatexEquation">_xlfn.LAMBDA("MI_j=\frac{MP_j\times 1.03\times NE}{GEC\times k\times qm_j}")</definedName>
    <definedName name="EntericMethane_Dairy_Equations.VEERG_3_3_1_1__4_AdditionalIntakeForMilkProduction_NIRReference">_xlfn.LAMBDA("")</definedName>
    <definedName name="EntericMethane_Dairy_Equations.VEERG_3_3_1_1__4_AdditionalIntakeForMilkProduction_Source">_xlfn.LAMBDA("VEERG 2026: 3.3.1.1, Equation (4)")</definedName>
    <definedName name="EntericMethane_Dairy_Equations.VEERG_3_3_1_1__4_AdditionalIntakeForMilkProduction_Title">_xlfn.LAMBDA("Additional intake required for milk production")</definedName>
    <definedName name="EntericMethane_Dairy_Equations.VEERG_3_3_1_1__4_AdditionalIntakeForMilkProduction_Unit">_xlfn.LAMBDA("kg DM/head/day")</definedName>
    <definedName name="EntericMethane_Dairy_Equations.VEERG_3_3_1_1__4_AdditionalIntakeForMilkProduction_Variable">_xlfn.LAMBDA("MI_j")</definedName>
    <definedName name="EntericMethane_Dairy_Equations.VEERG_3_3_1_1__5_MilkProductionFromMilkSolids">_xlfn.LAMBDA(_xlpm.MS_j,_xlpm.FC_j,_xlpm.PC_j, _xlpm.MS_j / (0.01 * (_xlpm.FC_j + _xlpm.PC_j)))</definedName>
    <definedName name="EntericMethane_Dairy_Equations.VEERG_3_3_1_1__5_MilkProductionFromMilkSolids_Arguments">_xlfn.LAMBDA(_xlfn.MAKEARRAY(3, 2, _xlfn.LAMBDA(_xlpm.r,_xlpm.c, INDEX({"MS_j","daily production of milk solids (kg MS/head/day)";"FC_j","fat content in fat and protein corrected milk (per cent)";"PC_j","protein content in fat and protein corrected milk (per cent)"}, _xlpm.r, _xlpm.c))))</definedName>
    <definedName name="EntericMethane_Dairy_Equations.VEERG_3_3_1_1__5_MilkProductionFromMilkSolids_LatexEquation">_xlfn.LAMBDA("MP_j=MS_j/(0.01\times (FC_j+PC_j))")</definedName>
    <definedName name="EntericMethane_Dairy_Equations.VEERG_3_3_1_1__5_MilkProductionFromMilkSolids_NIRReference">_xlfn.LAMBDA("")</definedName>
    <definedName name="EntericMethane_Dairy_Equations.VEERG_3_3_1_1__5_MilkProductionFromMilkSolids_Source">_xlfn.LAMBDA("VEERG 2026: 3.3.1.1, Equation (5)")</definedName>
    <definedName name="EntericMethane_Dairy_Equations.VEERG_3_3_1_1__5_MilkProductionFromMilkSolids_Title">_xlfn.LAMBDA("Milk production converted from milk solids")</definedName>
    <definedName name="EntericMethane_Dairy_Equations.VEERG_3_3_1_1__5_MilkProductionFromMilkSolids_Unit">_xlfn.LAMBDA("L/head/day")</definedName>
    <definedName name="EntericMethane_Dairy_Equations.VEERG_3_3_1_1__5_MilkProductionFromMilkSolids_Variable">_xlfn.LAMBDA("MP_j")</definedName>
    <definedName name="EntericMethane_Dairy_Equations.VEERG_3_3_1_1__6_MetabolisabilityOfDiet">_xlfn.LAMBDA(_xlpm.DMD_j, 0.795 * (_xlpm.DMD_j * 100) - 0.0014)</definedName>
    <definedName name="EntericMethane_Dairy_Equations.VEERG_3_3_1_1__6_MetabolisabilityOfDiet_Arguments">_xlfn.LAMBDA(_xlfn.MAKEARRAY(1, 2, _xlfn.LAMBDA(_xlpm.r,_xlpm.c, INDEX({"DMD_j","dry matter digestibility expressed as a fraction"}, _xlpm.r, _xlpm.c))))</definedName>
    <definedName name="EntericMethane_Dairy_Equations.VEERG_3_3_1_1__6_MetabolisabilityOfDiet_LatexEquation">_xlfn.LAMBDA("qm_j=0.795\times (DMD_j\times 100)-0.0014")</definedName>
    <definedName name="EntericMethane_Dairy_Equations.VEERG_3_3_1_1__6_MetabolisabilityOfDiet_NIRReference">_xlfn.LAMBDA("Minson and McDonald (1987)")</definedName>
    <definedName name="EntericMethane_Dairy_Equations.VEERG_3_3_1_1__6_MetabolisabilityOfDiet_Source">_xlfn.LAMBDA("VEERG 2026: 3.3.1.1, Equation (6)")</definedName>
    <definedName name="EntericMethane_Dairy_Equations.VEERG_3_3_1_1__6_MetabolisabilityOfDiet_Title">_xlfn.LAMBDA("Metabolisability of the diet based on Minson and McDonald (1987)")</definedName>
    <definedName name="EntericMethane_Dairy_Equations.VEERG_3_3_1_1__6_MetabolisabilityOfDiet_Unit">_xlfn.LAMBDA("fraction")</definedName>
    <definedName name="EntericMethane_Dairy_Equations.VEERG_3_3_1_1__6_MetabolisabilityOfDiet_Variable">_xlfn.LAMBDA("qm_j")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InputFunctions_Dairy.CalculateFractionInMMSAfterSolidSeparation">_xlfn.LAMBDA(_xlpm.ProductionSystem,_xlpm.MMSFraction,_xlpm.FractionSeparated, _xlpm.ProductionSystem * (_xlpm.MMSFraction - (_xlpm.MMSFraction * _xlpm.FractionSeparated)))</definedName>
    <definedName name="InputFunctions_Dairy.CalculateFractionInSolidStorage">_xlfn.LAMBDA(_xlpm.ProductionSystem,_xlpm.InitalSolidStorageFraction,_xlpm.MMS1Fraction,_xlpm.MMS1Separated,_xlpm.MMS2Fraction,_xlpm.MMS2Separated,_xlpm.MMS3Fraction,_xlpm.MMS3Separated, _xlpm.ProductionSystem * (_xlpm.InitalSolidStorageFraction + (_xlpm.MMS1Fraction * _xlpm.MMS1Separated) + (_xlpm.MMS2Fraction * _xlpm.MMS2Separated) + (_xlpm.MMS3Fraction * _xlpm.MMS3Separated)))</definedName>
    <definedName name="MMS_Dairy_Methane_Equations.VEERG_4_3_1_1__1_TotalAnnualMethaneFromManureManagement">_xlfn.LAMBDA(_xlpm.N_j124,_xlpm.M_j124m,_xlpm.D_j124,_xlpm.N_j35,_xlpm.M_j35m,_xlpm.D_j35,_xlpm.MPW_manure_j35, ((_xlpm.N_j124 * _xlpm.M_j124m * _xlpm.D_j124) + (_xlpm.N_j35 * _xlpm.M_j35m * _xlpm.D_j35) + (_xlpm.N_j35 * _xlpm.MPW_manure_j35 * _xlpm.D_j35)) * 10 ^ -3)</definedName>
    <definedName name="MMS_Dairy_Methane_Equations.VEERG_4_3_1_1__1_TotalAnnualMethaneFromManureManagement_Arguments">_xlfn.LAMBDA(_xlfn.MAKEARRAY(8, 2, _xlfn.LAMBDA(_xlpm.r,_xlpm.c, INDEX({"N_j124","number of dairy cattle in classes j=1,2,4";"M_j124m","methane production from manure of weaned dairy cattle in classes j=1,2,4 in MMS m (kg CH4/head/day)";"D_j124","duration of stay on farm for classes j=1,2,4 (days)";"N_j35","number of dairy cattle in classes j=3,5";"M_j35m","methane production from manure of weaned dairy cattle in classes j=3,5 in MMS m (kg CH4/head/day)";"D_j35","duration of stay on farm for classes j=3,5 (days)";"MPW_manure_j35","methane production from manure of pre-weaned heifer and bull calves (kg CH4/head/day)";"DPW_j35","duration of stay on farm for pre-weaned heifer and bull calves (days)"}, _xlpm.r, _xlpm.c))))</definedName>
    <definedName name="MMS_Dairy_Methane_Equations.VEERG_4_3_1_1__1_TotalAnnualMethaneFromManureManagement_LatexEquation">_xlfn.LAMBDA("E_{CH4}=((N_{j=1,2,4}\times M_{j=1,2,4,m}\times D_{j=1,2,4})+(N_{j=3,5}\times M_{j=3,5,m}\times D_{j=3,5})+(N_{j=3,5}\times MPW_{manure,j=3,5}\times D_{j=3,5}))\times 10^{-3}")</definedName>
    <definedName name="MMS_Dairy_Methane_Equations.VEERG_4_3_1_1__1_TotalAnnualMethaneFromManureManagement_LatexEquationVariation">_xlfn.LAMBDA("E_{CH4}=((N_{j=1,2,4}\times M_{j=1,2,4,m}\times D_{j=1,2,4})+(N_{j=3,5}\times M_{j=3,5,m}\times D_{j=3,5})+(N_{j=3,5}\times MPW_{manure,j=3,5}\times DPW_{j=3,5}))\times 10^{-3}")</definedName>
    <definedName name="MMS_Dairy_Methane_Equations.VEERG_4_3_1_1__1_TotalAnnualMethaneFromManureManagement_NIRReference">_xlfn.LAMBDA("")</definedName>
    <definedName name="MMS_Dairy_Methane_Equations.VEERG_4_3_1_1__1_TotalAnnualMethaneFromManureManagement_Source">_xlfn.LAMBDA("VEERG 2026: 4.3.1.1, Equation (1)")</definedName>
    <definedName name="MMS_Dairy_Methane_Equations.VEERG_4_3_1_1__1_TotalAnnualMethaneFromManureManagement_Title">_xlfn.LAMBDA("Total annual methane production from manure management")</definedName>
    <definedName name="MMS_Dairy_Methane_Equations.VEERG_4_3_1_1__1_TotalAnnualMethaneFromManureManagement_Unit">_xlfn.LAMBDA("t CH4")</definedName>
    <definedName name="MMS_Dairy_Methane_Equations.VEERG_4_3_1_1__1_TotalAnnualMethaneFromManureManagement_Variable">_xlfn.LAMBDA("E_CH4")</definedName>
    <definedName name="MMS_Dairy_Methane_Equations.VEERG_4_3_1_1__1_TotalAnnualMethaneFromManureManagement_Variation">_xlfn.LAMBDA("VARIATION: Used separate variable for duration of stay on farm for pre-weaned heifer and bull calves.")</definedName>
    <definedName name="MMS_Dairy_Methane_Equations.VEERG_4_3_1_1__1_TotalAnnualMethaneFromManureManagementVariation">_xlfn.LAMBDA(_xlpm.N_j124,_xlpm.M_j124m,_xlpm.D_j124,_xlpm.N_j35,_xlpm.M_j35m,_xlpm.D_j35,_xlpm.MPW_manure_j35,_xlpm.DPW_j35, ((_xlpm.N_j124 * _xlpm.M_j124m * _xlpm.D_j124) + (_xlpm.N_j35 * _xlpm.M_j35m * _xlpm.D_j35) + (_xlpm.N_j35 * _xlpm.MPW_manure_j35 * _xlpm.DPW_j35)) * 10 ^ -3)</definedName>
    <definedName name="MMS_Dairy_Methane_Equations.VEERG_4_3_1_1__2_MethaneFromManureProduction">_xlfn.LAMBDA(_xlpm.VS_j,_xlpm.FVS_jmT1,_xlpm.MCF_im,_xlpm.B_o,_xlpm.rho, _xlpm.VS_j * _xlpm.FVS_jmT1 * _xlpm.MCF_im * _xlpm.B_o * _xlpm.rho)</definedName>
    <definedName name="MMS_Dairy_Methane_Equations.VEERG_4_3_1_1__2_MethaneFromManureProduction_Arguments">_xlfn.LAMBDA(_xlfn.MAKEARRAY(6, 2, _xlfn.LAMBDA(_xlpm.r,_xlpm.c, INDEX({"VS_j","daily volatile solids production per head for dairy cattle (kg/head/day)";"FVS_jmT1","fraction of waste from each class in each management system";"MCF_im","methane conversion factor for temperature zone and MMS";"B_o","emissions potential (m3 CH4/kgVS)";"rho","density of methane (kg/m3)";"i","state"}, _xlpm.r, _xlpm.c))))</definedName>
    <definedName name="MMS_Dairy_Methane_Equations.VEERG_4_3_1_1__2_MethaneFromManureProduction_LatexEquation">_xlfn.LAMBDA("M_{jm}=VS_j\times FVS_{jm,T=1}\times MCF_{im}\times B_o\times \rho")</definedName>
    <definedName name="MMS_Dairy_Methane_Equations.VEERG_4_3_1_1__2_MethaneFromManureProduction_NIRReference">_xlfn.LAMBDA("")</definedName>
    <definedName name="MMS_Dairy_Methane_Equations.VEERG_4_3_1_1__2_MethaneFromManureProduction_Source">_xlfn.LAMBDA("VEERG 2026: 4.3.1.1, Equation (2)")</definedName>
    <definedName name="MMS_Dairy_Methane_Equations.VEERG_4_3_1_1__2_MethaneFromManureProduction_Title">_xlfn.LAMBDA("Methane from manure production from weaned dairy cattle")</definedName>
    <definedName name="MMS_Dairy_Methane_Equations.VEERG_4_3_1_1__2_MethaneFromManureProduction_Unit">_xlfn.LAMBDA("kg CH4/head/day")</definedName>
    <definedName name="MMS_Dairy_Methane_Equations.VEERG_4_3_1_1__2_MethaneFromManureProduction_Variable">_xlfn.LAMBDA("M_jm")</definedName>
    <definedName name="MMS_Dairy_Methane_Equations.VEERG_4_3_1_1__3_VolatileSolidsForWeanedDairyCattle">_xlfn.LAMBDA(_xlpm.I_j,_xlpm.DMD_j,_xlpm.A, (_xlpm.I_j * (1 - _xlpm.DMD_j) + (0.04 * _xlpm.I_j)) * (1 - _xlpm.A))</definedName>
    <definedName name="MMS_Dairy_Methane_Equations.VEERG_4_3_1_1__3_VolatileSolidsForWeanedDairyCattle_Arguments">_xlfn.LAMBDA(_xlfn.MAKEARRAY(3, 2, _xlfn.LAMBDA(_xlpm.r,_xlpm.c, INDEX({"I_j","dry matter feed intake (kgDM/head/day)";"DMD_j","dry matter digestibility";"A","ash content of feed intake"}, _xlpm.r, _xlpm.c))))</definedName>
    <definedName name="MMS_Dairy_Methane_Equations.VEERG_4_3_1_1__3_VolatileSolidsForWeanedDairyCattle_LatexEquation">_xlfn.LAMBDA("VS_j=(I_j\times (1-DMD_j)+(0.04\times I_j))\times (1-A)")</definedName>
    <definedName name="MMS_Dairy_Methane_Equations.VEERG_4_3_1_1__3_VolatileSolidsForWeanedDairyCattle_NIRReference">_xlfn.LAMBDA("")</definedName>
    <definedName name="MMS_Dairy_Methane_Equations.VEERG_4_3_1_1__3_VolatileSolidsForWeanedDairyCattle_Source">_xlfn.LAMBDA("VEERG 2026: 4.3.1.1, Equation (3)")</definedName>
    <definedName name="MMS_Dairy_Methane_Equations.VEERG_4_3_1_1__3_VolatileSolidsForWeanedDairyCattle_Title">_xlfn.LAMBDA("Volatile solids for weaned dairy cattle")</definedName>
    <definedName name="MMS_Dairy_Methane_Equations.VEERG_4_3_1_1__3_VolatileSolidsForWeanedDairyCattle_Unit">_xlfn.LAMBDA("kg/head/day")</definedName>
    <definedName name="MMS_Dairy_Methane_Equations.VEERG_4_3_1_1__3_VolatileSolidsForWeanedDairyCattle_Variable">_xlfn.LAMBDA("VS_j")</definedName>
    <definedName name="MMS_Dairy_Methane_Equations.VEERG_4_3_1_1__4_FractionVolatileSolidsNotSolidStorage">_xlfn.LAMBDA(_xlpm.MMS_jm,_xlpm.SS_m, _xlpm.MMS_jm * (1 - _xlpm.SS_m))</definedName>
    <definedName name="MMS_Dairy_Methane_Equations.VEERG_4_3_1_1__4_FractionVolatileSolidsNotSolidStorage_Arguments">_xlfn.LAMBDA(_xlfn.MAKEARRAY(2, 2, _xlfn.LAMBDA(_xlpm.r,_xlpm.c, INDEX({"MMS_jm","fraction of manure to each primary MMS for each class prior to solid separation";"SS_m","fraction of volatile solids separated to solid storage for each MMS"}, _xlpm.r, _xlpm.c))))</definedName>
    <definedName name="MMS_Dairy_Methane_Equations.VEERG_4_3_1_1__4_FractionVolatileSolidsNotSolidStorage_LatexEquation">_xlfn.LAMBDA("FVS_{jm}=MMS_{jm}\times (1-SS_m)")</definedName>
    <definedName name="MMS_Dairy_Methane_Equations.VEERG_4_3_1_1__4_FractionVolatileSolidsNotSolidStorage_NIRReference">_xlfn.LAMBDA("")</definedName>
    <definedName name="MMS_Dairy_Methane_Equations.VEERG_4_3_1_1__4_FractionVolatileSolidsNotSolidStorage_Source">_xlfn.LAMBDA("VEERG 2026: 4.3.1.1, Equation (4)")</definedName>
    <definedName name="MMS_Dairy_Methane_Equations.VEERG_4_3_1_1__4_FractionVolatileSolidsNotSolidStorage_Title">_xlfn.LAMBDA("Fraction of volatile solids in each system other than solid storage")</definedName>
    <definedName name="MMS_Dairy_Methane_Equations.VEERG_4_3_1_1__4_FractionVolatileSolidsNotSolidStorage_Unit">_xlfn.LAMBDA("fraction")</definedName>
    <definedName name="MMS_Dairy_Methane_Equations.VEERG_4_3_1_1__4_FractionVolatileSolidsNotSolidStorage_Variable">_xlfn.LAMBDA("FVS_jm")</definedName>
    <definedName name="MMS_Dairy_Methane_Equations.VEERG_4_3_1_1__5_FractionVolatileSolidsSolidStorage">_xlfn.LAMBDA(_xlpm.MMS_jm4,_xlpm.MMS_jm179,_xlpm.SS_m, _xlpm.MMS_jm4 + (_xlpm.MMS_jm179 * _xlpm.SS_m))</definedName>
    <definedName name="MMS_Dairy_Methane_Equations.VEERG_4_3_1_1__5_FractionVolatileSolidsSolidStorage_Arguments">_xlfn.LAMBDA(_xlfn.MAKEARRAY(3, 2, _xlfn.LAMBDA(_xlpm.r,_xlpm.c, INDEX({"MMS_jm4","fraction of volatile solids in solid storage before transfer";"MMS_jm179","fraction of volatile solids in MMS m=1,7,9 before transfer";"SS_m","fraction of volatile solids separated to solid storage for each MMS"}, _xlpm.r, _xlpm.c))))</definedName>
    <definedName name="MMS_Dairy_Methane_Equations.VEERG_4_3_1_1__5_FractionVolatileSolidsSolidStorage_LatexEquation">_xlfn.LAMBDA("FVS_{jm=4}=MMS_{jm=4}+(MMS_{jm=1,7,9}\times SS_m)")</definedName>
    <definedName name="MMS_Dairy_Methane_Equations.VEERG_4_3_1_1__5_FractionVolatileSolidsSolidStorage_LatexEquationVariation">_xlfn.LAMBDA("FVS_{jm=4}=MMS_{jm=4}+(MMS_{jm=1}\times SS_{m=1})+(MMS_{jm=7}\times SS_{m=7})+(MMS_{jm=9}\times SS_{m=9})")</definedName>
    <definedName name="MMS_Dairy_Methane_Equations.VEERG_4_3_1_1__5_FractionVolatileSolidsSolidStorage_NIRReference">_xlfn.LAMBDA("")</definedName>
    <definedName name="MMS_Dairy_Methane_Equations.VEERG_4_3_1_1__5_FractionVolatileSolidsSolidStorage_Source">_xlfn.LAMBDA("VEERG 2026: 4.3.1.1, Equation (5)")</definedName>
    <definedName name="MMS_Dairy_Methane_Equations.VEERG_4_3_1_1__5_FractionVolatileSolidsSolidStorage_Title">_xlfn.LAMBDA("Fraction of volatile solids in solid storage")</definedName>
    <definedName name="MMS_Dairy_Methane_Equations.VEERG_4_3_1_1__5_FractionVolatileSolidsSolidStorage_Unit">_xlfn.LAMBDA("fraction")</definedName>
    <definedName name="MMS_Dairy_Methane_Equations.VEERG_4_3_1_1__5_FractionVolatileSolidsSolidStorage_Variable">_xlfn.LAMBDA("FVS_jm4")</definedName>
    <definedName name="MMS_Dairy_Methane_Equations.VEERG_4_3_1_1__5_FractionVolatileSolidsSolidStorage_Variation">_xlfn.LAMBDA("Used separate variables for MMS and SS m 1, 7 and 9.")</definedName>
    <definedName name="MMS_Dairy_Methane_Equations.VEERG_4_3_1_1__5_FractionVolatileSolidsSolidStorageVariation">_xlfn.LAMBDA(_xlpm.MMS_jm4,_xlpm.MMS_jm1,_xlpm.MMS_jm7,_xlpm.MMS_jm9,_xlpm.SS_m1,_xlpm.SS_m7,_xlpm.SS_m9, _xlpm.MMS_jm4 + (_xlpm.MMS_jm1 * _xlpm.SS_m1) + (_xlpm.MMS_jm7 * _xlpm.SS_m7) + (_xlpm.MMS_jm9 * _xlpm.SS_m9))</definedName>
    <definedName name="MMS_Dairy_N2ODirect_Equations.VEERG_4_3_1_3__1_TotalAnnualDirectNitrousOxideEmissionsFromMMS">_xlfn.LAMBDA(_xlpm.MN_jm,_xlpm.EF_m,_xlpm.C_N2O, _xlpm.MN_jm * _xlpm.EF_m * _xlpm.C_N2O * 10 ^ -3)</definedName>
    <definedName name="MMS_Dairy_N2ODirect_Equations.VEERG_4_3_1_3__1_TotalAnnualDirectNitrousOxideEmissionsFromMMS_Arguments">_xlfn.LAMBDA(_xlfn.MAKEARRAY(3, 2, _xlfn.LAMBDA(_xlpm.r,_xlpm.c, INDEX({"MN_jm","total nitrogen in each MMS for dairy cattle classes (kg N)";"EF_m","nitrous oxide emission factor for each MMS (kg N2O-N/kg N deposited)";"C_N2O","factor to convert elemental mass of N2O to molecular mass"}, _xlpm.r, _xlpm.c))))</definedName>
    <definedName name="MMS_Dairy_N2ODirect_Equations.VEERG_4_3_1_3__1_TotalAnnualDirectNitrousOxideEmissionsFromMMS_LatexEquation">_xlfn.LAMBDA("E_{N2O,dir}=MN_{jm}\times EF_m\times C_{N2O}\times 10^{-3}")</definedName>
    <definedName name="MMS_Dairy_N2ODirect_Equations.VEERG_4_3_1_3__1_TotalAnnualDirectNitrousOxideEmissionsFromMMS_NIRReference">_xlfn.LAMBDA("")</definedName>
    <definedName name="MMS_Dairy_N2ODirect_Equations.VEERG_4_3_1_3__1_TotalAnnualDirectNitrousOxideEmissionsFromMMS_Source">_xlfn.LAMBDA("VEERG 2026: 4.3.1.3, Equation (1)")</definedName>
    <definedName name="MMS_Dairy_N2ODirect_Equations.VEERG_4_3_1_3__1_TotalAnnualDirectNitrousOxideEmissionsFromMMS_Title">_xlfn.LAMBDA("Total annual direct nitrous oxide emissions from manure management systems")</definedName>
    <definedName name="MMS_Dairy_N2ODirect_Equations.VEERG_4_3_1_3__1_TotalAnnualDirectNitrousOxideEmissionsFromMMS_Unit">_xlfn.LAMBDA("t N2O")</definedName>
    <definedName name="MMS_Dairy_N2ODirect_Equations.VEERG_4_3_1_3__1_TotalAnnualDirectNitrousOxideEmissionsFromMMS_Variable">_xlfn.LAMBDA("E_N2Odir")</definedName>
    <definedName name="MMS_Dairy_N2ODirect_Equations.VEERG_4_3_1_3__2_TotalNitrogenInEachMMS">_xlfn.LAMBDA(_xlpm.AE_j,_xlpm.MMS_jm, _xlpm.AE_j * _xlpm.MMS_jm)</definedName>
    <definedName name="MMS_Dairy_N2ODirect_Equations.VEERG_4_3_1_3__2_TotalNitrogenInEachMMS_Arguments">_xlfn.LAMBDA(_xlfn.MAKEARRAY(2, 2, _xlfn.LAMBDA(_xlpm.r,_xlpm.c, INDEX({"AE_j","total nitrogen excreted by each dairy class (kg N)";"MMS_jm","manure management system fraction for class j and system m"}, _xlpm.r, _xlpm.c))))</definedName>
    <definedName name="MMS_Dairy_N2ODirect_Equations.VEERG_4_3_1_3__2_TotalNitrogenInEachMMS_LatexEquation">_xlfn.LAMBDA("MN_{jm}=AE_j\times MMS_{jm}")</definedName>
    <definedName name="MMS_Dairy_N2ODirect_Equations.VEERG_4_3_1_3__2_TotalNitrogenInEachMMS_NIRReference">_xlfn.LAMBDA("")</definedName>
    <definedName name="MMS_Dairy_N2ODirect_Equations.VEERG_4_3_1_3__2_TotalNitrogenInEachMMS_Source">_xlfn.LAMBDA("VEERG 2026: 4.3.1.3, Equation (2)")</definedName>
    <definedName name="MMS_Dairy_N2ODirect_Equations.VEERG_4_3_1_3__2_TotalNitrogenInEachMMS_Title">_xlfn.LAMBDA("Total nitrogen in each MMS")</definedName>
    <definedName name="MMS_Dairy_N2ODirect_Equations.VEERG_4_3_1_3__2_TotalNitrogenInEachMMS_Unit">_xlfn.LAMBDA("kg N")</definedName>
    <definedName name="MMS_Dairy_N2ODirect_Equations.VEERG_4_3_1_3__2_TotalNitrogenInEachMMS_Variable">_xlfn.LAMBDA("MN_jm")</definedName>
    <definedName name="MMS_Dairy_N2ODirect_Equations.VEERG_4_3_1_3__3a_TotalAnnualNitrogenExcretedGreaterThanOneYear">_xlfn.LAMBDA(_xlpm.N_j124,_xlpm.NE_j124, _xlpm.N_j124 * _xlpm.NE_j124 * 365)</definedName>
    <definedName name="MMS_Dairy_N2ODirect_Equations.VEERG_4_3_1_3__3a_TotalAnnualNitrogenExcretedGreaterThanOneYear_Arguments">_xlfn.LAMBDA(_xlfn.MAKEARRAY(3, 2, _xlfn.LAMBDA(_xlpm.r,_xlpm.c, INDEX({"N_j124","number of dairy cattle in classes j=1,2,4";"NE_j124","nitrogen excreted by dairy cattle greater than one year old (kg N/head/day)";"D_j124","duration of stay on farm for classes j=1,2,4 (days)"}, _xlpm.r, _xlpm.c))))</definedName>
    <definedName name="MMS_Dairy_N2ODirect_Equations.VEERG_4_3_1_3__3a_TotalAnnualNitrogenExcretedGreaterThanOneYear_LatexEquation">_xlfn.LAMBDA("AE_{j=1,2,4}=N_{j=1,2,4}\times NE_{j=1,2,4}\times 365")</definedName>
    <definedName name="MMS_Dairy_N2ODirect_Equations.VEERG_4_3_1_3__3a_TotalAnnualNitrogenExcretedGreaterThanOneYear_LatexEquationVariation">_xlfn.LAMBDA("AE_{j=1,2,4}=N_{j=1,2,4}\times NE_{j=1,2,4}\times D_{j=1,2,4}")</definedName>
    <definedName name="MMS_Dairy_N2ODirect_Equations.VEERG_4_3_1_3__3a_TotalAnnualNitrogenExcretedGreaterThanOneYear_NIRReference">_xlfn.LAMBDA("")</definedName>
    <definedName name="MMS_Dairy_N2ODirect_Equations.VEERG_4_3_1_3__3a_TotalAnnualNitrogenExcretedGreaterThanOneYear_Source">_xlfn.LAMBDA("VEERG 2026: 4.3.1.3, Equation (3a)")</definedName>
    <definedName name="MMS_Dairy_N2ODirect_Equations.VEERG_4_3_1_3__3a_TotalAnnualNitrogenExcretedGreaterThanOneYear_Title">_xlfn.LAMBDA("Total annual nitrogen excreted by dairy cattle greater than one year old")</definedName>
    <definedName name="MMS_Dairy_N2ODirect_Equations.VEERG_4_3_1_3__3a_TotalAnnualNitrogenExcretedGreaterThanOneYear_Unit">_xlfn.LAMBDA("kg N")</definedName>
    <definedName name="MMS_Dairy_N2ODirect_Equations.VEERG_4_3_1_3__3a_TotalAnnualNitrogenExcretedGreaterThanOneYear_Variable">_xlfn.LAMBDA("AE_j124")</definedName>
    <definedName name="MMS_Dairy_N2ODirect_Equations.VEERG_4_3_1_3__3a_TotalAnnualNitrogenExcretedGreaterThanOneYear_Variation">_xlfn.LAMBDA("VARIATION: Used Duration variables instead of hard-coded 365 value.")</definedName>
    <definedName name="MMS_Dairy_N2ODirect_Equations.VEERG_4_3_1_3__3a_TotalAnnualNitrogenExcretedGreaterThanOneYearVariation">_xlfn.LAMBDA(_xlpm.N_j124,_xlpm.NE_j124,_xlpm.D_j124, _xlpm.N_j124 * _xlpm.NE_j124 * _xlpm.D_j124)</definedName>
    <definedName name="MMS_Dairy_N2ODirect_Equations.VEERG_4_3_1_3__3b_TotalAnnualNitrogenExcretedLessThanOneYear">_xlfn.LAMBDA(_xlpm.N_j35,_xlpm.NE_j35,_xlpm.NPW_j35, (_xlpm.N_j35 * _xlpm.NE_j35 * 281) + (_xlpm.N_j35 * _xlpm.NPW_j35 * 84))</definedName>
    <definedName name="MMS_Dairy_N2ODirect_Equations.VEERG_4_3_1_3__3b_TotalAnnualNitrogenExcretedLessThanOneYear_Arguments">_xlfn.LAMBDA(_xlfn.MAKEARRAY(5, 2, _xlfn.LAMBDA(_xlpm.r,_xlpm.c, INDEX({"N_j35","number of dairy cattle in classes j=3,5";"NE_j35","nitrogen excreted by weaned dairy cattle less than one year old (kg N/head/day)";"NPW_j35","nitrogen excreted by pre-weaned calves (kg N/head/day)";"D_j35","duration of stay on farm for weaned dairy cattle less than one year old (days)";"DPW_j35","duration of stay on farm for pre-weaned calves (days)"}, _xlpm.r, _xlpm.c))))</definedName>
    <definedName name="MMS_Dairy_N2ODirect_Equations.VEERG_4_3_1_3__3b_TotalAnnualNitrogenExcretedLessThanOneYear_LatexEquation">_xlfn.LAMBDA("AE_{j=3,5}=(N_{j=3,5}\times NE_{j=3,5}\times 281)+(N_{j=3,5}\times NPW_{j=3,5}\times 84)")</definedName>
    <definedName name="MMS_Dairy_N2ODirect_Equations.VEERG_4_3_1_3__3b_TotalAnnualNitrogenExcretedLessThanOneYear_LatexEquationVariation">_xlfn.LAMBDA("AE_{j=3,5}=(N_{j=3,5}\times NE_{j=3,5}\times D_{j=3,5})+(N_{j=3,5}\times NPW_{j=3,5}\times DPW_{j=3,5})")</definedName>
    <definedName name="MMS_Dairy_N2ODirect_Equations.VEERG_4_3_1_3__3b_TotalAnnualNitrogenExcretedLessThanOneYear_NIRReference">_xlfn.LAMBDA("")</definedName>
    <definedName name="MMS_Dairy_N2ODirect_Equations.VEERG_4_3_1_3__3b_TotalAnnualNitrogenExcretedLessThanOneYear_Source">_xlfn.LAMBDA("VEERG 2026: 4.3.1.3, Equation (3b)")</definedName>
    <definedName name="MMS_Dairy_N2ODirect_Equations.VEERG_4_3_1_3__3b_TotalAnnualNitrogenExcretedLessThanOneYear_Title">_xlfn.LAMBDA("Total annual nitrogen excreted by dairy cattle less than one year old")</definedName>
    <definedName name="MMS_Dairy_N2ODirect_Equations.VEERG_4_3_1_3__3b_TotalAnnualNitrogenExcretedLessThanOneYear_Unit">_xlfn.LAMBDA("kg N")</definedName>
    <definedName name="MMS_Dairy_N2ODirect_Equations.VEERG_4_3_1_3__3b_TotalAnnualNitrogenExcretedLessThanOneYear_Variable">_xlfn.LAMBDA("AE_j35")</definedName>
    <definedName name="MMS_Dairy_N2ODirect_Equations.VEERG_4_3_1_3__3b_TotalAnnualNitrogenExcretedLessThanOneYear_Variation">_xlfn.LAMBDA("VARIATION: Used Duration variables instead of hard-coded 281 and 84 values.")</definedName>
    <definedName name="MMS_Dairy_N2ODirect_Equations.VEERG_4_3_1_3__3b_TotalAnnualNitrogenExcretedLessThanOneYearVariation">_xlfn.LAMBDA(_xlpm.N_j35,_xlpm.NE_j35,_xlpm.NPW_j35,_xlpm.D_j35,_xlpm.DPW_j35, (_xlpm.N_j35 * _xlpm.NE_j35 * _xlpm.D_j35) + (_xlpm.N_j35 * _xlpm.NPW_j35 * _xlpm.DPW_j35))</definedName>
    <definedName name="MMS_Dairy_N2ODirect_Equations.VEERG_4_3_1_3__4_NitrogenExcretedByDairyCattleGreaterThanOneYear">_xlfn.LAMBDA(_xlpm.CPI_j,_xlpm.NR_j,_xlpm.W_j, (_xlpm.CPI_j / 6.25) - _xlpm.NR_j - ((1.1 * 10 ^ -4 * _xlpm.W_j ^ 0.75) / 6.25))</definedName>
    <definedName name="MMS_Dairy_N2ODirect_Equations.VEERG_4_3_1_3__4_NitrogenExcretedByDairyCattleGreaterThanOneYear_Arguments">_xlfn.LAMBDA(_xlfn.MAKEARRAY(3, 2, _xlfn.LAMBDA(_xlpm.r,_xlpm.c, INDEX({"CPI_j","crude protein intake (kg/head/day)";"NR_j","amount of nitrogen retained by the body (kg N/head/day)";"W_j","liveweight (kg)"}, _xlpm.r, _xlpm.c))))</definedName>
    <definedName name="MMS_Dairy_N2ODirect_Equations.VEERG_4_3_1_3__4_NitrogenExcretedByDairyCattleGreaterThanOneYear_LatexEquation">_xlfn.LAMBDA("NE_j=(\frac{CPI_j}{6.25})-NR_j-\left[\frac{1.1\times10^{-4} \times W_j^{0.75}}{6.25}\right]")</definedName>
    <definedName name="MMS_Dairy_N2ODirect_Equations.VEERG_4_3_1_3__4_NitrogenExcretedByDairyCattleGreaterThanOneYear_NIRReference">_xlfn.LAMBDA("")</definedName>
    <definedName name="MMS_Dairy_N2ODirect_Equations.VEERG_4_3_1_3__4_NitrogenExcretedByDairyCattleGreaterThanOneYear_Source">_xlfn.LAMBDA("VEERG 2026: 4.3.1.3, Equation (4)")</definedName>
    <definedName name="MMS_Dairy_N2ODirect_Equations.VEERG_4_3_1_3__4_NitrogenExcretedByDairyCattleGreaterThanOneYear_Title">_xlfn.LAMBDA("Nitrogen excreted by dairy cattle greater than one year old")</definedName>
    <definedName name="MMS_Dairy_N2ODirect_Equations.VEERG_4_3_1_3__4_NitrogenExcretedByDairyCattleGreaterThanOneYear_Unit">_xlfn.LAMBDA("kg N/head/day")</definedName>
    <definedName name="MMS_Dairy_N2ODirect_Equations.VEERG_4_3_1_3__4_NitrogenExcretedByDairyCattleGreaterThanOneYear_Variable">_xlfn.LAMBDA("NE_j")</definedName>
    <definedName name="MMS_Dairy_N2ODirect_Equations.VEERG_4_3_1_3__5_CrudeProteinIntakeOfDairyCattle">_xlfn.LAMBDA(_xlpm.I_j,_xlpm.CP_j, _xlpm.I_j * _xlpm.CP_j)</definedName>
    <definedName name="MMS_Dairy_N2ODirect_Equations.VEERG_4_3_1_3__5_CrudeProteinIntakeOfDairyCattle_Arguments">_xlfn.LAMBDA(_xlfn.MAKEARRAY(2, 2, _xlfn.LAMBDA(_xlpm.r,_xlpm.c, INDEX({"I_j","dry matter intake (kgDM/head/day)";"CP_j","crude protein content of feed intake (fraction)"}, _xlpm.r, _xlpm.c))))</definedName>
    <definedName name="MMS_Dairy_N2ODirect_Equations.VEERG_4_3_1_3__5_CrudeProteinIntakeOfDairyCattle_LatexEquation">_xlfn.LAMBDA("CPI_j=I_j\times CP_j")</definedName>
    <definedName name="MMS_Dairy_N2ODirect_Equations.VEERG_4_3_1_3__5_CrudeProteinIntakeOfDairyCattle_NIRReference">_xlfn.LAMBDA("")</definedName>
    <definedName name="MMS_Dairy_N2ODirect_Equations.VEERG_4_3_1_3__5_CrudeProteinIntakeOfDairyCattle_Source">_xlfn.LAMBDA("VEERG 2026: 4.3.1.3, Equation (5)")</definedName>
    <definedName name="MMS_Dairy_N2ODirect_Equations.VEERG_4_3_1_3__5_CrudeProteinIntakeOfDairyCattle_Title">_xlfn.LAMBDA("Crude protein intake of dairy cattle")</definedName>
    <definedName name="MMS_Dairy_N2ODirect_Equations.VEERG_4_3_1_3__5_CrudeProteinIntakeOfDairyCattle_Unit">_xlfn.LAMBDA("kg/head/day")</definedName>
    <definedName name="MMS_Dairy_N2ODirect_Equations.VEERG_4_3_1_3__5_CrudeProteinIntakeOfDairyCattle_Variable">_xlfn.LAMBDA("CPI_j")</definedName>
    <definedName name="MMS_Dairy_N2ODirect_Equations.VEERG_4_3_1_3__6_NitrogenRetainedByBody">_xlfn.LAMBDA(_xlpm.MP_j,_xlpm.L_j,_xlpm.Z_j,_xlpm.LWG_j, (((0.032 * _xlpm.MP_j * 1.03) / 6.38) + ((0.212 - 0.008 * (_xlpm.L_j - 2) - ((0.14 - 0.008 * (_xlpm.L_j - 2)) / (1 + EXP(-6 * (_xlpm.Z_j - 0.4))))) * (_xlpm.LWG_j * 0.92))) * (1 / 6.25))</definedName>
    <definedName name="MMS_Dairy_N2ODirect_Equations.VEERG_4_3_1_3__6_NitrogenRetainedByBody_Arguments">_xlfn.LAMBDA(_xlfn.MAKEARRAY(4, 2, _xlfn.LAMBDA(_xlpm.r,_xlpm.c, INDEX({"MP_j","milk production (L/head/day)";"L_j","intake relative to maintenance";"Z_j","relative size";"LWG_j","liveweight gain (kg/day)"}, _xlpm.r, _xlpm.c))))</definedName>
    <definedName name="MMS_Dairy_N2ODirect_Equations.VEERG_4_3_1_3__6_NitrogenRetainedByBody_LatexEquation">_xlfn.LAMBDA("NR_j=\left(\frac{0.032 \times MP_j \times 1.03}{6.38}\right) + \left\{\left(0.212-0.008 \times (L_j - 2) - \left[\frac{0.140-0.008\times(L_j-2)}{1+e^{-6\times(Z_j-0.4)}}\right]\right) \times (LWG_j \times 0.92)\right\} \times \frac{1}{6.25}")</definedName>
    <definedName name="MMS_Dairy_N2ODirect_Equations.VEERG_4_3_1_3__6_NitrogenRetainedByBody_NIRReference">_xlfn.LAMBDA("")</definedName>
    <definedName name="MMS_Dairy_N2ODirect_Equations.VEERG_4_3_1_3__6_NitrogenRetainedByBody_Source">_xlfn.LAMBDA("VEERG 2026: 4.3.1.3, Equation (6)")</definedName>
    <definedName name="MMS_Dairy_N2ODirect_Equations.VEERG_4_3_1_3__6_NitrogenRetainedByBody_Title">_xlfn.LAMBDA("Amount of nitrogen retained by the body")</definedName>
    <definedName name="MMS_Dairy_N2ODirect_Equations.VEERG_4_3_1_3__6_NitrogenRetainedByBody_Unit">_xlfn.LAMBDA("kg N/head/day")</definedName>
    <definedName name="MMS_Dairy_N2ODirect_Equations.VEERG_4_3_1_3__6_NitrogenRetainedByBody_Variable">_xlfn.LAMBDA("NR_j")</definedName>
    <definedName name="MMS_Dairy_N2ODirect_Equations.VEERG_4_3_1_3__7_IntakeRelativeToMaintenance">_xlfn.LAMBDA(_xlpm.I_j,_xlpm.W_j,_xlpm.MR_j,_xlpm.MI_j, _xlpm.I_j / (((1.185 + 0.00454 * _xlpm.W_j - 0.0000026 * _xlpm.W_j ^ 2) ^ 2 * _xlpm.MR_j) + _xlpm.MI_j))</definedName>
    <definedName name="MMS_Dairy_N2ODirect_Equations.VEERG_4_3_1_3__7_IntakeRelativeToMaintenance_Arguments">_xlfn.LAMBDA(_xlfn.MAKEARRAY(4, 2, _xlfn.LAMBDA(_xlpm.r,_xlpm.c, INDEX({"I_j","dry matter intake (kgDM/head/day)";"W_j","liveweight (kg)";"MR_j","increase in metabolic rate when producing milk";"MI_j","additional intake required for milk production (kgDM/head/day)"}, _xlpm.r, _xlpm.c))))</definedName>
    <definedName name="MMS_Dairy_N2ODirect_Equations.VEERG_4_3_1_3__7_IntakeRelativeToMaintenance_LatexEquation">_xlfn.LAMBDA("L_j=\frac{I_j}{(1.185+0.00454\times W_j-0.0000026\times W_j^2)^2\times MR_j+MI_j}")</definedName>
    <definedName name="MMS_Dairy_N2ODirect_Equations.VEERG_4_3_1_3__7_IntakeRelativeToMaintenance_NIRReference">_xlfn.LAMBDA("")</definedName>
    <definedName name="MMS_Dairy_N2ODirect_Equations.VEERG_4_3_1_3__7_IntakeRelativeToMaintenance_Source">_xlfn.LAMBDA("VEERG 2026: 4.3.1.3, Equation (7)")</definedName>
    <definedName name="MMS_Dairy_N2ODirect_Equations.VEERG_4_3_1_3__7_IntakeRelativeToMaintenance_Title">_xlfn.LAMBDA("Intake relative to maintenance")</definedName>
    <definedName name="MMS_Dairy_N2ODirect_Equations.VEERG_4_3_1_3__7_IntakeRelativeToMaintenance_Unit">_xlfn.LAMBDA("ratio")</definedName>
    <definedName name="MMS_Dairy_N2ODirect_Equations.VEERG_4_3_1_3__7_IntakeRelativeToMaintenance_Variable">_xlfn.LAMBDA("L_j")</definedName>
    <definedName name="MMS_Dairy_N2ODirect_Equations.VEERG_4_3_1_3__8_RelativeSize">_xlfn.LAMBDA(_xlpm.W_j,_xlpm.WR_j, _xlpm.W_j / _xlpm.WR_j)</definedName>
    <definedName name="MMS_Dairy_N2ODirect_Equations.VEERG_4_3_1_3__8_RelativeSize_Arguments">_xlfn.LAMBDA(_xlfn.MAKEARRAY(2, 2, _xlfn.LAMBDA(_xlpm.r,_xlpm.c, INDEX({"W_j","liveweight (kg)";"WR_j","reference weight (kg)"}, _xlpm.r, _xlpm.c))))</definedName>
    <definedName name="MMS_Dairy_N2ODirect_Equations.VEERG_4_3_1_3__8_RelativeSize_LatexEquation">_xlfn.LAMBDA("Z_j=\frac{W_j}{WR_j}")</definedName>
    <definedName name="MMS_Dairy_N2ODirect_Equations.VEERG_4_3_1_3__8_RelativeSize_NIRReference">_xlfn.LAMBDA("")</definedName>
    <definedName name="MMS_Dairy_N2ODirect_Equations.VEERG_4_3_1_3__8_RelativeSize_Source">_xlfn.LAMBDA("VEERG 2026: 4.3.1.3, Equation (8)")</definedName>
    <definedName name="MMS_Dairy_N2ODirect_Equations.VEERG_4_3_1_3__8_RelativeSize_Title">_xlfn.LAMBDA("Relative size")</definedName>
    <definedName name="MMS_Dairy_N2ODirect_Equations.VEERG_4_3_1_3__8_RelativeSize_Unit">_xlfn.LAMBDA("ratio")</definedName>
    <definedName name="MMS_Dairy_N2ODirect_Equations.VEERG_4_3_1_3__8_RelativeSize_Variable">_xlfn.LAMBDA("Z_j")</definedName>
    <definedName name="Range_LivestockStartingValues">#REF!</definedName>
    <definedName name="SourceData_Dairy.SourceData_Dairy_AshContent_Data">_xlfn.LAMBDA(0.08)</definedName>
    <definedName name="SourceData_Dairy.SourceData_Dairy_AshContent_Source">_xlfn.LAMBDA("VEERG 2026: 4.3.2.3 CONSTANTS")</definedName>
    <definedName name="SourceData_Dairy.SourceData_Dairy_AshContent_Title">_xlfn.LAMBDA("Ash content of manure")</definedName>
    <definedName name="SourceData_Dairy.SourceData_Dairy_AshContent_Unit">_xlfn.LAMBDA("fraction")</definedName>
    <definedName name="SourceData_Dairy.SourceData_Dairy_AshContent_Variable">_xlfn.LAMBDA("A")</definedName>
    <definedName name="SourceData_Dairy.SourceData_Dairy_AshContent_Variation">_xlfn.LAMBDA("")</definedName>
    <definedName name="SourceData_Dairy.SourceData_Dairy_CrudeProtein_Data">_xlfn.LAMBDA(0.2)</definedName>
    <definedName name="SourceData_Dairy.SourceData_Dairy_CrudeProtein_Source">_xlfn.LAMBDA("VEERG 2026: 4.3.2.2	DATA (METHOD 1 AND 2 OPTIONS)")</definedName>
    <definedName name="SourceData_Dairy.SourceData_Dairy_CrudeProtein_Title">_xlfn.LAMBDA("Crude protein content of feed intake")</definedName>
    <definedName name="SourceData_Dairy.SourceData_Dairy_CrudeProtein_Unit">_xlfn.LAMBDA("fraction")</definedName>
    <definedName name="SourceData_Dairy.SourceData_Dairy_CrudeProtein_Variable">_xlfn.LAMBDA("CP")</definedName>
    <definedName name="SourceData_Dairy.SourceData_Dairy_CrudeProtein_Variation">_xlfn.LAMBDA("")</definedName>
    <definedName name="SourceData_Dairy.SourceData_Dairy_DryMatterDigestibility_Data">_xlfn.LAMBDA(0.75)</definedName>
    <definedName name="SourceData_Dairy.SourceData_Dairy_DryMatterDigestibility_Source">_xlfn.LAMBDA("VEERG 2026: 3.3.2.2	DATA (METHOD 1 AND 2 OPTIONS)")</definedName>
    <definedName name="SourceData_Dairy.SourceData_Dairy_DryMatterDigestibility_Title">_xlfn.LAMBDA("Dry matter digestibility")</definedName>
    <definedName name="SourceData_Dairy.SourceData_Dairy_DryMatterDigestibility_Unit">_xlfn.LAMBDA("fraction")</definedName>
    <definedName name="SourceData_Dairy.SourceData_Dairy_DryMatterDigestibility_Variable">_xlfn.LAMBDA("DMD")</definedName>
    <definedName name="SourceData_Dairy.SourceData_Dairy_DryMatterDigestibility_Variation">_xlfn.LAMBDA("")</definedName>
    <definedName name="SourceData_Dairy.SourceData_Dairy_DurationOfStay_Data">_xlfn.LAMBDA(_xlfn.MAKEARRAY(6, 3, _xlfn.LAMBDA(_xlpm.r,_xlpm.c, INDEX({"Animal class j","Duration (weaned)","Duration (pre-weaned)";"Milking cows",365,0;"Heifers &gt; 1 year",365,0;"Heifers &lt; 1 year",281,84;"Bulls &gt; 1 year",365,0;"Bulls &lt; 1 year",281,84}, _xlpm.r, _xlpm.c))))</definedName>
    <definedName name="SourceData_Dairy.SourceData_Dairy_DurationOfStay_Source">_xlfn.LAMBDA("VEERG 2026: 4.3.2.2	DATA (METHOD 1 AND 2 OPTIONS)")</definedName>
    <definedName name="SourceData_Dairy.SourceData_Dairy_DurationOfStay_Title">_xlfn.LAMBDA("Duration of stay for each dairy cattle input class")</definedName>
    <definedName name="SourceData_Dairy.SourceData_Dairy_DurationOfStay_Unit">_xlfn.LAMBDA("days")</definedName>
    <definedName name="SourceData_Dairy.SourceData_Dairy_DurationOfStay_Variable">_xlfn.LAMBDA("D")</definedName>
    <definedName name="SourceData_Dairy.SourceData_Dairy_DurationOfStay_Variation">_xlfn.LAMBDA("VARIATION OF SOURCE: Converted free text in document to table, matching livestock class names.")</definedName>
    <definedName name="SourceData_Dairy.SourceData_Dairy_EfficiencyOfUseOfMetabolizableEnergy_Data">_xlfn.LAMBDA(0.6)</definedName>
    <definedName name="SourceData_Dairy.SourceData_Dairy_EfficiencyOfUseOfMetabolizableEnergy_Source">_xlfn.LAMBDA("VEERG 2026: 3.3.2.3 CONSTANTS")</definedName>
    <definedName name="SourceData_Dairy.SourceData_Dairy_EfficiencyOfUseOfMetabolizableEnergy_Title">_xlfn.LAMBDA("Efficiency of use of metabolizable energy for milk production")</definedName>
    <definedName name="SourceData_Dairy.SourceData_Dairy_EfficiencyOfUseOfMetabolizableEnergy_Unit">_xlfn.LAMBDA("fraction")</definedName>
    <definedName name="SourceData_Dairy.SourceData_Dairy_EfficiencyOfUseOfMetabolizableEnergy_Variable">_xlfn.LAMBDA("k")</definedName>
    <definedName name="SourceData_Dairy.SourceData_Dairy_EfficiencyOfUseOfMetabolizableEnergy_Variation">_xlfn.LAMBDA("")</definedName>
    <definedName name="SourceData_Dairy.SourceData_Dairy_EFNitrousOxidePerMMS_Data">_xlfn.LAMBDA(_xlfn.MAKEARRAY(6, 3, _xlfn.LAMBDA(_xlpm.r,_xlpm.c, INDEX({"MMS m","EFm","NIR reference";"m=14 Pasture",0,"Pasture range and paddock";"m=1 Anerobic Lagoon",0,"Anaerobic lagoon";"m=2 Daily Spread: Sump and dispersal",0,"Sump and dispersal system";"m=3 Daily Spread: Drains to paddocks",0,"Drains to paddock";"m=4 Solid Storage",0.005,"Solid storage"}, _xlpm.r, _xlpm.c))))</definedName>
    <definedName name="SourceData_Dairy.SourceData_Dairy_EFNitrousOxidePerMMS_Source">_xlfn.LAMBDA("VEERG 2026: Table A.1.3.11")</definedName>
    <definedName name="SourceData_Dairy.SourceData_Dairy_EFNitrousOxidePerMMS_Title">_xlfn.LAMBDA("Table A.1.3.11: Dairy cattle - EF for nitrous oxide per MMS (kg N2O-N/kg N) (EFm)")</definedName>
    <definedName name="SourceData_Dairy.SourceData_Dairy_EFNitrousOxidePerMMS_Unit">_xlfn.LAMBDA("kg N2O-N/kg N")</definedName>
    <definedName name="SourceData_Dairy.SourceData_Dairy_EFNitrousOxidePerMMS_Variable">_xlfn.LAMBDA("EFm")</definedName>
    <definedName name="SourceData_Dairy.SourceData_Dairy_EFNitrousOxidePerMMS_Variation">_xlfn.LAMBDA("VARIATION OF SOURCE: Added 'NIR reference' column to aid lookup")</definedName>
    <definedName name="SourceData_Dairy.SourceData_Dairy_FractionVolatileSolidsVoidedMMS_Data">_xlfn.LAMBDA(_xlfn.MAKEARRAY(5, 4, _xlfn.LAMBDA(_xlpm.r,_xlpm.c, INDEX({"Area","Pasture","Milking Shed","Feedpad";"System 1: Grazed Only",0.89,0.11,0;"System 2: On feedpad for &lt;10 hr/day for &lt;3 months/year",0.79,0.11,0.1;"System 3: Pasture-grazed 3-9 months/year",0.534,0.11,0.356;"System 4: Zero grazing",0,0.11,0.89}, _xlpm.r, _xlpm.c))))</definedName>
    <definedName name="SourceData_Dairy.SourceData_Dairy_FractionVolatileSolidsVoidedMMS_Source">_xlfn.LAMBDA("VEERG 2026: Table A.1.3.10")</definedName>
    <definedName name="SourceData_Dairy.SourceData_Dairy_FractionVolatileSolidsVoidedMMS_Title">_xlfn.LAMBDA("Table A.1.3.10: Dairy cattle - Fraction of volatile solids voided to each manure management system (fraction) (MMSjm)")</definedName>
    <definedName name="SourceData_Dairy.SourceData_Dairy_FractionVolatileSolidsVoidedMMS_Unit">_xlfn.LAMBDA("fraction")</definedName>
    <definedName name="SourceData_Dairy.SourceData_Dairy_FractionVolatileSolidsVoidedMMS_Variable">_xlfn.LAMBDA("MMSjm")</definedName>
    <definedName name="SourceData_Dairy.SourceData_Dairy_FractionVolatileSolidsVoidedMMS_Variation">_xlfn.LAMBDA("VARIATION OF SOURCE: Excluded 'Annual fraction of time spent per area' row as this information is in the table title.")</definedName>
    <definedName name="SourceData_Dairy.SourceData_Dairy_GrossEnergyContent_Data">_xlfn.LAMBDA(18.4)</definedName>
    <definedName name="SourceData_Dairy.SourceData_Dairy_GrossEnergyContent_Source">_xlfn.LAMBDA("VEERG 2026: 3.3.2.3 CONSTANTS")</definedName>
    <definedName name="SourceData_Dairy.SourceData_Dairy_GrossEnergyContent_Title">_xlfn.LAMBDA("Gross energy content of feed dry matter")</definedName>
    <definedName name="SourceData_Dairy.SourceData_Dairy_GrossEnergyContent_Unit">_xlfn.LAMBDA("MJ / kgDM")</definedName>
    <definedName name="SourceData_Dairy.SourceData_Dairy_GrossEnergyContent_Variable">_xlfn.LAMBDA("GEC")</definedName>
    <definedName name="SourceData_Dairy.SourceData_Dairy_GrossEnergyContent_Variation">_xlfn.LAMBDA("")</definedName>
    <definedName name="SourceData_Dairy.SourceData_Dairy_IncreasedMetabolicRateMilk_Data">_xlfn.LAMBDA(_xlfn.MAKEARRAY(3, 2, _xlfn.LAMBDA(_xlpm.r,_xlpm.c, INDEX({"Animal Class j","MRj";"Milking cows, and house cows",1.1;"All other cattle classes",1}, _xlpm.r, _xlpm.c))))</definedName>
    <definedName name="SourceData_Dairy.SourceData_Dairy_IncreasedMetabolicRateMilk_Source">_xlfn.LAMBDA("VEERG 2026: Table A.1.3.9")</definedName>
    <definedName name="SourceData_Dairy.SourceData_Dairy_IncreasedMetabolicRateMilk_Title">_xlfn.LAMBDA("Table A.1.3.9: Dairy cattle - Increased metabolic rate when producing milk (kg DM/head/day) (MRj)")</definedName>
    <definedName name="SourceData_Dairy.SourceData_Dairy_IncreasedMetabolicRateMilk_Unit">_xlfn.LAMBDA("kg DM/head/day")</definedName>
    <definedName name="SourceData_Dairy.SourceData_Dairy_IncreasedMetabolicRateMilk_Variable">_xlfn.LAMBDA("MRj")</definedName>
    <definedName name="SourceData_Dairy.SourceData_Dairy_IncreasedMetabolicRateMilk_Variation">_xlfn.LAMBDA("")</definedName>
    <definedName name="SourceData_Dairy.SourceData_Dairy_LiveweightBulls_Data">_xlfn.LAMBDA(_xlfn.MAKEARRAY(2, 3, _xlfn.LAMBDA(_xlpm.r,_xlpm.c, INDEX({"Breed","Bulls &gt;1","Bulls &lt;1 (weaned)";"All breeds",600,225}, _xlpm.r, _xlpm.c))))</definedName>
    <definedName name="SourceData_Dairy.SourceData_Dairy_LiveweightBulls_Source">_xlfn.LAMBDA("VEERG 2026: Table A.1.3.2")</definedName>
    <definedName name="SourceData_Dairy.SourceData_Dairy_LiveweightBulls_Title">_xlfn.LAMBDA("Table A.1.3.2: Dairy cattle - Liveweight (kg) - Bulls (Wj)")</definedName>
    <definedName name="SourceData_Dairy.SourceData_Dairy_LiveweightBulls_Unit">_xlfn.LAMBDA("kg")</definedName>
    <definedName name="SourceData_Dairy.SourceData_Dairy_LiveweightBulls_Variable">_xlfn.LAMBDA("Wj")</definedName>
    <definedName name="SourceData_Dairy.SourceData_Dairy_LiveweightBulls_Variation">_xlfn.LAMBDA("")</definedName>
    <definedName name="SourceData_Dairy.SourceData_Dairy_LiveweightCowsAndHeifers_Data">_xlfn.LAMBDA(_xlfn.MAKEARRAY(11, 4, _xlfn.LAMBDA(_xlpm.r,_xlpm.c, INDEX({"Breed","Milking Cows","Heifers &gt;1","Heifers &lt;1 (weaned)";"Medium Friesian",550,380,155;"Large Friesian",600,415,170;"Holstein-Friesian",650,450,185;"Friesian crossbred",500,350,145;"Jersey",400,275,115;"Jersey crossbred",450,315,130;"Ayrshire",540,375,150;"Guernsey",480,335,140;"Brown Swiss",600,415,170;"Illawarra/Aussie Red",550,375,150}, _xlpm.r, _xlpm.c))))</definedName>
    <definedName name="SourceData_Dairy.SourceData_Dairy_LiveweightCowsAndHeifers_Source">_xlfn.LAMBDA("VEERG 2026: Table A.1.3.1")</definedName>
    <definedName name="SourceData_Dairy.SourceData_Dairy_LiveweightCowsAndHeifers_Title">_xlfn.LAMBDA("Table A.1.3.1: Dairy cattle - Liveweight (kg) - Cows and Heifers (Wj)")</definedName>
    <definedName name="SourceData_Dairy.SourceData_Dairy_LiveweightCowsAndHeifers_Unit">_xlfn.LAMBDA("kg")</definedName>
    <definedName name="SourceData_Dairy.SourceData_Dairy_LiveweightCowsAndHeifers_Variable">_xlfn.LAMBDA("Wj")</definedName>
    <definedName name="SourceData_Dairy.SourceData_Dairy_LiveweightCowsAndHeifers_Variation">_xlfn.LAMBDA("VARIATION OF SOURCE: Excluded 'Reference', as the value is consistently 'Dairy Australia [1]' and is not used in calculation.")</definedName>
    <definedName name="SourceData_Dairy.SourceData_Dairy_LiveweightGain_Data">_xlfn.LAMBDA(_xlfn.MAKEARRAY(2, 5, _xlfn.LAMBDA(_xlpm.r,_xlpm.c, INDEX({"Milking Cows","Heifers &gt;1","Heifers &lt;1 (weaned)","Bulls &gt;1","Bulls &lt;1 (weaned)";0.016,0.6,0.57,0.1,0.8}, _xlpm.r, _xlpm.c))))</definedName>
    <definedName name="SourceData_Dairy.SourceData_Dairy_LiveweightGain_Source">_xlfn.LAMBDA("VEERG 2026: Table A.1.3.3")</definedName>
    <definedName name="SourceData_Dairy.SourceData_Dairy_LiveweightGain_Title">_xlfn.LAMBDA("Table A.1.3.3: Dairy cattle - Liveweight gain (kg) (LWGj)")</definedName>
    <definedName name="SourceData_Dairy.SourceData_Dairy_LiveweightGain_Unit">_xlfn.LAMBDA("kg")</definedName>
    <definedName name="SourceData_Dairy.SourceData_Dairy_LiveweightGain_Variable">_xlfn.LAMBDA("LWGj")</definedName>
    <definedName name="SourceData_Dairy.SourceData_Dairy_LiveweightGain_Variation">_xlfn.LAMBDA("")</definedName>
    <definedName name="SourceData_Dairy.SourceData_Dairy_MCF_Data">_xlfn.LAMBDA(_xlfn.MAKEARRAY(7, 10, _xlfn.LAMBDA(_xlpm.r,_xlpm.c, INDEX({"MMS m","ACT","NSW","NT","QLD","SA","TAS","VIC","WA","NIR reference";"Pasture",0.01,0.01,0.02,0.01,0.01,0.01,0.01,0.01,"Pasture range and paddock";"Anaerobic lagoon",0.72,0.76,0.8,0.78,0.74,0.69,0.73,0.76,"Anaerobic lagoon";"Daily spread - Sump and dispersal systems",0.005,0.005,0.01,0.005,0.005,0.001,0.005,0.005,"Sump and dispersal system";"Daily spread - Drains to paddocks (a)",0.15,0.18,0.5,0.24,0.17,0.13,0.17,0.18,"Drains to paddock";"Solid Storage",0.02,0.02,0.02,0.02,0.02,0.02,0.02,0.02,"Solid storage";"Direct Application to soil",0,0,0,0,0,0,0,0,"Direct application"}, _xlpm.r, _xlpm.c))))</definedName>
    <definedName name="SourceData_Dairy.SourceData_Dairy_MCF_Source">_xlfn.LAMBDA("VEERG 2026: Table A.1.3.6")</definedName>
    <definedName name="SourceData_Dairy.SourceData_Dairy_MCF_Title">_xlfn.LAMBDA("Table A.1.3.6: Dairy cattle - Dairy cattle - MCFs (fraction) (MCFjm)")</definedName>
    <definedName name="SourceData_Dairy.SourceData_Dairy_MCF_Unit">_xlfn.LAMBDA("fraction")</definedName>
    <definedName name="SourceData_Dairy.SourceData_Dairy_MCF_Variable">_xlfn.LAMBDA("MCFjm")</definedName>
    <definedName name="SourceData_Dairy.SourceData_Dairy_MCF_Variation">_xlfn.LAMBDA("VARIATION OF SOURCE: Added 'NIR reference' column to aid lookup")</definedName>
    <definedName name="SourceData_Dairy.SourceData_Dairy_MethaneEmissionsPotential_Data">_xlfn.LAMBDA(0.24)</definedName>
    <definedName name="SourceData_Dairy.SourceData_Dairy_MethaneEmissionsPotential_Source">_xlfn.LAMBDA("VEERG 2026: 4.3.2.3 CONSTANTS")</definedName>
    <definedName name="SourceData_Dairy.SourceData_Dairy_MethaneEmissionsPotential_Title">_xlfn.LAMBDA("Methane emissions potential")</definedName>
    <definedName name="SourceData_Dairy.SourceData_Dairy_MethaneEmissionsPotential_Unit">_xlfn.LAMBDA("m3 CH4/kgVS")</definedName>
    <definedName name="SourceData_Dairy.SourceData_Dairy_MethaneEmissionsPotential_Variable">_xlfn.LAMBDA("B_o")</definedName>
    <definedName name="SourceData_Dairy.SourceData_Dairy_MethaneEmissionsPotential_Variation">_xlfn.LAMBDA("")</definedName>
    <definedName name="SourceData_Dairy.SourceData_Dairy_MethaneProductionPreWeanedCalves_Data">_xlfn.LAMBDA(_xlfn.MAKEARRAY(3, 2, _xlfn.LAMBDA(_xlpm.r,_xlpm.c, INDEX({"Animal Class j","MPWENTERIC";"Heifers &lt; 1 year",0.0176;"Bulls &lt; 1 year",0.0204}, _xlpm.r, _xlpm.c))))</definedName>
    <definedName name="SourceData_Dairy.SourceData_Dairy_MethaneProductionPreWeanedCalves_Source">_xlfn.LAMBDA("VEERG 2026: Table A.1.3.8")</definedName>
    <definedName name="SourceData_Dairy.SourceData_Dairy_MethaneProductionPreWeanedCalves_Title">_xlfn.LAMBDA("Table A.1.3.8: Dairy cattle - Methane production for pre-weaned heifer and bull calves (kg CH4/head/day) (MPWENTERIC,j=3,5)")</definedName>
    <definedName name="SourceData_Dairy.SourceData_Dairy_MethaneProductionPreWeanedCalves_Unit">_xlfn.LAMBDA("kg CH4/head/day")</definedName>
    <definedName name="SourceData_Dairy.SourceData_Dairy_MethaneProductionPreWeanedCalves_Variable">_xlfn.LAMBDA("MPWENTERIC,j=3,5")</definedName>
    <definedName name="SourceData_Dairy.SourceData_Dairy_MethaneProductionPreWeanedCalves_Variation">_xlfn.LAMBDA("")</definedName>
    <definedName name="SourceData_Dairy.SourceData_Dairy_NetEnergy_Data">_xlfn.LAMBDA(3.054)</definedName>
    <definedName name="SourceData_Dairy.SourceData_Dairy_NetEnergy_Source">_xlfn.LAMBDA("VEERG 2026: 3.3.2.3 CONSTANTS")</definedName>
    <definedName name="SourceData_Dairy.SourceData_Dairy_NetEnergy_Title">_xlfn.LAMBDA("Net energy required for milk production")</definedName>
    <definedName name="SourceData_Dairy.SourceData_Dairy_NetEnergy_Unit">_xlfn.LAMBDA("MJ net energy / kg milk")</definedName>
    <definedName name="SourceData_Dairy.SourceData_Dairy_NetEnergy_Variable">_xlfn.LAMBDA("NE")</definedName>
    <definedName name="SourceData_Dairy.SourceData_Dairy_NetEnergy_Variation">_xlfn.LAMBDA("")</definedName>
    <definedName name="SourceData_Dairy.SourceData_Dairy_NitrousOxideEFsAndFracGASM_Data">_xlfn.LAMBDA(_xlfn.MAKEARRAY(6, 4, _xlfn.LAMBDA(_xlpm.r,_xlpm.c, INDEX({"MMS m","EFm (kg N2O-N/kg N excreted)","FracGASMm (kg N2O-N/kg N excreted)","NIR reference";"M=14 Pasture",0,0,"Pasture range and paddock";"M=1 Anaerobic lagoon",0,0.35,"Anaerobic lagoon";"M=2 Daily Spread - Sump and Dispersal",0,0.07,"Sump and dispersal system";"M=3 Daily Spread - Drains to Paddock",0,0.2,"Drains to paddock";"M=3 Solid Storage",0.005,0.3,"Solid storage"}, _xlpm.r, _xlpm.c))))</definedName>
    <definedName name="SourceData_Dairy.SourceData_Dairy_NitrousOxideEFsAndFracGASM_Source">_xlfn.LAMBDA("VEERG 2026: Table A.1.3.7")</definedName>
    <definedName name="SourceData_Dairy.SourceData_Dairy_NitrousOxideEFsAndFracGASM_Title">_xlfn.LAMBDA("Table A.1.3.7: Dairy cattle - Nitrous oxide EFs and fraction of N volatilised by MMS")</definedName>
    <definedName name="SourceData_Dairy.SourceData_Dairy_NitrousOxideEFsAndFracGASM_Unit">_xlfn.LAMBDA("kg N2O-N/kg N excreted")</definedName>
    <definedName name="SourceData_Dairy.SourceData_Dairy_NitrousOxideEFsAndFracGASM_Variable">_xlfn.LAMBDA("EFm; FracGASMm")</definedName>
    <definedName name="SourceData_Dairy.SourceData_Dairy_NitrousOxideEFsAndFracGASM_Variation">_xlfn.LAMBDA("VARIATION OF SOURCE: Added 'NIR reference' column to aid lookup")</definedName>
    <definedName name="SourceData_Dairy.SourceData_Dairy_PreWeanedCalves_Data">_xlfn.LAMBDA(_xlfn.MAKEARRAY(4, 4, _xlfn.LAMBDA(_xlpm.r,_xlpm.c, INDEX({"Animal class j","CH4 production","Volatile solids (VSj=3,5)","Nitrogen Excreted (NPWj=3,5)";"","(kg/day)","(kg/day)","(kg/day)";"Heifers&lt;1",0.0176,0.2685,0.0137;"Bulls&lt;1",0.0204,0.3003,0.0092}, _xlpm.r, _xlpm.c))))</definedName>
    <definedName name="SourceData_Dairy.SourceData_Dairy_PreWeanedCalves_Source">_xlfn.LAMBDA("VEERG 2026: Table A.1.3.5")</definedName>
    <definedName name="SourceData_Dairy.SourceData_Dairy_PreWeanedCalves_Title">_xlfn.LAMBDA("Table A.1.3.5: Dairy cattle - Data for pre - weaned calves")</definedName>
    <definedName name="SourceData_Dairy.SourceData_Dairy_PreWeanedCalves_Unit">_xlfn.LAMBDA("kg/day")</definedName>
    <definedName name="SourceData_Dairy.SourceData_Dairy_PreWeanedCalves_Variable">_xlfn.LAMBDA("VSj=3,5; NPWj=3,5")</definedName>
    <definedName name="SourceData_Dairy.SourceData_Dairy_PreWeanedCalves_Variation">_xlfn.LAMBDA("VARIATION OF SOURCE: Added 'Animal class j' column header")</definedName>
    <definedName name="SourceData_Dairy.SourceData_Dairy_ReferenceWeights_Data">_xlfn.LAMBDA(_xlfn.MAKEARRAY(2, 5, _xlfn.LAMBDA(_xlpm.r,_xlpm.c, INDEX({"Milking Cows","Heifers &gt;1","Heifers &lt;1 (weaned)","Bulls &gt;1","Bulls &lt;1 (weaned)";590,590,590,770,770}, _xlpm.r, _xlpm.c))))</definedName>
    <definedName name="SourceData_Dairy.SourceData_Dairy_ReferenceWeights_Source">_xlfn.LAMBDA("VEERG 2026: Table A.1.3.4")</definedName>
    <definedName name="SourceData_Dairy.SourceData_Dairy_ReferenceWeights_Title">_xlfn.LAMBDA("Table A.1.3.4: Dairy cattle - Reference weights (kg) (WRj)")</definedName>
    <definedName name="SourceData_Dairy.SourceData_Dairy_ReferenceWeights_Unit">_xlfn.LAMBDA("kg")</definedName>
    <definedName name="SourceData_Dairy.SourceData_Dairy_ReferenceWeights_Variable">_xlfn.LAMBDA("WRj")</definedName>
    <definedName name="SourceData_Dairy.SourceData_Dairy_ReferenceWeights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9" l="1"/>
  <c r="G8" i="79"/>
  <c r="G189" i="69"/>
  <c r="O54" i="82"/>
  <c r="G54" i="82"/>
  <c r="E30" i="15"/>
  <c r="E33" i="15"/>
  <c r="E32" i="15"/>
  <c r="E31" i="15"/>
  <c r="O55" i="82"/>
  <c r="G55" i="82"/>
  <c r="O63" i="82"/>
  <c r="G63" i="82"/>
  <c r="R267" i="69"/>
  <c r="G267" i="69"/>
  <c r="G190" i="69"/>
  <c r="H188" i="102" a="1"/>
  <c r="H188" i="102" s="1"/>
  <c r="G188" i="102" a="1"/>
  <c r="G188" i="102" s="1"/>
  <c r="F188" i="102" a="1"/>
  <c r="F188" i="102" s="1"/>
  <c r="E188" i="102" a="1"/>
  <c r="E188" i="102" s="1"/>
  <c r="D188" i="102" a="1"/>
  <c r="D188" i="102" s="1"/>
  <c r="H187" i="102" a="1"/>
  <c r="H187" i="102" s="1"/>
  <c r="G187" i="102" a="1"/>
  <c r="G187" i="102" s="1"/>
  <c r="F187" i="102" a="1"/>
  <c r="F187" i="102" s="1"/>
  <c r="E187" i="102" a="1"/>
  <c r="E187" i="102" s="1"/>
  <c r="D187" i="102" a="1"/>
  <c r="D187" i="102" s="1"/>
  <c r="H186" i="102" a="1"/>
  <c r="H186" i="102" s="1"/>
  <c r="G186" i="102" a="1"/>
  <c r="G186" i="102" s="1"/>
  <c r="F186" i="102" a="1"/>
  <c r="F186" i="102" s="1"/>
  <c r="E186" i="102" a="1"/>
  <c r="E186" i="102" s="1"/>
  <c r="D186" i="102" a="1"/>
  <c r="D186" i="102" s="1"/>
  <c r="H185" i="102" a="1"/>
  <c r="H185" i="102" s="1"/>
  <c r="G185" i="102" a="1"/>
  <c r="G185" i="102" s="1"/>
  <c r="F185" i="102" a="1"/>
  <c r="F185" i="102" s="1"/>
  <c r="E185" i="102" a="1"/>
  <c r="E185" i="102" s="1"/>
  <c r="D185" i="102" a="1"/>
  <c r="D185" i="102" s="1"/>
  <c r="H184" i="102" a="1"/>
  <c r="H184" i="102" s="1"/>
  <c r="G184" i="102" a="1"/>
  <c r="G184" i="102" s="1"/>
  <c r="F184" i="102" a="1"/>
  <c r="F184" i="102" s="1"/>
  <c r="E184" i="102" a="1"/>
  <c r="E184" i="102" s="1"/>
  <c r="D184" i="102" a="1"/>
  <c r="D184" i="102" s="1"/>
  <c r="H183" i="102" a="1"/>
  <c r="H183" i="102" s="1"/>
  <c r="G183" i="102" a="1"/>
  <c r="G183" i="102" s="1"/>
  <c r="F183" i="102" a="1"/>
  <c r="F183" i="102" s="1"/>
  <c r="E183" i="102" a="1"/>
  <c r="E183" i="102" s="1"/>
  <c r="D183" i="102" a="1"/>
  <c r="D183" i="102" s="1"/>
  <c r="H182" i="102" a="1"/>
  <c r="H182" i="102" s="1"/>
  <c r="G182" i="102" a="1"/>
  <c r="G182" i="102" s="1"/>
  <c r="F182" i="102" a="1"/>
  <c r="F182" i="102" s="1"/>
  <c r="E182" i="102" a="1"/>
  <c r="E182" i="102" s="1"/>
  <c r="D182" i="102" a="1"/>
  <c r="D182" i="102" s="1"/>
  <c r="H181" i="102" a="1"/>
  <c r="H181" i="102" s="1"/>
  <c r="G181" i="102" a="1"/>
  <c r="G181" i="102" s="1"/>
  <c r="F181" i="102" a="1"/>
  <c r="F181" i="102" s="1"/>
  <c r="E181" i="102" a="1"/>
  <c r="E181" i="102" s="1"/>
  <c r="D181" i="102" a="1"/>
  <c r="D181" i="102" s="1"/>
  <c r="H180" i="102" a="1"/>
  <c r="H180" i="102" s="1"/>
  <c r="G180" i="102" a="1"/>
  <c r="G180" i="102" s="1"/>
  <c r="F180" i="102" a="1"/>
  <c r="F180" i="102" s="1"/>
  <c r="E180" i="102" a="1"/>
  <c r="E180" i="102" s="1"/>
  <c r="D180" i="102" a="1"/>
  <c r="D180" i="102" s="1"/>
  <c r="H179" i="102" a="1"/>
  <c r="H179" i="102" s="1"/>
  <c r="G179" i="102" a="1"/>
  <c r="G179" i="102" s="1"/>
  <c r="F179" i="102" a="1"/>
  <c r="F179" i="102" s="1"/>
  <c r="E179" i="102" a="1"/>
  <c r="E179" i="102" s="1"/>
  <c r="D179" i="102" a="1"/>
  <c r="D179" i="102" s="1"/>
  <c r="H178" i="102" a="1"/>
  <c r="H178" i="102" s="1"/>
  <c r="G178" i="102" a="1"/>
  <c r="G178" i="102" s="1"/>
  <c r="F178" i="102" a="1"/>
  <c r="F178" i="102" s="1"/>
  <c r="E178" i="102" a="1"/>
  <c r="E178" i="102" s="1"/>
  <c r="D178" i="102" a="1"/>
  <c r="D178" i="102" s="1"/>
  <c r="H177" i="102" a="1"/>
  <c r="H177" i="102" s="1"/>
  <c r="G177" i="102" a="1"/>
  <c r="G177" i="102" s="1"/>
  <c r="F177" i="102" a="1"/>
  <c r="F177" i="102" s="1"/>
  <c r="E177" i="102" a="1"/>
  <c r="E177" i="102" s="1"/>
  <c r="D177" i="102" a="1"/>
  <c r="D177" i="102" s="1"/>
  <c r="H176" i="102" a="1"/>
  <c r="H176" i="102" s="1"/>
  <c r="G176" i="102" a="1"/>
  <c r="G176" i="102" s="1"/>
  <c r="F176" i="102" a="1"/>
  <c r="F176" i="102" s="1"/>
  <c r="E176" i="102" a="1"/>
  <c r="E176" i="102" s="1"/>
  <c r="D176" i="102" a="1"/>
  <c r="D176" i="102" s="1"/>
  <c r="D170" i="102" a="1"/>
  <c r="D170" i="102" s="1"/>
  <c r="D169" i="102" a="1"/>
  <c r="D169" i="102" s="1"/>
  <c r="D168" i="102" a="1"/>
  <c r="D168" i="102" s="1"/>
  <c r="D167" i="102" a="1"/>
  <c r="D167" i="102" s="1"/>
  <c r="E164" i="102"/>
  <c r="E164" i="102" a="1"/>
  <c r="D164" i="102" a="1"/>
  <c r="D164" i="102" s="1"/>
  <c r="D163" i="102" a="1"/>
  <c r="D163" i="102" s="1"/>
  <c r="D162" i="102" a="1"/>
  <c r="D162" i="102" s="1"/>
  <c r="D159" i="102" a="1"/>
  <c r="D159" i="102" s="1"/>
  <c r="D158" i="102" a="1"/>
  <c r="D158" i="102" s="1"/>
  <c r="D157" i="102" a="1"/>
  <c r="D157" i="102" s="1"/>
  <c r="D156" i="102"/>
  <c r="D156" i="102" a="1"/>
  <c r="D153" i="102" a="1"/>
  <c r="D153" i="102" s="1"/>
  <c r="D152" i="102" a="1"/>
  <c r="D152" i="102" s="1"/>
  <c r="D151" i="102" a="1"/>
  <c r="D151" i="102" s="1"/>
  <c r="D150" i="102" a="1"/>
  <c r="D150" i="102" s="1"/>
  <c r="E147" i="102" a="1"/>
  <c r="E147" i="102" s="1"/>
  <c r="D147" i="102" a="1"/>
  <c r="D147" i="102" s="1"/>
  <c r="E146" i="102" a="1"/>
  <c r="E146" i="102" s="1"/>
  <c r="D146" i="102" a="1"/>
  <c r="D146" i="102" s="1"/>
  <c r="E145" i="102" a="1"/>
  <c r="E145" i="102" s="1"/>
  <c r="D145" i="102" a="1"/>
  <c r="D145" i="102" s="1"/>
  <c r="E144" i="102" a="1"/>
  <c r="E144" i="102" s="1"/>
  <c r="D144" i="102" a="1"/>
  <c r="D144" i="102" s="1"/>
  <c r="E143" i="102" a="1"/>
  <c r="E143" i="102" s="1"/>
  <c r="D143" i="102" a="1"/>
  <c r="D143" i="102" s="1"/>
  <c r="D140" i="102" a="1"/>
  <c r="D140" i="102" s="1"/>
  <c r="D139" i="102" a="1"/>
  <c r="D139" i="102" s="1"/>
  <c r="E136" i="102" a="1"/>
  <c r="E136" i="102" s="1"/>
  <c r="D136" i="102" a="1"/>
  <c r="D136" i="102" s="1"/>
  <c r="E135" i="102" a="1"/>
  <c r="E135" i="102" s="1"/>
  <c r="D135" i="102" a="1"/>
  <c r="D135" i="102" s="1"/>
  <c r="D133" i="102"/>
  <c r="D133" i="102" a="1"/>
  <c r="D132" i="102" a="1"/>
  <c r="D132" i="102" s="1"/>
  <c r="E129" i="102" a="1"/>
  <c r="E129" i="102" s="1"/>
  <c r="D129" i="102" a="1"/>
  <c r="D129" i="102" s="1"/>
  <c r="E128" i="102" a="1"/>
  <c r="E128" i="102" s="1"/>
  <c r="D128" i="102" a="1"/>
  <c r="D128" i="102" s="1"/>
  <c r="D125" i="102" a="1"/>
  <c r="D125" i="102" s="1"/>
  <c r="D124" i="102"/>
  <c r="D124" i="102" a="1"/>
  <c r="G121" i="102" a="1"/>
  <c r="G121" i="102" s="1"/>
  <c r="F121" i="102" a="1"/>
  <c r="F121" i="102" s="1"/>
  <c r="E121" i="102" a="1"/>
  <c r="E121" i="102" s="1"/>
  <c r="D121" i="102" a="1"/>
  <c r="D121" i="102" s="1"/>
  <c r="G120" i="102" a="1"/>
  <c r="G120" i="102" s="1"/>
  <c r="F120" i="102" a="1"/>
  <c r="F120" i="102" s="1"/>
  <c r="E120" i="102" a="1"/>
  <c r="E120" i="102" s="1"/>
  <c r="D120" i="102" a="1"/>
  <c r="D120" i="102" s="1"/>
  <c r="D117" i="102" a="1"/>
  <c r="D117" i="102" s="1"/>
  <c r="D116" i="102" a="1"/>
  <c r="D116" i="102" s="1"/>
  <c r="D115" i="102" a="1"/>
  <c r="D115" i="102" s="1"/>
  <c r="G112" i="102" a="1"/>
  <c r="G112" i="102" s="1"/>
  <c r="F112" i="102" a="1"/>
  <c r="F112" i="102" s="1"/>
  <c r="E112" i="102" a="1"/>
  <c r="E112" i="102" s="1"/>
  <c r="D112" i="102" a="1"/>
  <c r="D112" i="102" s="1"/>
  <c r="G111" i="102" a="1"/>
  <c r="G111" i="102" s="1"/>
  <c r="F111" i="102" a="1"/>
  <c r="F111" i="102" s="1"/>
  <c r="E111" i="102" a="1"/>
  <c r="E111" i="102" s="1"/>
  <c r="D111" i="102" a="1"/>
  <c r="D111" i="102" s="1"/>
  <c r="G110" i="102" a="1"/>
  <c r="G110" i="102" s="1"/>
  <c r="F110" i="102" a="1"/>
  <c r="F110" i="102" s="1"/>
  <c r="E110" i="102" a="1"/>
  <c r="E110" i="102" s="1"/>
  <c r="D110" i="102" a="1"/>
  <c r="D110" i="102" s="1"/>
  <c r="D107" i="102" a="1"/>
  <c r="D107" i="102" s="1"/>
  <c r="D106" i="102" a="1"/>
  <c r="D106" i="102" s="1"/>
  <c r="D105" i="102" a="1"/>
  <c r="D105" i="102" s="1"/>
  <c r="D98" i="102" a="1"/>
  <c r="D98" i="102" s="1"/>
  <c r="S97" i="102" a="1"/>
  <c r="S97" i="102" s="1"/>
  <c r="R97" i="102" a="1"/>
  <c r="R97" i="102" s="1"/>
  <c r="Q97" i="102" a="1"/>
  <c r="Q97" i="102" s="1"/>
  <c r="P97" i="102" a="1"/>
  <c r="P97" i="102" s="1"/>
  <c r="O97" i="102" a="1"/>
  <c r="O97" i="102" s="1"/>
  <c r="N97" i="102" a="1"/>
  <c r="N97" i="102" s="1"/>
  <c r="M97" i="102" a="1"/>
  <c r="M97" i="102" s="1"/>
  <c r="L97" i="102" a="1"/>
  <c r="L97" i="102" s="1"/>
  <c r="K97" i="102" a="1"/>
  <c r="K97" i="102" s="1"/>
  <c r="J97" i="102" a="1"/>
  <c r="J97" i="102" s="1"/>
  <c r="I97" i="102" a="1"/>
  <c r="I97" i="102" s="1"/>
  <c r="H97" i="102" a="1"/>
  <c r="H97" i="102" s="1"/>
  <c r="G97" i="102" a="1"/>
  <c r="G97" i="102" s="1"/>
  <c r="F97" i="102" a="1"/>
  <c r="F97" i="102" s="1"/>
  <c r="E97" i="102" a="1"/>
  <c r="E97" i="102" s="1"/>
  <c r="D97" i="102" a="1"/>
  <c r="D97" i="102" s="1"/>
  <c r="S96" i="102" a="1"/>
  <c r="S96" i="102" s="1"/>
  <c r="R96" i="102" a="1"/>
  <c r="R96" i="102" s="1"/>
  <c r="Q96" i="102" a="1"/>
  <c r="Q96" i="102" s="1"/>
  <c r="P96" i="102" a="1"/>
  <c r="P96" i="102" s="1"/>
  <c r="O96" i="102" a="1"/>
  <c r="O96" i="102" s="1"/>
  <c r="N96" i="102" a="1"/>
  <c r="N96" i="102" s="1"/>
  <c r="M96" i="102" a="1"/>
  <c r="M96" i="102" s="1"/>
  <c r="L96" i="102" a="1"/>
  <c r="L96" i="102" s="1"/>
  <c r="K96" i="102" a="1"/>
  <c r="K96" i="102" s="1"/>
  <c r="J96" i="102" a="1"/>
  <c r="J96" i="102" s="1"/>
  <c r="I96" i="102" a="1"/>
  <c r="I96" i="102" s="1"/>
  <c r="H96" i="102" a="1"/>
  <c r="H96" i="102" s="1"/>
  <c r="G96" i="102" a="1"/>
  <c r="G96" i="102" s="1"/>
  <c r="F96" i="102" a="1"/>
  <c r="F96" i="102" s="1"/>
  <c r="E96" i="102" a="1"/>
  <c r="E96" i="102" s="1"/>
  <c r="D96" i="102" a="1"/>
  <c r="D96" i="102" s="1"/>
  <c r="S95" i="102" a="1"/>
  <c r="S95" i="102" s="1"/>
  <c r="R95" i="102" a="1"/>
  <c r="R95" i="102" s="1"/>
  <c r="Q95" i="102" a="1"/>
  <c r="Q95" i="102" s="1"/>
  <c r="P95" i="102" a="1"/>
  <c r="P95" i="102" s="1"/>
  <c r="O95" i="102" a="1"/>
  <c r="O95" i="102" s="1"/>
  <c r="N95" i="102" a="1"/>
  <c r="N95" i="102" s="1"/>
  <c r="M95" i="102" a="1"/>
  <c r="M95" i="102" s="1"/>
  <c r="L95" i="102" a="1"/>
  <c r="L95" i="102" s="1"/>
  <c r="K95" i="102" a="1"/>
  <c r="K95" i="102" s="1"/>
  <c r="J95" i="102" a="1"/>
  <c r="J95" i="102" s="1"/>
  <c r="I95" i="102" a="1"/>
  <c r="I95" i="102" s="1"/>
  <c r="H95" i="102" a="1"/>
  <c r="H95" i="102" s="1"/>
  <c r="G95" i="102" a="1"/>
  <c r="G95" i="102" s="1"/>
  <c r="F95" i="102" a="1"/>
  <c r="F95" i="102" s="1"/>
  <c r="E95" i="102" a="1"/>
  <c r="E95" i="102" s="1"/>
  <c r="D95" i="102" a="1"/>
  <c r="D95" i="102" s="1"/>
  <c r="S94" i="102" a="1"/>
  <c r="S94" i="102" s="1"/>
  <c r="R94" i="102" a="1"/>
  <c r="R94" i="102" s="1"/>
  <c r="Q94" i="102" a="1"/>
  <c r="Q94" i="102" s="1"/>
  <c r="P94" i="102" a="1"/>
  <c r="P94" i="102" s="1"/>
  <c r="O94" i="102" a="1"/>
  <c r="O94" i="102" s="1"/>
  <c r="N94" i="102" a="1"/>
  <c r="N94" i="102" s="1"/>
  <c r="M94" i="102" a="1"/>
  <c r="M94" i="102" s="1"/>
  <c r="L94" i="102" a="1"/>
  <c r="L94" i="102" s="1"/>
  <c r="K94" i="102" a="1"/>
  <c r="K94" i="102" s="1"/>
  <c r="J94" i="102" a="1"/>
  <c r="J94" i="102" s="1"/>
  <c r="I94" i="102" a="1"/>
  <c r="I94" i="102" s="1"/>
  <c r="H94" i="102" a="1"/>
  <c r="H94" i="102" s="1"/>
  <c r="G94" i="102" a="1"/>
  <c r="G94" i="102" s="1"/>
  <c r="F94" i="102" a="1"/>
  <c r="F94" i="102" s="1"/>
  <c r="E94" i="102" a="1"/>
  <c r="E94" i="102" s="1"/>
  <c r="D94" i="102" a="1"/>
  <c r="D94" i="102" s="1"/>
  <c r="S93" i="102" a="1"/>
  <c r="S93" i="102" s="1"/>
  <c r="R93" i="102" a="1"/>
  <c r="R93" i="102" s="1"/>
  <c r="Q93" i="102" a="1"/>
  <c r="Q93" i="102" s="1"/>
  <c r="P93" i="102" a="1"/>
  <c r="P93" i="102" s="1"/>
  <c r="O93" i="102" a="1"/>
  <c r="O93" i="102" s="1"/>
  <c r="N93" i="102" a="1"/>
  <c r="N93" i="102" s="1"/>
  <c r="M93" i="102" a="1"/>
  <c r="M93" i="102" s="1"/>
  <c r="L93" i="102" a="1"/>
  <c r="L93" i="102" s="1"/>
  <c r="K93" i="102" a="1"/>
  <c r="K93" i="102" s="1"/>
  <c r="J93" i="102" a="1"/>
  <c r="J93" i="102" s="1"/>
  <c r="I93" i="102" a="1"/>
  <c r="I93" i="102" s="1"/>
  <c r="H93" i="102" a="1"/>
  <c r="H93" i="102" s="1"/>
  <c r="G93" i="102" a="1"/>
  <c r="G93" i="102" s="1"/>
  <c r="F93" i="102" a="1"/>
  <c r="F93" i="102" s="1"/>
  <c r="E93" i="102" a="1"/>
  <c r="E93" i="102" s="1"/>
  <c r="D93" i="102" a="1"/>
  <c r="D93" i="102" s="1"/>
  <c r="S92" i="102" a="1"/>
  <c r="S92" i="102" s="1"/>
  <c r="R92" i="102" a="1"/>
  <c r="R92" i="102" s="1"/>
  <c r="Q92" i="102" a="1"/>
  <c r="Q92" i="102" s="1"/>
  <c r="P92" i="102" a="1"/>
  <c r="P92" i="102" s="1"/>
  <c r="O92" i="102" a="1"/>
  <c r="O92" i="102" s="1"/>
  <c r="N92" i="102" a="1"/>
  <c r="N92" i="102" s="1"/>
  <c r="M92" i="102" a="1"/>
  <c r="M92" i="102" s="1"/>
  <c r="L92" i="102" a="1"/>
  <c r="L92" i="102" s="1"/>
  <c r="K92" i="102" a="1"/>
  <c r="K92" i="102" s="1"/>
  <c r="J92" i="102" a="1"/>
  <c r="J92" i="102" s="1"/>
  <c r="I92" i="102" a="1"/>
  <c r="I92" i="102" s="1"/>
  <c r="H92" i="102" a="1"/>
  <c r="H92" i="102" s="1"/>
  <c r="G92" i="102" a="1"/>
  <c r="G92" i="102" s="1"/>
  <c r="F92" i="102" a="1"/>
  <c r="F92" i="102" s="1"/>
  <c r="E92" i="102" a="1"/>
  <c r="E92" i="102" s="1"/>
  <c r="D92" i="102" a="1"/>
  <c r="D92" i="102" s="1"/>
  <c r="S91" i="102" a="1"/>
  <c r="S91" i="102" s="1"/>
  <c r="R91" i="102" a="1"/>
  <c r="R91" i="102" s="1"/>
  <c r="Q91" i="102" a="1"/>
  <c r="Q91" i="102" s="1"/>
  <c r="P91" i="102" a="1"/>
  <c r="P91" i="102" s="1"/>
  <c r="O91" i="102" a="1"/>
  <c r="O91" i="102" s="1"/>
  <c r="N91" i="102" a="1"/>
  <c r="N91" i="102" s="1"/>
  <c r="M91" i="102" a="1"/>
  <c r="M91" i="102" s="1"/>
  <c r="L91" i="102" a="1"/>
  <c r="L91" i="102" s="1"/>
  <c r="K91" i="102" a="1"/>
  <c r="K91" i="102" s="1"/>
  <c r="J91" i="102" a="1"/>
  <c r="J91" i="102" s="1"/>
  <c r="I91" i="102" a="1"/>
  <c r="I91" i="102" s="1"/>
  <c r="H91" i="102" a="1"/>
  <c r="H91" i="102" s="1"/>
  <c r="G91" i="102" a="1"/>
  <c r="G91" i="102" s="1"/>
  <c r="F91" i="102" a="1"/>
  <c r="F91" i="102" s="1"/>
  <c r="E91" i="102" a="1"/>
  <c r="E91" i="102" s="1"/>
  <c r="D91" i="102" a="1"/>
  <c r="D91" i="102" s="1"/>
  <c r="S90" i="102" a="1"/>
  <c r="S90" i="102" s="1"/>
  <c r="R90" i="102" a="1"/>
  <c r="R90" i="102" s="1"/>
  <c r="Q90" i="102" a="1"/>
  <c r="Q90" i="102" s="1"/>
  <c r="P90" i="102" a="1"/>
  <c r="P90" i="102" s="1"/>
  <c r="O90" i="102" a="1"/>
  <c r="O90" i="102" s="1"/>
  <c r="N90" i="102" a="1"/>
  <c r="N90" i="102" s="1"/>
  <c r="M90" i="102" a="1"/>
  <c r="M90" i="102" s="1"/>
  <c r="L90" i="102" a="1"/>
  <c r="L90" i="102" s="1"/>
  <c r="K90" i="102" a="1"/>
  <c r="K90" i="102" s="1"/>
  <c r="J90" i="102" a="1"/>
  <c r="J90" i="102" s="1"/>
  <c r="I90" i="102" a="1"/>
  <c r="I90" i="102" s="1"/>
  <c r="H90" i="102" a="1"/>
  <c r="H90" i="102" s="1"/>
  <c r="G90" i="102" a="1"/>
  <c r="G90" i="102" s="1"/>
  <c r="F90" i="102" a="1"/>
  <c r="F90" i="102" s="1"/>
  <c r="E90" i="102" a="1"/>
  <c r="E90" i="102" s="1"/>
  <c r="D90" i="102" a="1"/>
  <c r="D90" i="102" s="1"/>
  <c r="D83" i="102" a="1"/>
  <c r="D83" i="102" s="1"/>
  <c r="D82" i="102" a="1"/>
  <c r="D82" i="102" s="1"/>
  <c r="D81" i="102" a="1"/>
  <c r="D81" i="102" s="1"/>
  <c r="E77" i="102" a="1"/>
  <c r="E77" i="102" s="1"/>
  <c r="D77" i="102" a="1"/>
  <c r="D77" i="102" s="1"/>
  <c r="E76" i="102" a="1"/>
  <c r="E76" i="102" s="1"/>
  <c r="D76" i="102" a="1"/>
  <c r="D76" i="102" s="1"/>
  <c r="E75" i="102" a="1"/>
  <c r="E75" i="102" s="1"/>
  <c r="D75" i="102" a="1"/>
  <c r="D75" i="102" s="1"/>
  <c r="E74" i="102" a="1"/>
  <c r="E74" i="102" s="1"/>
  <c r="D74" i="102" a="1"/>
  <c r="D74" i="102" s="1"/>
  <c r="E73" i="102" a="1"/>
  <c r="E73" i="102" s="1"/>
  <c r="D73" i="102" a="1"/>
  <c r="D73" i="102" s="1"/>
  <c r="E72" i="102" a="1"/>
  <c r="E72" i="102" s="1"/>
  <c r="D72" i="102" a="1"/>
  <c r="D72" i="102" s="1"/>
  <c r="E71" i="102" a="1"/>
  <c r="E71" i="102" s="1"/>
  <c r="D71" i="102" a="1"/>
  <c r="D71" i="102" s="1"/>
  <c r="E70" i="102" a="1"/>
  <c r="E70" i="102" s="1"/>
  <c r="D70" i="102" a="1"/>
  <c r="D70" i="102" s="1"/>
  <c r="E69" i="102" a="1"/>
  <c r="E69" i="102" s="1"/>
  <c r="D69" i="102" a="1"/>
  <c r="D69" i="102" s="1"/>
  <c r="E68" i="102" a="1"/>
  <c r="E68" i="102" s="1"/>
  <c r="D68" i="102" a="1"/>
  <c r="D68" i="102" s="1"/>
  <c r="E67" i="102" a="1"/>
  <c r="E67" i="102" s="1"/>
  <c r="D67" i="102" a="1"/>
  <c r="D67" i="102" s="1"/>
  <c r="E66" i="102" a="1"/>
  <c r="E66" i="102" s="1"/>
  <c r="D66" i="102" a="1"/>
  <c r="D66" i="102" s="1"/>
  <c r="E65" i="102" a="1"/>
  <c r="E65" i="102" s="1"/>
  <c r="D65" i="102" a="1"/>
  <c r="D65" i="102" s="1"/>
  <c r="E64" i="102" a="1"/>
  <c r="E64" i="102" s="1"/>
  <c r="D64" i="102" a="1"/>
  <c r="D64" i="102" s="1"/>
  <c r="D59" i="102" a="1"/>
  <c r="D59" i="102" s="1"/>
  <c r="D58" i="102" a="1"/>
  <c r="D58" i="102" s="1"/>
  <c r="D57" i="102" a="1"/>
  <c r="D57" i="102" s="1"/>
  <c r="G54" i="102" a="1"/>
  <c r="G54" i="102" s="1"/>
  <c r="F54" i="102" a="1"/>
  <c r="F54" i="102" s="1"/>
  <c r="E54" i="102" a="1"/>
  <c r="E54" i="102" s="1"/>
  <c r="D54" i="102" a="1"/>
  <c r="D54" i="102" s="1"/>
  <c r="G53" i="102" a="1"/>
  <c r="G53" i="102" s="1"/>
  <c r="F53" i="102" a="1"/>
  <c r="F53" i="102" s="1"/>
  <c r="E53" i="102" a="1"/>
  <c r="E53" i="102" s="1"/>
  <c r="D53" i="102" a="1"/>
  <c r="D53" i="102" s="1"/>
  <c r="G52" i="102" a="1"/>
  <c r="G52" i="102" s="1"/>
  <c r="F52" i="102" a="1"/>
  <c r="F52" i="102" s="1"/>
  <c r="E52" i="102" a="1"/>
  <c r="E52" i="102" s="1"/>
  <c r="D52" i="102" a="1"/>
  <c r="D52" i="102" s="1"/>
  <c r="G51" i="102" a="1"/>
  <c r="G51" i="102" s="1"/>
  <c r="F51" i="102" a="1"/>
  <c r="F51" i="102" s="1"/>
  <c r="E51" i="102" a="1"/>
  <c r="E51" i="102" s="1"/>
  <c r="D51" i="102" a="1"/>
  <c r="D51" i="102" s="1"/>
  <c r="G50" i="102" a="1"/>
  <c r="G50" i="102" s="1"/>
  <c r="F50" i="102" a="1"/>
  <c r="F50" i="102" s="1"/>
  <c r="E50" i="102" a="1"/>
  <c r="E50" i="102" s="1"/>
  <c r="D50" i="102" a="1"/>
  <c r="D50" i="102" s="1"/>
  <c r="G49" i="102" a="1"/>
  <c r="G49" i="102" s="1"/>
  <c r="F49" i="102" a="1"/>
  <c r="F49" i="102" s="1"/>
  <c r="E49" i="102" a="1"/>
  <c r="E49" i="102" s="1"/>
  <c r="D49" i="102" a="1"/>
  <c r="D49" i="102" s="1"/>
  <c r="G48" i="102" a="1"/>
  <c r="G48" i="102" s="1"/>
  <c r="F48" i="102" a="1"/>
  <c r="F48" i="102" s="1"/>
  <c r="E48" i="102" a="1"/>
  <c r="E48" i="102" s="1"/>
  <c r="D48" i="102" a="1"/>
  <c r="D48" i="102" s="1"/>
  <c r="D46" i="102" a="1"/>
  <c r="D46" i="102" s="1"/>
  <c r="D45" i="102" a="1"/>
  <c r="D45" i="102" s="1"/>
  <c r="E43" i="102" a="1"/>
  <c r="E43" i="102" s="1"/>
  <c r="D43" i="102" a="1"/>
  <c r="D43" i="102" s="1"/>
  <c r="E42" i="102" a="1"/>
  <c r="E42" i="102" s="1"/>
  <c r="D42" i="102" a="1"/>
  <c r="D42" i="102" s="1"/>
  <c r="E41" i="102" a="1"/>
  <c r="E41" i="102" s="1"/>
  <c r="D41" i="102" a="1"/>
  <c r="D41" i="102" s="1"/>
  <c r="E40" i="102" a="1"/>
  <c r="E40" i="102" s="1"/>
  <c r="D40" i="102" a="1"/>
  <c r="D40" i="102" s="1"/>
  <c r="E39" i="102" a="1"/>
  <c r="E39" i="102" s="1"/>
  <c r="D39" i="102" a="1"/>
  <c r="D39" i="102" s="1"/>
  <c r="E38" i="102" a="1"/>
  <c r="E38" i="102" s="1"/>
  <c r="D38" i="102" a="1"/>
  <c r="D38" i="102" s="1"/>
  <c r="E37" i="102" a="1"/>
  <c r="E37" i="102" s="1"/>
  <c r="D37" i="102" a="1"/>
  <c r="D37" i="102" s="1"/>
  <c r="D35" i="102"/>
  <c r="D35" i="102" a="1"/>
  <c r="D34" i="102" a="1"/>
  <c r="D34" i="102" s="1"/>
  <c r="D30" i="102" a="1"/>
  <c r="D30" i="102" s="1"/>
  <c r="D29" i="102" a="1"/>
  <c r="D29" i="102" s="1"/>
  <c r="D28" i="102" a="1"/>
  <c r="D28" i="102" s="1"/>
  <c r="D27" i="102" a="1"/>
  <c r="D27" i="102" s="1"/>
  <c r="D26" i="102" a="1"/>
  <c r="D26" i="102" s="1"/>
  <c r="D25" i="102" a="1"/>
  <c r="D25" i="102" s="1"/>
  <c r="D24" i="102" a="1"/>
  <c r="D24" i="102" s="1"/>
  <c r="D23" i="102" a="1"/>
  <c r="D23" i="102" s="1"/>
  <c r="D22" i="102" a="1"/>
  <c r="D22" i="102" s="1"/>
  <c r="D21" i="102" a="1"/>
  <c r="D21" i="102" s="1"/>
  <c r="D19" i="102" a="1"/>
  <c r="D19" i="102" s="1"/>
  <c r="D18" i="102" a="1"/>
  <c r="D18" i="102" s="1"/>
  <c r="F14" i="102" a="1"/>
  <c r="F14" i="102" s="1"/>
  <c r="E14" i="102" a="1"/>
  <c r="E14" i="102" s="1"/>
  <c r="D14" i="102" a="1"/>
  <c r="D14" i="102" s="1"/>
  <c r="F13" i="102" a="1"/>
  <c r="F13" i="102" s="1"/>
  <c r="E13" i="102" a="1"/>
  <c r="E13" i="102" s="1"/>
  <c r="D13" i="102" a="1"/>
  <c r="D13" i="102" s="1"/>
  <c r="F12" i="102" a="1"/>
  <c r="F12" i="102" s="1"/>
  <c r="E12" i="102" a="1"/>
  <c r="E12" i="102" s="1"/>
  <c r="D12" i="102" a="1"/>
  <c r="D12" i="102" s="1"/>
  <c r="F11" i="102" a="1"/>
  <c r="F11" i="102" s="1"/>
  <c r="E11" i="102" a="1"/>
  <c r="E11" i="102" s="1"/>
  <c r="D11" i="102" a="1"/>
  <c r="D11" i="102" s="1"/>
  <c r="F10" i="102" a="1"/>
  <c r="F10" i="102" s="1"/>
  <c r="E10" i="102" a="1"/>
  <c r="E10" i="102" s="1"/>
  <c r="D10" i="102" a="1"/>
  <c r="D10" i="102" s="1"/>
  <c r="F9" i="102" a="1"/>
  <c r="F9" i="102" s="1"/>
  <c r="E9" i="102" a="1"/>
  <c r="E9" i="102" s="1"/>
  <c r="D9" i="102" a="1"/>
  <c r="D9" i="102" s="1"/>
  <c r="F8" i="102" a="1"/>
  <c r="F8" i="102" s="1"/>
  <c r="E8" i="102" a="1"/>
  <c r="E8" i="102" s="1"/>
  <c r="D8" i="102" a="1"/>
  <c r="D8" i="102" s="1"/>
  <c r="F7" i="102" a="1"/>
  <c r="F7" i="102" s="1"/>
  <c r="E7" i="102" a="1"/>
  <c r="E7" i="102" s="1"/>
  <c r="D7" i="102" a="1"/>
  <c r="D7" i="102" s="1"/>
  <c r="D5" i="102" a="1"/>
  <c r="D5" i="102" s="1"/>
  <c r="D243" i="76"/>
  <c r="D242" i="76"/>
  <c r="D241" i="76"/>
  <c r="D240" i="76"/>
  <c r="D239" i="76"/>
  <c r="D238" i="76"/>
  <c r="D237" i="76"/>
  <c r="D236" i="76"/>
  <c r="N231" i="76"/>
  <c r="N230" i="76"/>
  <c r="N229" i="76"/>
  <c r="N228" i="76"/>
  <c r="N227" i="76"/>
  <c r="N226" i="76"/>
  <c r="N225" i="76"/>
  <c r="N224" i="76"/>
  <c r="G219" i="76"/>
  <c r="D231" i="76"/>
  <c r="D230" i="76"/>
  <c r="D229" i="76"/>
  <c r="D228" i="76"/>
  <c r="D227" i="76"/>
  <c r="D226" i="76"/>
  <c r="D225" i="76"/>
  <c r="D224" i="76"/>
  <c r="G218" i="76"/>
  <c r="D218" i="76" a="1"/>
  <c r="D218" i="76" s="1"/>
  <c r="E216" i="76" a="1"/>
  <c r="E216" i="76" s="1"/>
  <c r="E215" i="76" a="1"/>
  <c r="E215" i="76" s="1"/>
  <c r="D211" i="76" a="1"/>
  <c r="D211" i="76" s="1"/>
  <c r="D210" i="76" a="1"/>
  <c r="D210" i="76" s="1"/>
  <c r="G184" i="76"/>
  <c r="G186" i="76"/>
  <c r="G185" i="76"/>
  <c r="G183" i="76"/>
  <c r="G182" i="76"/>
  <c r="D175" i="76" a="1"/>
  <c r="D175" i="76" s="1"/>
  <c r="E180" i="76" a="1"/>
  <c r="E180" i="76" s="1"/>
  <c r="E179" i="76" a="1"/>
  <c r="E179" i="76" s="1"/>
  <c r="D174" i="76" a="1"/>
  <c r="D174" i="76" s="1"/>
  <c r="D182" i="76" a="1"/>
  <c r="D182" i="76" s="1"/>
  <c r="D173" i="76" a="1"/>
  <c r="D173" i="76" s="1"/>
  <c r="G154" i="76"/>
  <c r="G152" i="76"/>
  <c r="H159" i="76"/>
  <c r="G159" i="76"/>
  <c r="F159" i="76"/>
  <c r="E159" i="76"/>
  <c r="D159" i="76"/>
  <c r="H235" i="69"/>
  <c r="G235" i="69"/>
  <c r="F235" i="69"/>
  <c r="E235" i="69"/>
  <c r="D235" i="69"/>
  <c r="G153" i="76"/>
  <c r="D145" i="76" a="1"/>
  <c r="D145" i="76" s="1"/>
  <c r="D152" i="76" a="1"/>
  <c r="D152" i="76" s="1"/>
  <c r="E150" i="76" a="1"/>
  <c r="E150" i="76" s="1"/>
  <c r="E149" i="76" a="1"/>
  <c r="E149" i="76" s="1"/>
  <c r="D144" i="76" a="1"/>
  <c r="D144" i="76" s="1"/>
  <c r="D143" i="76" a="1"/>
  <c r="D143" i="76" s="1"/>
  <c r="G134" i="76"/>
  <c r="G133" i="76"/>
  <c r="G132" i="76"/>
  <c r="D132" i="76" a="1"/>
  <c r="D132" i="76" s="1"/>
  <c r="E130" i="76" a="1"/>
  <c r="E130" i="76" s="1"/>
  <c r="S139" i="76" s="1"/>
  <c r="E129" i="76" a="1"/>
  <c r="E129" i="76" s="1"/>
  <c r="D124" i="76" a="1"/>
  <c r="D124" i="76" s="1"/>
  <c r="D123" i="76" a="1"/>
  <c r="D123" i="76" s="1"/>
  <c r="R114" i="76"/>
  <c r="Q114" i="76"/>
  <c r="P114" i="76"/>
  <c r="O114" i="76"/>
  <c r="N114" i="76"/>
  <c r="G109" i="76"/>
  <c r="G108" i="76"/>
  <c r="D108" i="76" a="1"/>
  <c r="D108" i="76" s="1"/>
  <c r="E106" i="76" a="1"/>
  <c r="E106" i="76" s="1"/>
  <c r="S119" i="76" s="1"/>
  <c r="E105" i="76" a="1"/>
  <c r="E105" i="76" s="1"/>
  <c r="D101" i="76" a="1"/>
  <c r="D101" i="76" s="1"/>
  <c r="D100" i="76" a="1"/>
  <c r="D100" i="76" s="1"/>
  <c r="G81" i="76"/>
  <c r="G80" i="76"/>
  <c r="G79" i="76"/>
  <c r="G78" i="76"/>
  <c r="D86" i="76"/>
  <c r="D78" i="76" a="1"/>
  <c r="D78" i="76" s="1"/>
  <c r="E76" i="76" a="1"/>
  <c r="E76" i="76" s="1"/>
  <c r="I96" i="76" s="1"/>
  <c r="E75" i="76" a="1"/>
  <c r="E75" i="76" s="1"/>
  <c r="D70" i="76" a="1"/>
  <c r="D70" i="76" s="1"/>
  <c r="D69" i="76" a="1"/>
  <c r="D69" i="76" s="1"/>
  <c r="G45" i="76"/>
  <c r="G44" i="76"/>
  <c r="G42" i="76"/>
  <c r="G43" i="76"/>
  <c r="E40" i="76" a="1"/>
  <c r="E40" i="76" s="1"/>
  <c r="I65" i="76" s="1"/>
  <c r="E39" i="76" a="1"/>
  <c r="E39" i="76" s="1"/>
  <c r="D34" i="76" a="1"/>
  <c r="D34" i="76" s="1"/>
  <c r="D42" i="76" a="1"/>
  <c r="D42" i="76" s="1"/>
  <c r="D33" i="76" a="1"/>
  <c r="D33" i="76" s="1"/>
  <c r="F14" i="76"/>
  <c r="F13" i="76"/>
  <c r="D13" i="76" a="1"/>
  <c r="D13" i="76" s="1"/>
  <c r="E11" i="76" a="1"/>
  <c r="E11" i="76" s="1"/>
  <c r="S29" i="76" s="1"/>
  <c r="E10" i="76" a="1"/>
  <c r="E10" i="76" s="1"/>
  <c r="D6" i="76" a="1"/>
  <c r="D6" i="76" s="1"/>
  <c r="D5" i="76" a="1"/>
  <c r="D5" i="76" s="1"/>
  <c r="Q269" i="69" a="1"/>
  <c r="Q269" i="69" s="1"/>
  <c r="H8" i="13" s="1"/>
  <c r="O266" i="69" a="1"/>
  <c r="O266" i="69" s="1"/>
  <c r="O262" i="69"/>
  <c r="O261" i="69"/>
  <c r="O260" i="69"/>
  <c r="O259" i="69"/>
  <c r="O258" i="69"/>
  <c r="O257" i="69"/>
  <c r="O256" i="69"/>
  <c r="O255" i="69"/>
  <c r="O210" i="69"/>
  <c r="O209" i="69"/>
  <c r="O208" i="69"/>
  <c r="O207" i="69"/>
  <c r="O206" i="69"/>
  <c r="O205" i="69"/>
  <c r="O204" i="69"/>
  <c r="O203" i="69"/>
  <c r="F269" i="69" a="1"/>
  <c r="F269" i="69" s="1"/>
  <c r="H7" i="13" s="1"/>
  <c r="D266" i="69" a="1"/>
  <c r="D266" i="69" s="1"/>
  <c r="D262" i="69"/>
  <c r="D261" i="69"/>
  <c r="D260" i="69"/>
  <c r="D259" i="69"/>
  <c r="D258" i="69"/>
  <c r="D257" i="69"/>
  <c r="D256" i="69"/>
  <c r="D255" i="69"/>
  <c r="H230" i="69"/>
  <c r="H229" i="69"/>
  <c r="H226" i="69"/>
  <c r="H227" i="69"/>
  <c r="H223" i="69"/>
  <c r="H224" i="69"/>
  <c r="H228" i="69"/>
  <c r="H225" i="69"/>
  <c r="D223" i="69" a="1"/>
  <c r="D223" i="69" s="1"/>
  <c r="E221" i="69" a="1"/>
  <c r="E221" i="69" s="1"/>
  <c r="E220" i="69" a="1"/>
  <c r="E220" i="69" s="1"/>
  <c r="D216" i="69" a="1"/>
  <c r="D216" i="69" s="1"/>
  <c r="D215" i="69" a="1"/>
  <c r="D215" i="69" s="1"/>
  <c r="D214" i="69" a="1"/>
  <c r="D214" i="69" s="1"/>
  <c r="G186" i="69"/>
  <c r="D210" i="69"/>
  <c r="D209" i="69"/>
  <c r="D208" i="69"/>
  <c r="D207" i="69"/>
  <c r="D206" i="69"/>
  <c r="D205" i="69"/>
  <c r="D204" i="69"/>
  <c r="D203" i="69"/>
  <c r="G187" i="69"/>
  <c r="D195" i="79" a="1"/>
  <c r="D195" i="79" s="1"/>
  <c r="G188" i="69" s="1"/>
  <c r="D194" i="79" a="1"/>
  <c r="D194" i="79" s="1"/>
  <c r="D193" i="79" a="1"/>
  <c r="D193" i="79" s="1"/>
  <c r="D192" i="79" a="1"/>
  <c r="D192" i="79" s="1"/>
  <c r="D191" i="79" a="1"/>
  <c r="D191" i="79" s="1"/>
  <c r="G185" i="69"/>
  <c r="E182" i="69" a="1"/>
  <c r="E182" i="69" s="1"/>
  <c r="D178" i="69" a="1"/>
  <c r="D178" i="69" s="1"/>
  <c r="E183" i="69" a="1"/>
  <c r="E183" i="69" s="1"/>
  <c r="V206" i="69" s="1"/>
  <c r="D185" i="69" a="1"/>
  <c r="D185" i="69" s="1"/>
  <c r="D177" i="69" a="1"/>
  <c r="D177" i="69" s="1"/>
  <c r="O173" i="69"/>
  <c r="O172" i="69"/>
  <c r="O167" i="69"/>
  <c r="O166" i="69"/>
  <c r="D152" i="69" a="1"/>
  <c r="D152" i="69" s="1"/>
  <c r="D173" i="69"/>
  <c r="D172" i="69"/>
  <c r="G161" i="69"/>
  <c r="G159" i="69"/>
  <c r="D167" i="69"/>
  <c r="D166" i="69"/>
  <c r="G160" i="69"/>
  <c r="E157" i="69" a="1"/>
  <c r="E157" i="69" s="1"/>
  <c r="E156" i="69" a="1"/>
  <c r="E156" i="69" s="1"/>
  <c r="D151" i="69" a="1"/>
  <c r="D151" i="69" s="1"/>
  <c r="D159" i="69" a="1"/>
  <c r="D159" i="69" s="1"/>
  <c r="D150" i="69" a="1"/>
  <c r="D150" i="69" s="1"/>
  <c r="O146" i="69"/>
  <c r="O145" i="69"/>
  <c r="O144" i="69"/>
  <c r="O143" i="69"/>
  <c r="O142" i="69"/>
  <c r="O141" i="69"/>
  <c r="D108" i="69" a="1"/>
  <c r="D108" i="69" s="1"/>
  <c r="D146" i="69"/>
  <c r="D145" i="69"/>
  <c r="D144" i="69"/>
  <c r="D143" i="69"/>
  <c r="D142" i="69"/>
  <c r="D141" i="69"/>
  <c r="Q136" i="69"/>
  <c r="Q135" i="69"/>
  <c r="Q134" i="69"/>
  <c r="Q133" i="69"/>
  <c r="Q132" i="69"/>
  <c r="Q131" i="69"/>
  <c r="O136" i="69"/>
  <c r="O135" i="69"/>
  <c r="O134" i="69"/>
  <c r="O133" i="69"/>
  <c r="O132" i="69"/>
  <c r="O131" i="69"/>
  <c r="O126" i="69"/>
  <c r="O125" i="69"/>
  <c r="O124" i="69"/>
  <c r="O123" i="69"/>
  <c r="O122" i="69"/>
  <c r="O121" i="69"/>
  <c r="G116" i="69"/>
  <c r="F136" i="69"/>
  <c r="F135" i="69"/>
  <c r="F134" i="69"/>
  <c r="F133" i="69"/>
  <c r="F132" i="69"/>
  <c r="F131" i="69"/>
  <c r="D136" i="69"/>
  <c r="D135" i="69"/>
  <c r="D134" i="69"/>
  <c r="D133" i="69"/>
  <c r="D132" i="69"/>
  <c r="D131" i="69"/>
  <c r="G115" i="69"/>
  <c r="D126" i="69"/>
  <c r="D125" i="69"/>
  <c r="D124" i="69"/>
  <c r="D123" i="69"/>
  <c r="D122" i="69"/>
  <c r="D121" i="69"/>
  <c r="E112" i="69" a="1"/>
  <c r="E112" i="69" s="1"/>
  <c r="E113" i="69" a="1"/>
  <c r="E113" i="69" s="1"/>
  <c r="K143" i="69" s="1"/>
  <c r="D115" i="69" a="1"/>
  <c r="D115" i="69" s="1"/>
  <c r="D107" i="69" a="1"/>
  <c r="D107" i="69" s="1"/>
  <c r="D188" i="79" a="1"/>
  <c r="D188" i="79" s="1"/>
  <c r="G98" i="69" s="1"/>
  <c r="D187" i="79" a="1"/>
  <c r="D187" i="79" s="1"/>
  <c r="D186" i="79" a="1"/>
  <c r="D186" i="79" s="1"/>
  <c r="D185" i="79" a="1"/>
  <c r="D185" i="79" s="1"/>
  <c r="D184" i="79" a="1"/>
  <c r="D184" i="79" s="1"/>
  <c r="G97" i="69"/>
  <c r="G96" i="69"/>
  <c r="G64" i="69"/>
  <c r="G63" i="69"/>
  <c r="G35" i="69"/>
  <c r="D44" i="69"/>
  <c r="D27" i="69" a="1"/>
  <c r="D27" i="69" s="1"/>
  <c r="G39" i="69"/>
  <c r="S18" i="69"/>
  <c r="S23" i="69" s="1" a="1"/>
  <c r="S23" i="69" s="1"/>
  <c r="R18" i="69"/>
  <c r="R23" i="69" s="1" a="1"/>
  <c r="R23" i="69" s="1"/>
  <c r="Q18" i="69"/>
  <c r="Q23" i="69" s="1" a="1"/>
  <c r="Q23" i="69" s="1"/>
  <c r="P18" i="69"/>
  <c r="P23" i="69" s="1" a="1"/>
  <c r="P23" i="69" s="1"/>
  <c r="O18" i="69"/>
  <c r="O23" i="69" s="1" a="1"/>
  <c r="O23" i="69" s="1"/>
  <c r="G13" i="69"/>
  <c r="D6" i="69" a="1"/>
  <c r="D6" i="69" s="1"/>
  <c r="E10" i="69" a="1"/>
  <c r="E10" i="69" s="1"/>
  <c r="E11" i="69" a="1"/>
  <c r="E11" i="69" s="1"/>
  <c r="I23" i="69" s="1"/>
  <c r="D13" i="69" a="1"/>
  <c r="D13" i="69" s="1"/>
  <c r="D5" i="69" a="1"/>
  <c r="D5" i="69" s="1"/>
  <c r="D28" i="69" a="1"/>
  <c r="D28" i="69" s="1"/>
  <c r="D181" i="79" a="1"/>
  <c r="D181" i="79" s="1"/>
  <c r="G38" i="69" s="1"/>
  <c r="D180" i="79" a="1"/>
  <c r="D180" i="79" s="1"/>
  <c r="D179" i="79" a="1"/>
  <c r="D179" i="79" s="1"/>
  <c r="D178" i="79" a="1"/>
  <c r="D178" i="79" s="1"/>
  <c r="D177" i="79" a="1"/>
  <c r="D177" i="79" s="1"/>
  <c r="D174" i="79" a="1"/>
  <c r="D174" i="79" s="1"/>
  <c r="G37" i="69" s="1"/>
  <c r="D173" i="79" a="1"/>
  <c r="D173" i="79" s="1"/>
  <c r="D172" i="79" a="1"/>
  <c r="D172" i="79" s="1"/>
  <c r="D171" i="79" a="1"/>
  <c r="D171" i="79" s="1"/>
  <c r="D170" i="79" a="1"/>
  <c r="D170" i="79" s="1"/>
  <c r="D167" i="79" a="1"/>
  <c r="D167" i="79" s="1"/>
  <c r="G36" i="69" s="1"/>
  <c r="D166" i="79" a="1"/>
  <c r="D166" i="79" s="1"/>
  <c r="D165" i="79" a="1"/>
  <c r="D165" i="79" s="1"/>
  <c r="D164" i="79" a="1"/>
  <c r="D164" i="79" s="1"/>
  <c r="D163" i="79" a="1"/>
  <c r="D163" i="79" s="1"/>
  <c r="E32" i="69" a="1"/>
  <c r="E32" i="69" s="1"/>
  <c r="E33" i="69" a="1"/>
  <c r="E33" i="69" s="1"/>
  <c r="T49" i="69" s="1"/>
  <c r="D35" i="69" a="1"/>
  <c r="D35" i="69" s="1"/>
  <c r="G62" i="69"/>
  <c r="G61" i="69"/>
  <c r="D54" i="69" a="1"/>
  <c r="D54" i="69" s="1"/>
  <c r="E58" i="69" a="1"/>
  <c r="E58" i="69" s="1"/>
  <c r="E59" i="69" a="1"/>
  <c r="E59" i="69" s="1"/>
  <c r="D61" i="69" a="1"/>
  <c r="D61" i="69" s="1"/>
  <c r="D53" i="69" a="1"/>
  <c r="D53" i="69" s="1"/>
  <c r="D160" i="79" a="1"/>
  <c r="D160" i="79" s="1"/>
  <c r="G36" i="70" s="1"/>
  <c r="F18" i="69" s="1"/>
  <c r="F23" i="69" s="1" a="1"/>
  <c r="F23" i="69" s="1"/>
  <c r="D159" i="79" a="1"/>
  <c r="D159" i="79" s="1"/>
  <c r="D158" i="79" a="1"/>
  <c r="D158" i="79" s="1"/>
  <c r="D157" i="79" a="1"/>
  <c r="D157" i="79" s="1"/>
  <c r="D156" i="79" a="1"/>
  <c r="D156" i="79" s="1"/>
  <c r="D150" i="79" a="1"/>
  <c r="D150" i="79" s="1"/>
  <c r="D151" i="79" a="1"/>
  <c r="D151" i="79" s="1"/>
  <c r="D152" i="79" a="1"/>
  <c r="D152" i="79" s="1"/>
  <c r="D153" i="79" a="1"/>
  <c r="D153" i="79" s="1"/>
  <c r="F37" i="70" s="1"/>
  <c r="E114" i="76" s="1"/>
  <c r="D149" i="79" a="1"/>
  <c r="D149" i="79" s="1"/>
  <c r="D89" i="69" a="1"/>
  <c r="D89" i="69" s="1"/>
  <c r="E93" i="69" a="1"/>
  <c r="E93" i="69" s="1"/>
  <c r="E94" i="69" a="1"/>
  <c r="E94" i="69" s="1"/>
  <c r="I103" i="69" s="1"/>
  <c r="D96" i="69" a="1"/>
  <c r="D96" i="69" s="1"/>
  <c r="D88" i="69" a="1"/>
  <c r="D88" i="69" s="1"/>
  <c r="D157" i="70"/>
  <c r="I178" i="70"/>
  <c r="H178" i="70"/>
  <c r="G178" i="70"/>
  <c r="F178" i="70"/>
  <c r="E178" i="70"/>
  <c r="I173" i="70"/>
  <c r="H173" i="70"/>
  <c r="G173" i="70"/>
  <c r="F173" i="70"/>
  <c r="E173" i="70"/>
  <c r="I168" i="70"/>
  <c r="H168" i="70"/>
  <c r="G168" i="70"/>
  <c r="F168" i="70"/>
  <c r="E168" i="70"/>
  <c r="I163" i="70"/>
  <c r="H163" i="70"/>
  <c r="G163" i="70"/>
  <c r="F163" i="70"/>
  <c r="E163" i="70"/>
  <c r="E114" i="70"/>
  <c r="I126" i="70" s="1"/>
  <c r="E113" i="70"/>
  <c r="H119" i="70" s="1"/>
  <c r="E109" i="70"/>
  <c r="F125" i="70" s="1"/>
  <c r="E108" i="70"/>
  <c r="H118" i="70" s="1"/>
  <c r="E104" i="70"/>
  <c r="H124" i="70" s="1"/>
  <c r="E103" i="70"/>
  <c r="G117" i="70" s="1"/>
  <c r="D64" i="70"/>
  <c r="D98" i="70"/>
  <c r="I154" i="70"/>
  <c r="H154" i="70"/>
  <c r="G154" i="70"/>
  <c r="F154" i="70"/>
  <c r="E154" i="70"/>
  <c r="I92" i="70"/>
  <c r="H92" i="70"/>
  <c r="G92" i="70"/>
  <c r="F92" i="70"/>
  <c r="E92" i="70"/>
  <c r="I91" i="70"/>
  <c r="H91" i="70"/>
  <c r="G91" i="70"/>
  <c r="F91" i="70"/>
  <c r="E91" i="70"/>
  <c r="I90" i="70"/>
  <c r="H90" i="70"/>
  <c r="G90" i="70"/>
  <c r="F90" i="70"/>
  <c r="E90" i="70"/>
  <c r="I85" i="70"/>
  <c r="H85" i="70"/>
  <c r="G85" i="70"/>
  <c r="F85" i="70"/>
  <c r="E85" i="70"/>
  <c r="I84" i="70"/>
  <c r="H84" i="70"/>
  <c r="G84" i="70"/>
  <c r="F84" i="70"/>
  <c r="E84" i="70"/>
  <c r="I83" i="70"/>
  <c r="H83" i="70"/>
  <c r="G83" i="70"/>
  <c r="F83" i="70"/>
  <c r="E83" i="70"/>
  <c r="E176" i="76" a="1"/>
  <c r="E55" i="69" a="1"/>
  <c r="E125" i="76" a="1"/>
  <c r="E71" i="76" a="1"/>
  <c r="E35" i="76" a="1"/>
  <c r="E217" i="69" a="1"/>
  <c r="E146" i="76" a="1"/>
  <c r="E109" i="69" a="1"/>
  <c r="E29" i="69" a="1"/>
  <c r="E212" i="76" a="1"/>
  <c r="E153" i="69" a="1"/>
  <c r="E179" i="69" a="1"/>
  <c r="E90" i="69" a="1"/>
  <c r="E7" i="76" a="1"/>
  <c r="E102" i="76" a="1"/>
  <c r="E7" i="69" a="1"/>
  <c r="H54" i="102" l="1"/>
  <c r="H53" i="102"/>
  <c r="H50" i="102"/>
  <c r="H48" i="102"/>
  <c r="H52" i="102"/>
  <c r="H49" i="102"/>
  <c r="H51" i="102"/>
  <c r="S65" i="76"/>
  <c r="E37" i="70"/>
  <c r="D114" i="76" s="1"/>
  <c r="K205" i="69"/>
  <c r="V203" i="69"/>
  <c r="K206" i="69"/>
  <c r="K204" i="69"/>
  <c r="K207" i="69"/>
  <c r="V210" i="69"/>
  <c r="S96" i="76"/>
  <c r="H36" i="70"/>
  <c r="G18" i="69" s="1"/>
  <c r="G23" i="69" s="1" a="1"/>
  <c r="G23" i="69" s="1"/>
  <c r="G49" i="69" s="1" a="1"/>
  <c r="G49" i="69" s="1"/>
  <c r="G60" i="76" s="1"/>
  <c r="I36" i="70"/>
  <c r="H18" i="69" s="1"/>
  <c r="H23" i="69" s="1" a="1"/>
  <c r="H23" i="69" s="1"/>
  <c r="H49" i="69" s="1" a="1"/>
  <c r="H49" i="69" s="1"/>
  <c r="H60" i="76" s="1"/>
  <c r="T23" i="69"/>
  <c r="V208" i="69"/>
  <c r="I29" i="76"/>
  <c r="V207" i="69"/>
  <c r="T103" i="69"/>
  <c r="V209" i="69"/>
  <c r="I84" i="69"/>
  <c r="I50" i="76" s="1"/>
  <c r="T84" i="69"/>
  <c r="S50" i="76" s="1"/>
  <c r="K145" i="69"/>
  <c r="K146" i="69"/>
  <c r="K144" i="69"/>
  <c r="K142" i="69"/>
  <c r="V144" i="69"/>
  <c r="V143" i="69"/>
  <c r="V141" i="69"/>
  <c r="V142" i="69"/>
  <c r="Q264" i="69"/>
  <c r="F8" i="13" s="1"/>
  <c r="F264" i="69"/>
  <c r="F7" i="13" s="1"/>
  <c r="V145" i="69"/>
  <c r="V172" i="69"/>
  <c r="K172" i="69"/>
  <c r="V146" i="69"/>
  <c r="V173" i="69"/>
  <c r="S169" i="76"/>
  <c r="I169" i="76"/>
  <c r="K173" i="69"/>
  <c r="H37" i="70"/>
  <c r="G114" i="76" s="1"/>
  <c r="G37" i="70"/>
  <c r="F114" i="76" s="1"/>
  <c r="I37" i="70"/>
  <c r="H114" i="76" s="1"/>
  <c r="K141" i="69"/>
  <c r="K203" i="69"/>
  <c r="V204" i="69"/>
  <c r="V205" i="69"/>
  <c r="K209" i="69"/>
  <c r="I139" i="76"/>
  <c r="K208" i="69"/>
  <c r="F36" i="70"/>
  <c r="E18" i="69" s="1"/>
  <c r="E23" i="69" s="1" a="1"/>
  <c r="E23" i="69" s="1"/>
  <c r="E49" i="69" s="1" a="1"/>
  <c r="E49" i="69" s="1"/>
  <c r="E60" i="76" s="1"/>
  <c r="K210" i="69"/>
  <c r="E36" i="70"/>
  <c r="D18" i="69" s="1"/>
  <c r="D23" i="69" s="1" a="1"/>
  <c r="D23" i="69" s="1"/>
  <c r="D49" i="69" s="1" a="1"/>
  <c r="D49" i="69" s="1"/>
  <c r="D60" i="76" s="1"/>
  <c r="I119" i="76"/>
  <c r="E212" i="76"/>
  <c r="E176" i="76"/>
  <c r="E146" i="76"/>
  <c r="E125" i="76"/>
  <c r="E102" i="76"/>
  <c r="E71" i="76"/>
  <c r="E35" i="76"/>
  <c r="E7" i="76"/>
  <c r="E217" i="69"/>
  <c r="E179" i="69"/>
  <c r="E153" i="69"/>
  <c r="E109" i="69"/>
  <c r="E55" i="69"/>
  <c r="E90" i="69"/>
  <c r="R49" i="69" a="1"/>
  <c r="R49" i="69" s="1"/>
  <c r="P49" i="69" a="1"/>
  <c r="P49" i="69" s="1"/>
  <c r="S49" i="69" a="1"/>
  <c r="S49" i="69" s="1"/>
  <c r="I49" i="69"/>
  <c r="I60" i="76" s="1"/>
  <c r="O49" i="69" a="1"/>
  <c r="O49" i="69" s="1"/>
  <c r="F49" i="69" a="1"/>
  <c r="F49" i="69" s="1"/>
  <c r="F60" i="76" s="1"/>
  <c r="Q49" i="69" a="1"/>
  <c r="Q49" i="69" s="1"/>
  <c r="E29" i="69"/>
  <c r="E7" i="69"/>
  <c r="F93" i="70"/>
  <c r="F95" i="70" s="1"/>
  <c r="I93" i="70"/>
  <c r="I95" i="70" s="1"/>
  <c r="E93" i="70"/>
  <c r="E95" i="70" s="1"/>
  <c r="G93" i="70"/>
  <c r="G95" i="70" s="1"/>
  <c r="I86" i="70"/>
  <c r="I88" i="70" s="1"/>
  <c r="H93" i="70"/>
  <c r="H95" i="70" s="1"/>
  <c r="H117" i="70"/>
  <c r="H120" i="70" s="1"/>
  <c r="H122" i="70" s="1"/>
  <c r="I118" i="70"/>
  <c r="F119" i="70"/>
  <c r="I119" i="70"/>
  <c r="E126" i="70"/>
  <c r="F126" i="70"/>
  <c r="G126" i="70"/>
  <c r="F86" i="70"/>
  <c r="F88" i="70" s="1"/>
  <c r="E117" i="70"/>
  <c r="G86" i="70"/>
  <c r="G88" i="70" s="1"/>
  <c r="F117" i="70"/>
  <c r="E86" i="70"/>
  <c r="H86" i="70"/>
  <c r="H88" i="70" s="1"/>
  <c r="E88" i="70"/>
  <c r="E119" i="70"/>
  <c r="E125" i="70"/>
  <c r="G119" i="70"/>
  <c r="G125" i="70"/>
  <c r="H125" i="70"/>
  <c r="I117" i="70"/>
  <c r="H126" i="70"/>
  <c r="I125" i="70"/>
  <c r="E118" i="70"/>
  <c r="E124" i="70"/>
  <c r="I124" i="70"/>
  <c r="F118" i="70"/>
  <c r="F124" i="70"/>
  <c r="F127" i="70" s="1"/>
  <c r="F129" i="70" s="1"/>
  <c r="G118" i="70"/>
  <c r="G124" i="70"/>
  <c r="I120" i="70" l="1"/>
  <c r="I122" i="70" s="1"/>
  <c r="F120" i="70"/>
  <c r="F122" i="70" s="1"/>
  <c r="G120" i="70"/>
  <c r="G122" i="70" s="1"/>
  <c r="E127" i="70"/>
  <c r="E129" i="70" s="1"/>
  <c r="H127" i="70"/>
  <c r="H129" i="70" s="1"/>
  <c r="E120" i="70"/>
  <c r="E122" i="70" s="1"/>
  <c r="I127" i="70"/>
  <c r="I129" i="70" s="1"/>
  <c r="G127" i="70"/>
  <c r="G129" i="70" s="1"/>
  <c r="D146" i="79" l="1" a="1"/>
  <c r="D146" i="79" s="1"/>
  <c r="E146" i="79" a="1"/>
  <c r="E146" i="79" s="1"/>
  <c r="F146" i="79" a="1"/>
  <c r="F146" i="79" s="1"/>
  <c r="D145" i="79" a="1"/>
  <c r="D145" i="79" s="1"/>
  <c r="E145" i="79" a="1"/>
  <c r="E145" i="79" s="1"/>
  <c r="F145" i="79" a="1"/>
  <c r="F145" i="79" s="1"/>
  <c r="D144" i="79" a="1"/>
  <c r="D144" i="79" s="1"/>
  <c r="E144" i="79" a="1"/>
  <c r="E144" i="79" s="1"/>
  <c r="F144" i="79" a="1"/>
  <c r="F144" i="79" s="1"/>
  <c r="D143" i="79" a="1"/>
  <c r="D143" i="79" s="1"/>
  <c r="E143" i="79" a="1"/>
  <c r="E143" i="79" s="1"/>
  <c r="F143" i="79" a="1"/>
  <c r="F143" i="79" s="1"/>
  <c r="F142" i="79" a="1"/>
  <c r="F142" i="79" s="1"/>
  <c r="E142" i="79" a="1"/>
  <c r="E142" i="79" s="1"/>
  <c r="D142" i="79" a="1"/>
  <c r="D142" i="79" s="1"/>
  <c r="D137" i="79" a="1"/>
  <c r="D137" i="79" s="1"/>
  <c r="D138" i="79" a="1"/>
  <c r="D138" i="79" s="1"/>
  <c r="D139" i="79" a="1"/>
  <c r="D139" i="79" s="1"/>
  <c r="D140" i="79" a="1"/>
  <c r="D140" i="79" s="1"/>
  <c r="D136" i="79" a="1"/>
  <c r="D136" i="79" s="1"/>
  <c r="D29" i="70"/>
  <c r="D28" i="70"/>
  <c r="D24" i="70"/>
  <c r="D25" i="70"/>
  <c r="D10" i="70"/>
  <c r="E28" i="70" l="1" a="1"/>
  <c r="E28" i="70" s="1"/>
  <c r="F35" i="70" a="1"/>
  <c r="F35" i="70" s="1"/>
  <c r="I40" i="70" a="1"/>
  <c r="I40" i="70" s="1"/>
  <c r="E35" i="70" a="1"/>
  <c r="E35" i="70" s="1"/>
  <c r="H40" i="70" a="1"/>
  <c r="H40" i="70" s="1"/>
  <c r="G40" i="70" a="1"/>
  <c r="G40" i="70" s="1"/>
  <c r="F40" i="70" a="1"/>
  <c r="F40" i="70" s="1"/>
  <c r="E40" i="70" a="1"/>
  <c r="E40" i="70" s="1"/>
  <c r="I35" i="70" a="1"/>
  <c r="I35" i="70" s="1"/>
  <c r="H35" i="70" a="1"/>
  <c r="H35" i="70" s="1"/>
  <c r="G35" i="70" a="1"/>
  <c r="G35" i="70" s="1"/>
  <c r="G25" i="70" a="1"/>
  <c r="G25" i="70" s="1"/>
  <c r="G28" i="70" a="1"/>
  <c r="G28" i="70" s="1"/>
  <c r="H25" i="70" a="1"/>
  <c r="H25" i="70" s="1"/>
  <c r="H28" i="70" a="1"/>
  <c r="H28" i="70" s="1"/>
  <c r="I25" i="70" a="1"/>
  <c r="I25" i="70" s="1"/>
  <c r="F25" i="70" a="1"/>
  <c r="F25" i="70" s="1"/>
  <c r="F28" i="70" a="1"/>
  <c r="F28" i="70" s="1"/>
  <c r="E24" i="70" a="1"/>
  <c r="E24" i="70" s="1"/>
  <c r="I28" i="70" a="1"/>
  <c r="I28" i="70" s="1"/>
  <c r="F24" i="70" a="1"/>
  <c r="F24" i="70" s="1"/>
  <c r="G24" i="70" a="1"/>
  <c r="G24" i="70" s="1"/>
  <c r="H24" i="70" a="1"/>
  <c r="H24" i="70" s="1"/>
  <c r="I24" i="70" a="1"/>
  <c r="I24" i="70" s="1"/>
  <c r="E25" i="70" a="1"/>
  <c r="E25" i="70" s="1"/>
  <c r="H201" i="76" l="1"/>
  <c r="H250" i="69"/>
  <c r="G250" i="69"/>
  <c r="Q201" i="76"/>
  <c r="G201" i="76"/>
  <c r="F250" i="69"/>
  <c r="F201" i="76"/>
  <c r="D201" i="76"/>
  <c r="D250" i="69"/>
  <c r="N201" i="76"/>
  <c r="G29" i="70"/>
  <c r="P196" i="76"/>
  <c r="Q240" i="69"/>
  <c r="H196" i="76"/>
  <c r="H240" i="69"/>
  <c r="H29" i="70"/>
  <c r="R250" i="69" s="1"/>
  <c r="R240" i="69"/>
  <c r="Q164" i="76"/>
  <c r="R196" i="76"/>
  <c r="I29" i="70"/>
  <c r="S240" i="69"/>
  <c r="G164" i="76"/>
  <c r="G240" i="69"/>
  <c r="E164" i="76"/>
  <c r="E240" i="69"/>
  <c r="D164" i="76"/>
  <c r="D240" i="69"/>
  <c r="O240" i="69"/>
  <c r="E29" i="70"/>
  <c r="O250" i="69" s="1"/>
  <c r="N164" i="76"/>
  <c r="F196" i="76"/>
  <c r="F240" i="69"/>
  <c r="F29" i="70"/>
  <c r="P250" i="69" s="1"/>
  <c r="O164" i="76"/>
  <c r="P240" i="69"/>
  <c r="E201" i="76"/>
  <c r="E250" i="69"/>
  <c r="O201" i="76"/>
  <c r="I144" i="70"/>
  <c r="H144" i="70"/>
  <c r="I149" i="70"/>
  <c r="H149" i="70"/>
  <c r="I139" i="70"/>
  <c r="H139" i="70"/>
  <c r="D71" i="79" a="1"/>
  <c r="D71" i="79" s="1"/>
  <c r="M78" i="79" a="1"/>
  <c r="M78" i="79" s="1"/>
  <c r="M77" i="79" a="1"/>
  <c r="M77" i="79" s="1"/>
  <c r="M76" i="79" a="1"/>
  <c r="M76" i="79" s="1"/>
  <c r="M75" i="79" a="1"/>
  <c r="M75" i="79" s="1"/>
  <c r="M74" i="79" a="1"/>
  <c r="M74" i="79" s="1"/>
  <c r="M73" i="79" a="1"/>
  <c r="M73" i="79" s="1"/>
  <c r="G91" i="79" a="1"/>
  <c r="G91" i="79" s="1"/>
  <c r="G90" i="79" a="1"/>
  <c r="G90" i="79" s="1"/>
  <c r="G89" i="79" a="1"/>
  <c r="G89" i="79" s="1"/>
  <c r="G88" i="79" a="1"/>
  <c r="G88" i="79" s="1"/>
  <c r="G87" i="79" a="1"/>
  <c r="G87" i="79" s="1"/>
  <c r="D85" i="79" a="1"/>
  <c r="D85" i="79" s="1"/>
  <c r="D127" i="79" a="1"/>
  <c r="D127" i="79" s="1"/>
  <c r="F133" i="79" a="1"/>
  <c r="F133" i="79" s="1"/>
  <c r="F132" i="79" a="1"/>
  <c r="F132" i="79" s="1"/>
  <c r="F131" i="79" a="1"/>
  <c r="F131" i="79" s="1"/>
  <c r="F130" i="79" a="1"/>
  <c r="F130" i="79" s="1"/>
  <c r="F129" i="79" a="1"/>
  <c r="F129" i="79" s="1"/>
  <c r="D124" i="79" a="1"/>
  <c r="D124" i="79" s="1"/>
  <c r="D125" i="79" a="1"/>
  <c r="D125" i="79" s="1"/>
  <c r="D126" i="79" a="1"/>
  <c r="D126" i="79" s="1"/>
  <c r="D133" i="79" a="1"/>
  <c r="D133" i="79" s="1"/>
  <c r="E133" i="79" a="1"/>
  <c r="E133" i="79" s="1"/>
  <c r="D132" i="79" a="1"/>
  <c r="D132" i="79" s="1"/>
  <c r="E132" i="79" a="1"/>
  <c r="E132" i="79" s="1"/>
  <c r="D131" i="79" a="1"/>
  <c r="D131" i="79" s="1"/>
  <c r="E131" i="79" a="1"/>
  <c r="E131" i="79" s="1"/>
  <c r="D130" i="79" a="1"/>
  <c r="D130" i="79" s="1"/>
  <c r="E130" i="79" a="1"/>
  <c r="E130" i="79" s="1"/>
  <c r="E129" i="79" a="1"/>
  <c r="E129" i="79" s="1"/>
  <c r="D129" i="79" a="1"/>
  <c r="D129" i="79" s="1"/>
  <c r="D123" i="79" a="1"/>
  <c r="D123" i="79" s="1"/>
  <c r="D113" i="79" a="1"/>
  <c r="D113" i="79" s="1"/>
  <c r="D114" i="79" a="1"/>
  <c r="D114" i="79" s="1"/>
  <c r="D115" i="79" a="1"/>
  <c r="D115" i="79" s="1"/>
  <c r="D120" i="79" a="1"/>
  <c r="D120" i="79" s="1"/>
  <c r="E120" i="79" a="1"/>
  <c r="E120" i="79" s="1"/>
  <c r="F120" i="79" a="1"/>
  <c r="F120" i="79" s="1"/>
  <c r="G120" i="79" a="1"/>
  <c r="G120" i="79" s="1"/>
  <c r="D119" i="79" a="1"/>
  <c r="D119" i="79" s="1"/>
  <c r="E119" i="79" a="1"/>
  <c r="E119" i="79" s="1"/>
  <c r="F119" i="79" a="1"/>
  <c r="F119" i="79" s="1"/>
  <c r="G119" i="79" a="1"/>
  <c r="G119" i="79" s="1"/>
  <c r="D118" i="79" a="1"/>
  <c r="D118" i="79" s="1"/>
  <c r="E118" i="79" a="1"/>
  <c r="E118" i="79" s="1"/>
  <c r="F118" i="79" a="1"/>
  <c r="F118" i="79" s="1"/>
  <c r="G118" i="79" a="1"/>
  <c r="G118" i="79" s="1"/>
  <c r="G117" i="79" a="1"/>
  <c r="G117" i="79" s="1"/>
  <c r="F117" i="79" a="1"/>
  <c r="F117" i="79" s="1"/>
  <c r="E117" i="79" a="1"/>
  <c r="E117" i="79" s="1"/>
  <c r="D117" i="79" a="1"/>
  <c r="D117" i="79" s="1"/>
  <c r="D112" i="79" a="1"/>
  <c r="D112" i="79" s="1"/>
  <c r="D104" i="79" a="1"/>
  <c r="D104" i="79" s="1"/>
  <c r="D105" i="79" a="1"/>
  <c r="D105" i="79" s="1"/>
  <c r="D106" i="79" a="1"/>
  <c r="D106" i="79" s="1"/>
  <c r="D109" i="79" a="1"/>
  <c r="D109" i="79" s="1"/>
  <c r="E109" i="79" a="1"/>
  <c r="E109" i="79" s="1"/>
  <c r="E108" i="79" a="1"/>
  <c r="E108" i="79" s="1"/>
  <c r="D55" i="76" s="1"/>
  <c r="D108" i="79" a="1"/>
  <c r="D108" i="79" s="1"/>
  <c r="D103" i="79" a="1"/>
  <c r="D103" i="79" s="1"/>
  <c r="D95" i="79" a="1"/>
  <c r="D95" i="79" s="1"/>
  <c r="D96" i="79" a="1"/>
  <c r="D96" i="79" s="1"/>
  <c r="D97" i="79" a="1"/>
  <c r="D97" i="79" s="1"/>
  <c r="D100" i="79" a="1"/>
  <c r="D100" i="79" s="1"/>
  <c r="E100" i="79" a="1"/>
  <c r="E100" i="79" s="1"/>
  <c r="E99" i="79" a="1"/>
  <c r="E99" i="79" s="1"/>
  <c r="D99" i="79" a="1"/>
  <c r="D99" i="79" s="1"/>
  <c r="D94" i="79" a="1"/>
  <c r="D94" i="79" s="1"/>
  <c r="D91" i="79" a="1"/>
  <c r="D91" i="79" s="1"/>
  <c r="E91" i="79" a="1"/>
  <c r="E91" i="79" s="1"/>
  <c r="F91" i="79" a="1"/>
  <c r="F91" i="79" s="1"/>
  <c r="D90" i="79" a="1"/>
  <c r="D90" i="79" s="1"/>
  <c r="E90" i="79" a="1"/>
  <c r="E90" i="79" s="1"/>
  <c r="F90" i="79" a="1"/>
  <c r="F90" i="79" s="1"/>
  <c r="D89" i="79" a="1"/>
  <c r="D89" i="79" s="1"/>
  <c r="E89" i="79" a="1"/>
  <c r="E89" i="79" s="1"/>
  <c r="F89" i="79" a="1"/>
  <c r="F89" i="79" s="1"/>
  <c r="D88" i="79" a="1"/>
  <c r="D88" i="79" s="1"/>
  <c r="E88" i="79" a="1"/>
  <c r="E88" i="79" s="1"/>
  <c r="F88" i="79" a="1"/>
  <c r="F88" i="79" s="1"/>
  <c r="F87" i="79" a="1"/>
  <c r="F87" i="79" s="1"/>
  <c r="E87" i="79" a="1"/>
  <c r="E87" i="79" s="1"/>
  <c r="D87" i="79" a="1"/>
  <c r="D87" i="79" s="1"/>
  <c r="D82" i="79" a="1"/>
  <c r="D82" i="79" s="1"/>
  <c r="D83" i="79" a="1"/>
  <c r="D83" i="79" s="1"/>
  <c r="D84" i="79" a="1"/>
  <c r="D84" i="79" s="1"/>
  <c r="D81" i="79" a="1"/>
  <c r="D81" i="79" s="1"/>
  <c r="D68" i="79" a="1"/>
  <c r="D68" i="79" s="1"/>
  <c r="D69" i="79" a="1"/>
  <c r="D69" i="79" s="1"/>
  <c r="D70" i="79" a="1"/>
  <c r="D70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K78" i="79" a="1"/>
  <c r="K78" i="79" s="1"/>
  <c r="L78" i="79" a="1"/>
  <c r="L78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K77" i="79" a="1"/>
  <c r="K77" i="79" s="1"/>
  <c r="L77" i="79" a="1"/>
  <c r="L77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K76" i="79" a="1"/>
  <c r="K76" i="79" s="1"/>
  <c r="L76" i="79" a="1"/>
  <c r="L76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K75" i="79" a="1"/>
  <c r="K75" i="79" s="1"/>
  <c r="L75" i="79" a="1"/>
  <c r="L75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K74" i="79" a="1"/>
  <c r="K74" i="79" s="1"/>
  <c r="L74" i="79" a="1"/>
  <c r="L74" i="79" s="1"/>
  <c r="L73" i="79" a="1"/>
  <c r="L73" i="79" s="1"/>
  <c r="K73" i="79" a="1"/>
  <c r="K73" i="79" s="1"/>
  <c r="J73" i="79" a="1"/>
  <c r="J73" i="79" s="1"/>
  <c r="I73" i="79" a="1"/>
  <c r="I73" i="79" s="1"/>
  <c r="H73" i="79" a="1"/>
  <c r="H73" i="79" s="1"/>
  <c r="G73" i="79" a="1"/>
  <c r="G73" i="79" s="1"/>
  <c r="F73" i="79" a="1"/>
  <c r="F73" i="79" s="1"/>
  <c r="E73" i="79" a="1"/>
  <c r="E73" i="79" s="1"/>
  <c r="D73" i="79" a="1"/>
  <c r="D73" i="79" s="1"/>
  <c r="D67" i="79" a="1"/>
  <c r="D67" i="79" s="1"/>
  <c r="G64" i="79" a="1"/>
  <c r="G64" i="79" s="1"/>
  <c r="H191" i="76" s="1"/>
  <c r="F64" i="79" a="1"/>
  <c r="F64" i="79" s="1"/>
  <c r="E64" i="79" a="1"/>
  <c r="E64" i="79" s="1"/>
  <c r="H245" i="69" s="1"/>
  <c r="D64" i="79" a="1"/>
  <c r="D64" i="79" s="1"/>
  <c r="G63" i="79" a="1"/>
  <c r="G63" i="79" s="1"/>
  <c r="F191" i="76" s="1"/>
  <c r="F63" i="79" a="1"/>
  <c r="F63" i="79" s="1"/>
  <c r="E63" i="79" a="1"/>
  <c r="E63" i="79" s="1"/>
  <c r="F245" i="69" s="1"/>
  <c r="D63" i="79" a="1"/>
  <c r="D63" i="79" s="1"/>
  <c r="D59" i="79" a="1"/>
  <c r="D59" i="79" s="1"/>
  <c r="D60" i="79" a="1"/>
  <c r="D60" i="79" s="1"/>
  <c r="D61" i="79" a="1"/>
  <c r="D61" i="79" s="1"/>
  <c r="D58" i="79" a="1"/>
  <c r="D58" i="79" s="1"/>
  <c r="H55" i="79" a="1"/>
  <c r="H55" i="79" s="1"/>
  <c r="H24" i="76" s="1" a="1"/>
  <c r="H24" i="76" s="1"/>
  <c r="G55" i="79" a="1"/>
  <c r="G55" i="79" s="1"/>
  <c r="G24" i="76" s="1" a="1"/>
  <c r="G24" i="76" s="1"/>
  <c r="F55" i="79" a="1"/>
  <c r="F55" i="79" s="1"/>
  <c r="F24" i="76" s="1" a="1"/>
  <c r="F24" i="76" s="1"/>
  <c r="E55" i="79" a="1"/>
  <c r="E55" i="79" s="1"/>
  <c r="E24" i="76" s="1" a="1"/>
  <c r="E24" i="76" s="1"/>
  <c r="D55" i="79" a="1"/>
  <c r="D55" i="79" s="1"/>
  <c r="D24" i="76" s="1" a="1"/>
  <c r="D24" i="76" s="1"/>
  <c r="D51" i="79" a="1"/>
  <c r="D51" i="79" s="1"/>
  <c r="D52" i="79" a="1"/>
  <c r="D52" i="79" s="1"/>
  <c r="D53" i="79" a="1"/>
  <c r="D53" i="79" s="1"/>
  <c r="D50" i="79" a="1"/>
  <c r="D50" i="79" s="1"/>
  <c r="D43" i="79" a="1"/>
  <c r="D43" i="79" s="1"/>
  <c r="D44" i="79" a="1"/>
  <c r="D44" i="79" s="1"/>
  <c r="D45" i="79" a="1"/>
  <c r="D45" i="79" s="1"/>
  <c r="H47" i="79" a="1"/>
  <c r="H47" i="79" s="1"/>
  <c r="G47" i="79" a="1"/>
  <c r="G47" i="79" s="1"/>
  <c r="F47" i="79" a="1"/>
  <c r="F47" i="79" s="1"/>
  <c r="E47" i="79" a="1"/>
  <c r="E47" i="79" s="1"/>
  <c r="D47" i="79" a="1"/>
  <c r="D47" i="79" s="1"/>
  <c r="D42" i="79" a="1"/>
  <c r="D42" i="79" s="1"/>
  <c r="F39" i="79" a="1"/>
  <c r="F39" i="79" s="1"/>
  <c r="E39" i="79" a="1"/>
  <c r="E39" i="79" s="1"/>
  <c r="D39" i="79" a="1"/>
  <c r="D39" i="79" s="1"/>
  <c r="D35" i="79" a="1"/>
  <c r="D35" i="79" s="1"/>
  <c r="D36" i="79" a="1"/>
  <c r="D36" i="79" s="1"/>
  <c r="D37" i="79" a="1"/>
  <c r="D37" i="79" s="1"/>
  <c r="D34" i="79" a="1"/>
  <c r="D34" i="79" s="1"/>
  <c r="D20" i="79" a="1"/>
  <c r="D20" i="79" s="1"/>
  <c r="D31" i="79" a="1"/>
  <c r="D31" i="79" s="1"/>
  <c r="E31" i="79" a="1"/>
  <c r="E31" i="79" s="1"/>
  <c r="F31" i="79" a="1"/>
  <c r="F31" i="79" s="1"/>
  <c r="G31" i="79" a="1"/>
  <c r="G31" i="79" s="1"/>
  <c r="D30" i="79" a="1"/>
  <c r="D30" i="79" s="1"/>
  <c r="E30" i="79" a="1"/>
  <c r="E30" i="79" s="1"/>
  <c r="F30" i="79" a="1"/>
  <c r="F30" i="79" s="1"/>
  <c r="G30" i="79" a="1"/>
  <c r="G30" i="79" s="1"/>
  <c r="D29" i="79" a="1"/>
  <c r="D29" i="79" s="1"/>
  <c r="E29" i="79" a="1"/>
  <c r="E29" i="79" s="1"/>
  <c r="F29" i="79" a="1"/>
  <c r="F29" i="79" s="1"/>
  <c r="G29" i="79" a="1"/>
  <c r="G29" i="79" s="1"/>
  <c r="D28" i="79" a="1"/>
  <c r="D28" i="79" s="1"/>
  <c r="E28" i="79" a="1"/>
  <c r="E28" i="79" s="1"/>
  <c r="F28" i="79" a="1"/>
  <c r="F28" i="79" s="1"/>
  <c r="G28" i="79" a="1"/>
  <c r="G28" i="79" s="1"/>
  <c r="D27" i="79" a="1"/>
  <c r="D27" i="79" s="1"/>
  <c r="E27" i="79" a="1"/>
  <c r="E27" i="79" s="1"/>
  <c r="F27" i="79" a="1"/>
  <c r="F27" i="79" s="1"/>
  <c r="G27" i="79" a="1"/>
  <c r="G27" i="79" s="1"/>
  <c r="D26" i="79" a="1"/>
  <c r="D26" i="79" s="1"/>
  <c r="E26" i="79" a="1"/>
  <c r="E26" i="79" s="1"/>
  <c r="F26" i="79" a="1"/>
  <c r="F26" i="79" s="1"/>
  <c r="G26" i="79" a="1"/>
  <c r="G26" i="79" s="1"/>
  <c r="D25" i="79" a="1"/>
  <c r="D25" i="79" s="1"/>
  <c r="E25" i="79" a="1"/>
  <c r="E25" i="79" s="1"/>
  <c r="F25" i="79" a="1"/>
  <c r="F25" i="79" s="1"/>
  <c r="G25" i="79" a="1"/>
  <c r="G25" i="79" s="1"/>
  <c r="D24" i="79" a="1"/>
  <c r="D24" i="79" s="1"/>
  <c r="E24" i="79" a="1"/>
  <c r="E24" i="79" s="1"/>
  <c r="F24" i="79" a="1"/>
  <c r="F24" i="79" s="1"/>
  <c r="G24" i="79" a="1"/>
  <c r="G24" i="79" s="1"/>
  <c r="D23" i="79" a="1"/>
  <c r="D23" i="79" s="1"/>
  <c r="E23" i="79" a="1"/>
  <c r="E23" i="79" s="1"/>
  <c r="F23" i="79" a="1"/>
  <c r="F23" i="79" s="1"/>
  <c r="G23" i="79" a="1"/>
  <c r="G23" i="79" s="1"/>
  <c r="G22" i="79" a="1"/>
  <c r="G22" i="79" s="1"/>
  <c r="F22" i="79" a="1"/>
  <c r="F22" i="79" s="1"/>
  <c r="E22" i="79" a="1"/>
  <c r="E22" i="79" s="1"/>
  <c r="D22" i="79" a="1"/>
  <c r="D22" i="79" s="1"/>
  <c r="D19" i="79" a="1"/>
  <c r="D19" i="79" s="1"/>
  <c r="D18" i="79" a="1"/>
  <c r="D18" i="79" s="1"/>
  <c r="D17" i="79" a="1"/>
  <c r="D17" i="79" s="1"/>
  <c r="D16" i="79" a="1"/>
  <c r="D16" i="79" s="1"/>
  <c r="Q250" i="69" l="1"/>
  <c r="P201" i="76"/>
  <c r="S250" i="69"/>
  <c r="R201" i="76"/>
  <c r="H55" i="76"/>
  <c r="E55" i="76"/>
  <c r="G55" i="76"/>
  <c r="F55" i="76"/>
  <c r="F79" i="69"/>
  <c r="E79" i="69"/>
  <c r="G79" i="69"/>
  <c r="H79" i="69"/>
  <c r="D79" i="69"/>
  <c r="E14" i="70" a="1"/>
  <c r="E14" i="70" s="1"/>
  <c r="E18" i="70" a="1"/>
  <c r="E18" i="70" s="1"/>
  <c r="G14" i="70" a="1"/>
  <c r="G14" i="70" s="1"/>
  <c r="G18" i="70" a="1"/>
  <c r="G18" i="70" s="1"/>
  <c r="F14" i="70" a="1"/>
  <c r="F14" i="70" s="1"/>
  <c r="F18" i="70" a="1"/>
  <c r="F18" i="70" s="1"/>
  <c r="G19" i="70" a="1"/>
  <c r="G19" i="70" s="1"/>
  <c r="G15" i="70" a="1"/>
  <c r="G15" i="70" s="1"/>
  <c r="H15" i="70" a="1"/>
  <c r="H15" i="70" s="1"/>
  <c r="H19" i="70" a="1"/>
  <c r="H19" i="70" s="1"/>
  <c r="I19" i="70" a="1"/>
  <c r="I19" i="70" s="1"/>
  <c r="I15" i="70" a="1"/>
  <c r="I15" i="70" s="1"/>
  <c r="H18" i="70" a="1"/>
  <c r="H18" i="70" s="1"/>
  <c r="H14" i="70" a="1"/>
  <c r="H14" i="70" s="1"/>
  <c r="I18" i="70" a="1"/>
  <c r="I18" i="70" s="1"/>
  <c r="I14" i="70" a="1"/>
  <c r="I14" i="70" s="1"/>
  <c r="E15" i="70" a="1"/>
  <c r="E15" i="70" s="1"/>
  <c r="E19" i="70" a="1"/>
  <c r="E19" i="70" s="1"/>
  <c r="F19" i="70" a="1"/>
  <c r="F19" i="70" s="1"/>
  <c r="F15" i="70" a="1"/>
  <c r="F15" i="70" s="1"/>
  <c r="G60" i="70" a="1"/>
  <c r="G60" i="70" s="1"/>
  <c r="H55" i="70" a="1"/>
  <c r="H55" i="70" s="1"/>
  <c r="E60" i="70" a="1"/>
  <c r="E60" i="70" s="1"/>
  <c r="I59" i="70" a="1"/>
  <c r="I59" i="70" s="1"/>
  <c r="I53" i="70" a="1"/>
  <c r="I53" i="70" s="1"/>
  <c r="J166" i="69" s="1"/>
  <c r="G58" i="70" a="1"/>
  <c r="G58" i="70" s="1"/>
  <c r="H60" i="70" a="1"/>
  <c r="H60" i="70" s="1"/>
  <c r="F60" i="70" a="1"/>
  <c r="F60" i="70" s="1"/>
  <c r="G55" i="70" a="1"/>
  <c r="G55" i="70" s="1"/>
  <c r="F55" i="70" a="1"/>
  <c r="F55" i="70" s="1"/>
  <c r="E55" i="70" a="1"/>
  <c r="E55" i="70" s="1"/>
  <c r="E53" i="70" a="1"/>
  <c r="E53" i="70" s="1"/>
  <c r="H59" i="70" a="1"/>
  <c r="H59" i="70" s="1"/>
  <c r="I54" i="70" a="1"/>
  <c r="I54" i="70" s="1"/>
  <c r="E59" i="70" a="1"/>
  <c r="E59" i="70" s="1"/>
  <c r="E54" i="70" a="1"/>
  <c r="E54" i="70" s="1"/>
  <c r="I55" i="70" a="1"/>
  <c r="I55" i="70" s="1"/>
  <c r="G59" i="70" a="1"/>
  <c r="G59" i="70" s="1"/>
  <c r="H54" i="70" a="1"/>
  <c r="H54" i="70" s="1"/>
  <c r="F54" i="70" a="1"/>
  <c r="F54" i="70" s="1"/>
  <c r="H58" i="70" a="1"/>
  <c r="H58" i="70" s="1"/>
  <c r="F59" i="70" a="1"/>
  <c r="F59" i="70" s="1"/>
  <c r="G54" i="70" a="1"/>
  <c r="G54" i="70" s="1"/>
  <c r="I58" i="70" a="1"/>
  <c r="I58" i="70" s="1"/>
  <c r="H53" i="70" a="1"/>
  <c r="H53" i="70" s="1"/>
  <c r="I166" i="69" s="1"/>
  <c r="F58" i="70" a="1"/>
  <c r="F58" i="70" s="1"/>
  <c r="G53" i="70" a="1"/>
  <c r="G53" i="70" s="1"/>
  <c r="H166" i="69" s="1"/>
  <c r="I60" i="70" a="1"/>
  <c r="I60" i="70" s="1"/>
  <c r="E58" i="70" a="1"/>
  <c r="E58" i="70" s="1"/>
  <c r="F53" i="70" a="1"/>
  <c r="F53" i="70" s="1"/>
  <c r="G166" i="69" s="1"/>
  <c r="A17" i="70"/>
  <c r="A8" i="70"/>
  <c r="A20" i="79"/>
  <c r="A19" i="79"/>
  <c r="A18" i="79"/>
  <c r="A17" i="79"/>
  <c r="A14" i="79"/>
  <c r="A13" i="79"/>
  <c r="A12" i="79"/>
  <c r="A11" i="79"/>
  <c r="A8" i="79"/>
  <c r="A7" i="79"/>
  <c r="A4" i="79"/>
  <c r="A3" i="79"/>
  <c r="A20" i="81"/>
  <c r="A19" i="81"/>
  <c r="A18" i="81"/>
  <c r="A17" i="81"/>
  <c r="A14" i="81"/>
  <c r="A13" i="81"/>
  <c r="A12" i="81"/>
  <c r="A11" i="81"/>
  <c r="A8" i="81"/>
  <c r="A7" i="81"/>
  <c r="A4" i="81"/>
  <c r="A3" i="81"/>
  <c r="A20" i="82"/>
  <c r="A19" i="82"/>
  <c r="A18" i="82"/>
  <c r="A17" i="82"/>
  <c r="A14" i="82"/>
  <c r="A13" i="82"/>
  <c r="A12" i="82"/>
  <c r="A11" i="82"/>
  <c r="A8" i="82"/>
  <c r="A7" i="82"/>
  <c r="A4" i="82"/>
  <c r="A3" i="82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4" i="70"/>
  <c r="A13" i="70"/>
  <c r="A12" i="70"/>
  <c r="A11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17" i="13"/>
  <c r="A14" i="13"/>
  <c r="A11" i="13"/>
  <c r="A12" i="13"/>
  <c r="A13" i="13"/>
  <c r="A8" i="13"/>
  <c r="N65" i="82" a="1"/>
  <c r="N65" i="82" s="1"/>
  <c r="H12" i="13" s="1"/>
  <c r="L62" i="82" a="1"/>
  <c r="L62" i="82" s="1"/>
  <c r="F65" i="82" a="1"/>
  <c r="F65" i="82" s="1"/>
  <c r="H11" i="13" s="1"/>
  <c r="D62" i="82" a="1"/>
  <c r="D62" i="82" s="1"/>
  <c r="O57" i="82"/>
  <c r="O56" i="82"/>
  <c r="L53" i="82" a="1"/>
  <c r="L53" i="82" s="1"/>
  <c r="D46" i="82" a="1"/>
  <c r="D46" i="82" s="1"/>
  <c r="G56" i="82"/>
  <c r="G57" i="82"/>
  <c r="E47" i="82" a="1"/>
  <c r="H15" i="13" l="1"/>
  <c r="H226" i="76" a="1"/>
  <c r="H226" i="76" s="1"/>
  <c r="H225" i="76" a="1"/>
  <c r="H225" i="76" s="1"/>
  <c r="H227" i="76" a="1"/>
  <c r="H227" i="76" s="1"/>
  <c r="H224" i="76" a="1"/>
  <c r="H224" i="76" s="1"/>
  <c r="H231" i="76" a="1"/>
  <c r="H231" i="76" s="1"/>
  <c r="H228" i="76" a="1"/>
  <c r="H228" i="76" s="1"/>
  <c r="H230" i="76" a="1"/>
  <c r="H230" i="76" s="1"/>
  <c r="H229" i="76" a="1"/>
  <c r="H229" i="76" s="1"/>
  <c r="S69" i="69"/>
  <c r="R19" i="76"/>
  <c r="R29" i="76" s="1" a="1"/>
  <c r="R29" i="76" s="1"/>
  <c r="D69" i="69"/>
  <c r="D19" i="76"/>
  <c r="D29" i="76" s="1" a="1"/>
  <c r="D29" i="76" s="1"/>
  <c r="Q225" i="76" a="1"/>
  <c r="Q225" i="76" s="1"/>
  <c r="Q227" i="76" a="1"/>
  <c r="Q227" i="76" s="1"/>
  <c r="Q226" i="76" a="1"/>
  <c r="Q226" i="76" s="1"/>
  <c r="Q224" i="76" a="1"/>
  <c r="Q224" i="76" s="1"/>
  <c r="Q230" i="76" a="1"/>
  <c r="Q230" i="76" s="1"/>
  <c r="Q231" i="76" a="1"/>
  <c r="Q231" i="76" s="1"/>
  <c r="Q229" i="76" a="1"/>
  <c r="Q229" i="76" s="1"/>
  <c r="Q228" i="76" a="1"/>
  <c r="Q228" i="76" s="1"/>
  <c r="G69" i="69"/>
  <c r="G19" i="76"/>
  <c r="G29" i="76" s="1" a="1"/>
  <c r="G29" i="76" s="1"/>
  <c r="S229" i="76" a="1"/>
  <c r="S229" i="76" s="1"/>
  <c r="S228" i="76" a="1"/>
  <c r="S228" i="76" s="1"/>
  <c r="S231" i="76" a="1"/>
  <c r="S231" i="76" s="1"/>
  <c r="S230" i="76" a="1"/>
  <c r="S230" i="76" s="1"/>
  <c r="R69" i="69"/>
  <c r="Q19" i="76"/>
  <c r="Q29" i="76" s="1" a="1"/>
  <c r="Q29" i="76" s="1"/>
  <c r="G226" i="76" a="1"/>
  <c r="G226" i="76" s="1"/>
  <c r="G227" i="76" a="1"/>
  <c r="G227" i="76" s="1"/>
  <c r="G225" i="76" a="1"/>
  <c r="G225" i="76" s="1"/>
  <c r="G224" i="76" a="1"/>
  <c r="G224" i="76" s="1"/>
  <c r="H74" i="69"/>
  <c r="H91" i="76"/>
  <c r="I225" i="76" a="1"/>
  <c r="I225" i="76" s="1"/>
  <c r="I224" i="76" a="1"/>
  <c r="I224" i="76" s="1"/>
  <c r="I227" i="76" a="1"/>
  <c r="I227" i="76" s="1"/>
  <c r="I226" i="76" a="1"/>
  <c r="I226" i="76" s="1"/>
  <c r="S74" i="69"/>
  <c r="R91" i="76"/>
  <c r="R225" i="76" a="1"/>
  <c r="R225" i="76" s="1"/>
  <c r="R227" i="76" a="1"/>
  <c r="R227" i="76" s="1"/>
  <c r="R226" i="76" a="1"/>
  <c r="R226" i="76" s="1"/>
  <c r="R224" i="76" a="1"/>
  <c r="R224" i="76" s="1"/>
  <c r="T227" i="76" a="1"/>
  <c r="T227" i="76" s="1"/>
  <c r="T224" i="76" a="1"/>
  <c r="T224" i="76" s="1"/>
  <c r="T226" i="76" a="1"/>
  <c r="T226" i="76" s="1"/>
  <c r="T225" i="76" a="1"/>
  <c r="T225" i="76" s="1"/>
  <c r="R74" i="69"/>
  <c r="Q91" i="76"/>
  <c r="J228" i="76" a="1"/>
  <c r="J228" i="76" s="1"/>
  <c r="J230" i="76" a="1"/>
  <c r="J230" i="76" s="1"/>
  <c r="J229" i="76" a="1"/>
  <c r="J229" i="76" s="1"/>
  <c r="J231" i="76" a="1"/>
  <c r="J231" i="76" s="1"/>
  <c r="P230" i="76" a="1"/>
  <c r="P230" i="76" s="1"/>
  <c r="P231" i="76" a="1"/>
  <c r="P231" i="76" s="1"/>
  <c r="P228" i="76" a="1"/>
  <c r="P228" i="76" s="1"/>
  <c r="P229" i="76" a="1"/>
  <c r="P229" i="76" s="1"/>
  <c r="G74" i="69"/>
  <c r="G91" i="76"/>
  <c r="F226" i="76" a="1"/>
  <c r="F226" i="76" s="1"/>
  <c r="F227" i="76" a="1"/>
  <c r="F227" i="76" s="1"/>
  <c r="F225" i="76" a="1"/>
  <c r="F225" i="76" s="1"/>
  <c r="F224" i="76" a="1"/>
  <c r="F224" i="76" s="1"/>
  <c r="I228" i="76" a="1"/>
  <c r="I228" i="76" s="1"/>
  <c r="I230" i="76" a="1"/>
  <c r="I230" i="76" s="1"/>
  <c r="I229" i="76" a="1"/>
  <c r="I229" i="76" s="1"/>
  <c r="I231" i="76" a="1"/>
  <c r="I231" i="76" s="1"/>
  <c r="F74" i="69"/>
  <c r="F91" i="76"/>
  <c r="P225" i="76" a="1"/>
  <c r="P225" i="76" s="1"/>
  <c r="P227" i="76" a="1"/>
  <c r="P227" i="76" s="1"/>
  <c r="P224" i="76" a="1"/>
  <c r="P224" i="76" s="1"/>
  <c r="P226" i="76" a="1"/>
  <c r="P226" i="76" s="1"/>
  <c r="R230" i="76" a="1"/>
  <c r="R230" i="76" s="1"/>
  <c r="R229" i="76" a="1"/>
  <c r="R229" i="76" s="1"/>
  <c r="R231" i="76" a="1"/>
  <c r="R231" i="76" s="1"/>
  <c r="R228" i="76" a="1"/>
  <c r="R228" i="76" s="1"/>
  <c r="Q74" i="69"/>
  <c r="P91" i="76"/>
  <c r="T229" i="76" a="1"/>
  <c r="T229" i="76" s="1"/>
  <c r="T231" i="76" a="1"/>
  <c r="T231" i="76" s="1"/>
  <c r="T228" i="76" a="1"/>
  <c r="T228" i="76" s="1"/>
  <c r="T230" i="76" a="1"/>
  <c r="T230" i="76" s="1"/>
  <c r="J225" i="76" a="1"/>
  <c r="J225" i="76" s="1"/>
  <c r="J224" i="76" a="1"/>
  <c r="J224" i="76" s="1"/>
  <c r="J227" i="76" a="1"/>
  <c r="J227" i="76" s="1"/>
  <c r="J226" i="76" a="1"/>
  <c r="J226" i="76" s="1"/>
  <c r="E74" i="69"/>
  <c r="E91" i="76"/>
  <c r="P69" i="69"/>
  <c r="O19" i="76"/>
  <c r="O29" i="76" s="1" a="1"/>
  <c r="O29" i="76" s="1"/>
  <c r="S227" i="76" a="1"/>
  <c r="S227" i="76" s="1"/>
  <c r="S224" i="76" a="1"/>
  <c r="S224" i="76" s="1"/>
  <c r="S226" i="76" a="1"/>
  <c r="S226" i="76" s="1"/>
  <c r="S225" i="76" a="1"/>
  <c r="S225" i="76" s="1"/>
  <c r="P74" i="69"/>
  <c r="O91" i="76"/>
  <c r="E69" i="69"/>
  <c r="E19" i="76"/>
  <c r="E29" i="76" s="1" a="1"/>
  <c r="E29" i="76" s="1"/>
  <c r="O74" i="69"/>
  <c r="N91" i="76"/>
  <c r="Q69" i="69"/>
  <c r="P19" i="76"/>
  <c r="P29" i="76" s="1" a="1"/>
  <c r="P29" i="76" s="1"/>
  <c r="F231" i="76" a="1"/>
  <c r="F231" i="76" s="1"/>
  <c r="F228" i="76" a="1"/>
  <c r="F228" i="76" s="1"/>
  <c r="F229" i="76" a="1"/>
  <c r="F229" i="76" s="1"/>
  <c r="F230" i="76" a="1"/>
  <c r="F230" i="76" s="1"/>
  <c r="D74" i="69"/>
  <c r="D91" i="76"/>
  <c r="F69" i="69"/>
  <c r="F84" i="69" s="1" a="1"/>
  <c r="F84" i="69" s="1"/>
  <c r="F19" i="76"/>
  <c r="F29" i="76" s="1" a="1"/>
  <c r="F29" i="76" s="1"/>
  <c r="G231" i="76" a="1"/>
  <c r="G231" i="76" s="1"/>
  <c r="G228" i="76" a="1"/>
  <c r="G228" i="76" s="1"/>
  <c r="G229" i="76" a="1"/>
  <c r="G229" i="76" s="1"/>
  <c r="G230" i="76" a="1"/>
  <c r="G230" i="76" s="1"/>
  <c r="H69" i="69"/>
  <c r="H19" i="76"/>
  <c r="H29" i="76" s="1" a="1"/>
  <c r="H29" i="76" s="1"/>
  <c r="O69" i="69"/>
  <c r="N19" i="76"/>
  <c r="N29" i="76" s="1" a="1"/>
  <c r="N29" i="76" s="1"/>
  <c r="J124" i="69"/>
  <c r="J144" i="69" s="1" a="1"/>
  <c r="J144" i="69" s="1"/>
  <c r="J126" i="69"/>
  <c r="J146" i="69" s="1" a="1"/>
  <c r="J146" i="69" s="1"/>
  <c r="J125" i="69"/>
  <c r="J145" i="69" s="1" a="1"/>
  <c r="J145" i="69" s="1"/>
  <c r="J167" i="69"/>
  <c r="Q124" i="69"/>
  <c r="Q144" i="69" s="1" a="1"/>
  <c r="Q144" i="69" s="1"/>
  <c r="Q125" i="69"/>
  <c r="Q145" i="69" s="1" a="1"/>
  <c r="Q145" i="69" s="1"/>
  <c r="Q126" i="69"/>
  <c r="Q146" i="69" s="1" a="1"/>
  <c r="Q146" i="69" s="1"/>
  <c r="Q167" i="69"/>
  <c r="S126" i="69"/>
  <c r="S146" i="69" s="1" a="1"/>
  <c r="S146" i="69" s="1"/>
  <c r="S125" i="69"/>
  <c r="S145" i="69" s="1" a="1"/>
  <c r="S145" i="69" s="1"/>
  <c r="S124" i="69"/>
  <c r="S144" i="69" s="1" a="1"/>
  <c r="S144" i="69" s="1"/>
  <c r="S167" i="69"/>
  <c r="T166" i="69"/>
  <c r="T123" i="69"/>
  <c r="T143" i="69" s="1" a="1"/>
  <c r="T143" i="69" s="1"/>
  <c r="T122" i="69"/>
  <c r="T142" i="69" s="1" a="1"/>
  <c r="T142" i="69" s="1"/>
  <c r="T121" i="69"/>
  <c r="T141" i="69" s="1" a="1"/>
  <c r="T141" i="69" s="1"/>
  <c r="F166" i="69"/>
  <c r="F123" i="69"/>
  <c r="F143" i="69" s="1" a="1"/>
  <c r="F143" i="69" s="1"/>
  <c r="F122" i="69"/>
  <c r="F142" i="69" s="1" a="1"/>
  <c r="F142" i="69" s="1"/>
  <c r="F121" i="69"/>
  <c r="F141" i="69" s="1" a="1"/>
  <c r="F141" i="69" s="1"/>
  <c r="U126" i="69"/>
  <c r="U146" i="69" s="1" a="1"/>
  <c r="U146" i="69" s="1"/>
  <c r="U125" i="69"/>
  <c r="U145" i="69" s="1" a="1"/>
  <c r="U145" i="69" s="1"/>
  <c r="U124" i="69"/>
  <c r="U144" i="69" s="1" a="1"/>
  <c r="U144" i="69" s="1"/>
  <c r="U167" i="69"/>
  <c r="F125" i="69"/>
  <c r="F145" i="69" s="1" a="1"/>
  <c r="F145" i="69" s="1"/>
  <c r="F167" i="69"/>
  <c r="F124" i="69"/>
  <c r="F144" i="69" s="1" a="1"/>
  <c r="F144" i="69" s="1"/>
  <c r="F126" i="69"/>
  <c r="F146" i="69" s="1" a="1"/>
  <c r="F146" i="69" s="1"/>
  <c r="H124" i="69"/>
  <c r="H144" i="69" s="1" a="1"/>
  <c r="H144" i="69" s="1"/>
  <c r="H167" i="69"/>
  <c r="H126" i="69"/>
  <c r="H146" i="69" s="1" a="1"/>
  <c r="H146" i="69" s="1"/>
  <c r="H125" i="69"/>
  <c r="H145" i="69" s="1" a="1"/>
  <c r="H145" i="69" s="1"/>
  <c r="J123" i="69"/>
  <c r="J143" i="69" s="1" a="1"/>
  <c r="J143" i="69" s="1"/>
  <c r="J122" i="69"/>
  <c r="J142" i="69" s="1" a="1"/>
  <c r="J142" i="69" s="1"/>
  <c r="J121" i="69"/>
  <c r="J141" i="69" s="1" a="1"/>
  <c r="J141" i="69" s="1"/>
  <c r="G124" i="69"/>
  <c r="G144" i="69" s="1" a="1"/>
  <c r="G144" i="69" s="1"/>
  <c r="G167" i="69"/>
  <c r="G126" i="69"/>
  <c r="G146" i="69" s="1" a="1"/>
  <c r="G146" i="69" s="1"/>
  <c r="G125" i="69"/>
  <c r="G145" i="69" s="1" a="1"/>
  <c r="G145" i="69" s="1"/>
  <c r="H121" i="69"/>
  <c r="H141" i="69" s="1" a="1"/>
  <c r="H141" i="69" s="1"/>
  <c r="H123" i="69"/>
  <c r="H143" i="69" s="1" a="1"/>
  <c r="H143" i="69" s="1"/>
  <c r="H122" i="69"/>
  <c r="H142" i="69" s="1" a="1"/>
  <c r="H142" i="69" s="1"/>
  <c r="R121" i="69"/>
  <c r="R141" i="69" s="1" a="1"/>
  <c r="R141" i="69" s="1"/>
  <c r="R166" i="69"/>
  <c r="R123" i="69"/>
  <c r="R143" i="69" s="1" a="1"/>
  <c r="R143" i="69" s="1"/>
  <c r="R122" i="69"/>
  <c r="R142" i="69" s="1" a="1"/>
  <c r="R142" i="69" s="1"/>
  <c r="T167" i="69"/>
  <c r="T125" i="69"/>
  <c r="T145" i="69" s="1" a="1"/>
  <c r="T145" i="69" s="1"/>
  <c r="T124" i="69"/>
  <c r="T144" i="69" s="1" a="1"/>
  <c r="T144" i="69" s="1"/>
  <c r="T126" i="69"/>
  <c r="T146" i="69" s="1" a="1"/>
  <c r="T146" i="69" s="1"/>
  <c r="I167" i="69"/>
  <c r="I126" i="69"/>
  <c r="I146" i="69" s="1" a="1"/>
  <c r="I146" i="69" s="1"/>
  <c r="I125" i="69"/>
  <c r="I145" i="69" s="1" a="1"/>
  <c r="I145" i="69" s="1"/>
  <c r="I124" i="69"/>
  <c r="I144" i="69" s="1" a="1"/>
  <c r="I144" i="69" s="1"/>
  <c r="G123" i="69"/>
  <c r="G143" i="69" s="1" a="1"/>
  <c r="G143" i="69" s="1"/>
  <c r="G122" i="69"/>
  <c r="G142" i="69" s="1" a="1"/>
  <c r="G142" i="69" s="1"/>
  <c r="G121" i="69"/>
  <c r="G141" i="69" s="1" a="1"/>
  <c r="G141" i="69" s="1"/>
  <c r="Q166" i="69"/>
  <c r="Q122" i="69"/>
  <c r="Q142" i="69" s="1" a="1"/>
  <c r="Q142" i="69" s="1"/>
  <c r="Q123" i="69"/>
  <c r="Q143" i="69" s="1" a="1"/>
  <c r="Q143" i="69" s="1"/>
  <c r="Q121" i="69"/>
  <c r="Q141" i="69" s="1" a="1"/>
  <c r="Q141" i="69" s="1"/>
  <c r="R124" i="69"/>
  <c r="R144" i="69" s="1" a="1"/>
  <c r="R144" i="69" s="1"/>
  <c r="R126" i="69"/>
  <c r="R146" i="69" s="1" a="1"/>
  <c r="R146" i="69" s="1"/>
  <c r="R125" i="69"/>
  <c r="R145" i="69" s="1" a="1"/>
  <c r="R145" i="69" s="1"/>
  <c r="R167" i="69"/>
  <c r="I121" i="69"/>
  <c r="I141" i="69" s="1" a="1"/>
  <c r="I141" i="69" s="1"/>
  <c r="I123" i="69"/>
  <c r="I143" i="69" s="1" a="1"/>
  <c r="I143" i="69" s="1"/>
  <c r="I122" i="69"/>
  <c r="I142" i="69" s="1" a="1"/>
  <c r="I142" i="69" s="1"/>
  <c r="S121" i="69"/>
  <c r="S141" i="69" s="1" a="1"/>
  <c r="S141" i="69" s="1"/>
  <c r="S166" i="69"/>
  <c r="S123" i="69"/>
  <c r="S143" i="69" s="1" a="1"/>
  <c r="S143" i="69" s="1"/>
  <c r="S122" i="69"/>
  <c r="S142" i="69" s="1" a="1"/>
  <c r="S142" i="69" s="1"/>
  <c r="U166" i="69"/>
  <c r="U122" i="69"/>
  <c r="U142" i="69" s="1" a="1"/>
  <c r="U142" i="69" s="1"/>
  <c r="U121" i="69"/>
  <c r="U141" i="69" s="1" a="1"/>
  <c r="U141" i="69" s="1"/>
  <c r="U123" i="69"/>
  <c r="U143" i="69" s="1" a="1"/>
  <c r="U143" i="69" s="1"/>
  <c r="E47" i="82"/>
  <c r="E51" i="82" a="1"/>
  <c r="E51" i="82" s="1"/>
  <c r="E50" i="82" a="1"/>
  <c r="E50" i="82" s="1"/>
  <c r="D53" i="82" a="1"/>
  <c r="D53" i="82" s="1"/>
  <c r="D45" i="82" a="1"/>
  <c r="D45" i="82" s="1"/>
  <c r="L36" i="82"/>
  <c r="L20" i="82"/>
  <c r="D36" i="82"/>
  <c r="G15" i="82"/>
  <c r="D28" i="82"/>
  <c r="G14" i="82"/>
  <c r="D20" i="82"/>
  <c r="D6" i="82" a="1"/>
  <c r="D6" i="82" s="1"/>
  <c r="E11" i="82" a="1"/>
  <c r="E11" i="82" s="1"/>
  <c r="E12" i="82" a="1"/>
  <c r="E12" i="82" s="1"/>
  <c r="F41" i="82" s="1"/>
  <c r="D14" i="82" a="1"/>
  <c r="D14" i="82" s="1"/>
  <c r="D5" i="82" a="1"/>
  <c r="D5" i="82" s="1"/>
  <c r="G114" i="81"/>
  <c r="F114" i="81"/>
  <c r="E114" i="81"/>
  <c r="G113" i="81"/>
  <c r="F113" i="81"/>
  <c r="E113" i="81"/>
  <c r="G112" i="81"/>
  <c r="F112" i="81"/>
  <c r="E112" i="81"/>
  <c r="H72" i="81"/>
  <c r="H71" i="81"/>
  <c r="H70" i="81"/>
  <c r="H69" i="81"/>
  <c r="H17" i="81"/>
  <c r="H16" i="81"/>
  <c r="H15" i="81"/>
  <c r="H14" i="81"/>
  <c r="D61" i="81" a="1"/>
  <c r="D61" i="81" s="1"/>
  <c r="D85" i="81" s="1"/>
  <c r="E66" i="81" a="1"/>
  <c r="E66" i="81" s="1"/>
  <c r="E67" i="81" a="1"/>
  <c r="E67" i="81" s="1"/>
  <c r="D69" i="81" a="1"/>
  <c r="D69" i="81" s="1"/>
  <c r="D60" i="81" a="1"/>
  <c r="D60" i="81" s="1"/>
  <c r="G95" i="81"/>
  <c r="F95" i="81"/>
  <c r="E95" i="81"/>
  <c r="G94" i="81"/>
  <c r="F94" i="81"/>
  <c r="E94" i="81"/>
  <c r="G93" i="81"/>
  <c r="F93" i="81"/>
  <c r="E93" i="81"/>
  <c r="D6" i="81" a="1"/>
  <c r="D6" i="81" s="1"/>
  <c r="G149" i="70"/>
  <c r="G47" i="81" s="1"/>
  <c r="F149" i="70"/>
  <c r="F47" i="81" s="1"/>
  <c r="E149" i="70"/>
  <c r="E47" i="81" s="1"/>
  <c r="D37" i="81"/>
  <c r="D29" i="81"/>
  <c r="E11" i="81" a="1"/>
  <c r="E11" i="81" s="1"/>
  <c r="E12" i="81" a="1"/>
  <c r="E12" i="81" s="1"/>
  <c r="F81" i="81" s="1"/>
  <c r="D14" i="81" a="1"/>
  <c r="D14" i="81" s="1"/>
  <c r="D5" i="81" a="1"/>
  <c r="D5" i="81" s="1"/>
  <c r="H10" i="13"/>
  <c r="H9" i="13"/>
  <c r="E7" i="82" a="1"/>
  <c r="E62" i="81" a="1"/>
  <c r="E7" i="81" a="1"/>
  <c r="S84" i="69" l="1" a="1"/>
  <c r="S84" i="69" s="1"/>
  <c r="S103" i="69" s="1" a="1"/>
  <c r="S103" i="69" s="1"/>
  <c r="O84" i="69" a="1"/>
  <c r="O84" i="69" s="1"/>
  <c r="N50" i="76" s="1"/>
  <c r="E84" i="69" a="1"/>
  <c r="E84" i="69" s="1"/>
  <c r="E103" i="69" s="1" a="1"/>
  <c r="E103" i="69" s="1"/>
  <c r="J173" i="69" a="1"/>
  <c r="J173" i="69" s="1"/>
  <c r="R84" i="69" a="1"/>
  <c r="R84" i="69" s="1"/>
  <c r="Q50" i="76" s="1"/>
  <c r="G84" i="69" a="1"/>
  <c r="G84" i="69" s="1"/>
  <c r="G103" i="69" s="1" a="1"/>
  <c r="G103" i="69" s="1"/>
  <c r="H84" i="69" a="1"/>
  <c r="H84" i="69" s="1"/>
  <c r="H50" i="76" s="1"/>
  <c r="Q84" i="69" a="1"/>
  <c r="Q84" i="69" s="1"/>
  <c r="Q103" i="69" s="1" a="1"/>
  <c r="Q103" i="69" s="1"/>
  <c r="D84" i="69" a="1"/>
  <c r="D84" i="69" s="1"/>
  <c r="D50" i="76" s="1"/>
  <c r="P84" i="69" a="1"/>
  <c r="P84" i="69" s="1"/>
  <c r="P103" i="69" s="1" a="1"/>
  <c r="P103" i="69" s="1"/>
  <c r="Q173" i="69" a="1"/>
  <c r="Q173" i="69" s="1"/>
  <c r="S172" i="69" a="1"/>
  <c r="S172" i="69" s="1"/>
  <c r="R173" i="69" a="1"/>
  <c r="R173" i="69" s="1"/>
  <c r="G173" i="69" a="1"/>
  <c r="G173" i="69" s="1"/>
  <c r="G58" i="82"/>
  <c r="O58" i="82"/>
  <c r="F173" i="69" a="1"/>
  <c r="F173" i="69" s="1"/>
  <c r="U173" i="69" a="1"/>
  <c r="U173" i="69" s="1"/>
  <c r="I173" i="69" a="1"/>
  <c r="I173" i="69" s="1"/>
  <c r="F103" i="69" a="1"/>
  <c r="F103" i="69" s="1"/>
  <c r="F50" i="76"/>
  <c r="T173" i="69" a="1"/>
  <c r="T173" i="69" s="1"/>
  <c r="G172" i="69" a="1"/>
  <c r="G172" i="69" s="1"/>
  <c r="S173" i="69" a="1"/>
  <c r="S173" i="69" s="1"/>
  <c r="H172" i="69" a="1"/>
  <c r="H172" i="69" s="1"/>
  <c r="U172" i="69" a="1"/>
  <c r="U172" i="69" s="1"/>
  <c r="Q172" i="69" a="1"/>
  <c r="Q172" i="69" s="1"/>
  <c r="R172" i="69" a="1"/>
  <c r="R172" i="69" s="1"/>
  <c r="H173" i="69" a="1"/>
  <c r="H173" i="69" s="1"/>
  <c r="F172" i="69" a="1"/>
  <c r="F172" i="69" s="1"/>
  <c r="J172" i="69" a="1"/>
  <c r="J172" i="69" s="1"/>
  <c r="T172" i="69" a="1"/>
  <c r="T172" i="69" s="1"/>
  <c r="I172" i="69" a="1"/>
  <c r="I172" i="69" s="1"/>
  <c r="N60" i="82"/>
  <c r="F12" i="13" s="1"/>
  <c r="F60" i="82"/>
  <c r="F11" i="13" s="1"/>
  <c r="H37" i="82"/>
  <c r="H38" i="82"/>
  <c r="H39" i="82"/>
  <c r="H53" i="81"/>
  <c r="H36" i="82"/>
  <c r="N41" i="82"/>
  <c r="P121" i="81"/>
  <c r="E7" i="82"/>
  <c r="F123" i="81"/>
  <c r="F23" i="13" s="1"/>
  <c r="N123" i="81"/>
  <c r="P52" i="81"/>
  <c r="P54" i="81"/>
  <c r="N56" i="81"/>
  <c r="P101" i="81"/>
  <c r="P102" i="81"/>
  <c r="N81" i="81"/>
  <c r="E62" i="81"/>
  <c r="E7" i="81"/>
  <c r="H77" i="81"/>
  <c r="H119" i="81"/>
  <c r="H79" i="81"/>
  <c r="H100" i="81"/>
  <c r="H120" i="81"/>
  <c r="H101" i="81"/>
  <c r="P120" i="81"/>
  <c r="H78" i="81"/>
  <c r="P119" i="81"/>
  <c r="P77" i="81"/>
  <c r="P78" i="81"/>
  <c r="H52" i="81"/>
  <c r="H102" i="81"/>
  <c r="P100" i="81"/>
  <c r="H121" i="81"/>
  <c r="P79" i="81"/>
  <c r="H54" i="81"/>
  <c r="P53" i="81"/>
  <c r="F104" i="81"/>
  <c r="F22" i="13" s="1"/>
  <c r="N104" i="81"/>
  <c r="F56" i="81"/>
  <c r="F21" i="13" s="1"/>
  <c r="R103" i="69" l="1" a="1"/>
  <c r="R103" i="69" s="1"/>
  <c r="R50" i="76"/>
  <c r="R65" i="76" s="1" a="1"/>
  <c r="R65" i="76" s="1"/>
  <c r="R96" i="76" s="1" a="1"/>
  <c r="R96" i="76" s="1"/>
  <c r="O103" i="69" a="1"/>
  <c r="O103" i="69" s="1"/>
  <c r="P50" i="76"/>
  <c r="E50" i="76"/>
  <c r="E65" i="76" s="1" a="1"/>
  <c r="E65" i="76" s="1"/>
  <c r="E96" i="76" s="1" a="1"/>
  <c r="E96" i="76" s="1"/>
  <c r="D103" i="69" a="1"/>
  <c r="D103" i="69" s="1"/>
  <c r="O50" i="76"/>
  <c r="O65" i="76" s="1" a="1"/>
  <c r="O65" i="76" s="1"/>
  <c r="O96" i="76" s="1" a="1"/>
  <c r="O96" i="76" s="1"/>
  <c r="H103" i="69" a="1"/>
  <c r="H103" i="69" s="1"/>
  <c r="G50" i="76"/>
  <c r="G65" i="76" s="1" a="1"/>
  <c r="G65" i="76" s="1"/>
  <c r="G96" i="76" s="1" a="1"/>
  <c r="G96" i="76" s="1"/>
  <c r="P65" i="76" a="1"/>
  <c r="P65" i="76" s="1"/>
  <c r="P96" i="76" s="1" a="1"/>
  <c r="P96" i="76" s="1"/>
  <c r="P119" i="76" a="1"/>
  <c r="P119" i="76" s="1"/>
  <c r="N65" i="76" a="1"/>
  <c r="N65" i="76" s="1"/>
  <c r="N96" i="76" s="1" a="1"/>
  <c r="N96" i="76" s="1"/>
  <c r="N119" i="76" a="1"/>
  <c r="N119" i="76" s="1"/>
  <c r="H65" i="76" a="1"/>
  <c r="H65" i="76" s="1"/>
  <c r="H96" i="76" s="1" a="1"/>
  <c r="H96" i="76" s="1"/>
  <c r="H119" i="76" a="1"/>
  <c r="H119" i="76" s="1"/>
  <c r="Q65" i="76" a="1"/>
  <c r="Q65" i="76" s="1"/>
  <c r="Q96" i="76" s="1" a="1"/>
  <c r="Q96" i="76" s="1"/>
  <c r="Q119" i="76" a="1"/>
  <c r="Q119" i="76" s="1"/>
  <c r="D119" i="76" a="1"/>
  <c r="D119" i="76" s="1"/>
  <c r="D65" i="76" a="1"/>
  <c r="D65" i="76" s="1"/>
  <c r="D96" i="76" s="1" a="1"/>
  <c r="D96" i="76" s="1"/>
  <c r="D139" i="76" s="1" a="1"/>
  <c r="D139" i="76" s="1"/>
  <c r="F119" i="76" a="1"/>
  <c r="F119" i="76" s="1"/>
  <c r="F65" i="76" a="1"/>
  <c r="F65" i="76" s="1"/>
  <c r="F96" i="76" s="1" a="1"/>
  <c r="F96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O119" i="76" l="1" a="1"/>
  <c r="O119" i="76" s="1"/>
  <c r="O139" i="76" s="1" a="1"/>
  <c r="O139" i="76" s="1"/>
  <c r="R119" i="76" a="1"/>
  <c r="R119" i="76" s="1"/>
  <c r="R139" i="76" s="1" a="1"/>
  <c r="R139" i="76" s="1"/>
  <c r="R206" i="76" s="1" a="1"/>
  <c r="R206" i="76" s="1"/>
  <c r="G119" i="76" a="1"/>
  <c r="G119" i="76" s="1"/>
  <c r="G139" i="76" s="1" a="1"/>
  <c r="G139" i="76" s="1"/>
  <c r="E119" i="76" a="1"/>
  <c r="E119" i="76" s="1"/>
  <c r="E139" i="76" s="1" a="1"/>
  <c r="E139" i="76" s="1"/>
  <c r="Q139" i="76" a="1"/>
  <c r="Q139" i="76" s="1"/>
  <c r="Q206" i="76" s="1" a="1"/>
  <c r="Q206" i="76" s="1"/>
  <c r="F139" i="76" a="1"/>
  <c r="F139" i="76" s="1"/>
  <c r="F169" i="76" s="1" a="1"/>
  <c r="F169" i="76" s="1"/>
  <c r="H139" i="76" a="1"/>
  <c r="H139" i="76" s="1"/>
  <c r="H169" i="76" s="1" a="1"/>
  <c r="H169" i="76" s="1"/>
  <c r="D169" i="76" a="1"/>
  <c r="D169" i="76" s="1"/>
  <c r="D206" i="76" a="1"/>
  <c r="D206" i="76" s="1"/>
  <c r="N139" i="76" a="1"/>
  <c r="N139" i="76" s="1"/>
  <c r="P139" i="76" a="1"/>
  <c r="P139" i="76" s="1"/>
  <c r="E28" i="82"/>
  <c r="E29" i="81"/>
  <c r="E37" i="81"/>
  <c r="F10" i="13"/>
  <c r="F9" i="13"/>
  <c r="G139" i="70"/>
  <c r="G45" i="81" s="1"/>
  <c r="F139" i="70"/>
  <c r="F45" i="81" s="1"/>
  <c r="E139" i="70"/>
  <c r="E45" i="81" s="1"/>
  <c r="G144" i="70"/>
  <c r="G46" i="81" s="1"/>
  <c r="F144" i="70"/>
  <c r="F46" i="81" s="1"/>
  <c r="E144" i="70"/>
  <c r="E46" i="81" s="1"/>
  <c r="G169" i="76" l="1" a="1"/>
  <c r="G169" i="76" s="1"/>
  <c r="I242" i="76" s="1" a="1"/>
  <c r="I242" i="76" s="1"/>
  <c r="G206" i="76" a="1"/>
  <c r="G206" i="76" s="1"/>
  <c r="R169" i="76" a="1"/>
  <c r="R169" i="76" s="1"/>
  <c r="Q169" i="76" a="1"/>
  <c r="Q169" i="76" s="1"/>
  <c r="F206" i="76" a="1"/>
  <c r="F206" i="76" s="1"/>
  <c r="H238" i="76" s="1" a="1"/>
  <c r="H238" i="76" s="1"/>
  <c r="F237" i="76" a="1"/>
  <c r="F237" i="76" s="1"/>
  <c r="F236" i="76" a="1"/>
  <c r="F236" i="76" s="1"/>
  <c r="F243" i="76" a="1"/>
  <c r="F243" i="76" s="1"/>
  <c r="F242" i="76" a="1"/>
  <c r="F242" i="76" s="1"/>
  <c r="F241" i="76" a="1"/>
  <c r="F241" i="76" s="1"/>
  <c r="F240" i="76" a="1"/>
  <c r="F240" i="76" s="1"/>
  <c r="F239" i="76" a="1"/>
  <c r="F239" i="76" s="1"/>
  <c r="F238" i="76" a="1"/>
  <c r="F238" i="76" s="1"/>
  <c r="H206" i="76" a="1"/>
  <c r="H206" i="76" s="1"/>
  <c r="O169" i="76" a="1"/>
  <c r="O169" i="76" s="1"/>
  <c r="O206" i="76" a="1"/>
  <c r="O206" i="76" s="1"/>
  <c r="E169" i="76" a="1"/>
  <c r="E169" i="76" s="1"/>
  <c r="E206" i="76" a="1"/>
  <c r="E206" i="76" s="1"/>
  <c r="N169" i="76" a="1"/>
  <c r="N169" i="76" s="1"/>
  <c r="N206" i="76" a="1"/>
  <c r="N206" i="76" s="1"/>
  <c r="P169" i="76" a="1"/>
  <c r="P169" i="76" s="1"/>
  <c r="P206" i="76" a="1"/>
  <c r="P206" i="76" s="1"/>
  <c r="M20" i="82"/>
  <c r="M36" i="82" s="1" a="1"/>
  <c r="M36" i="82" s="1"/>
  <c r="M41" i="82" s="1"/>
  <c r="O53" i="82" s="1"/>
  <c r="M60" i="82" s="1" a="1"/>
  <c r="M60" i="82" s="1"/>
  <c r="N20" i="82"/>
  <c r="N36" i="82" s="1" a="1"/>
  <c r="N36" i="82" s="1"/>
  <c r="O20" i="82"/>
  <c r="O36" i="82" s="1" a="1"/>
  <c r="O36" i="82" s="1"/>
  <c r="I236" i="76" l="1" a="1"/>
  <c r="I236" i="76" s="1"/>
  <c r="I237" i="76" a="1"/>
  <c r="I237" i="76" s="1"/>
  <c r="I241" i="76" a="1"/>
  <c r="I241" i="76" s="1"/>
  <c r="I243" i="76" a="1"/>
  <c r="I243" i="76" s="1"/>
  <c r="I238" i="76" a="1"/>
  <c r="I238" i="76" s="1"/>
  <c r="I239" i="76" a="1"/>
  <c r="I239" i="76" s="1"/>
  <c r="I240" i="76" a="1"/>
  <c r="I240" i="76" s="1"/>
  <c r="H239" i="76" a="1"/>
  <c r="H239" i="76" s="1"/>
  <c r="H241" i="76" a="1"/>
  <c r="H241" i="76" s="1"/>
  <c r="H242" i="76" a="1"/>
  <c r="H242" i="76" s="1"/>
  <c r="H240" i="76" a="1"/>
  <c r="H240" i="76" s="1"/>
  <c r="H236" i="76" a="1"/>
  <c r="H236" i="76" s="1"/>
  <c r="H237" i="76" a="1"/>
  <c r="H237" i="76" s="1"/>
  <c r="H243" i="76" a="1"/>
  <c r="H243" i="76" s="1"/>
  <c r="G242" i="76" a="1"/>
  <c r="G242" i="76" s="1"/>
  <c r="G241" i="76" a="1"/>
  <c r="G241" i="76" s="1"/>
  <c r="G239" i="76" a="1"/>
  <c r="G239" i="76" s="1"/>
  <c r="G238" i="76" a="1"/>
  <c r="G238" i="76" s="1"/>
  <c r="G240" i="76" a="1"/>
  <c r="G240" i="76" s="1"/>
  <c r="G243" i="76" a="1"/>
  <c r="G243" i="76" s="1"/>
  <c r="G237" i="76" a="1"/>
  <c r="G237" i="76" s="1"/>
  <c r="G236" i="76" a="1"/>
  <c r="G236" i="76" s="1"/>
  <c r="J243" i="76" a="1"/>
  <c r="J243" i="76" s="1"/>
  <c r="J242" i="76" a="1"/>
  <c r="J242" i="76" s="1"/>
  <c r="J241" i="76" a="1"/>
  <c r="J241" i="76" s="1"/>
  <c r="J240" i="76" a="1"/>
  <c r="J240" i="76" s="1"/>
  <c r="J239" i="76" a="1"/>
  <c r="J239" i="76" s="1"/>
  <c r="J236" i="76" a="1"/>
  <c r="J236" i="76" s="1"/>
  <c r="J237" i="76" a="1"/>
  <c r="J237" i="76" s="1"/>
  <c r="J238" i="76" a="1"/>
  <c r="J238" i="76" s="1"/>
  <c r="O62" i="82"/>
  <c r="M65" i="82" s="1" a="1"/>
  <c r="M65" i="82" s="1"/>
  <c r="G12" i="13" s="1"/>
  <c r="E12" i="13"/>
  <c r="E20" i="82"/>
  <c r="E36" i="82" s="1" a="1"/>
  <c r="E36" i="82" s="1"/>
  <c r="G20" i="82"/>
  <c r="G36" i="82" s="1" a="1"/>
  <c r="G36" i="82" s="1"/>
  <c r="F20" i="82"/>
  <c r="F36" i="82" s="1" a="1"/>
  <c r="F36" i="82" s="1"/>
  <c r="A20" i="13" l="1"/>
  <c r="A18" i="13"/>
  <c r="A19" i="13"/>
  <c r="A7" i="13"/>
  <c r="A4" i="13"/>
  <c r="A3" i="13"/>
  <c r="F23" i="82" l="1"/>
  <c r="G23" i="82"/>
  <c r="E23" i="82"/>
  <c r="M24" i="81" l="1"/>
  <c r="M23" i="82"/>
  <c r="O24" i="81"/>
  <c r="O23" i="82"/>
  <c r="N24" i="81"/>
  <c r="N23" i="82"/>
  <c r="E24" i="81"/>
  <c r="F24" i="81"/>
  <c r="G24" i="81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1" i="79" s="1"/>
  <c r="E15" i="43" a="1"/>
  <c r="E15" i="43" s="1"/>
  <c r="D11" i="79" s="1"/>
  <c r="D15" i="43" a="1"/>
  <c r="D15" i="43" s="1"/>
  <c r="F14" i="43" a="1"/>
  <c r="F14" i="43" s="1"/>
  <c r="E10" i="79" s="1"/>
  <c r="E14" i="43" a="1"/>
  <c r="E14" i="43" s="1"/>
  <c r="D10" i="79" s="1"/>
  <c r="D14" i="43" a="1"/>
  <c r="D14" i="43" s="1"/>
  <c r="F13" i="43" a="1"/>
  <c r="F13" i="43" s="1"/>
  <c r="E9" i="79" s="1"/>
  <c r="E13" i="43" a="1"/>
  <c r="E13" i="43" s="1"/>
  <c r="D9" i="79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8" i="79" s="1"/>
  <c r="E10" i="43" a="1"/>
  <c r="E10" i="43" s="1"/>
  <c r="D8" i="79" s="1"/>
  <c r="D10" i="43" a="1"/>
  <c r="D10" i="43" s="1"/>
  <c r="D8" i="43" a="1"/>
  <c r="D8" i="43" s="1"/>
  <c r="D7" i="43" a="1"/>
  <c r="D7" i="43" s="1"/>
  <c r="D6" i="43" a="1"/>
  <c r="D6" i="43" s="1"/>
  <c r="D197" i="69" l="1"/>
  <c r="E197" i="69" s="1" a="1"/>
  <c r="E197" i="69" s="1"/>
  <c r="D77" i="70"/>
  <c r="D111" i="70"/>
  <c r="D67" i="70"/>
  <c r="D101" i="70"/>
  <c r="D195" i="69"/>
  <c r="E195" i="69" s="1" a="1"/>
  <c r="E195" i="69" s="1"/>
  <c r="D82" i="70"/>
  <c r="D116" i="70"/>
  <c r="D198" i="69"/>
  <c r="E198" i="69" s="1" a="1"/>
  <c r="E198" i="69" s="1"/>
  <c r="D106" i="70"/>
  <c r="D196" i="69"/>
  <c r="E196" i="69" s="1" a="1"/>
  <c r="E196" i="69" s="1"/>
  <c r="D72" i="70"/>
  <c r="F22" i="82"/>
  <c r="G22" i="82"/>
  <c r="E22" i="82"/>
  <c r="D109" i="70" l="1"/>
  <c r="P256" i="69"/>
  <c r="E204" i="69"/>
  <c r="E142" i="69"/>
  <c r="E237" i="76"/>
  <c r="E256" i="69"/>
  <c r="P142" i="69"/>
  <c r="E122" i="69"/>
  <c r="P204" i="69"/>
  <c r="E132" i="69"/>
  <c r="P132" i="69"/>
  <c r="O225" i="76"/>
  <c r="E225" i="76"/>
  <c r="P122" i="69"/>
  <c r="D74" i="70"/>
  <c r="D84" i="70"/>
  <c r="D108" i="70"/>
  <c r="D165" i="70"/>
  <c r="D118" i="70"/>
  <c r="D125" i="70"/>
  <c r="D75" i="70"/>
  <c r="D91" i="70"/>
  <c r="D73" i="70"/>
  <c r="D141" i="70"/>
  <c r="D107" i="70"/>
  <c r="D79" i="81" s="1"/>
  <c r="I208" i="69" a="1"/>
  <c r="I208" i="69" s="1"/>
  <c r="I260" i="69" s="1" a="1"/>
  <c r="I260" i="69" s="1"/>
  <c r="J204" i="69" a="1"/>
  <c r="J204" i="69" s="1"/>
  <c r="J256" i="69" s="1" a="1"/>
  <c r="J256" i="69" s="1"/>
  <c r="Q204" i="69" a="1"/>
  <c r="Q204" i="69" s="1"/>
  <c r="Q256" i="69" s="1" a="1"/>
  <c r="Q256" i="69" s="1"/>
  <c r="R204" i="69" a="1"/>
  <c r="R204" i="69" s="1"/>
  <c r="R256" i="69" s="1" a="1"/>
  <c r="R256" i="69" s="1"/>
  <c r="T208" i="69" a="1"/>
  <c r="T208" i="69" s="1"/>
  <c r="T260" i="69" s="1" a="1"/>
  <c r="T260" i="69" s="1"/>
  <c r="F204" i="69" a="1"/>
  <c r="F204" i="69" s="1"/>
  <c r="F256" i="69" s="1" a="1"/>
  <c r="F256" i="69" s="1"/>
  <c r="G208" i="69" a="1"/>
  <c r="G208" i="69" s="1"/>
  <c r="G260" i="69" s="1" a="1"/>
  <c r="G260" i="69" s="1"/>
  <c r="G204" i="69" a="1"/>
  <c r="G204" i="69" s="1"/>
  <c r="G256" i="69" s="1" a="1"/>
  <c r="G256" i="69" s="1"/>
  <c r="H204" i="69" a="1"/>
  <c r="H204" i="69" s="1"/>
  <c r="H256" i="69" s="1" a="1"/>
  <c r="H256" i="69" s="1"/>
  <c r="R208" i="69" a="1"/>
  <c r="R208" i="69" s="1"/>
  <c r="R260" i="69" s="1" a="1"/>
  <c r="R260" i="69" s="1"/>
  <c r="Q208" i="69" a="1"/>
  <c r="Q208" i="69" s="1"/>
  <c r="Q260" i="69" s="1" a="1"/>
  <c r="Q260" i="69" s="1"/>
  <c r="F208" i="69" a="1"/>
  <c r="F208" i="69" s="1"/>
  <c r="F260" i="69" s="1" a="1"/>
  <c r="F260" i="69" s="1"/>
  <c r="I204" i="69" a="1"/>
  <c r="I204" i="69" s="1"/>
  <c r="I256" i="69" s="1" a="1"/>
  <c r="I256" i="69" s="1"/>
  <c r="H208" i="69" a="1"/>
  <c r="H208" i="69" s="1"/>
  <c r="H260" i="69" s="1" a="1"/>
  <c r="H260" i="69" s="1"/>
  <c r="S204" i="69" a="1"/>
  <c r="S204" i="69" s="1"/>
  <c r="S256" i="69" s="1" a="1"/>
  <c r="S256" i="69" s="1"/>
  <c r="U204" i="69" a="1"/>
  <c r="U204" i="69" s="1"/>
  <c r="U256" i="69" s="1" a="1"/>
  <c r="U256" i="69" s="1"/>
  <c r="S208" i="69" a="1"/>
  <c r="S208" i="69" s="1"/>
  <c r="S260" i="69" s="1" a="1"/>
  <c r="S260" i="69" s="1"/>
  <c r="J208" i="69" a="1"/>
  <c r="J208" i="69" s="1"/>
  <c r="J260" i="69" s="1" a="1"/>
  <c r="J260" i="69" s="1"/>
  <c r="T204" i="69" a="1"/>
  <c r="T204" i="69" s="1"/>
  <c r="T256" i="69" s="1" a="1"/>
  <c r="T256" i="69" s="1"/>
  <c r="U208" i="69" a="1"/>
  <c r="U208" i="69" s="1"/>
  <c r="U260" i="69" s="1" a="1"/>
  <c r="U260" i="69" s="1"/>
  <c r="P135" i="69"/>
  <c r="E229" i="76"/>
  <c r="E135" i="69"/>
  <c r="E125" i="69"/>
  <c r="E260" i="69"/>
  <c r="E145" i="69"/>
  <c r="E241" i="76"/>
  <c r="P260" i="69"/>
  <c r="P208" i="69"/>
  <c r="E208" i="69"/>
  <c r="P125" i="69"/>
  <c r="P145" i="69"/>
  <c r="O229" i="76"/>
  <c r="D151" i="70"/>
  <c r="P172" i="69"/>
  <c r="E166" i="69"/>
  <c r="O227" i="76"/>
  <c r="P206" i="69"/>
  <c r="E206" i="69"/>
  <c r="E172" i="69"/>
  <c r="E227" i="76"/>
  <c r="E258" i="69"/>
  <c r="P166" i="69"/>
  <c r="P258" i="69"/>
  <c r="E239" i="76"/>
  <c r="D175" i="70"/>
  <c r="I210" i="69" a="1"/>
  <c r="I210" i="69" s="1"/>
  <c r="I262" i="69" s="1" a="1"/>
  <c r="I262" i="69" s="1"/>
  <c r="U210" i="69" a="1"/>
  <c r="U210" i="69" s="1"/>
  <c r="U262" i="69" s="1" a="1"/>
  <c r="U262" i="69" s="1"/>
  <c r="J210" i="69" a="1"/>
  <c r="J210" i="69" s="1"/>
  <c r="J262" i="69" s="1" a="1"/>
  <c r="J262" i="69" s="1"/>
  <c r="S210" i="69" a="1"/>
  <c r="S210" i="69" s="1"/>
  <c r="S262" i="69" s="1" a="1"/>
  <c r="S262" i="69" s="1"/>
  <c r="G210" i="69" a="1"/>
  <c r="G210" i="69" s="1"/>
  <c r="G262" i="69" s="1" a="1"/>
  <c r="G262" i="69" s="1"/>
  <c r="H206" i="69" a="1"/>
  <c r="H206" i="69" s="1"/>
  <c r="H258" i="69" s="1" a="1"/>
  <c r="H258" i="69" s="1"/>
  <c r="F206" i="69" a="1"/>
  <c r="F206" i="69" s="1"/>
  <c r="F258" i="69" s="1" a="1"/>
  <c r="F258" i="69" s="1"/>
  <c r="T206" i="69" a="1"/>
  <c r="T206" i="69" s="1"/>
  <c r="T258" i="69" s="1" a="1"/>
  <c r="T258" i="69" s="1"/>
  <c r="S206" i="69" a="1"/>
  <c r="S206" i="69" s="1"/>
  <c r="S258" i="69" s="1" a="1"/>
  <c r="S258" i="69" s="1"/>
  <c r="I206" i="69" a="1"/>
  <c r="I206" i="69" s="1"/>
  <c r="I258" i="69" s="1" a="1"/>
  <c r="I258" i="69" s="1"/>
  <c r="R210" i="69" a="1"/>
  <c r="R210" i="69" s="1"/>
  <c r="R262" i="69" s="1" a="1"/>
  <c r="R262" i="69" s="1"/>
  <c r="Q206" i="69" a="1"/>
  <c r="Q206" i="69" s="1"/>
  <c r="Q258" i="69" s="1" a="1"/>
  <c r="Q258" i="69" s="1"/>
  <c r="H210" i="69" a="1"/>
  <c r="H210" i="69" s="1"/>
  <c r="H262" i="69" s="1" a="1"/>
  <c r="H262" i="69" s="1"/>
  <c r="J206" i="69" a="1"/>
  <c r="J206" i="69" s="1"/>
  <c r="J258" i="69" s="1" a="1"/>
  <c r="J258" i="69" s="1"/>
  <c r="G206" i="69" a="1"/>
  <c r="G206" i="69" s="1"/>
  <c r="G258" i="69" s="1" a="1"/>
  <c r="G258" i="69" s="1"/>
  <c r="R206" i="69" a="1"/>
  <c r="R206" i="69" s="1"/>
  <c r="R258" i="69" s="1" a="1"/>
  <c r="R258" i="69" s="1"/>
  <c r="T210" i="69" a="1"/>
  <c r="T210" i="69" s="1"/>
  <c r="T262" i="69" s="1" a="1"/>
  <c r="T262" i="69" s="1"/>
  <c r="Q210" i="69" a="1"/>
  <c r="Q210" i="69" s="1"/>
  <c r="Q262" i="69" s="1" a="1"/>
  <c r="Q262" i="69" s="1"/>
  <c r="U206" i="69" a="1"/>
  <c r="U206" i="69" s="1"/>
  <c r="U258" i="69" s="1" a="1"/>
  <c r="U258" i="69" s="1"/>
  <c r="F210" i="69" a="1"/>
  <c r="F210" i="69" s="1"/>
  <c r="F262" i="69" s="1" a="1"/>
  <c r="F262" i="69" s="1"/>
  <c r="P262" i="69"/>
  <c r="P167" i="69"/>
  <c r="E243" i="76"/>
  <c r="E210" i="69"/>
  <c r="P210" i="69"/>
  <c r="E262" i="69"/>
  <c r="O231" i="76"/>
  <c r="P173" i="69"/>
  <c r="E173" i="69"/>
  <c r="E231" i="76"/>
  <c r="E167" i="69"/>
  <c r="D160" i="70"/>
  <c r="E203" i="69"/>
  <c r="E236" i="76"/>
  <c r="P255" i="69"/>
  <c r="E255" i="69"/>
  <c r="P141" i="69"/>
  <c r="P131" i="69"/>
  <c r="O224" i="76"/>
  <c r="E121" i="69"/>
  <c r="E141" i="69"/>
  <c r="E224" i="76"/>
  <c r="P203" i="69"/>
  <c r="E131" i="69"/>
  <c r="P121" i="69"/>
  <c r="D90" i="70"/>
  <c r="D117" i="70"/>
  <c r="D124" i="70"/>
  <c r="D136" i="70"/>
  <c r="D104" i="70"/>
  <c r="D83" i="70"/>
  <c r="D70" i="70"/>
  <c r="D68" i="70"/>
  <c r="D102" i="70"/>
  <c r="D53" i="81" s="1"/>
  <c r="D103" i="70"/>
  <c r="D69" i="70"/>
  <c r="H209" i="69" a="1"/>
  <c r="H209" i="69" s="1"/>
  <c r="H261" i="69" s="1" a="1"/>
  <c r="H261" i="69" s="1"/>
  <c r="I205" i="69" a="1"/>
  <c r="I205" i="69" s="1"/>
  <c r="I257" i="69" s="1" a="1"/>
  <c r="I257" i="69" s="1"/>
  <c r="I209" i="69" a="1"/>
  <c r="I209" i="69" s="1"/>
  <c r="I261" i="69" s="1" a="1"/>
  <c r="I261" i="69" s="1"/>
  <c r="S205" i="69" a="1"/>
  <c r="S205" i="69" s="1"/>
  <c r="S257" i="69" s="1" a="1"/>
  <c r="S257" i="69" s="1"/>
  <c r="F205" i="69" a="1"/>
  <c r="F205" i="69" s="1"/>
  <c r="F257" i="69" s="1" a="1"/>
  <c r="F257" i="69" s="1"/>
  <c r="Q205" i="69" a="1"/>
  <c r="Q205" i="69" s="1"/>
  <c r="Q257" i="69" s="1" a="1"/>
  <c r="Q257" i="69" s="1"/>
  <c r="U205" i="69" a="1"/>
  <c r="U205" i="69" s="1"/>
  <c r="U257" i="69" s="1" a="1"/>
  <c r="U257" i="69" s="1"/>
  <c r="G205" i="69" a="1"/>
  <c r="G205" i="69" s="1"/>
  <c r="G257" i="69" s="1" a="1"/>
  <c r="G257" i="69" s="1"/>
  <c r="Q209" i="69" a="1"/>
  <c r="Q209" i="69" s="1"/>
  <c r="Q261" i="69" s="1" a="1"/>
  <c r="Q261" i="69" s="1"/>
  <c r="T209" i="69" a="1"/>
  <c r="T209" i="69" s="1"/>
  <c r="T261" i="69" s="1" a="1"/>
  <c r="T261" i="69" s="1"/>
  <c r="G209" i="69" a="1"/>
  <c r="G209" i="69" s="1"/>
  <c r="G261" i="69" s="1" a="1"/>
  <c r="G261" i="69" s="1"/>
  <c r="U209" i="69" a="1"/>
  <c r="U209" i="69" s="1"/>
  <c r="U261" i="69" s="1" a="1"/>
  <c r="U261" i="69" s="1"/>
  <c r="T205" i="69" a="1"/>
  <c r="T205" i="69" s="1"/>
  <c r="T257" i="69" s="1" a="1"/>
  <c r="T257" i="69" s="1"/>
  <c r="J209" i="69" a="1"/>
  <c r="J209" i="69" s="1"/>
  <c r="J261" i="69" s="1" a="1"/>
  <c r="J261" i="69" s="1"/>
  <c r="F209" i="69" a="1"/>
  <c r="F209" i="69" s="1"/>
  <c r="F261" i="69" s="1" a="1"/>
  <c r="F261" i="69" s="1"/>
  <c r="S209" i="69" a="1"/>
  <c r="S209" i="69" s="1"/>
  <c r="S261" i="69" s="1" a="1"/>
  <c r="S261" i="69" s="1"/>
  <c r="R205" i="69" a="1"/>
  <c r="R205" i="69" s="1"/>
  <c r="R257" i="69" s="1" a="1"/>
  <c r="R257" i="69" s="1"/>
  <c r="R209" i="69" a="1"/>
  <c r="R209" i="69" s="1"/>
  <c r="R261" i="69" s="1" a="1"/>
  <c r="R261" i="69" s="1"/>
  <c r="J205" i="69" a="1"/>
  <c r="J205" i="69" s="1"/>
  <c r="J257" i="69" s="1" a="1"/>
  <c r="J257" i="69" s="1"/>
  <c r="H205" i="69" a="1"/>
  <c r="H205" i="69" s="1"/>
  <c r="H257" i="69" s="1" a="1"/>
  <c r="H257" i="69" s="1"/>
  <c r="F207" i="69" a="1"/>
  <c r="F207" i="69" s="1"/>
  <c r="F259" i="69" s="1" a="1"/>
  <c r="F259" i="69" s="1"/>
  <c r="F203" i="69" a="1"/>
  <c r="F203" i="69" s="1"/>
  <c r="F255" i="69" s="1" a="1"/>
  <c r="F255" i="69" s="1"/>
  <c r="I203" i="69" a="1"/>
  <c r="I203" i="69" s="1"/>
  <c r="I255" i="69" s="1" a="1"/>
  <c r="I255" i="69" s="1"/>
  <c r="I207" i="69" a="1"/>
  <c r="I207" i="69" s="1"/>
  <c r="I259" i="69" s="1" a="1"/>
  <c r="I259" i="69" s="1"/>
  <c r="J203" i="69" a="1"/>
  <c r="J203" i="69" s="1"/>
  <c r="J255" i="69" s="1" a="1"/>
  <c r="J255" i="69" s="1"/>
  <c r="T207" i="69" a="1"/>
  <c r="T207" i="69" s="1"/>
  <c r="T259" i="69" s="1" a="1"/>
  <c r="T259" i="69" s="1"/>
  <c r="S207" i="69" a="1"/>
  <c r="S207" i="69" s="1"/>
  <c r="S259" i="69" s="1" a="1"/>
  <c r="S259" i="69" s="1"/>
  <c r="S203" i="69" a="1"/>
  <c r="S203" i="69" s="1"/>
  <c r="S255" i="69" s="1" a="1"/>
  <c r="S255" i="69" s="1"/>
  <c r="H207" i="69" a="1"/>
  <c r="H207" i="69" s="1"/>
  <c r="H259" i="69" s="1" a="1"/>
  <c r="H259" i="69" s="1"/>
  <c r="Q203" i="69" a="1"/>
  <c r="Q203" i="69" s="1"/>
  <c r="Q255" i="69" s="1" a="1"/>
  <c r="Q255" i="69" s="1"/>
  <c r="U207" i="69" a="1"/>
  <c r="U207" i="69" s="1"/>
  <c r="U259" i="69" s="1" a="1"/>
  <c r="U259" i="69" s="1"/>
  <c r="U203" i="69" a="1"/>
  <c r="U203" i="69" s="1"/>
  <c r="U255" i="69" s="1" a="1"/>
  <c r="U255" i="69" s="1"/>
  <c r="R207" i="69" a="1"/>
  <c r="R207" i="69" s="1"/>
  <c r="R259" i="69" s="1" a="1"/>
  <c r="R259" i="69" s="1"/>
  <c r="G207" i="69" a="1"/>
  <c r="G207" i="69" s="1"/>
  <c r="G259" i="69" s="1" a="1"/>
  <c r="G259" i="69" s="1"/>
  <c r="G203" i="69" a="1"/>
  <c r="G203" i="69" s="1"/>
  <c r="G255" i="69" s="1" a="1"/>
  <c r="G255" i="69" s="1"/>
  <c r="T203" i="69" a="1"/>
  <c r="T203" i="69" s="1"/>
  <c r="T255" i="69" s="1" a="1"/>
  <c r="T255" i="69" s="1"/>
  <c r="Q207" i="69" a="1"/>
  <c r="Q207" i="69" s="1"/>
  <c r="Q259" i="69" s="1" a="1"/>
  <c r="Q259" i="69" s="1"/>
  <c r="J207" i="69" a="1"/>
  <c r="J207" i="69" s="1"/>
  <c r="J259" i="69" s="1" a="1"/>
  <c r="J259" i="69" s="1"/>
  <c r="R203" i="69" a="1"/>
  <c r="R203" i="69" s="1"/>
  <c r="R255" i="69" s="1" a="1"/>
  <c r="R255" i="69" s="1"/>
  <c r="H203" i="69" a="1"/>
  <c r="H203" i="69" s="1"/>
  <c r="H255" i="69" s="1" a="1"/>
  <c r="H255" i="69" s="1"/>
  <c r="P207" i="69"/>
  <c r="P124" i="69"/>
  <c r="P134" i="69"/>
  <c r="O228" i="76"/>
  <c r="E228" i="76"/>
  <c r="E134" i="69"/>
  <c r="P259" i="69"/>
  <c r="E240" i="76"/>
  <c r="P144" i="69"/>
  <c r="E259" i="69"/>
  <c r="E144" i="69"/>
  <c r="E207" i="69"/>
  <c r="E124" i="69"/>
  <c r="E230" i="76"/>
  <c r="E126" i="69"/>
  <c r="E136" i="69"/>
  <c r="P261" i="69"/>
  <c r="E242" i="76"/>
  <c r="P209" i="69"/>
  <c r="E146" i="69"/>
  <c r="P146" i="69"/>
  <c r="E261" i="69"/>
  <c r="P136" i="69"/>
  <c r="E209" i="69"/>
  <c r="O230" i="76"/>
  <c r="P126" i="69"/>
  <c r="D78" i="70"/>
  <c r="E143" i="69"/>
  <c r="P123" i="69"/>
  <c r="E257" i="69"/>
  <c r="P143" i="69"/>
  <c r="O226" i="76"/>
  <c r="E226" i="76"/>
  <c r="E238" i="76"/>
  <c r="P257" i="69"/>
  <c r="P205" i="69"/>
  <c r="E123" i="69"/>
  <c r="E133" i="69"/>
  <c r="P133" i="69"/>
  <c r="E205" i="69"/>
  <c r="D113" i="70"/>
  <c r="D146" i="70"/>
  <c r="D80" i="70"/>
  <c r="D119" i="70"/>
  <c r="D114" i="70"/>
  <c r="D92" i="70"/>
  <c r="D85" i="70"/>
  <c r="D79" i="70"/>
  <c r="D112" i="70"/>
  <c r="D170" i="70"/>
  <c r="D126" i="70"/>
  <c r="L37" i="82"/>
  <c r="D21" i="82"/>
  <c r="D29" i="82"/>
  <c r="E29" i="82" s="1"/>
  <c r="L21" i="82"/>
  <c r="D37" i="82"/>
  <c r="G22" i="81"/>
  <c r="G21" i="82"/>
  <c r="F22" i="81"/>
  <c r="F21" i="82"/>
  <c r="N23" i="81"/>
  <c r="N22" i="82"/>
  <c r="M22" i="81"/>
  <c r="M21" i="82"/>
  <c r="O22" i="81"/>
  <c r="O21" i="82"/>
  <c r="N22" i="81"/>
  <c r="N21" i="82"/>
  <c r="E22" i="81"/>
  <c r="E21" i="82"/>
  <c r="M23" i="81"/>
  <c r="M22" i="82"/>
  <c r="O23" i="81"/>
  <c r="O22" i="82"/>
  <c r="L100" i="81"/>
  <c r="L52" i="81"/>
  <c r="D52" i="81"/>
  <c r="L77" i="81"/>
  <c r="D100" i="81"/>
  <c r="D93" i="81"/>
  <c r="L119" i="81"/>
  <c r="D119" i="81"/>
  <c r="D77" i="81"/>
  <c r="L22" i="81"/>
  <c r="D112" i="81"/>
  <c r="D30" i="81"/>
  <c r="E30" i="81" s="1"/>
  <c r="D22" i="81"/>
  <c r="D45" i="81"/>
  <c r="D38" i="81"/>
  <c r="E38" i="81" s="1"/>
  <c r="G23" i="81"/>
  <c r="F23" i="81"/>
  <c r="E23" i="81"/>
  <c r="D24" i="81" l="1"/>
  <c r="D32" i="81"/>
  <c r="E32" i="81" s="1"/>
  <c r="D113" i="81"/>
  <c r="L53" i="81"/>
  <c r="L54" i="81"/>
  <c r="D102" i="81"/>
  <c r="D22" i="82"/>
  <c r="D121" i="81"/>
  <c r="L79" i="81"/>
  <c r="E264" i="69"/>
  <c r="D39" i="81"/>
  <c r="E39" i="81" s="1"/>
  <c r="L121" i="81"/>
  <c r="L39" i="82"/>
  <c r="D94" i="81"/>
  <c r="D120" i="81"/>
  <c r="D38" i="82"/>
  <c r="D101" i="81"/>
  <c r="D31" i="81"/>
  <c r="E31" i="81" s="1"/>
  <c r="L120" i="81"/>
  <c r="D31" i="82"/>
  <c r="E31" i="82" s="1"/>
  <c r="D46" i="81"/>
  <c r="D114" i="81"/>
  <c r="D23" i="82"/>
  <c r="L101" i="81"/>
  <c r="L102" i="81"/>
  <c r="L23" i="82"/>
  <c r="D23" i="81"/>
  <c r="D54" i="81"/>
  <c r="D39" i="82"/>
  <c r="P264" i="69"/>
  <c r="L78" i="81"/>
  <c r="L38" i="82"/>
  <c r="L22" i="82"/>
  <c r="L23" i="81"/>
  <c r="D40" i="81"/>
  <c r="E40" i="81" s="1"/>
  <c r="D30" i="82"/>
  <c r="E30" i="82" s="1"/>
  <c r="G38" i="82" s="1" a="1"/>
  <c r="G38" i="82" s="1"/>
  <c r="L24" i="81"/>
  <c r="D78" i="81"/>
  <c r="D95" i="81"/>
  <c r="D47" i="81"/>
  <c r="M37" i="82" a="1"/>
  <c r="M37" i="82" s="1"/>
  <c r="N37" i="82" a="1"/>
  <c r="N37" i="82" s="1"/>
  <c r="N38" i="82" a="1"/>
  <c r="N38" i="82" s="1"/>
  <c r="O38" i="82" a="1"/>
  <c r="O38" i="82" s="1"/>
  <c r="G37" i="82" a="1"/>
  <c r="G37" i="82" s="1"/>
  <c r="E37" i="82" a="1"/>
  <c r="E37" i="82" s="1"/>
  <c r="M38" i="82" a="1"/>
  <c r="M38" i="82" s="1"/>
  <c r="E38" i="82" a="1"/>
  <c r="E38" i="82" s="1"/>
  <c r="E119" i="81" a="1"/>
  <c r="E119" i="81" s="1"/>
  <c r="F38" i="82" a="1"/>
  <c r="F38" i="82" s="1"/>
  <c r="F37" i="82" a="1"/>
  <c r="F37" i="82" s="1"/>
  <c r="M120" i="81" a="1"/>
  <c r="M120" i="81" s="1"/>
  <c r="E39" i="82" a="1"/>
  <c r="E39" i="82" s="1"/>
  <c r="G39" i="82" a="1"/>
  <c r="G39" i="82" s="1"/>
  <c r="F39" i="82" a="1"/>
  <c r="F39" i="82" s="1"/>
  <c r="O39" i="82" a="1"/>
  <c r="O39" i="82" s="1"/>
  <c r="N39" i="82" a="1"/>
  <c r="N39" i="82" s="1"/>
  <c r="M39" i="82" a="1"/>
  <c r="M39" i="82" s="1"/>
  <c r="O37" i="82" a="1"/>
  <c r="O37" i="82" s="1"/>
  <c r="F100" i="81" a="1"/>
  <c r="F100" i="81" s="1"/>
  <c r="M121" i="81" a="1"/>
  <c r="M121" i="81" s="1"/>
  <c r="O121" i="81" a="1"/>
  <c r="O121" i="81" s="1"/>
  <c r="N121" i="81" a="1"/>
  <c r="N121" i="81" s="1"/>
  <c r="G121" i="81" a="1"/>
  <c r="G121" i="81" s="1"/>
  <c r="F121" i="81" a="1"/>
  <c r="F121" i="81" s="1"/>
  <c r="E121" i="81" a="1"/>
  <c r="E121" i="81" s="1"/>
  <c r="N100" i="81" a="1"/>
  <c r="N100" i="81" s="1"/>
  <c r="N119" i="81" a="1"/>
  <c r="N119" i="81" s="1"/>
  <c r="N53" i="81" a="1"/>
  <c r="N53" i="81" s="1"/>
  <c r="O119" i="81" a="1"/>
  <c r="O119" i="81" s="1"/>
  <c r="G119" i="81" a="1"/>
  <c r="G119" i="81" s="1"/>
  <c r="N120" i="81" a="1"/>
  <c r="N120" i="81" s="1"/>
  <c r="F119" i="81" a="1"/>
  <c r="F119" i="81" s="1"/>
  <c r="E120" i="81" a="1"/>
  <c r="E120" i="81" s="1"/>
  <c r="O120" i="81" a="1"/>
  <c r="O120" i="81" s="1"/>
  <c r="F120" i="81" a="1"/>
  <c r="F120" i="81" s="1"/>
  <c r="M119" i="81" a="1"/>
  <c r="M119" i="81" s="1"/>
  <c r="G120" i="81" a="1"/>
  <c r="G120" i="81" s="1"/>
  <c r="M78" i="81" a="1"/>
  <c r="M78" i="81" s="1"/>
  <c r="N101" i="81" a="1"/>
  <c r="N101" i="81" s="1"/>
  <c r="O77" i="81" a="1"/>
  <c r="O77" i="81" s="1"/>
  <c r="M52" i="81" a="1"/>
  <c r="M52" i="81" s="1"/>
  <c r="E100" i="81" a="1"/>
  <c r="E100" i="81" s="1"/>
  <c r="F77" i="81" a="1"/>
  <c r="F77" i="81" s="1"/>
  <c r="F78" i="81" a="1"/>
  <c r="F78" i="81" s="1"/>
  <c r="F101" i="81" a="1"/>
  <c r="F101" i="81" s="1"/>
  <c r="G78" i="81" a="1"/>
  <c r="G78" i="81" s="1"/>
  <c r="G101" i="81" a="1"/>
  <c r="G101" i="81" s="1"/>
  <c r="G77" i="81" a="1"/>
  <c r="G77" i="81" s="1"/>
  <c r="N77" i="81" a="1"/>
  <c r="N77" i="81" s="1"/>
  <c r="M102" i="81" a="1"/>
  <c r="M102" i="81" s="1"/>
  <c r="M79" i="81" a="1"/>
  <c r="M79" i="81" s="1"/>
  <c r="O102" i="81" a="1"/>
  <c r="O102" i="81" s="1"/>
  <c r="O79" i="81" a="1"/>
  <c r="O79" i="81" s="1"/>
  <c r="N79" i="81" a="1"/>
  <c r="N79" i="81" s="1"/>
  <c r="N102" i="81" a="1"/>
  <c r="N102" i="81" s="1"/>
  <c r="E79" i="81" a="1"/>
  <c r="E79" i="81" s="1"/>
  <c r="E102" i="81" a="1"/>
  <c r="E102" i="81" s="1"/>
  <c r="G79" i="81" a="1"/>
  <c r="G79" i="81" s="1"/>
  <c r="G102" i="81" a="1"/>
  <c r="G102" i="81" s="1"/>
  <c r="F79" i="81" a="1"/>
  <c r="F79" i="81" s="1"/>
  <c r="F102" i="81" a="1"/>
  <c r="F102" i="81" s="1"/>
  <c r="G100" i="81" a="1"/>
  <c r="G100" i="81" s="1"/>
  <c r="O52" i="81" a="1"/>
  <c r="O52" i="81" s="1"/>
  <c r="O100" i="81" a="1"/>
  <c r="O100" i="81" s="1"/>
  <c r="E101" i="81" a="1"/>
  <c r="E101" i="81" s="1"/>
  <c r="E78" i="81" a="1"/>
  <c r="E78" i="81" s="1"/>
  <c r="M77" i="81" a="1"/>
  <c r="M77" i="81" s="1"/>
  <c r="O101" i="81" a="1"/>
  <c r="O101" i="81" s="1"/>
  <c r="M101" i="81" a="1"/>
  <c r="M101" i="81" s="1"/>
  <c r="N78" i="81" a="1"/>
  <c r="N78" i="81" s="1"/>
  <c r="E77" i="81" a="1"/>
  <c r="E77" i="81" s="1"/>
  <c r="M100" i="81" a="1"/>
  <c r="M100" i="81" s="1"/>
  <c r="O78" i="81" a="1"/>
  <c r="O78" i="81" s="1"/>
  <c r="F53" i="81" a="1"/>
  <c r="F53" i="81" s="1"/>
  <c r="E52" i="81" a="1"/>
  <c r="E52" i="81" s="1"/>
  <c r="G53" i="81" a="1"/>
  <c r="G53" i="81" s="1"/>
  <c r="M53" i="81" a="1"/>
  <c r="M53" i="81" s="1"/>
  <c r="O53" i="81" a="1"/>
  <c r="O53" i="81" s="1"/>
  <c r="N52" i="81" a="1"/>
  <c r="N52" i="81" s="1"/>
  <c r="M54" i="81" a="1"/>
  <c r="M54" i="81" s="1"/>
  <c r="O54" i="81" a="1"/>
  <c r="O54" i="81" s="1"/>
  <c r="N54" i="81" a="1"/>
  <c r="N54" i="81" s="1"/>
  <c r="G54" i="81" a="1"/>
  <c r="G54" i="81" s="1"/>
  <c r="F54" i="81" a="1"/>
  <c r="F54" i="81" s="1"/>
  <c r="E54" i="81" a="1"/>
  <c r="E54" i="81" s="1"/>
  <c r="F52" i="81" a="1"/>
  <c r="F52" i="81" s="1"/>
  <c r="G52" i="81" a="1"/>
  <c r="G52" i="81" s="1"/>
  <c r="E53" i="81" a="1"/>
  <c r="E53" i="81" s="1"/>
  <c r="E8" i="13" l="1"/>
  <c r="R266" i="69"/>
  <c r="P269" i="69" s="1" a="1"/>
  <c r="P269" i="69" s="1"/>
  <c r="G8" i="13" s="1"/>
  <c r="E7" i="13"/>
  <c r="G266" i="69"/>
  <c r="E269" i="69" s="1" a="1"/>
  <c r="E269" i="69" s="1"/>
  <c r="G7" i="13" s="1"/>
  <c r="E41" i="82"/>
  <c r="G53" i="82" s="1"/>
  <c r="E60" i="82" s="1" a="1"/>
  <c r="E60" i="82" s="1"/>
  <c r="E123" i="81"/>
  <c r="E23" i="13" s="1"/>
  <c r="M123" i="81"/>
  <c r="M56" i="81"/>
  <c r="M104" i="81"/>
  <c r="E81" i="81"/>
  <c r="E104" i="81"/>
  <c r="E22" i="13" s="1"/>
  <c r="M81" i="81"/>
  <c r="E56" i="81"/>
  <c r="E21" i="13" s="1"/>
  <c r="E29" i="15"/>
  <c r="E11" i="13" l="1"/>
  <c r="G62" i="82"/>
  <c r="E65" i="82" s="1" a="1"/>
  <c r="E65" i="82" s="1"/>
  <c r="G11" i="13" s="1"/>
  <c r="G9" i="13" l="1"/>
  <c r="E9" i="13"/>
  <c r="G10" i="13"/>
  <c r="E10" i="13"/>
  <c r="E13" i="15"/>
  <c r="G15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<sst xmlns="http://schemas.openxmlformats.org/spreadsheetml/2006/main" count="1334" uniqueCount="390">
  <si>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</si>
  <si>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</si>
  <si>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</si>
  <si>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</si>
  <si>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</si>
  <si>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</si>
  <si>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</si>
  <si>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</si>
  <si>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</si>
  <si>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</si>
  <si>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</si>
  <si>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</si>
  <si>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</si>
  <si>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</si>
  <si>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</si>
  <si>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</si>
  <si>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</si>
  <si>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</si>
  <si>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</si>
  <si>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</si>
  <si>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</si>
  <si>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</si>
  <si>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</si>
  <si>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</si>
  <si>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</si>
  <si>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</si>
  <si>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</si>
  <si>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</si>
  <si>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</si>
  <si>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</si>
  <si>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</si>
  <si>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</si>
  <si>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</si>
  <si>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</si>
  <si>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</si>
  <si>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</si>
  <si>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</si>
  <si>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</si>
  <si>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</si>
  <si>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</si>
  <si>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</si>
  <si>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</si>
  <si>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</si>
  <si>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</si>
  <si>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</si>
  <si>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</si>
  <si>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</si>
  <si>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</si>
  <si>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</si>
  <si>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</si>
  <si>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</si>
  <si>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</si>
  <si>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</si>
  <si>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</si>
  <si>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</si>
  <si>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</si>
  <si>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</si>
  <si>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</si>
  <si>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</si>
  <si>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</si>
  <si>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</si>
  <si>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</si>
  <si>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</si>
  <si>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</si>
  <si>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</si>
  <si>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</si>
  <si>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</si>
  <si>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</si>
  <si>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</si>
  <si>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</si>
  <si>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</si>
  <si>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</si>
  <si>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</si>
  <si>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</si>
  <si>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</si>
  <si>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</si>
  <si>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</si>
  <si>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</si>
  <si>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</si>
  <si>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</si>
  <si>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</si>
  <si>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</si>
  <si>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</si>
  <si>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</si>
  <si>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</si>
  <si>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</si>
  <si>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</si>
  <si>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</si>
  <si>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</si>
  <si>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</si>
  <si>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</si>
  <si>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</si>
  <si>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</si>
  <si>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</si>
  <si>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</si>
  <si>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</si>
  <si>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</si>
  <si>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</si>
  <si>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</si>
  <si>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</si>
  <si>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</si>
  <si>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MMS m</t>
  </si>
  <si>
    <t>Stage 1 MMS</t>
  </si>
  <si>
    <t>Manure management systems</t>
  </si>
  <si>
    <t>New South Wales</t>
  </si>
  <si>
    <t>Herd movement</t>
  </si>
  <si>
    <t>Duration of stay</t>
  </si>
  <si>
    <t>head</t>
  </si>
  <si>
    <t>Table_N_j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</si>
  <si>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</si>
  <si>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</si>
  <si>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Sold as fertiliser</t>
  </si>
  <si>
    <t>Crude protein</t>
  </si>
  <si>
    <t>Source Data - Feedlot</t>
  </si>
  <si>
    <t>Domestic</t>
  </si>
  <si>
    <t>Mid-fed</t>
  </si>
  <si>
    <t>Long-fed</t>
  </si>
  <si>
    <t>M1_Table_I_j</t>
  </si>
  <si>
    <t>M1_Table_CP_j</t>
  </si>
  <si>
    <t>M2_Table_I_j</t>
  </si>
  <si>
    <t>M1_Table_NR_j</t>
  </si>
  <si>
    <t>M2_Table_NR_j</t>
  </si>
  <si>
    <t>M1_Table_NE_j</t>
  </si>
  <si>
    <t>M2_Table_NE_j</t>
  </si>
  <si>
    <t>Method 1</t>
  </si>
  <si>
    <t>Method 2</t>
  </si>
  <si>
    <t>M1_Table_AE_j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</si>
  <si>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</si>
  <si>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</si>
  <si>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t>M1_Table_DMD_j</t>
  </si>
  <si>
    <t>M1_Table_VS_j</t>
  </si>
  <si>
    <t>Dry matter digestibility (Method 1)</t>
  </si>
  <si>
    <t>M2_Table_DMD_j</t>
  </si>
  <si>
    <t>M2_Table_VS_j</t>
  </si>
  <si>
    <t>ECH4 (Method 1)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</si>
  <si>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</si>
  <si>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</si>
  <si>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</si>
  <si>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</si>
  <si>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</si>
  <si>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</si>
  <si>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</si>
  <si>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</si>
  <si>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</si>
  <si>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</si>
  <si>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</si>
  <si>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</si>
  <si>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</si>
  <si>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</si>
  <si>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</si>
  <si>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</si>
  <si>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</si>
  <si>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</si>
  <si>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</si>
  <si>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</si>
  <si>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</si>
  <si>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</si>
  <si>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</si>
  <si>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</si>
  <si>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</si>
  <si>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</si>
  <si>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</si>
  <si>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</si>
  <si>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</si>
  <si>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</si>
  <si>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</si>
  <si>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Table_PF_sold</t>
  </si>
  <si>
    <t>Fraction of manure sold</t>
  </si>
  <si>
    <t>M1_Table_MNSoil_scope3_sold</t>
  </si>
  <si>
    <t>M2_Table_MNSoil_scope3_sold</t>
  </si>
  <si>
    <t>Mass of N sold as fertiliser (Method 2)</t>
  </si>
  <si>
    <t>Mass of N sold as fertiliser (Method 1)</t>
  </si>
  <si>
    <t>Mass of nitrogen applied as fertiliser on own farm</t>
  </si>
  <si>
    <t>Mass of nitrogen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</si>
  <si>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scope3,sold</t>
    </r>
  </si>
  <si>
    <t>* Manure that is removed from stage 2 and 3 MMS and used as fertiliser on the farm, for other enterprises (eg crops)</t>
  </si>
  <si>
    <t>* Manure that is removed from stage 2 and 3 MMS that is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</si>
  <si>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</si>
  <si>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4.1.1.1 Method 1 Manure methane</t>
  </si>
  <si>
    <t>4.1.1.2 Method 2 Manure methane</t>
  </si>
  <si>
    <t>4.1.1.3 Method 1 Manure direct N2O</t>
  </si>
  <si>
    <t>4.1.1.4 Method 2 Manure direct N2O</t>
  </si>
  <si>
    <t>4.1.1.5 Method 1 Manure atmospheric deposition</t>
  </si>
  <si>
    <t>4.1.1.6 Method 2 Manure atmospheric deposition</t>
  </si>
  <si>
    <t>4.1.1.7 Method 1 Manure leaching and runoff</t>
  </si>
  <si>
    <t>4.1.1.8 Method 1 Manure leaching and runoff</t>
  </si>
  <si>
    <t>GHG emissions</t>
  </si>
  <si>
    <t>CO2-e emissions</t>
  </si>
  <si>
    <t>Scope 1 source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</si>
  <si>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</si>
  <si>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</si>
  <si>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</si>
  <si>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</si>
  <si>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</si>
  <si>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</si>
  <si>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</si>
  <si>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Where deposited on farm soils as waste, what is the closest match?</t>
  </si>
  <si>
    <t>lacking subscripts</t>
  </si>
  <si>
    <t>Production system j</t>
  </si>
  <si>
    <t>EFN2O</t>
  </si>
  <si>
    <t>Production system only</t>
  </si>
  <si>
    <t>Irrigation method</t>
  </si>
  <si>
    <t>Pasture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</si>
  <si>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</si>
  <si>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</si>
  <si>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</si>
  <si>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</si>
  <si>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</si>
  <si>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</si>
  <si>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</si>
  <si>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</si>
  <si>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Total</t>
  </si>
  <si>
    <t>Emissions allocated to</t>
  </si>
  <si>
    <t>GHG Unit</t>
  </si>
  <si>
    <t>CO2-e unit</t>
  </si>
  <si>
    <t>This feedlot</t>
  </si>
  <si>
    <t>Manure nitrogen sold</t>
  </si>
  <si>
    <t>Scope 3 (downstream)</t>
  </si>
  <si>
    <t>Crops or pasture that use manure as fertiliser</t>
  </si>
  <si>
    <t>Amount of N in manure</t>
  </si>
  <si>
    <t>N unit</t>
  </si>
  <si>
    <t>WARNING: Manure nitrogen that was applied to soils must be accounted for</t>
  </si>
  <si>
    <t>Manure nitrogen use</t>
  </si>
  <si>
    <t>Manure nitrogen deposited on farm soils as fertiliser for other farm enterpsies (eg crops)</t>
  </si>
  <si>
    <t>Manure nitrogen deposited on farm soils with no other purpose (aka waste)</t>
  </si>
  <si>
    <t>15.13.1.1 (1), 5.2.2.1 (1), 5.4.1.3 (1, 2), 5.5.1.1 (1, 3)</t>
  </si>
  <si>
    <t>5.2.2.1 (1), 5.4.1.3 (1, 2), 5.5.1.1 (1, 3)</t>
  </si>
  <si>
    <t>VEERG Calculation method</t>
  </si>
  <si>
    <t>See the table below for how to account for manure applied to soils for scope 1 and 3.</t>
  </si>
  <si>
    <t>N/A</t>
  </si>
  <si>
    <t>4.1 Manure management: Beef Feedlot: Results</t>
  </si>
  <si>
    <t>Dairy manure management systems</t>
  </si>
  <si>
    <t>Dairy crop or pasture production systems</t>
  </si>
  <si>
    <t>Breed</t>
  </si>
  <si>
    <t>Milking cows</t>
  </si>
  <si>
    <t>Heifers &gt; 1</t>
  </si>
  <si>
    <t>Heifers &lt; 1 (weaned)</t>
  </si>
  <si>
    <t>Bulls &lt; 1 (weaned)</t>
  </si>
  <si>
    <t>Bulls &gt; 1</t>
  </si>
  <si>
    <t>Animal class j</t>
  </si>
  <si>
    <t>CH4 production</t>
  </si>
  <si>
    <t>Volatile solids (VSj=3,5)</t>
  </si>
  <si>
    <t>Nitrogen Excreted (NPWj=3,5)</t>
  </si>
  <si>
    <t>EFm</t>
  </si>
  <si>
    <t>FracGASMm</t>
  </si>
  <si>
    <t>MPW ENTERIC</t>
  </si>
  <si>
    <t>MRj</t>
  </si>
  <si>
    <t>Area</t>
  </si>
  <si>
    <t>Milking shed</t>
  </si>
  <si>
    <t>Feedpad</t>
  </si>
  <si>
    <t>NIR reference</t>
  </si>
  <si>
    <t>Heifers &gt; 1 year</t>
  </si>
  <si>
    <t>Heifers &lt; 1 year</t>
  </si>
  <si>
    <t>Bulls &gt; 1 year</t>
  </si>
  <si>
    <t>Bulls &lt; 1 year</t>
  </si>
  <si>
    <t>Input -Dairy</t>
  </si>
  <si>
    <t>kg/head</t>
  </si>
  <si>
    <t>kg/head/day</t>
  </si>
  <si>
    <t>Milk production</t>
  </si>
  <si>
    <t>Average daily milk production</t>
  </si>
  <si>
    <t>litres/head/day</t>
  </si>
  <si>
    <t>Duration (weaned)</t>
  </si>
  <si>
    <t>Duration (pre-weaned)</t>
  </si>
  <si>
    <t>Time spent in production systems</t>
  </si>
  <si>
    <t>Feed pad</t>
  </si>
  <si>
    <t>Production system template</t>
  </si>
  <si>
    <t>Duplicate of data in table 1.3.7</t>
  </si>
  <si>
    <t>Method 2 custom values (Edit if known)</t>
  </si>
  <si>
    <t>Method 1 default values (Do not edit)</t>
  </si>
  <si>
    <t>Yes</t>
  </si>
  <si>
    <t>Total manure sent to MMS (Must equal 100%)  (Method 1)</t>
  </si>
  <si>
    <t>Total percent sent to solid storage (Method 1)</t>
  </si>
  <si>
    <t>Total percent sent to solid storage (Method 2)</t>
  </si>
  <si>
    <t>Total manure sent to MMS (Must equal 100%)  (Method 2)</t>
  </si>
  <si>
    <t>From the milking shed</t>
  </si>
  <si>
    <t>Post treatment destinations</t>
  </si>
  <si>
    <t>Production systems</t>
  </si>
  <si>
    <t>No</t>
  </si>
  <si>
    <t>System 3: Pasture-grazed 3-9 months/year</t>
  </si>
  <si>
    <t>Applied to farm soils as fertiliser</t>
  </si>
  <si>
    <t>Dry matter intake</t>
  </si>
  <si>
    <t>Diet</t>
  </si>
  <si>
    <t>kgDM/head/day</t>
  </si>
  <si>
    <t>Liveweight</t>
  </si>
  <si>
    <t>Average liveweight</t>
  </si>
  <si>
    <t>Average liveweight gain</t>
  </si>
  <si>
    <t>Medium Friesian</t>
  </si>
  <si>
    <t>M1_Table_W_j</t>
  </si>
  <si>
    <t>Liveweight for each animal class j (Method 1)</t>
  </si>
  <si>
    <t>M2_Table_W_j</t>
  </si>
  <si>
    <t>Liveweight for each animal class j (Method 2)</t>
  </si>
  <si>
    <t>M1_Table_LWG_j</t>
  </si>
  <si>
    <t>Liveweight gain for each animal class j (Method 1)</t>
  </si>
  <si>
    <t>M2_Table_LWG_j</t>
  </si>
  <si>
    <t>Liveweight gain for each animal class j (Method 2)</t>
  </si>
  <si>
    <t>Table_MR_j</t>
  </si>
  <si>
    <t>Increase in metabolic rate when producing milk</t>
  </si>
  <si>
    <t>fraction</t>
  </si>
  <si>
    <t>M1_Table_qm_j</t>
  </si>
  <si>
    <t>Metabolisability of diet (Method 1)</t>
  </si>
  <si>
    <t>M2_Table_qm_j</t>
  </si>
  <si>
    <t>Metabolisability of diet (Method 2)</t>
  </si>
  <si>
    <t>M1_Table_MI_j</t>
  </si>
  <si>
    <t>Additional intake for milk production (Method 1)</t>
  </si>
  <si>
    <t>L/head/day</t>
  </si>
  <si>
    <t>M2_Table_MI_j</t>
  </si>
  <si>
    <t>Additional intake for milk production (Method 2)</t>
  </si>
  <si>
    <t>Table_MP_j</t>
  </si>
  <si>
    <t>Dry matter digestibility (Method 2)</t>
  </si>
  <si>
    <t>Feed intake (Method 2)</t>
  </si>
  <si>
    <t>Feed intake (Method 1)</t>
  </si>
  <si>
    <t>Volatile solids for weaned cattle (Method 1)</t>
  </si>
  <si>
    <t>Volatile solids for weaned cattle (Method 2)</t>
  </si>
  <si>
    <t>Fraction volatile solids to MMS other than solid storage (Method 1)</t>
  </si>
  <si>
    <t>M1_Table_FVS_j_m</t>
  </si>
  <si>
    <t>M1_Table_SS_m</t>
  </si>
  <si>
    <t>SS</t>
  </si>
  <si>
    <t>M1_Table_MMS_j_m</t>
  </si>
  <si>
    <t>Fraction of manure in each MMS prior to solid separation (Method 1)</t>
  </si>
  <si>
    <t>M2_Table_MMS_j_m</t>
  </si>
  <si>
    <t>Fraction of manure in each MMS prior to solid separation (Method 2)</t>
  </si>
  <si>
    <t>M2_Table_SS_m</t>
  </si>
  <si>
    <t>M1_Table_MMS_j_m-4</t>
  </si>
  <si>
    <t>Fraction volatile solids to in solid storage before transfer (Method 1)</t>
  </si>
  <si>
    <t>Fraction volatile solids separated to solid storage (Method 1)</t>
  </si>
  <si>
    <t>Fraction volatile solids separated to solid storage (Method 2)</t>
  </si>
  <si>
    <t>M1_Table_FVS_j_m-4</t>
  </si>
  <si>
    <t>Fraction volatile solids to in solid storage (Method 1)</t>
  </si>
  <si>
    <t>M2_Table_MMS_j_m-4</t>
  </si>
  <si>
    <t>Fraction volatile solids to in solid storage before transfer (Method 2)</t>
  </si>
  <si>
    <t>M2_Table_FVS_j_m-4</t>
  </si>
  <si>
    <t>Fraction volatile solids to in solid storage (Method 2)</t>
  </si>
  <si>
    <t>T subscript is redundant?</t>
  </si>
  <si>
    <t>M1_Table_MCF_i_m</t>
  </si>
  <si>
    <t>Methane conversion factor for state (Method 1)</t>
  </si>
  <si>
    <t>M1_M_j_m</t>
  </si>
  <si>
    <t>Number of dairy cattle in all classes</t>
  </si>
  <si>
    <t>M1_Table_D_j</t>
  </si>
  <si>
    <t>M1_Table_DPW_j</t>
  </si>
  <si>
    <t>Table_MPW_manure_j-3-5</t>
  </si>
  <si>
    <t>Methane production of pre-weaned cattle</t>
  </si>
  <si>
    <t>M1_Table_E_CH4</t>
  </si>
  <si>
    <t>CH4/head/day</t>
  </si>
  <si>
    <t>M1_Table_D_j-1-2-4</t>
  </si>
  <si>
    <t>t CH4</t>
  </si>
  <si>
    <t>Duration of stay of weaned dairy cattle in all classes (Method 1)</t>
  </si>
  <si>
    <t>Duration of stay of of pre-weaned dairy cattle in all classes (Method 1)</t>
  </si>
  <si>
    <t>M2_Table_D_j</t>
  </si>
  <si>
    <t>Duration of stay of weaned dairy cattle in all classes (Method 2)</t>
  </si>
  <si>
    <t>M2_M_j_m</t>
  </si>
  <si>
    <t>Methane from manure production of weaned cattle (Method 2)</t>
  </si>
  <si>
    <t>Methane from manure production of weaned cattle (Method 1)</t>
  </si>
  <si>
    <t>Equation 5 includes MMS subscripts, this should too</t>
  </si>
  <si>
    <t>Methane production from manure management (Method 1)</t>
  </si>
  <si>
    <t>4.3.1.1-2 Manure Methane</t>
  </si>
  <si>
    <t>4.3.1.3-4 Manure Direct N2O</t>
  </si>
  <si>
    <t>Make method 2 MCF table and use</t>
  </si>
  <si>
    <t>Table_WR_j</t>
  </si>
  <si>
    <t>Reference weight for each animal class</t>
  </si>
  <si>
    <t>M1_Table_Z_j</t>
  </si>
  <si>
    <t>Relative size for each animal class (Method 1)</t>
  </si>
  <si>
    <t>M1_Table_L_j</t>
  </si>
  <si>
    <t>Intake relative to maintenance (Method 1)</t>
  </si>
  <si>
    <t>M2_Table_L_j</t>
  </si>
  <si>
    <t>Intake relative to maintenance (Method 2)</t>
  </si>
  <si>
    <t>Nitrogen retained in the body for each animal class j (Method 1)</t>
  </si>
  <si>
    <t>Nitrogen retained in the body for each animal class j (Method 2)</t>
  </si>
  <si>
    <t>Crude protein content of feed intake for each animal class j (Method 1)</t>
  </si>
  <si>
    <t>M1_Table_CPI_j</t>
  </si>
  <si>
    <t>Crude protein intake for each animal class j (Method 1)</t>
  </si>
  <si>
    <t>Nitrogen excreted for each animal class j (Method 1)</t>
  </si>
  <si>
    <t>Nitrogen excreted for each animal class j (Method 2)</t>
  </si>
  <si>
    <t>M1_Table_AE_j-1-2-4</t>
  </si>
  <si>
    <t>Total annual nitrogen excreted cattle &gt; 1 year old</t>
  </si>
  <si>
    <t>Duration of stay of cattle &gt; 1 year (Method 1)</t>
  </si>
  <si>
    <t>Duration of stay of cattle &gt; 1 year (Method 2)</t>
  </si>
  <si>
    <t>M1_Table_D_j-3-5</t>
  </si>
  <si>
    <t>Duration of stay of weaned cattle &lt; 1 year (Method 1)</t>
  </si>
  <si>
    <t>Table_NPW_j-3-5</t>
  </si>
  <si>
    <t>Nitrogen excretion of pre-weaned cattle</t>
  </si>
  <si>
    <t>Total annual nitrogen excreted cattle &lt; 1 year old (Method 1)</t>
  </si>
  <si>
    <t>Total annual nitrogen excreted cattle &gt; 1 year old (Method 1)</t>
  </si>
  <si>
    <t>Fraction of manure sent to each MMS (Method 1)</t>
  </si>
  <si>
    <t>Fraction of manure sent to each MMS (Method 2)</t>
  </si>
  <si>
    <t>M1_Table_MN_j_m</t>
  </si>
  <si>
    <t>Total nitrogen in each MMS (Method 1)</t>
  </si>
  <si>
    <t>Acknowledgements</t>
  </si>
  <si>
    <t>test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</si>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</sst>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0%"/>
    <numFmt numFmtId="171" formatCode="0.000%"/>
    <numFmt numFmtId="172" formatCode="0.0%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7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6" fillId="13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1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9" xfId="41" applyBorder="1">
      <alignment horizontal="left" vertical="center"/>
    </xf>
    <xf numFmtId="0" fontId="47" fillId="13" borderId="10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6" fillId="13" borderId="0" xfId="41" applyBorder="1">
      <alignment horizontal="left" vertical="center"/>
    </xf>
    <xf numFmtId="0" fontId="46" fillId="13" borderId="10" xfId="41" applyBorder="1">
      <alignment horizontal="left" vertical="center"/>
    </xf>
    <xf numFmtId="0" fontId="46" fillId="13" borderId="21" xfId="41" applyBorder="1">
      <alignment horizontal="left" vertical="center"/>
    </xf>
    <xf numFmtId="0" fontId="46" fillId="13" borderId="22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60" fillId="4" borderId="0" xfId="62" applyFont="1">
      <alignment horizontal="left" vertical="center"/>
    </xf>
    <xf numFmtId="0" fontId="40" fillId="4" borderId="0" xfId="8" applyAlignment="1">
      <alignment horizontal="center" vertical="center"/>
    </xf>
    <xf numFmtId="0" fontId="48" fillId="11" borderId="0" xfId="63">
      <alignment horizontal="center" vertical="center"/>
    </xf>
    <xf numFmtId="0" fontId="22" fillId="11" borderId="0" xfId="64">
      <alignment horizontal="left" vertical="center" indent="1"/>
    </xf>
    <xf numFmtId="0" fontId="18" fillId="0" borderId="0" xfId="34" applyAlignment="1">
      <alignment horizontal="left" vertical="center" indent="1"/>
    </xf>
    <xf numFmtId="0" fontId="61" fillId="0" borderId="0" xfId="2" applyFont="1"/>
    <xf numFmtId="0" fontId="57" fillId="2" borderId="0" xfId="8" applyFont="1" applyFill="1">
      <alignment horizontal="left" vertical="center"/>
    </xf>
    <xf numFmtId="0" fontId="17" fillId="4" borderId="0" xfId="32" applyFill="1">
      <alignment vertical="center"/>
    </xf>
    <xf numFmtId="9" fontId="2" fillId="0" borderId="2" xfId="14" applyFont="1" applyBorder="1" applyAlignment="1">
      <alignment horizontal="center" vertical="center"/>
    </xf>
    <xf numFmtId="0" fontId="38" fillId="14" borderId="0" xfId="5" applyFill="1">
      <alignment horizontal="left" vertical="center"/>
    </xf>
    <xf numFmtId="170" fontId="40" fillId="4" borderId="0" xfId="8" applyNumberFormat="1">
      <alignment horizontal="left" vertical="center"/>
    </xf>
    <xf numFmtId="170" fontId="35" fillId="4" borderId="2" xfId="55" applyNumberFormat="1">
      <alignment horizontal="center" vertical="center"/>
    </xf>
    <xf numFmtId="171" fontId="35" fillId="4" borderId="2" xfId="55" applyNumberFormat="1">
      <alignment horizontal="center" vertical="center"/>
    </xf>
    <xf numFmtId="0" fontId="62" fillId="4" borderId="0" xfId="8" applyFont="1">
      <alignment horizontal="left" vertical="center"/>
    </xf>
    <xf numFmtId="0" fontId="63" fillId="4" borderId="0" xfId="8" applyFont="1">
      <alignment horizontal="left" vertical="center"/>
    </xf>
    <xf numFmtId="172" fontId="40" fillId="4" borderId="0" xfId="8" applyNumberFormat="1">
      <alignment horizontal="left" vertical="center"/>
    </xf>
    <xf numFmtId="43" fontId="40" fillId="4" borderId="0" xfId="42" applyFont="1" applyFill="1" applyAlignment="1">
      <alignment horizontal="left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6"/>
      <tableStyleElement type="headerRow" dxfId="85"/>
      <tableStyleElement type="totalRow" dxfId="84"/>
      <tableStyleElement type="firstColumn" dxfId="83"/>
      <tableStyleElement type="firstRowStripe" dxfId="82"/>
      <tableStyleElement type="secondRowStripe" dxfId="81"/>
    </tableStyle>
    <tableStyle name="Equation table" pivot="0" count="6" xr9:uid="{B247698E-E41D-4CCD-AA0A-C14817E9DE65}">
      <tableStyleElement type="wholeTable" dxfId="80"/>
      <tableStyleElement type="headerRow" dxfId="79"/>
      <tableStyleElement type="totalRow" dxfId="78"/>
      <tableStyleElement type="firstColumn" dxfId="77"/>
      <tableStyleElement type="firstRowStripe" dxfId="76"/>
      <tableStyleElement type="secondRowStripe" dxfId="75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90</xdr:row>
      <xdr:rowOff>90487</xdr:rowOff>
    </xdr:from>
    <xdr:ext cx="2975751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3179BBD-EF70-3AA3-409E-878BDA2E566F}"/>
                </a:ext>
              </a:extLst>
            </xdr:cNvPr>
            <xdr:cNvSpPr txBox="1"/>
          </xdr:nvSpPr>
          <xdr:spPr>
            <a:xfrm>
              <a:off x="2690812" y="1957387"/>
              <a:ext cx="2975751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𝐷𝑀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3179BBD-EF70-3AA3-409E-878BDA2E566F}"/>
                </a:ext>
              </a:extLst>
            </xdr:cNvPr>
            <xdr:cNvSpPr txBox="1"/>
          </xdr:nvSpPr>
          <xdr:spPr>
            <a:xfrm>
              <a:off x="2690812" y="1957387"/>
              <a:ext cx="2975751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𝑉𝑆_𝑗=(𝐼_𝑗×(1−𝐷𝑀𝐷_𝑗 )+(0.04×𝐼_𝑗 ))×(1−𝐴)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55</xdr:row>
      <xdr:rowOff>52387</xdr:rowOff>
    </xdr:from>
    <xdr:ext cx="4845044" cy="234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2BDE28D-28D0-62B3-DE0C-2DFB92441FA4}"/>
                </a:ext>
              </a:extLst>
            </xdr:cNvPr>
            <xdr:cNvSpPr txBox="1"/>
          </xdr:nvSpPr>
          <xdr:spPr>
            <a:xfrm>
              <a:off x="2671762" y="1919287"/>
              <a:ext cx="4845044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1.185+0.00454×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−0.0000026×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+0.315×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2BDE28D-28D0-62B3-DE0C-2DFB92441FA4}"/>
                </a:ext>
              </a:extLst>
            </xdr:cNvPr>
            <xdr:cNvSpPr txBox="1"/>
          </xdr:nvSpPr>
          <xdr:spPr>
            <a:xfrm>
              <a:off x="2671762" y="1919287"/>
              <a:ext cx="4845044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𝐼_𝑗=(1.185+0.00454×𝑊_𝑗−0.0000026×𝑊_𝑗^2+0.315×𝐿𝑊𝐺_𝑗 )^2×𝑀𝑅_𝑗+𝑀𝐼_𝑗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29</xdr:row>
      <xdr:rowOff>42862</xdr:rowOff>
    </xdr:from>
    <xdr:ext cx="1461105" cy="3705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13F75C9-EF18-E456-1E1C-8FB164826A2C}"/>
                </a:ext>
              </a:extLst>
            </xdr:cNvPr>
            <xdr:cNvSpPr txBox="1"/>
          </xdr:nvSpPr>
          <xdr:spPr>
            <a:xfrm>
              <a:off x="2690812" y="1909762"/>
              <a:ext cx="1461105" cy="3705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×1.03×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𝑁𝐸</m:t>
                        </m:r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𝐺𝐸𝐶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𝑞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13F75C9-EF18-E456-1E1C-8FB164826A2C}"/>
                </a:ext>
              </a:extLst>
            </xdr:cNvPr>
            <xdr:cNvSpPr txBox="1"/>
          </xdr:nvSpPr>
          <xdr:spPr>
            <a:xfrm>
              <a:off x="2690812" y="1909762"/>
              <a:ext cx="1461105" cy="3705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𝑀𝐼_𝑗=(𝑀𝑃_𝑗×1.03×𝑁𝐸)/(𝐺𝐸𝐶×𝑘×𝑞𝑚_𝑗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7</xdr:row>
      <xdr:rowOff>128587</xdr:rowOff>
    </xdr:from>
    <xdr:ext cx="243534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AF19414-E247-C759-A016-BB7AB8A39AAC}"/>
                </a:ext>
              </a:extLst>
            </xdr:cNvPr>
            <xdr:cNvSpPr txBox="1"/>
          </xdr:nvSpPr>
          <xdr:spPr>
            <a:xfrm>
              <a:off x="2700337" y="1995487"/>
              <a:ext cx="243534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𝑞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=0.795×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−0.0014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AF19414-E247-C759-A016-BB7AB8A39AAC}"/>
                </a:ext>
              </a:extLst>
            </xdr:cNvPr>
            <xdr:cNvSpPr txBox="1"/>
          </xdr:nvSpPr>
          <xdr:spPr>
            <a:xfrm>
              <a:off x="2700337" y="1995487"/>
              <a:ext cx="243534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𝑞𝑚_𝑗=0.795×(𝐷𝑀𝐷_𝑗×100)−0.0014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109</xdr:row>
      <xdr:rowOff>128587</xdr:rowOff>
    </xdr:from>
    <xdr:ext cx="183422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E428F22-1198-DB5D-F222-30923EBCE0F1}"/>
                </a:ext>
              </a:extLst>
            </xdr:cNvPr>
            <xdr:cNvSpPr txBox="1"/>
          </xdr:nvSpPr>
          <xdr:spPr>
            <a:xfrm>
              <a:off x="2690812" y="27255787"/>
              <a:ext cx="183422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FE428F22-1198-DB5D-F222-30923EBCE0F1}"/>
                </a:ext>
              </a:extLst>
            </xdr:cNvPr>
            <xdr:cNvSpPr txBox="1"/>
          </xdr:nvSpPr>
          <xdr:spPr>
            <a:xfrm>
              <a:off x="2690812" y="27255787"/>
              <a:ext cx="183422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𝐹𝑉𝑆_𝑗𝑚=𝑀𝑀𝑆_𝑗𝑚×(1−𝑆𝑆_𝑚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6</xdr:col>
      <xdr:colOff>1604962</xdr:colOff>
      <xdr:row>153</xdr:row>
      <xdr:rowOff>157162</xdr:rowOff>
    </xdr:from>
    <xdr:ext cx="388869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EE9869D-6FA8-8099-9C36-BD26AA525E1F}"/>
                </a:ext>
              </a:extLst>
            </xdr:cNvPr>
            <xdr:cNvSpPr txBox="1"/>
          </xdr:nvSpPr>
          <xdr:spPr>
            <a:xfrm>
              <a:off x="10425112" y="38180962"/>
              <a:ext cx="388869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equation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=1,7,9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EE9869D-6FA8-8099-9C36-BD26AA525E1F}"/>
                </a:ext>
              </a:extLst>
            </xdr:cNvPr>
            <xdr:cNvSpPr txBox="1"/>
          </xdr:nvSpPr>
          <xdr:spPr>
            <a:xfrm>
              <a:off x="10425112" y="38180962"/>
              <a:ext cx="388869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 equation:</a:t>
              </a:r>
              <a:r>
                <a:rPr lang="en-AU" sz="1100" b="0" i="0">
                  <a:latin typeface="Cambria Math" panose="02040503050406030204" pitchFamily="18" charset="0"/>
                </a:rPr>
                <a:t> </a:t>
              </a:r>
              <a:r>
                <a:rPr lang="en-AU" sz="1100" i="0">
                  <a:latin typeface="Cambria Math" panose="02040503050406030204" pitchFamily="18" charset="0"/>
                </a:rPr>
                <a:t>𝐹𝑉𝑆_(𝑗𝑚=4)=𝑀𝑀𝑆_(𝑗𝑚=4)+(𝑀𝑀𝑆_(𝑗𝑚=1,7,9)×𝑆𝑆_𝑚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276225</xdr:colOff>
      <xdr:row>153</xdr:row>
      <xdr:rowOff>128587</xdr:rowOff>
    </xdr:from>
    <xdr:ext cx="5606791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783E7C7-628E-ED4E-B009-8738147D5CD4}"/>
                </a:ext>
              </a:extLst>
            </xdr:cNvPr>
            <xdr:cNvSpPr txBox="1"/>
          </xdr:nvSpPr>
          <xdr:spPr>
            <a:xfrm>
              <a:off x="2638425" y="37904737"/>
              <a:ext cx="5606791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783E7C7-628E-ED4E-B009-8738147D5CD4}"/>
                </a:ext>
              </a:extLst>
            </xdr:cNvPr>
            <xdr:cNvSpPr txBox="1"/>
          </xdr:nvSpPr>
          <xdr:spPr>
            <a:xfrm>
              <a:off x="2638425" y="37904737"/>
              <a:ext cx="5606791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𝐹𝑉𝑆_(𝑗𝑚=4)=𝑀𝑀𝑆_(𝑗𝑚=4)+(𝑀𝑀𝑆_(𝑗𝑚=1)×𝑆𝑆_(𝑚=1) )+(𝑀𝑀𝑆_(𝑗𝑚=7)×𝑆𝑆_(𝑚=7) )+(𝑀𝑀𝑆_(𝑗𝑚=9)×𝑆𝑆_(𝑚=9)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179</xdr:row>
      <xdr:rowOff>157162</xdr:rowOff>
    </xdr:from>
    <xdr:ext cx="2591222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8E21375-9427-CC3D-EA08-BABBDC2A099B}"/>
                </a:ext>
              </a:extLst>
            </xdr:cNvPr>
            <xdr:cNvSpPr txBox="1"/>
          </xdr:nvSpPr>
          <xdr:spPr>
            <a:xfrm>
              <a:off x="2681287" y="44048362"/>
              <a:ext cx="259122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8E21375-9427-CC3D-EA08-BABBDC2A099B}"/>
                </a:ext>
              </a:extLst>
            </xdr:cNvPr>
            <xdr:cNvSpPr txBox="1"/>
          </xdr:nvSpPr>
          <xdr:spPr>
            <a:xfrm>
              <a:off x="2681287" y="44048362"/>
              <a:ext cx="2591222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𝑀_𝑗𝑚=𝑉𝑆_𝑗×𝐹𝑉𝑆_(𝑗𝑚,𝑇=1)×𝑀𝐶𝐹_𝑖𝑚×𝐵_𝑜×𝜌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217</xdr:row>
      <xdr:rowOff>166687</xdr:rowOff>
    </xdr:from>
    <xdr:ext cx="7372146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6DD997-BB8E-716E-6CC6-AEDE1997F35D}"/>
                </a:ext>
              </a:extLst>
            </xdr:cNvPr>
            <xdr:cNvSpPr txBox="1"/>
          </xdr:nvSpPr>
          <xdr:spPr>
            <a:xfrm>
              <a:off x="2690812" y="51868387"/>
              <a:ext cx="7372146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=1,2,4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=1,2,4,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=1,2,4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𝑀𝑃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𝑚𝑎𝑛𝑢𝑟𝑒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𝐷𝑃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6DD997-BB8E-716E-6CC6-AEDE1997F35D}"/>
                </a:ext>
              </a:extLst>
            </xdr:cNvPr>
            <xdr:cNvSpPr txBox="1"/>
          </xdr:nvSpPr>
          <xdr:spPr>
            <a:xfrm>
              <a:off x="2690812" y="51868387"/>
              <a:ext cx="7372146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𝐸_𝐶𝐻4=((𝑁_(𝑗=1,2,4)×𝑀_(𝑗=1,2,4,𝑚)×𝐷_(𝑗=1,2,4) )+(𝑁_(𝑗=3,5)×𝑀_(𝑗=3,5,𝑚)×𝐷_(𝑗=3,5) )+(𝑁_(𝑗=3,5)×𝑀𝑃𝑊_(𝑚𝑎𝑛𝑢𝑟𝑒,𝑗=3,5)×𝐷𝑃𝑊_(𝑗=3,5) ))×10^(−3)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6</xdr:col>
      <xdr:colOff>1900237</xdr:colOff>
      <xdr:row>217</xdr:row>
      <xdr:rowOff>157162</xdr:rowOff>
    </xdr:from>
    <xdr:ext cx="8227958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34A6A40-C561-1982-B5AC-9BE72AF47198}"/>
                </a:ext>
              </a:extLst>
            </xdr:cNvPr>
            <xdr:cNvSpPr txBox="1"/>
          </xdr:nvSpPr>
          <xdr:spPr>
            <a:xfrm>
              <a:off x="10720387" y="51858862"/>
              <a:ext cx="822795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n-AU" sz="1100" b="0" i="1">
                            <a:solidFill>
                              <a:srgbClr val="C44340"/>
                            </a:solidFill>
                            <a:latin typeface="Cambria Math" panose="02040503050406030204" pitchFamily="18" charset="0"/>
                          </a:rPr>
                          <m:t>Orginal</m:t>
                        </m:r>
                        <m:r>
                          <a:rPr lang="en-AU" sz="1100" b="0" i="1">
                            <a:solidFill>
                              <a:srgbClr val="C4434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n-AU" sz="1100" b="0" i="1">
                            <a:solidFill>
                              <a:srgbClr val="C44340"/>
                            </a:solidFill>
                            <a:latin typeface="Cambria Math" panose="02040503050406030204" pitchFamily="18" charset="0"/>
                          </a:rPr>
                          <m:t>equation</m:t>
                        </m:r>
                        <m:r>
                          <a:rPr lang="en-AU" sz="1100" b="0" i="1">
                            <a:solidFill>
                              <a:srgbClr val="C44340"/>
                            </a:solidFill>
                            <a:latin typeface="Cambria Math" panose="02040503050406030204" pitchFamily="18" charset="0"/>
                          </a:rPr>
                          <m:t>: 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=1,2,4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=1,2,4,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=1,2,4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𝑀𝑃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𝑚𝑎𝑛𝑢𝑟𝑒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=3,5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334A6A40-C561-1982-B5AC-9BE72AF47198}"/>
                </a:ext>
              </a:extLst>
            </xdr:cNvPr>
            <xdr:cNvSpPr txBox="1"/>
          </xdr:nvSpPr>
          <xdr:spPr>
            <a:xfrm>
              <a:off x="10720387" y="51858862"/>
              <a:ext cx="822795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〖</a:t>
              </a:r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Orginal equation: </a:t>
              </a:r>
              <a:r>
                <a:rPr lang="en-AU" sz="1100" i="0">
                  <a:latin typeface="Cambria Math" panose="02040503050406030204" pitchFamily="18" charset="0"/>
                </a:rPr>
                <a:t>𝐸〗_𝐶𝐻4=((𝑁_(𝑗=1,2,4)×𝑀_(𝑗=1,2,4,𝑚)×𝐷_(𝑗=1,2,4) )+(𝑁_(𝑗=3,5)×𝑀_(𝑗=3,5,𝑚)×𝐷_(𝑗=3,5) )+(𝑁_(𝑗=3,5)×𝑀𝑃𝑊_(𝑚𝑎𝑛𝑢𝑟𝑒,𝑗=3,5)×𝐷_(𝑗=3,5) ))×10^(−3)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7</xdr:row>
      <xdr:rowOff>52387</xdr:rowOff>
    </xdr:from>
    <xdr:ext cx="615810" cy="3694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DC1AC29-4554-D3F7-3394-68026F9F736D}"/>
                </a:ext>
              </a:extLst>
            </xdr:cNvPr>
            <xdr:cNvSpPr txBox="1"/>
          </xdr:nvSpPr>
          <xdr:spPr>
            <a:xfrm>
              <a:off x="2733675" y="1919287"/>
              <a:ext cx="615810" cy="369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𝑊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DC1AC29-4554-D3F7-3394-68026F9F736D}"/>
                </a:ext>
              </a:extLst>
            </xdr:cNvPr>
            <xdr:cNvSpPr txBox="1"/>
          </xdr:nvSpPr>
          <xdr:spPr>
            <a:xfrm>
              <a:off x="2733675" y="1919287"/>
              <a:ext cx="615810" cy="3694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𝑍_𝑗=𝑊_𝑗/(𝑊𝑅_𝑗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19050</xdr:colOff>
      <xdr:row>35</xdr:row>
      <xdr:rowOff>157162</xdr:rowOff>
    </xdr:from>
    <xdr:ext cx="3857466" cy="426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EB8026E-DC74-F16A-425F-99C91A2791F4}"/>
                </a:ext>
              </a:extLst>
            </xdr:cNvPr>
            <xdr:cNvSpPr txBox="1"/>
          </xdr:nvSpPr>
          <xdr:spPr>
            <a:xfrm>
              <a:off x="2695575" y="8958262"/>
              <a:ext cx="3857466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1.185+0.00454×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−0.0000026×</m:t>
                                </m:r>
                                <m:sSubSup>
                                  <m:sSub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  <m: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EB8026E-DC74-F16A-425F-99C91A2791F4}"/>
                </a:ext>
              </a:extLst>
            </xdr:cNvPr>
            <xdr:cNvSpPr txBox="1"/>
          </xdr:nvSpPr>
          <xdr:spPr>
            <a:xfrm>
              <a:off x="2695575" y="8958262"/>
              <a:ext cx="3857466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𝐿_𝑗=𝐼_𝑗/((1.185+0.00454×𝑊_𝑗−0.0000026×𝑊_𝑗^2 )^2×𝑀𝑅_𝑗+𝑀𝐼_𝑗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9525</xdr:colOff>
      <xdr:row>71</xdr:row>
      <xdr:rowOff>90487</xdr:rowOff>
    </xdr:from>
    <xdr:ext cx="7038402" cy="3972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551B19B-D856-1382-65D0-2C898FCEC22A}"/>
                </a:ext>
              </a:extLst>
            </xdr:cNvPr>
            <xdr:cNvSpPr txBox="1"/>
          </xdr:nvSpPr>
          <xdr:spPr>
            <a:xfrm>
              <a:off x="2686050" y="17806987"/>
              <a:ext cx="7038402" cy="397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0.032×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×1.03</m:t>
                            </m:r>
                          </m:num>
                          <m:den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6.38</m:t>
                            </m:r>
                          </m:den>
                        </m:f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{"/>
                        <m:endChr m:val="}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0.212−0.008×</m:t>
                            </m:r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0.140−0.008×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𝐿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−2</m:t>
                                        </m:r>
                                      </m:e>
                                    </m:d>
                                  </m:num>
                                  <m:den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−6×</m:t>
                                        </m:r>
                                        <m:d>
                                          <m:d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sSub>
                                              <m:sSubPr>
                                                <m:ctrlP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sSubPr>
                                              <m:e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𝑍</m:t>
                                                </m:r>
                                              </m:e>
                                              <m:sub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𝑗</m:t>
                                                </m:r>
                                              </m:sub>
                                            </m:s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−0.4</m:t>
                                            </m:r>
                                          </m:e>
                                        </m:d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×0.92</m:t>
                            </m:r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6.25</m:t>
                        </m:r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4551B19B-D856-1382-65D0-2C898FCEC22A}"/>
                </a:ext>
              </a:extLst>
            </xdr:cNvPr>
            <xdr:cNvSpPr txBox="1"/>
          </xdr:nvSpPr>
          <xdr:spPr>
            <a:xfrm>
              <a:off x="2686050" y="17806987"/>
              <a:ext cx="7038402" cy="3972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𝑁𝑅_𝑗=((0.032×𝑀𝑃_𝑗×1.03)/6.38)+{(0.212−0.008×(𝐿_𝑗−2)−[(0.140−0.008×(𝐿_𝑗−2))/(1+𝑒^(−6×(𝑍_𝑗−0.4) ) )])×(𝐿𝑊𝐺_𝑗×0.92)}×1/6.25</a:t>
              </a:r>
            </a:p>
          </xdr:txBody>
        </xdr:sp>
      </mc:Fallback>
    </mc:AlternateContent>
    <xdr:clientData/>
  </xdr:oneCellAnchor>
  <xdr:oneCellAnchor>
    <xdr:from>
      <xdr:col>3</xdr:col>
      <xdr:colOff>85725</xdr:colOff>
      <xdr:row>102</xdr:row>
      <xdr:rowOff>147637</xdr:rowOff>
    </xdr:from>
    <xdr:ext cx="94641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25A724A-12E6-5DED-7CD9-F1182C7BC417}"/>
                </a:ext>
              </a:extLst>
            </xdr:cNvPr>
            <xdr:cNvSpPr txBox="1"/>
          </xdr:nvSpPr>
          <xdr:spPr>
            <a:xfrm>
              <a:off x="2762250" y="25541287"/>
              <a:ext cx="94641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𝐶𝑃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25A724A-12E6-5DED-7CD9-F1182C7BC417}"/>
                </a:ext>
              </a:extLst>
            </xdr:cNvPr>
            <xdr:cNvSpPr txBox="1"/>
          </xdr:nvSpPr>
          <xdr:spPr>
            <a:xfrm>
              <a:off x="2762250" y="25541287"/>
              <a:ext cx="94641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𝐶𝑃𝐼_𝑗=𝐼_𝑗×𝐶𝑃_𝑗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28575</xdr:colOff>
      <xdr:row>125</xdr:row>
      <xdr:rowOff>119062</xdr:rowOff>
    </xdr:from>
    <xdr:ext cx="2719847" cy="41376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070E054-0365-2149-1F86-465BAFC26EBF}"/>
                </a:ext>
              </a:extLst>
            </xdr:cNvPr>
            <xdr:cNvSpPr txBox="1"/>
          </xdr:nvSpPr>
          <xdr:spPr>
            <a:xfrm>
              <a:off x="2705100" y="31208662"/>
              <a:ext cx="2719847" cy="413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𝐶𝑃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num>
                          <m:den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6.25</m:t>
                            </m:r>
                          </m:den>
                        </m:f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begChr m:val="["/>
                        <m:endChr m:val="]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1.1×</m:t>
                            </m:r>
                            <m:sSup>
                              <m:s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−4</m:t>
                                </m:r>
                              </m:sup>
                            </m:s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0.75</m:t>
                                </m:r>
                              </m:sup>
                            </m:sSubSup>
                          </m:num>
                          <m:den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6.25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C070E054-0365-2149-1F86-465BAFC26EBF}"/>
                </a:ext>
              </a:extLst>
            </xdr:cNvPr>
            <xdr:cNvSpPr txBox="1"/>
          </xdr:nvSpPr>
          <xdr:spPr>
            <a:xfrm>
              <a:off x="2705100" y="31208662"/>
              <a:ext cx="2719847" cy="41376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𝑁𝐸_𝑗=((𝐶𝑃𝐼_𝑗)/6.25)−𝑁𝑅_𝑗−[(1.1×10^(−4)×𝑊_𝑗^0.75)/6.25]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5</xdr:col>
      <xdr:colOff>1733550</xdr:colOff>
      <xdr:row>146</xdr:row>
      <xdr:rowOff>119062</xdr:rowOff>
    </xdr:from>
    <xdr:ext cx="328352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81600BC-97E9-11A9-0397-9DA995559046}"/>
                </a:ext>
              </a:extLst>
            </xdr:cNvPr>
            <xdr:cNvSpPr txBox="1"/>
          </xdr:nvSpPr>
          <xdr:spPr>
            <a:xfrm>
              <a:off x="8505825" y="36161662"/>
              <a:ext cx="328352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 equation</a:t>
              </a:r>
              <a:r>
                <a:rPr lang="en-AU" sz="1100"/>
                <a:t>: </a:t>
              </a:r>
              <a14:m>
                <m:oMath xmlns:m="http://schemas.openxmlformats.org/officeDocument/2006/math">
                  <m:r>
                    <a:rPr lang="en-AU" sz="1100" i="1">
                      <a:latin typeface="Cambria Math" panose="02040503050406030204" pitchFamily="18" charset="0"/>
                    </a:rPr>
                    <m:t>𝐴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𝐸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=1,2,4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𝑁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=1,2,4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×</m:t>
                  </m:r>
                  <m:r>
                    <a:rPr lang="en-AU" sz="1100" i="1">
                      <a:latin typeface="Cambria Math" panose="02040503050406030204" pitchFamily="18" charset="0"/>
                    </a:rPr>
                    <m:t>𝑁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𝐸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=1,2,4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×365</m:t>
                  </m:r>
                </m:oMath>
              </a14:m>
              <a:endParaRPr lang="en-A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81600BC-97E9-11A9-0397-9DA995559046}"/>
                </a:ext>
              </a:extLst>
            </xdr:cNvPr>
            <xdr:cNvSpPr txBox="1"/>
          </xdr:nvSpPr>
          <xdr:spPr>
            <a:xfrm>
              <a:off x="8505825" y="36161662"/>
              <a:ext cx="328352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 equation</a:t>
              </a:r>
              <a:r>
                <a:rPr lang="en-AU" sz="1100"/>
                <a:t>: </a:t>
              </a:r>
              <a:r>
                <a:rPr lang="en-AU" sz="1100" i="0">
                  <a:latin typeface="Cambria Math" panose="02040503050406030204" pitchFamily="18" charset="0"/>
                </a:rPr>
                <a:t>𝐴𝐸_(𝑗=1,2,4)=𝑁_(𝑗=1,2,4)×𝑁𝐸_(𝑗=1,2,4)×365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28575</xdr:colOff>
      <xdr:row>146</xdr:row>
      <xdr:rowOff>138112</xdr:rowOff>
    </xdr:from>
    <xdr:ext cx="244945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3E8CF4A6-B0EE-3ADF-4E58-4EE3ACB7BB52}"/>
                </a:ext>
              </a:extLst>
            </xdr:cNvPr>
            <xdr:cNvSpPr txBox="1"/>
          </xdr:nvSpPr>
          <xdr:spPr>
            <a:xfrm>
              <a:off x="2705100" y="36180712"/>
              <a:ext cx="244945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=1,2,4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=1,2,4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=1,2,4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=1,2,4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3E8CF4A6-B0EE-3ADF-4E58-4EE3ACB7BB52}"/>
                </a:ext>
              </a:extLst>
            </xdr:cNvPr>
            <xdr:cNvSpPr txBox="1"/>
          </xdr:nvSpPr>
          <xdr:spPr>
            <a:xfrm>
              <a:off x="2705100" y="36180712"/>
              <a:ext cx="244945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𝐴𝐸_(𝑗=1,2,4)=𝑁_(𝑗=1,2,4)×𝑁𝐸_(𝑗=1,2,4)×𝐷_(𝑗=1,2,4)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5</xdr:col>
      <xdr:colOff>1485900</xdr:colOff>
      <xdr:row>176</xdr:row>
      <xdr:rowOff>128587</xdr:rowOff>
    </xdr:from>
    <xdr:ext cx="486793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1BBEBF-A436-DDDF-F2D4-F5BF51FB4DDD}"/>
                </a:ext>
              </a:extLst>
            </xdr:cNvPr>
            <xdr:cNvSpPr txBox="1"/>
          </xdr:nvSpPr>
          <xdr:spPr>
            <a:xfrm>
              <a:off x="8258175" y="43848337"/>
              <a:ext cx="486793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 equation: </a:t>
              </a:r>
              <a14:m>
                <m:oMath xmlns:m="http://schemas.openxmlformats.org/officeDocument/2006/math">
                  <m:r>
                    <a:rPr lang="en-AU" sz="1100" i="1">
                      <a:latin typeface="Cambria Math" panose="02040503050406030204" pitchFamily="18" charset="0"/>
                    </a:rPr>
                    <m:t>𝐴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𝐸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=3,5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=3,5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𝑁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𝐸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=3,5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×281</m:t>
                      </m:r>
                    </m:e>
                  </m:d>
                  <m:r>
                    <a:rPr lang="en-AU" sz="110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=3,5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𝑁𝑃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𝑊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=3,5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×84</m:t>
                      </m:r>
                    </m:e>
                  </m:d>
                </m:oMath>
              </a14:m>
              <a:endParaRPr lang="en-AU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D1BBEBF-A436-DDDF-F2D4-F5BF51FB4DDD}"/>
                </a:ext>
              </a:extLst>
            </xdr:cNvPr>
            <xdr:cNvSpPr txBox="1"/>
          </xdr:nvSpPr>
          <xdr:spPr>
            <a:xfrm>
              <a:off x="8258175" y="43848337"/>
              <a:ext cx="486793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 equation: </a:t>
              </a:r>
              <a:r>
                <a:rPr lang="en-AU" sz="1100" i="0">
                  <a:latin typeface="Cambria Math" panose="02040503050406030204" pitchFamily="18" charset="0"/>
                </a:rPr>
                <a:t>𝐴𝐸_(𝑗=3,5)=(𝑁_(𝑗=3,5)×𝑁𝐸_(𝑗=3,5)×281)+(𝑁_(𝑗=3,5)×𝑁𝑃𝑊_(𝑗=3,5)×84)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176</xdr:row>
      <xdr:rowOff>138112</xdr:rowOff>
    </xdr:from>
    <xdr:ext cx="4361129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06D419A-7447-EBE5-57D6-00449E021FDC}"/>
                </a:ext>
              </a:extLst>
            </xdr:cNvPr>
            <xdr:cNvSpPr txBox="1"/>
          </xdr:nvSpPr>
          <xdr:spPr>
            <a:xfrm>
              <a:off x="2676525" y="43857862"/>
              <a:ext cx="4361129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=3,5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=3,5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=3,5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=3,5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𝑁𝑃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=3,5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𝐷𝑃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=3,5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906D419A-7447-EBE5-57D6-00449E021FDC}"/>
                </a:ext>
              </a:extLst>
            </xdr:cNvPr>
            <xdr:cNvSpPr txBox="1"/>
          </xdr:nvSpPr>
          <xdr:spPr>
            <a:xfrm>
              <a:off x="2676525" y="43857862"/>
              <a:ext cx="4361129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𝐴𝐸_(𝑗=3,5)=(𝑁_(𝑗=3,5)×𝑁𝐸_(𝑗=3,5)×𝐷_(𝑗=3,5) )+(𝑁_(𝑗=3,5)×𝑁𝑃𝑊_(𝑗=3,5)×𝐷𝑃𝑊_(𝑗=3,5)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27332</xdr:colOff>
      <xdr:row>212</xdr:row>
      <xdr:rowOff>118440</xdr:rowOff>
    </xdr:from>
    <xdr:ext cx="140538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2ADE2A4-EEC3-DAC5-1821-0C69D2A297BC}"/>
                </a:ext>
              </a:extLst>
            </xdr:cNvPr>
            <xdr:cNvSpPr txBox="1"/>
          </xdr:nvSpPr>
          <xdr:spPr>
            <a:xfrm>
              <a:off x="2702615" y="52928353"/>
              <a:ext cx="140538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2ADE2A4-EEC3-DAC5-1821-0C69D2A297BC}"/>
                </a:ext>
              </a:extLst>
            </xdr:cNvPr>
            <xdr:cNvSpPr txBox="1"/>
          </xdr:nvSpPr>
          <xdr:spPr>
            <a:xfrm>
              <a:off x="2702615" y="52928353"/>
              <a:ext cx="140538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𝑀𝑁_𝑗𝑚=𝐴𝐸_𝑗×𝑀𝑀𝑆_𝑗𝑚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47</xdr:row>
      <xdr:rowOff>138112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62</xdr:row>
      <xdr:rowOff>147637</xdr:rowOff>
    </xdr:from>
    <xdr:ext cx="5445080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𝑀𝑁𝑆𝑜𝑖𝑙_𝑠𝑐𝑜𝑝𝑒3=∑8_𝑗▒∑8_𝑚▒∑8_𝑇▒(𝑀𝑁_(𝑗𝑚𝑇=2,3)×(1−𝐸𝐹_(𝑚𝑇=2,3)−𝐹𝑟𝑎𝑐𝐺𝐴𝑆𝑀_(𝑚𝑇=2,3)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Common_v02.xlsx" TargetMode="External"/><Relationship Id="rId1" Type="http://schemas.openxmlformats.org/officeDocument/2006/relationships/externalLinkPath" Target="Common_v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  <sheetName val="4_1_ManureManagement_Feedlot_W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stants - Common"/>
      <sheetName val="Acknowledgements"/>
    </sheetNames>
    <sheetDataSet>
      <sheetData sheetId="0"/>
      <sheetData sheetId="1"/>
      <sheetData sheetId="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Dairy_MMS" displayName="Table_SourceData_Dairy_MMS" ref="D7:E11" totalsRowShown="0">
  <autoFilter ref="D7:E11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74" dataCellStyle="Content normal"/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Dairy_CropProdSystems" displayName="Table_SourceData_Dairy_CropProdSystems" ref="G7:G9" totalsRowShown="0">
  <autoFilter ref="G7:G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Dairy_IrrigationMethods" displayName="Table_SourceData_Dairy_IrrigationMethods" ref="J7:J12" totalsRowShown="0">
  <autoFilter ref="J7:J1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7AC8BB-7677-48EA-BDB5-2C0BC5B0F947}" name="Table_SourceData_Dairy_WjCowsHeifers" displayName="Table_SourceData_Dairy_WjCowsHeifers" ref="D21:G31" totalsRowShown="0">
  <autoFilter ref="D21:G31" xr:uid="{967AC8BB-7677-48EA-BDB5-2C0BC5B0F947}">
    <filterColumn colId="0" hiddenButton="1"/>
    <filterColumn colId="1" hiddenButton="1"/>
    <filterColumn colId="2" hiddenButton="1"/>
    <filterColumn colId="3" hiddenButton="1"/>
  </autoFilter>
  <tableColumns count="4">
    <tableColumn id="1" xr3:uid="{CAC4C566-E7DF-44B3-BDB4-4B1785D5F9F0}" name="Breed">
      <calculatedColumnFormula array="1">Common_InputFunctions.Utility_DisplayArrayInTable(SourceData_Dairy.SourceData_Dairy_LiveweightCowsAndHeifers_Data(), Table_SourceData_Dairy_WjCowsHeifers[[#Headers],[Breed]], 0)</calculatedColumnFormula>
    </tableColumn>
    <tableColumn id="2" xr3:uid="{4C5541D8-40C3-436A-815B-7A3D9D154BB6}" name="Milking cows" dataDxfId="73" dataCellStyle="Content normal">
      <calculatedColumnFormula array="1">Common_InputFunctions.Utility_DisplayArrayInTable(SourceData_Dairy.SourceData_Dairy_LiveweightCowsAndHeifers_Data(), Table_SourceData_Dairy_WjCowsHeifers[[#Headers],[Breed]], 0)</calculatedColumnFormula>
    </tableColumn>
    <tableColumn id="3" xr3:uid="{A8A468F3-E260-4E60-AC14-8F50FD33B46B}" name="Heifers &gt; 1" dataDxfId="72" dataCellStyle="Content normal">
      <calculatedColumnFormula array="1">Common_InputFunctions.Utility_DisplayArrayInTable(SourceData_Dairy.SourceData_Dairy_LiveweightCowsAndHeifers_Data(), Table_SourceData_Dairy_WjCowsHeifers[[#Headers],[Breed]], 0)</calculatedColumnFormula>
    </tableColumn>
    <tableColumn id="4" xr3:uid="{2081FE2E-69DF-48BF-9561-91AC655332BC}" name="Heifers &lt; 1 (weaned)" dataDxfId="71" dataCellStyle="Content normal">
      <calculatedColumnFormula array="1">Common_InputFunctions.Utility_DisplayArrayInTable(SourceData_Dairy.SourceData_Dairy_LiveweightCowsAndHeifers_Data(), Table_SourceData_Dairy_WjCowsHeifers[[#Headers],[Breed]],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7576A8-349F-4CC0-92AE-D91A1F2F1417}" name="Table_SourceData_Dairy_WjBulls" displayName="Table_SourceData_Dairy_WjBulls" ref="D38:F39" totalsRowShown="0">
  <autoFilter ref="D38:F39" xr:uid="{AF7576A8-349F-4CC0-92AE-D91A1F2F1417}">
    <filterColumn colId="0" hiddenButton="1"/>
    <filterColumn colId="1" hiddenButton="1"/>
    <filterColumn colId="2" hiddenButton="1"/>
  </autoFilter>
  <tableColumns count="3">
    <tableColumn id="1" xr3:uid="{40374F5E-9BC3-4080-A28F-8B1F65DE1774}" name="Breed">
      <calculatedColumnFormula array="1">Common_InputFunctions.Utility_DisplayArrayInTable(SourceData_Dairy.SourceData_Dairy_LiveweightBulls_Data(), Table_SourceData_Dairy_WjBulls[[#Headers],[Breed]], 0)</calculatedColumnFormula>
    </tableColumn>
    <tableColumn id="2" xr3:uid="{C20ABB8A-524B-457C-86CD-D1ADCBCD6339}" name="Bulls &gt; 1" dataDxfId="70" dataCellStyle="Content normal">
      <calculatedColumnFormula array="1">Common_InputFunctions.Utility_DisplayArrayInTable(SourceData_Dairy.SourceData_Dairy_LiveweightBulls_Data(), Table_SourceData_Dairy_WjBulls[[#Headers],[Breed]], 0)</calculatedColumnFormula>
    </tableColumn>
    <tableColumn id="3" xr3:uid="{7E843FE2-40FC-4270-88C9-9204E6D4AFBC}" name="Bulls &lt; 1 (weaned)" dataDxfId="69" dataCellStyle="Content normal">
      <calculatedColumnFormula array="1">Common_InputFunctions.Utility_DisplayArrayInTable(SourceData_Dairy.SourceData_Dairy_LiveweightBulls_Data(), Table_SourceData_Dairy_WjBulls[[#Headers],[Breed]],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CFB773-B7EE-42F8-AC7C-31621B260645}" name="Table_SourceData_Dairy_LWGj" displayName="Table_SourceData_Dairy_LWGj" ref="D46:H47" totalsRowShown="0">
  <autoFilter ref="D46:H47" xr:uid="{8FCFB773-B7EE-42F8-AC7C-31621B2606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9C0AC05-6C13-494A-8124-C36C4B6D01B6}" name="Milking cows">
      <calculatedColumnFormula array="1">Common_InputFunctions.Utility_DisplayArrayInTable(SourceData_Dairy.SourceData_Dairy_LiveweightGain_Data(), Table_SourceData_Dairy_LWGj[[#Headers],[Milking cows]], 0)</calculatedColumnFormula>
    </tableColumn>
    <tableColumn id="2" xr3:uid="{6F9B3B56-C4EB-4BB7-8805-05635494D786}" name="Heifers &gt; 1" dataDxfId="68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  <tableColumn id="3" xr3:uid="{9CCB5E7F-697E-47C8-A2FC-07B0CCA18EF6}" name="Heifers &lt; 1 (weaned)" dataDxfId="67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  <tableColumn id="4" xr3:uid="{E2F3229F-1A83-4902-9C97-123E692B43D6}" name="Bulls &gt; 1" dataDxfId="66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  <tableColumn id="5" xr3:uid="{409BDD9D-D084-43BF-B34D-A29B0DFF00E7}" name="Bulls &lt; 1 (weaned)" dataDxfId="65" dataCellStyle="Content normal">
      <calculatedColumnFormula array="1">Common_InputFunctions.Utility_DisplayArrayInTable(SourceData_Dairy.SourceData_Dairy_LiveweightGain_Data(), Table_SourceData_Dairy_LWGj[[#Headers],[Milking cows]],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96C6784-8B86-412A-92D3-E911DE28757C}" name="Table_SourceData_Dairy_WRj" displayName="Table_SourceData_Dairy_WRj" ref="D54:H55" totalsRowShown="0" headerRowDxfId="64" headerRowCellStyle="Content normal" dataCellStyle="Content normal">
  <autoFilter ref="D54:H55" xr:uid="{296C6784-8B86-412A-92D3-E911DE28757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AC95D93-D298-4573-B050-1788F492B878}" name="Milking cows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2" xr3:uid="{991629E4-B0F0-475C-93F7-4A12ED668A18}" name="Heifers &gt; 1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3" xr3:uid="{6C94EF39-6711-4487-81B0-B42EDB4594D8}" name="Heifers &lt; 1 (weaned)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4" xr3:uid="{C3DD81A6-AACD-494F-AF05-233BBF18C20E}" name="Bulls &gt; 1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  <tableColumn id="5" xr3:uid="{094C9E2A-1500-4255-BA17-5A613FBA8EBC}" name="Bulls &lt; 1 (weaned)" dataCellStyle="Content normal">
      <calculatedColumnFormula array="1">Common_InputFunctions.Utility_DisplayArrayInTable(SourceData_Dairy.SourceData_Dairy_ReferenceWeights_Data(), Table_SourceData_Dairy_WRj[[#Headers],[Milking cows]],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BB314-DB2C-4CA2-BAA9-E66557777E59}" name="Table_SourceData_Dairy_DataPreWeaned" displayName="Table_SourceData_Dairy_DataPreWeaned" ref="D62:G64" totalsRowShown="0" dataDxfId="63" dataCellStyle="Content normal">
  <autoFilter ref="D62:G64" xr:uid="{968BB314-DB2C-4CA2-BAA9-E66557777E59}">
    <filterColumn colId="0" hiddenButton="1"/>
    <filterColumn colId="1" hiddenButton="1"/>
    <filterColumn colId="2" hiddenButton="1"/>
    <filterColumn colId="3" hiddenButton="1"/>
  </autoFilter>
  <tableColumns count="4">
    <tableColumn id="1" xr3:uid="{598A8529-B449-4014-BE34-ECB667ED42D5}" name="Animal class j" dataDxfId="62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  <tableColumn id="2" xr3:uid="{5C0E8AAB-9E7B-4D2E-B948-D2A0CC665284}" name="CH4 production" dataDxfId="61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  <tableColumn id="3" xr3:uid="{945A18DE-556C-4BC4-A6F6-B0601941462E}" name="Volatile solids (VSj=3,5)" dataDxfId="60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  <tableColumn id="4" xr3:uid="{8FC08B28-B758-4413-861D-9585CC484979}" name="Nitrogen Excreted (NPWj=3,5)" dataDxfId="59" dataCellStyle="Content normal">
      <calculatedColumnFormula array="1">Common_InputFunctions.Utility_DisplayArrayInTable(SourceData_Dairy.SourceData_Dairy_PreWeanedCalves_Data(), Table_SourceData_Dairy_DataPreWeaned[[#Headers],[Animal class j]],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FB1D80F-8BB0-4A20-AF5A-A288BBED76EB}" name="Table_SourceData_Dairy_MCFjm" displayName="Table_SourceData_Dairy_MCFjm" ref="D72:M78" totalsRowShown="0">
  <autoFilter ref="D72:M78" xr:uid="{AFB1D80F-8BB0-4A20-AF5A-A288BBED76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54F6170-CD83-454D-874A-2A78490F2BD1}" name="MMS m">
      <calculatedColumnFormula array="1">Common_InputFunctions.Utility_DisplayArrayInTable(SourceData_Dairy.SourceData_Dairy_MCF_Data(), Table_SourceData_Dairy_MCFjm[[#Headers],[MMS m]], 0)</calculatedColumnFormula>
    </tableColumn>
    <tableColumn id="2" xr3:uid="{B29E40EC-DE00-4962-8467-1C7A786C3DE4}" name="ACT" dataDxfId="58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3" xr3:uid="{1ABF48E7-6948-4398-A069-F461406208B9}" name="NSW" dataDxfId="57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4" xr3:uid="{A3DDB858-97C5-4EC8-955B-D48536431CC8}" name="NT" dataDxfId="56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5" xr3:uid="{64B146B6-1E4C-4E4E-A22B-B3F33B7F2C8D}" name="QLD" dataDxfId="55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6" xr3:uid="{4AC061FD-3D5D-4347-80B4-437EEDDA407C}" name="SA" dataDxfId="54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7" xr3:uid="{58DE1EF2-ABA1-4507-A5A2-10DBB72C5360}" name="TAS" dataDxfId="53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8" xr3:uid="{BA557B69-47EC-4B41-B9CC-12F16489EFF2}" name="VIC" dataDxfId="52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9" xr3:uid="{1830500E-FEC6-4240-A1B1-EB7C6052507D}" name="WA" dataDxfId="51" dataCellStyle="Content normal">
      <calculatedColumnFormula array="1">Common_InputFunctions.Utility_DisplayArrayInTable(SourceData_Dairy.SourceData_Dairy_MCF_Data(), Table_SourceData_Dairy_MCFjm[[#Headers],[MMS m]], 0)</calculatedColumnFormula>
    </tableColumn>
    <tableColumn id="10" xr3:uid="{32D3BCE1-C338-4B12-B792-DFD9C2DF0EAC}" name="NIR reference" dataDxfId="50" dataCellStyle="Content normal">
      <calculatedColumnFormula array="1">Common_InputFunctions.Utility_DisplayArrayInTable(SourceData_Dairy.SourceData_Dairy_MCF_Data(), Table_SourceData_Dairy_MCFjm[[#Headers],[MMS m]],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A92AE0-614A-46D8-9E98-33BA2B8E3C1D}" name="Table_SourceData_Dairy_EFmFracGASM" displayName="Table_SourceData_Dairy_EFmFracGASM" ref="D86:G91" totalsRowShown="0">
  <autoFilter ref="D86:G91" xr:uid="{9FA92AE0-614A-46D8-9E98-33BA2B8E3C1D}">
    <filterColumn colId="0" hiddenButton="1"/>
    <filterColumn colId="1" hiddenButton="1"/>
    <filterColumn colId="2" hiddenButton="1"/>
    <filterColumn colId="3" hiddenButton="1"/>
  </autoFilter>
  <tableColumns count="4">
    <tableColumn id="1" xr3:uid="{8ACEF380-8A1A-411E-A23A-665A769E20C7}" name="MMS m">
      <calculatedColumnFormula array="1">Common_InputFunctions.Utility_DisplayArrayInTable(SourceData_Dairy.SourceData_Dairy_NitrousOxideEFsAndFracGASM_Data(), Table_SourceData_Dairy_EFmFracGASM[[#Headers],[MMS m]], 0)</calculatedColumnFormula>
    </tableColumn>
    <tableColumn id="2" xr3:uid="{1898B440-928B-49CE-BE96-215FD9903B4D}" name="EFm" dataDxfId="49" dataCellStyle="Content normal">
      <calculatedColumnFormula array="1">Common_InputFunctions.Utility_DisplayArrayInTable(SourceData_Dairy.SourceData_Dairy_NitrousOxideEFsAndFracGASM_Data(), Table_SourceData_Dairy_EFmFracGASM[[#Headers],[MMS m]], 0)</calculatedColumnFormula>
    </tableColumn>
    <tableColumn id="3" xr3:uid="{E38469E4-0572-4872-BE43-36C7BBE75007}" name="FracGASMm" dataDxfId="48" dataCellStyle="Content normal">
      <calculatedColumnFormula array="1">Common_InputFunctions.Utility_DisplayArrayInTable(SourceData_Dairy.SourceData_Dairy_NitrousOxideEFsAndFracGASM_Data(), Table_SourceData_Dairy_EFmFracGASM[[#Headers],[MMS m]], 0)</calculatedColumnFormula>
    </tableColumn>
    <tableColumn id="4" xr3:uid="{2136786A-A3D3-4E62-B5A7-46AAC51855AD}" name="NIR reference" dataDxfId="47" dataCellStyle="Content normal">
      <calculatedColumnFormula array="1">Common_InputFunctions.Utility_DisplayArrayInTable(SourceData_Dairy.SourceData_Dairy_NitrousOxideEFsAndFracGASM_Data(), Table_SourceData_Dairy_EFmFracGASM[[#Headers],[MMS m]], 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6563E6-CB80-4A05-BFA1-062176052592}" name="Table_SourceData_Dairy_MPWENTERIC" displayName="Table_SourceData_Dairy_MPWENTERIC" ref="D98:E100" totalsRowShown="0">
  <autoFilter ref="D98:E100" xr:uid="{486563E6-CB80-4A05-BFA1-062176052592}">
    <filterColumn colId="0" hiddenButton="1"/>
    <filterColumn colId="1" hiddenButton="1"/>
  </autoFilter>
  <tableColumns count="2">
    <tableColumn id="1" xr3:uid="{34872B36-E9B0-443E-A8EC-EC35C2572085}" name="Animal class j">
      <calculatedColumnFormula array="1">Common_InputFunctions.Utility_DisplayArrayInTable(SourceData_Dairy.SourceData_Dairy_MethaneProductionPreWeanedCalves_Data(), Table_SourceData_Dairy_MPWENTERIC[[#Headers],[Animal class j]], 0)</calculatedColumnFormula>
    </tableColumn>
    <tableColumn id="2" xr3:uid="{5BF46DC3-A57C-4E83-B386-D48BB1DB64E1}" name="MPW ENTERIC" dataDxfId="46" dataCellStyle="Content normal">
      <calculatedColumnFormula array="1">Common_InputFunctions.Utility_DisplayArrayInTable(SourceData_Dairy.SourceData_Dairy_MethaneProductionPreWeanedCalves_Data(), Table_SourceData_Dairy_MPWENTERIC[[#Headers],[Animal class j]],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28AB58-EB72-448B-B56E-C8B9764D38F9}" name="Table_SourceData_Dairy_MRj" displayName="Table_SourceData_Dairy_MRj" ref="D107:E109" totalsRowShown="0">
  <autoFilter ref="D107:E109" xr:uid="{2C28AB58-EB72-448B-B56E-C8B9764D38F9}">
    <filterColumn colId="0" hiddenButton="1"/>
    <filterColumn colId="1" hiddenButton="1"/>
  </autoFilter>
  <tableColumns count="2">
    <tableColumn id="1" xr3:uid="{B2383F7B-29D1-4559-9E34-4E2C127CFB5C}" name="Animal class j">
      <calculatedColumnFormula array="1">Common_InputFunctions.Utility_DisplayArrayInTable(SourceData_Dairy.SourceData_Dairy_IncreasedMetabolicRateMilk_Data(), Table_SourceData_Dairy_MRj[[#Headers],[Animal class j]], 0)</calculatedColumnFormula>
    </tableColumn>
    <tableColumn id="2" xr3:uid="{D1C6DB76-173B-4192-987A-A32F6D0D0E1A}" name="MRj" dataDxfId="45" dataCellStyle="Content normal">
      <calculatedColumnFormula array="1">Common_InputFunctions.Utility_DisplayArrayInTable(SourceData_Dairy.SourceData_Dairy_IncreasedMetabolicRateMilk_Data(), Table_SourceData_Dairy_MRj[[#Headers],[Animal class j]],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FB5F0D9-A87E-4E79-A32C-4BDDD47665B0}" name="Table_SourceData_Dairy_ProductionSystemTemplates" displayName="Table_SourceData_Dairy_ProductionSystemTemplates" ref="D116:G120" totalsRowShown="0">
  <autoFilter ref="D116:G120" xr:uid="{1FB5F0D9-A87E-4E79-A32C-4BDDD47665B0}">
    <filterColumn colId="0" hiddenButton="1"/>
    <filterColumn colId="1" hiddenButton="1"/>
    <filterColumn colId="2" hiddenButton="1"/>
    <filterColumn colId="3" hiddenButton="1"/>
  </autoFilter>
  <tableColumns count="4">
    <tableColumn id="1" xr3:uid="{A4A196FD-DBDB-46C0-83CE-7C77F2C477B3}" name="Area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  <tableColumn id="2" xr3:uid="{53A25CAD-C5FE-4619-A71E-7D4EE15E4A88}" name="Pasture" dataDxfId="44" dataCellStyle="Content normal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  <tableColumn id="3" xr3:uid="{9DFD752F-089A-45B1-A1B3-329B65BC5650}" name="Milking shed" dataDxfId="43" dataCellStyle="Content normal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  <tableColumn id="4" xr3:uid="{37872FA9-DEFB-4D6F-848C-F92D7B048A75}" name="Feedpad" dataDxfId="42" dataCellStyle="Content normal">
      <calculatedColumnFormula array="1">Common_InputFunctions.Utility_DisplayArrayInTable(SourceData_Dairy.SourceData_Dairy_FractionVolatileSolidsVoidedMMS_Data(), Table_SourceData_Dairy_ProductionSystemTemplates[[#Headers],[Area]], 0)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FB5B8DA-9F8D-4436-A441-EA112190025D}" name="Table_SourceData_Dairy_EFm" displayName="Table_SourceData_Dairy_EFm" ref="D128:F133" totalsRowShown="0">
  <autoFilter ref="D128:F133" xr:uid="{9FB5B8DA-9F8D-4436-A441-EA112190025D}">
    <filterColumn colId="0" hiddenButton="1"/>
    <filterColumn colId="1" hiddenButton="1"/>
    <filterColumn colId="2" hiddenButton="1"/>
  </autoFilter>
  <tableColumns count="3">
    <tableColumn id="1" xr3:uid="{D85FDEBC-2FC0-45F1-BCD6-4464E2C22E94}" name="MMS m">
      <calculatedColumnFormula array="1">Common_InputFunctions.Utility_DisplayArrayInTable(SourceData_Dairy.SourceData_Dairy_EFNitrousOxidePerMMS_Data(), Table_SourceData_Dairy_EFm[[#Headers],[MMS m]], 0)</calculatedColumnFormula>
    </tableColumn>
    <tableColumn id="2" xr3:uid="{A21A17E4-5CBE-457C-83F6-E66794AB20C1}" name="EFm" dataDxfId="41" dataCellStyle="Content normal">
      <calculatedColumnFormula array="1">Common_InputFunctions.Utility_DisplayArrayInTable(SourceData_Dairy.SourceData_Dairy_EFNitrousOxidePerMMS_Data(), Table_SourceData_Dairy_EFm[[#Headers],[MMS m]], 0)</calculatedColumnFormula>
    </tableColumn>
    <tableColumn id="3" xr3:uid="{0552581B-C2BB-481C-87D1-7C1129F487A9}" name="NIR reference" dataDxfId="40" dataCellStyle="Content normal">
      <calculatedColumnFormula array="1">Common_InputFunctions.Utility_DisplayArrayInTable(SourceData_Dairy.SourceData_Dairy_EFNitrousOxidePerMMS_Data(), Table_SourceData_Dairy_EFm[[#Headers],[MMS m]],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B1ACE7A-AFF1-4870-9774-9D68332837FF}" name="Table_SourceData_Dairy_Duration" displayName="Table_SourceData_Dairy_Duration" ref="D141:F146" totalsRowShown="0">
  <autoFilter ref="D141:F146" xr:uid="{BB1ACE7A-AFF1-4870-9774-9D68332837FF}">
    <filterColumn colId="0" hiddenButton="1"/>
    <filterColumn colId="1" hiddenButton="1"/>
    <filterColumn colId="2" hiddenButton="1"/>
  </autoFilter>
  <tableColumns count="3">
    <tableColumn id="1" xr3:uid="{C1D0CE9E-4549-48D9-9C0F-1310FC73ABC5}" name="Animal class j">
      <calculatedColumnFormula array="1">Common_InputFunctions.Utility_DisplayArrayInTable(SourceData_Dairy.SourceData_Dairy_DurationOfStay_Data(), Table_SourceData_Dairy_Duration[[#Headers],[Animal class j]], 0)</calculatedColumnFormula>
    </tableColumn>
    <tableColumn id="2" xr3:uid="{1396CED3-63B3-4B3F-8629-5350DAE232F8}" name="Duration (weaned)" dataDxfId="39" dataCellStyle="Content normal">
      <calculatedColumnFormula array="1">Common_InputFunctions.Utility_DisplayArrayInTable(SourceData_Dairy.SourceData_Dairy_DurationOfStay_Data(), Table_SourceData_Dairy_Duration[[#Headers],[Animal class j]], 0)</calculatedColumnFormula>
    </tableColumn>
    <tableColumn id="3" xr3:uid="{9A35A34C-C373-43B3-B087-AB054A306734}" name="Duration (pre-weaned)" dataDxfId="38" dataCellStyle="Content normal">
      <calculatedColumnFormula array="1">Common_InputFunctions.Utility_DisplayArrayInTable(SourceData_Dairy.SourceData_Dairy_DurationOfStay_Data(), Table_SourceData_Dairy_Duration[[#Headers],[Animal class j]],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E3B2F84-2684-4DA4-9BEF-2AA9D0F6245D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46ACFA4E-B60E-4318-BC27-E99F55E6FD34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D87FBE09-FAD0-422D-9C35-A0EFF22E68F4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89AE6DE3-B089-48FF-AB17-ACE451036AD0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48EEB8D-C1CB-4FFD-BA24-9DFFEAD14374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D97303F9-FA27-4C47-B001-F4EFE26AE037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9F6EF7E-5272-4E22-B4E8-4F59AA1CECD2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C3C84253-F524-4BC7-8F3E-185821B474B4}" name="Gas">
      <calculatedColumnFormula array="1">Common_InputFunctions.Utility_DisplayArrayInTable(Common_SourceData.Common_SourceData_GWP_Data(), Table_GWPData[[#Headers],[Gas]], 0)</calculatedColumnFormula>
    </tableColumn>
    <tableColumn id="2" xr3:uid="{BEC494F2-5A67-4FF4-9C28-BB4AA98E0206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3F42805-1207-494E-A415-F808F42ED094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5894847-1315-4CC4-BE3E-6390936A7271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C532406B-74DD-4856-BCF0-BDA4579FC125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3FB73C23-03C8-4602-AE03-D1C8D8A516FA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3204758D-3D86-4FAB-9381-3D44915F699E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BF2A8BD2-C7D0-4C9C-A6C4-6B9CBF9A5AE7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F71268C-12F6-435F-8841-CF121ECDBC8B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72F2EF0-89CF-4398-BD08-3D85172DF786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B70AFAFE-075F-465C-BFE9-6E9D0AB41870}" name="MAT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A32FDBFC-A310-4251-A8BA-D9193EE41C7B}" name="MAP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3D991EB6-D9AD-41FE-8EA3-19B985A84E33}" name="Frost days per year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D3F5CE02-A125-4D56-B654-5D06F5382A1F}" name="Elevation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FC329327-BCD3-442B-96A6-4B050F640E80}" name="MAP:PET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0FF6B9CF-57C7-4179-9DE4-D3138821D03C}" name="Min temp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41CF3C82-7925-4AFE-9B64-461BF505BC71}" name="Max temp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B77D132B-717F-43FE-BF44-4E5DD7290FB3}" name="Min rainfall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8CC7DFA7-5207-43F5-84A8-1833A287B462}" name="Max rainfall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18C4E5EB-1D98-45B6-A7A6-ECB06EF335C7}" name="Min frost days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6EE720F6-3641-418B-BA44-E6F4F3FD599D}" name="Max frost days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24D51B22-A91E-4750-A6CF-D2AD8735B20B}" name="Min elevation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3C7EE50E-DCAC-4C92-85BC-4C8537A9BFAC}" name="Max elevation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08A3DAE9-6A0B-473F-96A2-CF45C52B27A2}" name="Min MAP:PET" totalsRowDxfId="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8150E4B4-E10F-421B-96EE-F6A83B569580}" name="Max MAP:PET" totalsRowDxfId="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C642CCC-1FD1-4594-B293-6B015D4D2E08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0A1BA1A4-17AD-4467-A7FD-73965B363C28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DCE5317A-A4B7-402A-A359-44341FD46C4B}" name="Wet or Dry Zone" totalsRowDxfId="1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5F16390-E0A7-4D90-9664-48214D3001E6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646F51A1-B42E-43D7-8094-B809623FC826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B80E7E83-6AB0-4774-9AE7-F9B3F9779134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D625E0C4-F2F5-4835-91C6-1C103F863792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2FE7F0F-641D-4B35-B318-06C64B1210CA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FFCB9CA-21A0-4C41-936B-B47418911975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0863E600-4844-4E7B-9E6E-6D8090EC79BB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BE572CD4-5179-4A5F-8204-A7A37FDAD5FF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9D06DAD4-1CE4-4FAE-9040-7DF2183DD894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4B4728B3-49A0-4FE9-84A8-9BA5E5052AE4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35550F9-CB84-40BA-AFE6-3AAC2A53CCCE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F836D846-9C4C-4C42-812C-8E22BAE48DE2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14CA634C-1DEE-4D17-A69A-E684023A20E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62E0870-28B1-4BC8-AB1F-6CE0613F84A2}" name="Table_SourceData_DataScores_Scope3" displayName="Table_SourceData_DataScores_Scope3" ref="D142:E147" totalsRowShown="0">
  <autoFilter ref="D142:E147" xr:uid="{133D42B0-F6D2-470A-858A-37E6A7F5EC2B}">
    <filterColumn colId="0" hiddenButton="1"/>
    <filterColumn colId="1" hiddenButton="1"/>
  </autoFilter>
  <tableColumns count="2">
    <tableColumn id="1" xr3:uid="{810476A0-62A1-446D-B39A-E04F8E35B1C1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B1FABE3A-EC0E-4445-AFE0-0DF1AB09829C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9BF583-D22F-4F17-BBF7-B769269E27FC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4E40BFD3-8B88-4CE0-A92C-437CA13F34DE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F4557C30-A9BB-497C-B653-D0B103D83DD9}" name="FracWET" dataDxfId="0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80AE5D2-EA49-4860-ADA5-76157C895DA7}" name="Table_SourceData_Common_EFN2O" displayName="Table_SourceData_Common_EFN2O" ref="D175:H188" totalsRowShown="0">
  <autoFilter ref="D175:H188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BEF996C-CBBE-428C-BA6A-D2EF9075C587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1E5B4590-AD53-40FE-B6F1-B7F09D8D181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AA85A7D1-C4D3-446A-B724-3DC234D6EFA0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2E4704B9-9467-490C-8BDD-EA675E9C7104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16006279-4426-4D40-B04F-64404FE4F11A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12" Type="http://schemas.openxmlformats.org/officeDocument/2006/relationships/table" Target="../tables/table27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11" Type="http://schemas.openxmlformats.org/officeDocument/2006/relationships/table" Target="../tables/table26.xml"/><Relationship Id="rId5" Type="http://schemas.openxmlformats.org/officeDocument/2006/relationships/table" Target="../tables/table2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H13" sqref="H13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6" width="28.7109375" customWidth="1"/>
    <col min="7" max="7" width="40.28515625" customWidth="1"/>
    <col min="8" max="8" width="59.7109375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71" t="e" vm="1">
        <v>#VALUE!</v>
      </c>
      <c r="C1" s="135" t="s">
        <v>230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0.100000000000001" customHeight="1" x14ac:dyDescent="0.25">
      <c r="A4" s="133" t="str">
        <f>HYPERLINK("#'Results'!A1", "Results")</f>
        <v>Results</v>
      </c>
      <c r="C4" s="24"/>
      <c r="D4" s="6" t="s">
        <v>5</v>
      </c>
      <c r="E4" s="26"/>
      <c r="F4" s="26"/>
      <c r="G4" s="26"/>
      <c r="H4" s="6"/>
      <c r="I4" s="6"/>
      <c r="J4" s="6"/>
      <c r="K4" s="27"/>
    </row>
    <row r="5" spans="1:11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</row>
    <row r="6" spans="1:11" ht="20.100000000000001" customHeight="1" x14ac:dyDescent="0.25">
      <c r="A6" s="20" t="s">
        <v>3</v>
      </c>
      <c r="C6" s="24"/>
      <c r="D6" s="132" t="s">
        <v>188</v>
      </c>
      <c r="E6" s="132" t="s">
        <v>186</v>
      </c>
      <c r="F6" s="132" t="s">
        <v>213</v>
      </c>
      <c r="G6" s="132" t="s">
        <v>187</v>
      </c>
      <c r="H6" s="132" t="s">
        <v>214</v>
      </c>
      <c r="I6" s="1"/>
      <c r="J6" s="24"/>
      <c r="K6" s="24"/>
    </row>
    <row r="7" spans="1:11" ht="20.100000000000001" customHeight="1" x14ac:dyDescent="0.25">
      <c r="A7" s="17" t="str">
        <f>HYPERLINK("#'Input - Site'!A1", "Site")</f>
        <v>Site</v>
      </c>
      <c r="C7" s="24"/>
      <c r="D7" s="1" t="s">
        <v>178</v>
      </c>
      <c r="E7" s="125">
        <f>'4.3.1.1-2 Methane'!$E$264</f>
        <v>8.1869605415711497</v>
      </c>
      <c r="F7" s="57" t="str">
        <f>'4.3.1.1-2 Methane'!$F$264</f>
        <v>t CH4</v>
      </c>
      <c r="G7" s="125">
        <f>'4.3.1.1-2 Methane'!$E$269</f>
        <v>0</v>
      </c>
      <c r="H7" s="57" t="str">
        <f>'4.3.1.1-2 Methane'!$F$269</f>
        <v>t CO2e</v>
      </c>
      <c r="I7" s="1"/>
      <c r="J7" s="24"/>
      <c r="K7" s="24"/>
    </row>
    <row r="8" spans="1:11" ht="20.100000000000001" customHeight="1" x14ac:dyDescent="0.25">
      <c r="A8" s="17" t="str">
        <f>HYPERLINK("#'Input - Feedlot'!A1", "Feedlot")</f>
        <v>Feedlot</v>
      </c>
      <c r="C8" s="24"/>
      <c r="D8" s="1" t="s">
        <v>179</v>
      </c>
      <c r="E8" s="125">
        <f>'4.3.1.1-2 Methane'!$P$264</f>
        <v>8.0754442628988556</v>
      </c>
      <c r="F8" s="57" t="str">
        <f>'4.3.1.1-2 Methane'!$Q$264</f>
        <v>t CH4</v>
      </c>
      <c r="G8" s="125">
        <f>'4.3.1.1-2 Methane'!$P$269</f>
        <v>0</v>
      </c>
      <c r="H8" s="57" t="str">
        <f>'4.3.1.1-2 Methane'!$Q$269</f>
        <v>t CO2e</v>
      </c>
      <c r="I8" s="1"/>
      <c r="J8" s="24"/>
      <c r="K8" s="24"/>
    </row>
    <row r="9" spans="1:11" ht="20.100000000000001" customHeight="1" x14ac:dyDescent="0.25">
      <c r="A9" s="17"/>
      <c r="C9" s="24"/>
      <c r="D9" s="1" t="s">
        <v>180</v>
      </c>
      <c r="E9" s="125" t="e">
        <f>'4.3.1.3-4 Direct N20'!#REF!</f>
        <v>#REF!</v>
      </c>
      <c r="F9" s="57" t="e">
        <f>'4.3.1.3-4 Direct N20'!#REF!</f>
        <v>#REF!</v>
      </c>
      <c r="G9" s="125" t="e">
        <f>'4.3.1.3-4 Direct N20'!#REF!</f>
        <v>#REF!</v>
      </c>
      <c r="H9" s="57" t="e">
        <f>'4.3.1.3-4 Direct N20'!#REF!</f>
        <v>#REF!</v>
      </c>
      <c r="I9" s="1"/>
      <c r="J9" s="24"/>
      <c r="K9" s="24"/>
    </row>
    <row r="10" spans="1:11" ht="20.100000000000001" customHeight="1" x14ac:dyDescent="0.25">
      <c r="A10" s="19" t="s">
        <v>77</v>
      </c>
      <c r="C10" s="24"/>
      <c r="D10" s="1" t="s">
        <v>181</v>
      </c>
      <c r="E10" s="125">
        <f>'4.3.1.3-4 Direct N20'!O207</f>
        <v>0</v>
      </c>
      <c r="F10" s="57">
        <f>'4.3.1.3-4 Direct N20'!P207</f>
        <v>0</v>
      </c>
      <c r="G10" s="125">
        <f>'4.3.1.3-4 Direct N20'!O212</f>
        <v>0</v>
      </c>
      <c r="H10" s="57">
        <f>'4.3.1.3-4 Direct N20'!P212</f>
        <v>0</v>
      </c>
      <c r="I10" s="1"/>
      <c r="J10" s="24"/>
      <c r="K10" s="24"/>
    </row>
    <row r="11" spans="1:11" ht="20.100000000000001" customHeight="1" x14ac:dyDescent="0.25">
      <c r="A11" s="17" t="str">
        <f>HYPERLINK("#'4.1.1.1-2 Methane'!A1", "4.1.1.1-2 Methane")</f>
        <v>4.1.1.1-2 Methane</v>
      </c>
      <c r="C11" s="24"/>
      <c r="D11" s="1" t="s">
        <v>182</v>
      </c>
      <c r="E11" s="125" t="e">
        <f ca="1">'4.1.1.5-6 Atmos Deposition'!$E$60</f>
        <v>#NAME?</v>
      </c>
      <c r="F11" s="57" t="e">
        <f ca="1">'4.1.1.5-6 Atmos Deposition'!$F$60</f>
        <v>#NAME?</v>
      </c>
      <c r="G11" s="125" t="e">
        <f ca="1">'4.1.1.5-6 Atmos Deposition'!$E$65</f>
        <v>#NAME?</v>
      </c>
      <c r="H11" s="57" t="str">
        <f>'4.1.1.5-6 Atmos Deposition'!$F$65</f>
        <v>t CO2e</v>
      </c>
      <c r="I11" s="1"/>
      <c r="J11" s="24"/>
      <c r="K11" s="24"/>
    </row>
    <row r="12" spans="1:11" ht="20.100000000000001" customHeight="1" x14ac:dyDescent="0.25">
      <c r="A12" s="17" t="str">
        <f>HYPERLINK("#'4.1.1.3-4 Direct N20'!A1", "4.1.1.3-4 Direct N2O")</f>
        <v>4.1.1.3-4 Direct N2O</v>
      </c>
      <c r="C12" s="24"/>
      <c r="D12" s="1" t="s">
        <v>183</v>
      </c>
      <c r="E12" s="125" t="e">
        <f ca="1">'4.1.1.5-6 Atmos Deposition'!$M$60</f>
        <v>#NAME?</v>
      </c>
      <c r="F12" s="57" t="e">
        <f ca="1">'4.1.1.5-6 Atmos Deposition'!$N$60</f>
        <v>#NAME?</v>
      </c>
      <c r="G12" s="125" t="e">
        <f ca="1">'4.1.1.5-6 Atmos Deposition'!$M$65</f>
        <v>#NAME?</v>
      </c>
      <c r="H12" s="57" t="str">
        <f>'4.1.1.5-6 Atmos Deposition'!$N$65</f>
        <v>t CO2e</v>
      </c>
      <c r="I12" s="1"/>
      <c r="J12" s="24"/>
      <c r="K12" s="24"/>
    </row>
    <row r="13" spans="1:11" ht="20.100000000000001" customHeight="1" x14ac:dyDescent="0.25">
      <c r="A13" s="17" t="str">
        <f>HYPERLINK("#'4.1.1.5-6 Atmos Deposition'!A1", "4.1.1.5-6 Atmospheric deposition")</f>
        <v>4.1.1.5-6 Atmospheric deposition</v>
      </c>
      <c r="C13" s="24"/>
      <c r="D13" s="1" t="s">
        <v>184</v>
      </c>
      <c r="E13" s="125" t="s">
        <v>229</v>
      </c>
      <c r="F13" s="57" t="s">
        <v>229</v>
      </c>
      <c r="G13" s="125">
        <v>0</v>
      </c>
      <c r="H13" s="57" t="s">
        <v>229</v>
      </c>
      <c r="I13" s="1"/>
      <c r="J13" s="24"/>
      <c r="K13" s="24"/>
    </row>
    <row r="14" spans="1:11" ht="20.100000000000001" customHeight="1" x14ac:dyDescent="0.25">
      <c r="A14" s="17" t="str">
        <f>HYPERLINK("#'4.1.1.9 Manure applied to soils'!A1", "4.1.1.9 Manure applied to soils")</f>
        <v>4.1.1.9 Manure applied to soils</v>
      </c>
      <c r="C14" s="24"/>
      <c r="D14" s="1" t="s">
        <v>185</v>
      </c>
      <c r="E14" s="125" t="s">
        <v>229</v>
      </c>
      <c r="F14" s="57" t="s">
        <v>229</v>
      </c>
      <c r="G14" s="125">
        <v>0</v>
      </c>
      <c r="H14" s="57" t="s">
        <v>229</v>
      </c>
      <c r="I14" s="1"/>
      <c r="J14" s="24"/>
      <c r="K14" s="24"/>
    </row>
    <row r="15" spans="1:11" ht="20.100000000000001" customHeight="1" x14ac:dyDescent="0.3">
      <c r="C15" s="24"/>
      <c r="D15" s="31" t="s">
        <v>211</v>
      </c>
      <c r="E15" s="25"/>
      <c r="F15" s="31"/>
      <c r="G15" s="129" t="e">
        <f>SUM(G7:G14)</f>
        <v>#REF!</v>
      </c>
      <c r="H15" s="112" t="str">
        <f>'4.1.1.5-6 Atmos Deposition'!$N$65</f>
        <v>t CO2e</v>
      </c>
      <c r="I15" s="1"/>
      <c r="J15" s="24"/>
      <c r="K15" s="24"/>
    </row>
    <row r="16" spans="1:11" ht="20.100000000000001" customHeight="1" x14ac:dyDescent="0.25">
      <c r="A16" s="18" t="s">
        <v>4</v>
      </c>
      <c r="C16" s="24"/>
      <c r="D16" s="1"/>
      <c r="E16" s="1"/>
      <c r="F16" s="1"/>
      <c r="G16" s="26"/>
      <c r="H16" s="24"/>
      <c r="I16" s="1"/>
      <c r="J16" s="24"/>
      <c r="K16" s="24"/>
    </row>
    <row r="17" spans="1:11" ht="20.100000000000001" customHeight="1" x14ac:dyDescent="0.25">
      <c r="A17" s="17" t="str">
        <f>HYPERLINK("#'Constants - Feedlot'!A1", "Constants - Feedlot")</f>
        <v>Constants - Feedlot</v>
      </c>
      <c r="C17" s="24"/>
      <c r="D17" s="113" t="s">
        <v>221</v>
      </c>
      <c r="E17" s="1"/>
      <c r="F17" s="1"/>
      <c r="G17" s="1"/>
      <c r="H17" s="26"/>
      <c r="I17" s="24"/>
      <c r="J17" s="24"/>
      <c r="K17" s="24"/>
    </row>
    <row r="18" spans="1:11" ht="20.100000000000001" customHeight="1" x14ac:dyDescent="0.25">
      <c r="A18" s="17" t="str">
        <f>HYPERLINK("#'Constants - Livestock'!A1", "Constants - Livestock")</f>
        <v>Constants - Livestock</v>
      </c>
      <c r="C18" s="24"/>
      <c r="D18" s="130" t="s">
        <v>228</v>
      </c>
      <c r="E18" s="1"/>
      <c r="F18" s="1"/>
      <c r="G18" s="1"/>
      <c r="H18" s="1"/>
      <c r="I18" s="1"/>
      <c r="J18" s="24"/>
      <c r="K18" s="24"/>
    </row>
    <row r="19" spans="1:11" ht="20.100000000000001" customHeight="1" x14ac:dyDescent="0.25">
      <c r="A19" s="17" t="str">
        <f>HYPERLINK("#'Constants - Common'!A1", "Constants - Common")</f>
        <v>Constants - Common</v>
      </c>
      <c r="C19" s="24"/>
      <c r="D19" s="113"/>
      <c r="E19" s="1"/>
      <c r="F19" s="1"/>
      <c r="G19" s="1"/>
      <c r="H19" s="1"/>
      <c r="I19" s="1"/>
      <c r="J19" s="24"/>
      <c r="K19" s="24"/>
    </row>
    <row r="20" spans="1:11" ht="20.100000000000001" customHeight="1" x14ac:dyDescent="0.25">
      <c r="A20" s="17" t="str">
        <f>HYPERLINK("#'Acknowledgements'!A1", "Acknowledgements")</f>
        <v>Acknowledgements</v>
      </c>
      <c r="C20" s="24"/>
      <c r="D20" s="132" t="s">
        <v>222</v>
      </c>
      <c r="E20" s="132" t="s">
        <v>219</v>
      </c>
      <c r="F20" s="132" t="s">
        <v>220</v>
      </c>
      <c r="G20" s="132" t="s">
        <v>212</v>
      </c>
      <c r="H20" s="132" t="s">
        <v>227</v>
      </c>
      <c r="I20" s="1"/>
      <c r="J20" s="24"/>
      <c r="K20" s="24"/>
    </row>
    <row r="21" spans="1:11" ht="20.100000000000001" customHeight="1" x14ac:dyDescent="0.25">
      <c r="C21" s="24"/>
      <c r="D21" s="1" t="s">
        <v>224</v>
      </c>
      <c r="E21" s="131" t="e">
        <f ca="1">'4.1.1.9 Manure applied to soils'!$E$56</f>
        <v>#NAME?</v>
      </c>
      <c r="F21" s="57" t="e">
        <f ca="1">'4.1.1.9 Manure applied to soils'!$F$56</f>
        <v>#NAME?</v>
      </c>
      <c r="G21" s="1" t="s">
        <v>215</v>
      </c>
      <c r="H21" s="1" t="s">
        <v>226</v>
      </c>
      <c r="I21" s="1"/>
      <c r="J21" s="24"/>
      <c r="K21" s="24"/>
    </row>
    <row r="22" spans="1:11" ht="20.100000000000001" customHeight="1" x14ac:dyDescent="0.25">
      <c r="C22" s="24"/>
      <c r="D22" s="1" t="s">
        <v>223</v>
      </c>
      <c r="E22" s="131" t="e">
        <f ca="1">'4.1.1.9 Manure applied to soils'!$E$104</f>
        <v>#NAME?</v>
      </c>
      <c r="F22" s="57" t="e">
        <f ca="1">'4.1.1.9 Manure applied to soils'!$F$104</f>
        <v>#NAME?</v>
      </c>
      <c r="G22" s="1" t="s">
        <v>218</v>
      </c>
      <c r="H22" s="1" t="s">
        <v>226</v>
      </c>
      <c r="I22" s="1"/>
      <c r="J22" s="24"/>
      <c r="K22" s="24"/>
    </row>
    <row r="23" spans="1:11" ht="20.100000000000001" customHeight="1" x14ac:dyDescent="0.25">
      <c r="C23" s="24"/>
      <c r="D23" s="1" t="s">
        <v>216</v>
      </c>
      <c r="E23" s="131" t="e">
        <f ca="1">'4.1.1.9 Manure applied to soils'!$E$123</f>
        <v>#NAME?</v>
      </c>
      <c r="F23" s="57" t="e">
        <f ca="1">'4.1.1.9 Manure applied to soils'!$F$123</f>
        <v>#NAME?</v>
      </c>
      <c r="G23" s="1" t="s">
        <v>217</v>
      </c>
      <c r="H23" s="1" t="s">
        <v>225</v>
      </c>
      <c r="I23" s="1"/>
      <c r="J23" s="24"/>
      <c r="K23" s="24"/>
    </row>
    <row r="24" spans="1:11" ht="20.100000000000001" customHeight="1" x14ac:dyDescent="0.25">
      <c r="C24" s="24"/>
      <c r="D24" s="1"/>
      <c r="E24" s="1"/>
      <c r="F24" s="1"/>
      <c r="G24" s="1"/>
      <c r="H24" s="1"/>
      <c r="I24" s="1"/>
      <c r="J24" s="24"/>
      <c r="K24" s="24"/>
    </row>
    <row r="25" spans="1:11" ht="20.100000000000001" customHeight="1" x14ac:dyDescent="0.25">
      <c r="C25" s="24"/>
      <c r="D25" s="1"/>
      <c r="E25" s="1"/>
      <c r="F25" s="1"/>
      <c r="G25" s="1"/>
      <c r="H25" s="1"/>
      <c r="I25" s="1"/>
      <c r="J25" s="24"/>
      <c r="K25" s="24"/>
    </row>
    <row r="26" spans="1:11" ht="20.100000000000001" customHeight="1" x14ac:dyDescent="0.25">
      <c r="C26" s="24"/>
      <c r="D26" s="1"/>
      <c r="E26" s="1"/>
      <c r="F26" s="1"/>
      <c r="G26" s="1"/>
      <c r="H26" s="1"/>
      <c r="I26" s="1"/>
      <c r="J26" s="24"/>
      <c r="K26" s="24"/>
    </row>
    <row r="27" spans="1:11" ht="20.100000000000001" customHeight="1" x14ac:dyDescent="0.25">
      <c r="C27" s="24"/>
      <c r="D27" s="1"/>
      <c r="E27" s="1"/>
      <c r="F27" s="1"/>
      <c r="G27" s="1"/>
      <c r="H27" s="1"/>
      <c r="I27" s="1"/>
      <c r="J27" s="24"/>
      <c r="K27" s="24"/>
    </row>
    <row r="28" spans="1:11" ht="20.100000000000001" customHeight="1" x14ac:dyDescent="0.25">
      <c r="C28" s="24"/>
      <c r="D28" s="1"/>
      <c r="E28" s="1"/>
      <c r="F28" s="1"/>
      <c r="G28" s="1"/>
      <c r="H28" s="1"/>
      <c r="I28" s="1"/>
      <c r="J28" s="24"/>
      <c r="K28" s="24"/>
    </row>
    <row r="29" spans="1:11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</row>
    <row r="30" spans="1:11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</row>
    <row r="31" spans="1:11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</row>
    <row r="32" spans="1:11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</row>
    <row r="33" spans="3:11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</row>
    <row r="34" spans="3:11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</row>
    <row r="35" spans="3:11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</row>
    <row r="36" spans="3:11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</row>
    <row r="37" spans="3:11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</row>
    <row r="38" spans="3:11" ht="20.100000000000001" customHeight="1" x14ac:dyDescent="0.25">
      <c r="C38" s="24"/>
      <c r="D38" s="1"/>
      <c r="E38" s="1"/>
      <c r="F38" s="1"/>
      <c r="G38" s="1"/>
      <c r="H38" s="1"/>
      <c r="I38" s="124"/>
      <c r="J38" s="124"/>
      <c r="K38" s="24"/>
    </row>
    <row r="39" spans="3:11" ht="20.100000000000001" customHeight="1" x14ac:dyDescent="0.25">
      <c r="C39" s="24"/>
      <c r="D39" s="1"/>
      <c r="E39" s="1"/>
      <c r="F39" s="1"/>
      <c r="G39" s="1"/>
      <c r="H39" s="1"/>
      <c r="I39" s="124"/>
      <c r="J39" s="124"/>
      <c r="K39" s="24"/>
    </row>
    <row r="40" spans="3:11" ht="20.100000000000001" customHeight="1" x14ac:dyDescent="0.25">
      <c r="C40" s="24"/>
      <c r="D40" s="1"/>
      <c r="E40" s="1"/>
      <c r="F40" s="1"/>
      <c r="G40" s="1"/>
      <c r="H40" s="1"/>
      <c r="I40" s="124"/>
      <c r="J40" s="124"/>
      <c r="K40" s="24"/>
    </row>
    <row r="41" spans="3:11" ht="20.100000000000001" customHeight="1" x14ac:dyDescent="0.25">
      <c r="C41" s="24"/>
      <c r="D41" s="1"/>
      <c r="E41" s="1"/>
      <c r="F41" s="1"/>
      <c r="G41" s="1"/>
      <c r="H41" s="1"/>
      <c r="I41" s="124"/>
      <c r="J41" s="124"/>
      <c r="K41" s="24"/>
    </row>
    <row r="42" spans="3:11" ht="20.100000000000001" customHeight="1" x14ac:dyDescent="0.25">
      <c r="C42" s="24"/>
      <c r="D42" s="1"/>
      <c r="E42" s="1"/>
      <c r="F42" s="1"/>
      <c r="G42" s="1"/>
      <c r="H42" s="1"/>
      <c r="I42" s="124"/>
      <c r="J42" s="124"/>
      <c r="K42" s="24"/>
    </row>
    <row r="43" spans="3:11" ht="20.100000000000001" customHeight="1" x14ac:dyDescent="0.25">
      <c r="C43" s="24"/>
      <c r="D43" s="1"/>
      <c r="E43" s="1"/>
      <c r="F43" s="1"/>
      <c r="G43" s="1"/>
      <c r="H43" s="1"/>
      <c r="I43" s="124"/>
      <c r="J43" s="124"/>
      <c r="K43" s="24"/>
    </row>
    <row r="44" spans="3:11" ht="20.100000000000001" customHeight="1" x14ac:dyDescent="0.25">
      <c r="C44" s="24"/>
      <c r="D44" s="1"/>
      <c r="E44" s="1"/>
      <c r="F44" s="1"/>
      <c r="G44" s="1"/>
      <c r="H44" s="1"/>
      <c r="I44" s="124"/>
      <c r="J44" s="124"/>
      <c r="K44" s="24"/>
    </row>
    <row r="45" spans="3:11" ht="20.100000000000001" customHeight="1" x14ac:dyDescent="0.25">
      <c r="C45" s="24"/>
      <c r="D45" s="1"/>
      <c r="E45" s="1"/>
      <c r="F45" s="1"/>
      <c r="G45" s="1"/>
      <c r="H45" s="1"/>
      <c r="I45" s="124"/>
      <c r="J45" s="124"/>
      <c r="K45" s="24"/>
    </row>
    <row r="46" spans="3:11" ht="20.100000000000001" customHeight="1" x14ac:dyDescent="0.25">
      <c r="C46" s="24"/>
      <c r="D46" s="1"/>
      <c r="E46" s="1"/>
      <c r="F46" s="1"/>
      <c r="G46" s="1"/>
      <c r="H46" s="1"/>
      <c r="I46" s="124"/>
      <c r="J46" s="124"/>
      <c r="K46" s="24"/>
    </row>
    <row r="47" spans="3:11" ht="20.100000000000001" customHeight="1" x14ac:dyDescent="0.25">
      <c r="C47" s="24"/>
      <c r="D47" s="1"/>
      <c r="E47" s="1"/>
      <c r="F47" s="1"/>
      <c r="G47" s="1"/>
      <c r="H47" s="1"/>
      <c r="I47" s="124"/>
      <c r="J47" s="124"/>
      <c r="K47" s="24"/>
    </row>
    <row r="48" spans="3:11" ht="20.100000000000001" customHeight="1" x14ac:dyDescent="0.25">
      <c r="C48" s="24"/>
      <c r="D48" s="1"/>
      <c r="E48" s="1"/>
      <c r="F48" s="1"/>
      <c r="G48" s="1"/>
      <c r="H48" s="1"/>
      <c r="I48" s="124"/>
      <c r="J48" s="124"/>
      <c r="K48" s="24"/>
    </row>
    <row r="49" spans="3:11" ht="20.100000000000001" customHeight="1" x14ac:dyDescent="0.25">
      <c r="C49" s="24"/>
      <c r="D49" s="1"/>
      <c r="E49" s="1"/>
      <c r="F49" s="1"/>
      <c r="G49" s="1"/>
      <c r="H49" s="124"/>
      <c r="I49" s="124"/>
      <c r="J49" s="124"/>
      <c r="K49" s="24"/>
    </row>
    <row r="50" spans="3:11" ht="20.100000000000001" customHeight="1" x14ac:dyDescent="0.25">
      <c r="C50" s="24"/>
      <c r="D50" s="1"/>
      <c r="E50" s="1"/>
      <c r="F50" s="1"/>
      <c r="G50" s="1"/>
      <c r="H50" s="124"/>
      <c r="I50" s="124"/>
      <c r="J50" s="124"/>
      <c r="K50" s="24"/>
    </row>
    <row r="51" spans="3:11" ht="20.100000000000001" customHeight="1" x14ac:dyDescent="0.25">
      <c r="C51" s="24"/>
      <c r="D51" s="1"/>
      <c r="E51" s="1"/>
      <c r="F51" s="1"/>
      <c r="G51" s="1"/>
      <c r="H51" s="124"/>
      <c r="I51" s="124"/>
      <c r="J51" s="124"/>
      <c r="K51" s="24"/>
    </row>
    <row r="52" spans="3:11" ht="20.100000000000001" customHeight="1" x14ac:dyDescent="0.25">
      <c r="C52" s="24"/>
      <c r="D52" s="1"/>
      <c r="E52" s="1"/>
      <c r="F52" s="1"/>
      <c r="G52" s="1"/>
      <c r="H52" s="124"/>
      <c r="I52" s="124"/>
      <c r="J52" s="124"/>
      <c r="K52" s="24"/>
    </row>
    <row r="53" spans="3:11" ht="20.100000000000001" customHeight="1" x14ac:dyDescent="0.25">
      <c r="C53" s="24"/>
      <c r="D53" s="1"/>
      <c r="E53" s="1"/>
      <c r="F53" s="1"/>
      <c r="G53" s="1"/>
      <c r="H53" s="124"/>
      <c r="I53" s="124"/>
      <c r="J53" s="124"/>
      <c r="K53" s="24"/>
    </row>
    <row r="54" spans="3:11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</row>
    <row r="55" spans="3:11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</row>
    <row r="56" spans="3:11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</row>
    <row r="57" spans="3:11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</row>
    <row r="58" spans="3:11" ht="20.100000000000001" customHeight="1" x14ac:dyDescent="0.25">
      <c r="C58" s="24"/>
      <c r="D58" s="1"/>
      <c r="E58" s="32"/>
      <c r="F58" s="30"/>
      <c r="G58" s="24"/>
      <c r="H58" s="24"/>
      <c r="I58" s="24"/>
      <c r="J58" s="24"/>
      <c r="K58" s="24"/>
    </row>
    <row r="59" spans="3:11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24"/>
    </row>
    <row r="60" spans="3:11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24"/>
    </row>
    <row r="61" spans="3:11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24"/>
    </row>
    <row r="62" spans="3:11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24"/>
    </row>
    <row r="63" spans="3:11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24"/>
    </row>
    <row r="64" spans="3:11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24"/>
    </row>
    <row r="65" spans="3:11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24"/>
    </row>
    <row r="66" spans="3:11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24"/>
    </row>
    <row r="67" spans="3:11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24"/>
    </row>
    <row r="68" spans="3:11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24"/>
    </row>
    <row r="69" spans="3:11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24"/>
    </row>
    <row r="70" spans="3:11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24"/>
    </row>
    <row r="71" spans="3:11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24"/>
    </row>
    <row r="72" spans="3:11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24"/>
    </row>
    <row r="73" spans="3:11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24"/>
    </row>
    <row r="74" spans="3:11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24"/>
    </row>
    <row r="75" spans="3:11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24"/>
    </row>
    <row r="76" spans="3:11" ht="15.75" x14ac:dyDescent="0.25">
      <c r="C76" s="24"/>
      <c r="D76" s="1"/>
      <c r="E76" s="1"/>
      <c r="F76" s="1"/>
      <c r="G76" s="1"/>
      <c r="H76" s="1"/>
      <c r="I76" s="1"/>
      <c r="J76" s="1"/>
      <c r="K76" s="24"/>
    </row>
    <row r="77" spans="3:11" ht="15.75" x14ac:dyDescent="0.25">
      <c r="C77" s="24"/>
      <c r="D77" s="1"/>
      <c r="E77" s="1"/>
      <c r="F77" s="1"/>
      <c r="G77" s="1"/>
      <c r="H77" s="1"/>
      <c r="I77" s="1"/>
      <c r="J77" s="1"/>
      <c r="K77" s="24"/>
    </row>
    <row r="78" spans="3:11" ht="15.75" x14ac:dyDescent="0.25">
      <c r="C78" s="24"/>
      <c r="D78" s="1"/>
      <c r="E78" s="1"/>
      <c r="F78" s="1"/>
      <c r="G78" s="1"/>
      <c r="H78" s="1"/>
      <c r="I78" s="1"/>
      <c r="J78" s="1"/>
      <c r="K78" s="24"/>
    </row>
    <row r="79" spans="3:11" ht="15.75" x14ac:dyDescent="0.25">
      <c r="C79" s="24"/>
      <c r="D79" s="1"/>
      <c r="E79" s="1"/>
      <c r="F79" s="1"/>
      <c r="G79" s="1"/>
      <c r="H79" s="1"/>
      <c r="I79" s="1"/>
      <c r="J79" s="1"/>
      <c r="K79" s="24"/>
    </row>
    <row r="80" spans="3:11" ht="15.75" x14ac:dyDescent="0.25">
      <c r="C80" s="24"/>
      <c r="D80" s="1"/>
      <c r="E80" s="1"/>
      <c r="F80" s="1"/>
      <c r="G80" s="1"/>
      <c r="H80" s="1"/>
      <c r="I80" s="1"/>
      <c r="J80" s="1"/>
      <c r="K80" s="24"/>
    </row>
    <row r="81" spans="3:11" ht="15.75" x14ac:dyDescent="0.25">
      <c r="C81" s="24"/>
      <c r="D81" s="1"/>
      <c r="E81" s="1"/>
      <c r="F81" s="1"/>
      <c r="G81" s="1"/>
      <c r="H81" s="1"/>
      <c r="I81" s="1"/>
      <c r="J81" s="1"/>
      <c r="K81" s="24"/>
    </row>
    <row r="82" spans="3:11" ht="15.75" x14ac:dyDescent="0.25">
      <c r="C82" s="24"/>
      <c r="D82" s="1"/>
      <c r="E82" s="1"/>
      <c r="F82" s="1"/>
      <c r="G82" s="1"/>
      <c r="H82" s="1"/>
      <c r="I82" s="1"/>
      <c r="J82" s="1"/>
      <c r="K82" s="24"/>
    </row>
    <row r="83" spans="3:11" ht="15.75" x14ac:dyDescent="0.25">
      <c r="C83" s="24"/>
      <c r="D83" s="1"/>
      <c r="E83" s="1"/>
      <c r="F83" s="1"/>
      <c r="G83" s="1"/>
      <c r="H83" s="1"/>
      <c r="I83" s="1"/>
      <c r="J83" s="1"/>
      <c r="K83" s="24"/>
    </row>
    <row r="84" spans="3:11" ht="15.75" x14ac:dyDescent="0.25">
      <c r="C84" s="24"/>
      <c r="D84" s="1"/>
      <c r="E84" s="1"/>
      <c r="F84" s="1"/>
      <c r="G84" s="1"/>
      <c r="H84" s="1"/>
      <c r="I84" s="1"/>
      <c r="J84" s="1"/>
      <c r="K84" s="24"/>
    </row>
    <row r="85" spans="3:11" ht="15.75" x14ac:dyDescent="0.25">
      <c r="C85" s="24"/>
      <c r="D85" s="1"/>
      <c r="E85" s="1"/>
      <c r="F85" s="1"/>
      <c r="G85" s="1"/>
      <c r="H85" s="1"/>
      <c r="I85" s="1"/>
      <c r="J85" s="1"/>
      <c r="K85" s="24"/>
    </row>
    <row r="86" spans="3:11" x14ac:dyDescent="0.25">
      <c r="C86" s="24"/>
      <c r="D86" s="24"/>
      <c r="E86" s="24"/>
      <c r="F86" s="24"/>
      <c r="G86" s="24"/>
      <c r="H86" s="24"/>
      <c r="I86" s="24"/>
      <c r="J86" s="24"/>
      <c r="K86" s="24"/>
    </row>
    <row r="87" spans="3:11" x14ac:dyDescent="0.25">
      <c r="C87" s="24"/>
      <c r="D87" s="24"/>
      <c r="E87" s="24"/>
      <c r="F87" s="24"/>
      <c r="G87" s="24"/>
      <c r="H87" s="24"/>
      <c r="I87" s="24"/>
      <c r="J87" s="24"/>
      <c r="K87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F23" sqref="F2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1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3"/>
      <c r="D4" s="73"/>
      <c r="E4" s="73"/>
      <c r="F4" s="73"/>
      <c r="G4" s="73"/>
      <c r="H4" s="73"/>
      <c r="I4" s="73"/>
      <c r="J4" s="73"/>
      <c r="K4" s="73"/>
    </row>
    <row r="5" spans="1:24" ht="20.100000000000001" customHeight="1" x14ac:dyDescent="0.25">
      <c r="D5" s="6" t="s">
        <v>15</v>
      </c>
      <c r="N5" s="43"/>
    </row>
    <row r="6" spans="1:24" ht="20.100000000000001" customHeight="1" x14ac:dyDescent="0.25">
      <c r="A6" s="20" t="s">
        <v>3</v>
      </c>
      <c r="D6" s="14"/>
      <c r="N6" s="44"/>
    </row>
    <row r="7" spans="1:24" ht="20.100000000000001" customHeight="1" x14ac:dyDescent="0.25">
      <c r="A7" s="21" t="str">
        <f>HYPERLINK("#'Input - Site'!A1", "Site")</f>
        <v>Site</v>
      </c>
      <c r="D7" s="1" t="s">
        <v>7</v>
      </c>
      <c r="E7" s="35" t="s">
        <v>6</v>
      </c>
      <c r="F7" s="2"/>
    </row>
    <row r="8" spans="1:24" ht="20.100000000000001" customHeight="1" x14ac:dyDescent="0.25">
      <c r="A8" s="17" t="str">
        <f>HYPERLINK("#'Input - Feedlot'!A1", "Feedlot")</f>
        <v>Feedlot</v>
      </c>
      <c r="D8" s="10" t="s">
        <v>73</v>
      </c>
      <c r="E8" s="35" t="s">
        <v>74</v>
      </c>
    </row>
    <row r="9" spans="1:24" ht="20.100000000000001" customHeight="1" x14ac:dyDescent="0.25">
      <c r="A9" s="17"/>
      <c r="N9" s="45"/>
    </row>
    <row r="10" spans="1:24" ht="20.100000000000001" customHeight="1" x14ac:dyDescent="0.25">
      <c r="A10" s="19" t="s">
        <v>77</v>
      </c>
      <c r="D10" s="98" t="s">
        <v>91</v>
      </c>
      <c r="E10" s="96"/>
      <c r="F10" s="99"/>
      <c r="G10" s="93"/>
      <c r="N10" s="45"/>
    </row>
    <row r="11" spans="1:24" ht="20.100000000000001" customHeight="1" x14ac:dyDescent="0.25">
      <c r="A11" s="17" t="str">
        <f>HYPERLINK("#'4.1.1.1-2 Methane'!A1", "4.1.1.1-2 Methane")</f>
        <v>4.1.1.1-2 Methane</v>
      </c>
      <c r="N11" s="46"/>
    </row>
    <row r="12" spans="1:24" ht="20.100000000000001" customHeight="1" x14ac:dyDescent="0.25">
      <c r="A12" s="17" t="str">
        <f>HYPERLINK("#'4.1.1.3-4 Direct N20'!A1", "4.1.1.3-4 Direct N2O")</f>
        <v>4.1.1.3-4 Direct N2O</v>
      </c>
      <c r="D12" s="10" t="s">
        <v>97</v>
      </c>
      <c r="E12" s="67">
        <v>45292</v>
      </c>
      <c r="F12" s="2" t="s">
        <v>71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10" t="s">
        <v>98</v>
      </c>
      <c r="E13" s="74">
        <f>DATE(YEAR(E12)+1,MONTH(E12),DAY(E12))-1</f>
        <v>45657</v>
      </c>
      <c r="F13" s="2" t="s">
        <v>17</v>
      </c>
      <c r="N13" s="40"/>
      <c r="O13" s="40"/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N14" s="40"/>
      <c r="O14" s="40"/>
    </row>
    <row r="15" spans="1:24" ht="20.100000000000001" customHeight="1" x14ac:dyDescent="0.25">
      <c r="A15"/>
      <c r="N15" s="40"/>
      <c r="O15" s="40"/>
    </row>
    <row r="16" spans="1:24" ht="20.100000000000001" customHeight="1" x14ac:dyDescent="0.25">
      <c r="A16" s="18" t="s">
        <v>4</v>
      </c>
      <c r="D16" s="6" t="s">
        <v>14</v>
      </c>
      <c r="N16" s="40"/>
      <c r="O16" s="40"/>
    </row>
    <row r="17" spans="1:25" ht="20.100000000000001" customHeight="1" x14ac:dyDescent="0.25">
      <c r="A17" s="17" t="str">
        <f>HYPERLINK("#'Constants - Feedlot'!A1", "Constants - Feedlot")</f>
        <v>Constants - Feedlot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100" t="s">
        <v>16</v>
      </c>
      <c r="E18" s="95"/>
      <c r="F18" s="95"/>
      <c r="G18" s="91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7" t="s">
        <v>72</v>
      </c>
      <c r="E19" s="94"/>
      <c r="F19" s="94"/>
      <c r="G19" s="92"/>
      <c r="N19" s="43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3"/>
      <c r="F20" s="2"/>
      <c r="N20" s="44"/>
    </row>
    <row r="21" spans="1:25" ht="20.100000000000001" customHeight="1" x14ac:dyDescent="0.25">
      <c r="A21"/>
      <c r="D21" s="1" t="s">
        <v>8</v>
      </c>
      <c r="E21" s="42" t="s">
        <v>104</v>
      </c>
      <c r="F21" s="2" t="s">
        <v>11</v>
      </c>
    </row>
    <row r="22" spans="1:25" ht="20.100000000000001" customHeight="1" x14ac:dyDescent="0.25">
      <c r="A22"/>
      <c r="D22" s="1" t="s">
        <v>26</v>
      </c>
      <c r="E22" s="42" t="s">
        <v>35</v>
      </c>
      <c r="F22" s="2" t="s">
        <v>11</v>
      </c>
      <c r="G22" s="1"/>
    </row>
    <row r="23" spans="1:25" ht="20.100000000000001" customHeight="1" x14ac:dyDescent="0.25">
      <c r="A23"/>
      <c r="D23" s="1" t="s">
        <v>9</v>
      </c>
      <c r="E23" s="42" t="s">
        <v>96</v>
      </c>
      <c r="F23" s="2" t="s">
        <v>11</v>
      </c>
    </row>
    <row r="24" spans="1:25" ht="20.100000000000001" customHeight="1" x14ac:dyDescent="0.25">
      <c r="A24"/>
      <c r="D24" s="1" t="s">
        <v>40</v>
      </c>
      <c r="E24" s="35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5">
        <v>18</v>
      </c>
      <c r="F25" s="2" t="s">
        <v>12</v>
      </c>
      <c r="N25" s="44"/>
    </row>
    <row r="26" spans="1:25" ht="20.100000000000001" customHeight="1" x14ac:dyDescent="0.25">
      <c r="A26"/>
      <c r="D26" s="1" t="s">
        <v>63</v>
      </c>
      <c r="E26" s="35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5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5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5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5" t="str">
        <f>Common_InputFunctions.Utility_LookupItemFromMinMax(E26,Table_SourceData_RainfallZones[Min rainfall],Table_SourceData_RainfallZones[Max rainfall],Table_SourceData_RainfallZones[Rainfall Zone])</f>
        <v>High rainfall</v>
      </c>
      <c r="G30" s="34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0.100000000000001" customHeight="1" x14ac:dyDescent="0.25">
      <c r="A31"/>
      <c r="D31" s="1" t="s">
        <v>10</v>
      </c>
      <c r="E31" s="55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20.100000000000001" customHeight="1" x14ac:dyDescent="0.25">
      <c r="A32"/>
      <c r="D32" s="1" t="s">
        <v>93</v>
      </c>
      <c r="E32" s="55" t="str">
        <f>Common_InputFunctions.Utility_LookupValueInTable($E$31,Table_SourceData_WetDryZones[Climate zone],Table_SourceData_WetDryZones[Wet or Dry Zone])</f>
        <v>Dry climate zone</v>
      </c>
      <c r="F32" s="1"/>
      <c r="G32" s="3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20.100000000000001" customHeight="1" x14ac:dyDescent="0.25">
      <c r="A33"/>
      <c r="D33" s="1" t="s">
        <v>53</v>
      </c>
      <c r="E33" s="55" t="str">
        <f>Common_InputFunctions.Utility_LookupItemFromMinMax(E25,Table_SourceData_TemperatureZones[Min MAT],Table_SourceData_TemperatureZones[Max MAT],Table_SourceData_TemperatureZones[Temperature Zone])</f>
        <v>Temperate</v>
      </c>
      <c r="G33" s="75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20.100000000000001" customHeight="1" x14ac:dyDescent="0.25">
      <c r="A34"/>
      <c r="J34" s="64"/>
      <c r="K34" s="78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20.100000000000001" customHeight="1" x14ac:dyDescent="0.25">
      <c r="A35"/>
      <c r="J35" s="64"/>
      <c r="K35" s="78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20.100000000000001" customHeight="1" x14ac:dyDescent="0.25">
      <c r="A36"/>
      <c r="D36" s="76"/>
      <c r="E36" s="76"/>
      <c r="F36" s="77"/>
      <c r="G36" s="64"/>
      <c r="H36" s="64"/>
      <c r="I36" s="65"/>
      <c r="J36" s="64"/>
      <c r="K36" s="78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20.100000000000001" customHeight="1" x14ac:dyDescent="0.25">
      <c r="A37"/>
      <c r="D37" s="76"/>
      <c r="E37" s="76"/>
      <c r="F37" s="77"/>
      <c r="G37" s="64"/>
      <c r="H37" s="64"/>
      <c r="I37" s="65"/>
      <c r="J37" s="64"/>
      <c r="K37" s="7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20.100000000000001" customHeight="1" x14ac:dyDescent="0.25">
      <c r="A38"/>
      <c r="D38" s="76"/>
      <c r="E38" s="76"/>
      <c r="F38" s="77"/>
      <c r="G38" s="64"/>
      <c r="H38" s="64"/>
      <c r="I38" s="65"/>
      <c r="J38" s="64"/>
      <c r="K38" s="7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20.100000000000001" customHeight="1" x14ac:dyDescent="0.25">
      <c r="A39"/>
      <c r="D39" s="76"/>
      <c r="E39" s="76"/>
      <c r="F39" s="77"/>
      <c r="G39" s="64"/>
      <c r="H39" s="64"/>
      <c r="I39" s="65"/>
      <c r="J39" s="64"/>
      <c r="K39" s="7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20.100000000000001" customHeight="1" x14ac:dyDescent="0.25">
      <c r="A40"/>
      <c r="D40" s="79"/>
      <c r="E40" s="79"/>
      <c r="F40" s="79"/>
      <c r="G40" s="80"/>
      <c r="H40" s="81"/>
      <c r="I40" s="81"/>
      <c r="J40" s="81"/>
      <c r="K40" s="81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2"/>
      <c r="E47" s="82"/>
      <c r="F47" s="82"/>
      <c r="G47" s="82"/>
      <c r="H47" s="82"/>
    </row>
    <row r="48" spans="1:25" ht="20.100000000000001" customHeight="1" x14ac:dyDescent="0.25">
      <c r="D48" s="36"/>
      <c r="E48" s="36"/>
      <c r="F48" s="37"/>
      <c r="G48" s="37"/>
      <c r="H48" s="36"/>
    </row>
    <row r="49" spans="4:8" ht="20.100000000000001" customHeight="1" x14ac:dyDescent="0.25">
      <c r="D49" s="36"/>
      <c r="E49" s="36"/>
      <c r="F49" s="37"/>
      <c r="G49" s="37"/>
      <c r="H49" s="36"/>
    </row>
    <row r="50" spans="4:8" ht="20.100000000000001" customHeight="1" x14ac:dyDescent="0.25">
      <c r="D50" s="36"/>
      <c r="E50" s="36"/>
      <c r="F50" s="37"/>
      <c r="G50" s="37"/>
      <c r="H50" s="36"/>
    </row>
    <row r="51" spans="4:8" ht="20.100000000000001" customHeight="1" x14ac:dyDescent="0.25">
      <c r="D51" s="83"/>
      <c r="E51" s="84"/>
      <c r="F51" s="84"/>
      <c r="G51" s="84"/>
      <c r="H51" s="85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6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7"/>
    </row>
    <row r="58" spans="4:8" ht="20.100000000000001" customHeight="1" x14ac:dyDescent="0.25">
      <c r="D58" s="1"/>
      <c r="E58" s="88"/>
    </row>
    <row r="59" spans="4:8" ht="20.100000000000001" customHeight="1" x14ac:dyDescent="0.25">
      <c r="D59" s="1"/>
      <c r="E59" s="88"/>
    </row>
    <row r="60" spans="4:8" ht="20.100000000000001" customHeight="1" x14ac:dyDescent="0.25">
      <c r="D60" s="1"/>
      <c r="E60" s="89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8"/>
    </row>
    <row r="65" spans="4:9" ht="20.100000000000001" customHeight="1" x14ac:dyDescent="0.25">
      <c r="D65" s="1"/>
      <c r="E65" s="88"/>
    </row>
    <row r="66" spans="4:9" ht="20.100000000000001" customHeight="1" x14ac:dyDescent="0.25">
      <c r="D66" s="1"/>
      <c r="E66" s="89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3"/>
      <c r="E69" s="63"/>
      <c r="F69" s="63"/>
      <c r="G69" s="63"/>
      <c r="H69" s="63"/>
      <c r="I69" s="63"/>
    </row>
    <row r="70" spans="4:9" ht="20.100000000000001" customHeight="1" x14ac:dyDescent="0.25">
      <c r="D70" s="63"/>
      <c r="E70" s="63"/>
      <c r="F70" s="63"/>
      <c r="G70" s="63"/>
      <c r="H70" s="63"/>
      <c r="I70" s="63"/>
    </row>
    <row r="71" spans="4:9" ht="20.100000000000001" customHeight="1" x14ac:dyDescent="0.25">
      <c r="D71" s="63"/>
      <c r="E71" s="63"/>
      <c r="F71" s="63"/>
      <c r="G71" s="63"/>
      <c r="H71" s="63"/>
      <c r="I71" s="63"/>
    </row>
    <row r="72" spans="4:9" ht="20.100000000000001" customHeight="1" x14ac:dyDescent="0.25">
      <c r="D72" s="63"/>
      <c r="E72" s="63"/>
      <c r="F72" s="63"/>
      <c r="G72" s="63"/>
      <c r="H72" s="63"/>
      <c r="I72" s="63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0"/>
    </row>
    <row r="79" spans="4:9" ht="20.100000000000001" customHeight="1" x14ac:dyDescent="0.25">
      <c r="D79" s="90"/>
    </row>
    <row r="80" spans="4:9" ht="20.100000000000001" customHeight="1" x14ac:dyDescent="0.25">
      <c r="D80" s="90"/>
    </row>
    <row r="81" spans="4:4" ht="20.100000000000001" customHeight="1" x14ac:dyDescent="0.25">
      <c r="D81" s="90"/>
    </row>
    <row r="82" spans="4:4" ht="20.100000000000001" customHeight="1" x14ac:dyDescent="0.25">
      <c r="D82" s="90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T184"/>
  <sheetViews>
    <sheetView showGridLines="0" topLeftCell="A42" workbookViewId="0">
      <selection activeCell="E63" sqref="E6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10" width="30.7109375" style="1" customWidth="1"/>
    <col min="11" max="11" width="4.7109375" style="1" customWidth="1"/>
    <col min="12" max="13" width="4.7109375" style="59" customWidth="1"/>
    <col min="14" max="19" width="30.7109375" style="59" customWidth="1"/>
    <col min="20" max="20" width="4.7109375" style="59" customWidth="1"/>
  </cols>
  <sheetData>
    <row r="1" spans="1:20" s="71" customFormat="1" ht="30" customHeight="1" x14ac:dyDescent="0.35">
      <c r="A1" s="71" t="e" vm="1">
        <v>#VALUE!</v>
      </c>
      <c r="C1" s="71" t="s">
        <v>255</v>
      </c>
      <c r="L1" s="59"/>
      <c r="M1" s="59"/>
      <c r="N1" s="59"/>
      <c r="O1" s="59"/>
      <c r="P1" s="59"/>
      <c r="Q1" s="59"/>
      <c r="R1" s="59"/>
      <c r="S1" s="59"/>
      <c r="T1" s="59"/>
    </row>
    <row r="2" spans="1:20" s="9" customFormat="1" ht="20.100000000000001" customHeight="1" x14ac:dyDescent="0.25">
      <c r="L2" s="59"/>
      <c r="M2" s="59"/>
      <c r="N2" s="59"/>
      <c r="O2" s="59"/>
      <c r="P2" s="59"/>
      <c r="Q2" s="59"/>
      <c r="R2" s="59"/>
      <c r="S2" s="59"/>
      <c r="T2" s="59"/>
    </row>
    <row r="3" spans="1:20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</row>
    <row r="4" spans="1:20" ht="20.100000000000001" customHeight="1" x14ac:dyDescent="0.25">
      <c r="A4" s="17" t="str">
        <f>HYPERLINK("#'Results'!A1", "Results")</f>
        <v>Results</v>
      </c>
    </row>
    <row r="5" spans="1:20" ht="20.100000000000001" customHeight="1" x14ac:dyDescent="0.25">
      <c r="A5" s="16"/>
      <c r="D5" s="6" t="s">
        <v>105</v>
      </c>
      <c r="K5" s="3"/>
      <c r="O5" s="7"/>
    </row>
    <row r="6" spans="1:20" ht="20.100000000000001" customHeight="1" x14ac:dyDescent="0.25">
      <c r="A6" s="20" t="s">
        <v>3</v>
      </c>
      <c r="K6" s="3"/>
      <c r="O6" s="7"/>
    </row>
    <row r="7" spans="1:20" ht="20.100000000000001" customHeight="1" x14ac:dyDescent="0.25">
      <c r="A7" s="17" t="str">
        <f>HYPERLINK("#'Input - Site'!A1", "Site")</f>
        <v>Site</v>
      </c>
      <c r="D7" s="1" t="s">
        <v>233</v>
      </c>
      <c r="E7" s="42" t="s">
        <v>286</v>
      </c>
      <c r="F7" s="2" t="s">
        <v>11</v>
      </c>
      <c r="K7" s="3"/>
      <c r="O7" s="7"/>
    </row>
    <row r="8" spans="1:20" ht="20.100000000000001" customHeight="1" x14ac:dyDescent="0.25">
      <c r="A8" s="21" t="str">
        <f>HYPERLINK("#'Input - Dairy'!A1", "Dairy")</f>
        <v>Dairy</v>
      </c>
      <c r="K8" s="3"/>
      <c r="O8" s="7"/>
    </row>
    <row r="9" spans="1:20" ht="20.100000000000001" customHeight="1" x14ac:dyDescent="0.25">
      <c r="A9" s="17"/>
      <c r="D9" s="66"/>
      <c r="E9" s="41" t="s">
        <v>234</v>
      </c>
      <c r="F9" s="41" t="s">
        <v>251</v>
      </c>
      <c r="G9" s="41" t="s">
        <v>252</v>
      </c>
      <c r="H9" s="41" t="s">
        <v>253</v>
      </c>
      <c r="I9" s="41" t="s">
        <v>254</v>
      </c>
      <c r="O9" s="7"/>
    </row>
    <row r="10" spans="1:20" ht="20.100000000000001" customHeight="1" x14ac:dyDescent="0.25">
      <c r="A10" s="19" t="s">
        <v>77</v>
      </c>
      <c r="D10" s="1" t="str">
        <f>"Average number of head between " &amp; TEXT('Input - Site'!$E$12, "dd mmm yy") &amp; " and " &amp; TEXT('Input - Site'!$E$13, "dd mmm yy")</f>
        <v>Average number of head between 01 Jan 24 and 31 Dec 24</v>
      </c>
      <c r="E10" s="106">
        <v>100</v>
      </c>
      <c r="F10" s="106">
        <v>100</v>
      </c>
      <c r="G10" s="106">
        <v>100</v>
      </c>
      <c r="H10" s="106">
        <v>100</v>
      </c>
      <c r="I10" s="106">
        <v>100</v>
      </c>
      <c r="J10" s="2" t="s">
        <v>107</v>
      </c>
      <c r="O10" s="7"/>
    </row>
    <row r="11" spans="1:20" ht="20.100000000000001" customHeight="1" x14ac:dyDescent="0.25">
      <c r="A11" s="17" t="str">
        <f>HYPERLINK("#'4.1.1.1-2 Methane'!A1", "4.1.1.1-2 Methane")</f>
        <v>4.1.1.1-2 Methane</v>
      </c>
      <c r="O11" s="7"/>
    </row>
    <row r="12" spans="1:20" ht="20.100000000000001" customHeight="1" x14ac:dyDescent="0.25">
      <c r="A12" s="17" t="str">
        <f>HYPERLINK("#'4.1.1.3-4 Direct N20'!A1", "4.1.1.3-4 Direct N2O")</f>
        <v>4.1.1.3-4 Direct N2O</v>
      </c>
      <c r="D12" s="51" t="s">
        <v>283</v>
      </c>
      <c r="O12" s="7"/>
    </row>
    <row r="13" spans="1:20" ht="20.100000000000001" customHeight="1" x14ac:dyDescent="0.25">
      <c r="A13" s="17" t="str">
        <f>HYPERLINK("#'4.1.1.5-6 Atmos Deposition'!A1", "4.1.1.5-6 Atmospheric deposition")</f>
        <v>4.1.1.5-6 Atmospheric deposition</v>
      </c>
      <c r="D13" s="66" t="s">
        <v>268</v>
      </c>
      <c r="E13" s="41" t="s">
        <v>234</v>
      </c>
      <c r="F13" s="41" t="s">
        <v>251</v>
      </c>
      <c r="G13" s="41" t="s">
        <v>252</v>
      </c>
      <c r="H13" s="41" t="s">
        <v>253</v>
      </c>
      <c r="I13" s="41" t="s">
        <v>254</v>
      </c>
      <c r="O13" s="40"/>
    </row>
    <row r="14" spans="1:20" ht="20.100000000000001" customHeight="1" x14ac:dyDescent="0.25">
      <c r="A14" s="17" t="str">
        <f>HYPERLINK("#'4.1.1.9 Manure applied to soils'!A1", "4.1.1.9 Manure applied to soils")</f>
        <v>4.1.1.9 Manure applied to soils</v>
      </c>
      <c r="D14" s="1" t="s">
        <v>284</v>
      </c>
      <c r="E14" s="55" cm="1">
        <f t="array" ref="E14">Common_InputFunctions.Utility_LookupValueInTableNumber($E$7, Table_SourceData_Dairy_WjCowsHeifers[Breed],Table_SourceData_Dairy_WjCowsHeifers[Milking cows])</f>
        <v>550</v>
      </c>
      <c r="F14" s="55" cm="1">
        <f t="array" ref="F14">Common_InputFunctions.Utility_LookupValueInTableNumber($E$7, Table_SourceData_Dairy_WjCowsHeifers[Breed],Table_SourceData_Dairy_WjCowsHeifers[Heifers &gt; 1])</f>
        <v>380</v>
      </c>
      <c r="G14" s="55" cm="1">
        <f t="array" ref="G14">Common_InputFunctions.Utility_LookupValueInTableNumber($E$7, Table_SourceData_Dairy_WjCowsHeifers[Breed],Table_SourceData_Dairy_WjCowsHeifers[Heifers &lt; 1 (weaned)])</f>
        <v>155</v>
      </c>
      <c r="H14" s="55" cm="1">
        <f t="array" ref="H14">Table_SourceData_Dairy_WjBulls[Bulls &gt; 1]</f>
        <v>600</v>
      </c>
      <c r="I14" s="55" cm="1">
        <f t="array" ref="I14">Table_SourceData_Dairy_WjBulls[Bulls &lt; 1 (weaned)]</f>
        <v>225</v>
      </c>
      <c r="J14" s="2" t="s">
        <v>256</v>
      </c>
      <c r="O14" s="40"/>
    </row>
    <row r="15" spans="1:20" ht="20.100000000000001" customHeight="1" x14ac:dyDescent="0.25">
      <c r="D15" s="1" t="s">
        <v>285</v>
      </c>
      <c r="E15" s="55" cm="1">
        <f t="array" ref="E15">Table_SourceData_Dairy_LWGj[Milking cows]</f>
        <v>1.6E-2</v>
      </c>
      <c r="F15" s="55" cm="1">
        <f t="array" ref="F15">Table_SourceData_Dairy_LWGj[Heifers &gt; 1]</f>
        <v>0.6</v>
      </c>
      <c r="G15" s="55" cm="1">
        <f t="array" ref="G15">Table_SourceData_Dairy_LWGj[Heifers &lt; 1 (weaned)]</f>
        <v>0.56999999999999995</v>
      </c>
      <c r="H15" s="55" cm="1">
        <f t="array" ref="H15">Table_SourceData_Dairy_LWGj[Bulls &gt; 1]</f>
        <v>0.1</v>
      </c>
      <c r="I15" s="55" cm="1">
        <f t="array" ref="I15">Table_SourceData_Dairy_LWGj[Bulls &lt; 1 (weaned)]</f>
        <v>0.8</v>
      </c>
      <c r="J15" s="2" t="s">
        <v>257</v>
      </c>
      <c r="O15" s="40"/>
    </row>
    <row r="16" spans="1:20" ht="20.100000000000001" customHeight="1" x14ac:dyDescent="0.25">
      <c r="A16" s="18" t="s">
        <v>4</v>
      </c>
      <c r="O16" s="40"/>
    </row>
    <row r="17" spans="1:15" ht="20.100000000000001" customHeight="1" x14ac:dyDescent="0.25">
      <c r="A17" s="134" t="str">
        <f>HYPERLINK("#'Constants - Dairy'!A1", "Constants - Dairy")</f>
        <v>Constants - Dairy</v>
      </c>
      <c r="D17" s="66" t="s">
        <v>267</v>
      </c>
      <c r="E17" s="41" t="s">
        <v>234</v>
      </c>
      <c r="F17" s="41" t="s">
        <v>251</v>
      </c>
      <c r="G17" s="41" t="s">
        <v>252</v>
      </c>
      <c r="H17" s="41" t="s">
        <v>253</v>
      </c>
      <c r="I17" s="41" t="s">
        <v>254</v>
      </c>
      <c r="O17" s="7"/>
    </row>
    <row r="18" spans="1:15" ht="20.100000000000001" customHeight="1" x14ac:dyDescent="0.25">
      <c r="A18" s="17" t="str">
        <f>HYPERLINK("#'Constants - Livestock'!A1", "Constants - Livestock")</f>
        <v>Constants - Livestock</v>
      </c>
      <c r="D18" s="1" t="s">
        <v>284</v>
      </c>
      <c r="E18" s="69" cm="1">
        <f t="array" ref="E18">Common_InputFunctions.Utility_LookupValueInTableNumber($E$7, Table_SourceData_Dairy_WjCowsHeifers[Breed],Table_SourceData_Dairy_WjCowsHeifers[Milking cows])</f>
        <v>550</v>
      </c>
      <c r="F18" s="69" cm="1">
        <f t="array" ref="F18">Common_InputFunctions.Utility_LookupValueInTableNumber($E$7, Table_SourceData_Dairy_WjCowsHeifers[Breed],Table_SourceData_Dairy_WjCowsHeifers[Heifers &gt; 1])</f>
        <v>380</v>
      </c>
      <c r="G18" s="69" cm="1">
        <f t="array" ref="G18">Common_InputFunctions.Utility_LookupValueInTableNumber($E$7, Table_SourceData_Dairy_WjCowsHeifers[Breed],Table_SourceData_Dairy_WjCowsHeifers[Heifers &lt; 1 (weaned)])</f>
        <v>155</v>
      </c>
      <c r="H18" s="69" cm="1">
        <f t="array" ref="H18">Table_SourceData_Dairy_WjBulls[Bulls &gt; 1]</f>
        <v>600</v>
      </c>
      <c r="I18" s="69" cm="1">
        <f t="array" ref="I18">Table_SourceData_Dairy_WjBulls[Bulls &lt; 1 (weaned)]</f>
        <v>225</v>
      </c>
      <c r="J18" s="2" t="s">
        <v>256</v>
      </c>
      <c r="O18" s="7"/>
    </row>
    <row r="19" spans="1:15" ht="20.100000000000001" customHeight="1" x14ac:dyDescent="0.25">
      <c r="A19" s="17" t="str">
        <f>HYPERLINK("#'Constants - Common'!A1", "Constants - Common")</f>
        <v>Constants - Common</v>
      </c>
      <c r="D19" s="1" t="s">
        <v>285</v>
      </c>
      <c r="E19" s="69" cm="1">
        <f t="array" ref="E19">Table_SourceData_Dairy_LWGj[Milking cows]</f>
        <v>1.6E-2</v>
      </c>
      <c r="F19" s="69" cm="1">
        <f t="array" ref="F19">Table_SourceData_Dairy_LWGj[Heifers &gt; 1]</f>
        <v>0.6</v>
      </c>
      <c r="G19" s="69" cm="1">
        <f t="array" ref="G19">Table_SourceData_Dairy_LWGj[Heifers &lt; 1 (weaned)]</f>
        <v>0.56999999999999995</v>
      </c>
      <c r="H19" s="69" cm="1">
        <f t="array" ref="H19">Table_SourceData_Dairy_LWGj[Bulls &gt; 1]</f>
        <v>0.1</v>
      </c>
      <c r="I19" s="69" cm="1">
        <f t="array" ref="I19">Table_SourceData_Dairy_LWGj[Bulls &lt; 1 (weaned)]</f>
        <v>0.8</v>
      </c>
      <c r="J19" s="2" t="s">
        <v>257</v>
      </c>
      <c r="O19" s="7"/>
    </row>
    <row r="20" spans="1:15" ht="20.100000000000001" customHeight="1" x14ac:dyDescent="0.25">
      <c r="A20" s="17" t="str">
        <f>HYPERLINK("#'Acknowledgements'!A1", "Acknowledgements")</f>
        <v>Acknowledgements</v>
      </c>
      <c r="O20" s="7"/>
    </row>
    <row r="21" spans="1:15" ht="20.100000000000001" customHeight="1" x14ac:dyDescent="0.25">
      <c r="D21" s="51" t="s">
        <v>106</v>
      </c>
      <c r="O21" s="7"/>
    </row>
    <row r="22" spans="1:15" ht="20.100000000000001" customHeight="1" x14ac:dyDescent="0.25">
      <c r="O22" s="7"/>
    </row>
    <row r="23" spans="1:15" ht="20.100000000000001" customHeight="1" x14ac:dyDescent="0.25">
      <c r="D23" s="66" t="s">
        <v>268</v>
      </c>
      <c r="E23" s="41" t="s">
        <v>234</v>
      </c>
      <c r="F23" s="41" t="s">
        <v>251</v>
      </c>
      <c r="G23" s="41" t="s">
        <v>252</v>
      </c>
      <c r="H23" s="41" t="s">
        <v>253</v>
      </c>
      <c r="I23" s="41" t="s">
        <v>254</v>
      </c>
      <c r="O23" s="7"/>
    </row>
    <row r="24" spans="1:15" ht="20.100000000000001" customHeight="1" x14ac:dyDescent="0.25">
      <c r="D24" s="1" t="str">
        <f>"Average duration of stay between " &amp; TEXT('Input - Site'!$E$12, "dd mmm yy") &amp; " and " &amp; TEXT('Input - Site'!$E$13, "dd mmm yy") &amp; " weaned livestock"</f>
        <v>Average duration of stay between 01 Jan 24 and 31 Dec 24 weaned livestock</v>
      </c>
      <c r="E24" s="55" cm="1">
        <f t="array" ref="E24">Common_InputFunctions.Utility_LookupValueInTableNumber(E23,Table_SourceData_Dairy_Duration[Animal class j],Table_SourceData_Dairy_Duration[Duration (weaned)])</f>
        <v>365</v>
      </c>
      <c r="F24" s="55" cm="1">
        <f t="array" ref="F24">Common_InputFunctions.Utility_LookupValueInTableNumber(F23,Table_SourceData_Dairy_Duration[Animal class j],Table_SourceData_Dairy_Duration[Duration (weaned)])</f>
        <v>365</v>
      </c>
      <c r="G24" s="55" cm="1">
        <f t="array" ref="G24">Common_InputFunctions.Utility_LookupValueInTableNumber(G23,Table_SourceData_Dairy_Duration[Animal class j],Table_SourceData_Dairy_Duration[Duration (weaned)])</f>
        <v>281</v>
      </c>
      <c r="H24" s="55" cm="1">
        <f t="array" ref="H24">Common_InputFunctions.Utility_LookupValueInTableNumber(H23,Table_SourceData_Dairy_Duration[Animal class j],Table_SourceData_Dairy_Duration[Duration (weaned)])</f>
        <v>365</v>
      </c>
      <c r="I24" s="55" cm="1">
        <f t="array" ref="I24">Common_InputFunctions.Utility_LookupValueInTableNumber(I23,Table_SourceData_Dairy_Duration[Animal class j],Table_SourceData_Dairy_Duration[Duration (weaned)])</f>
        <v>281</v>
      </c>
      <c r="J24" s="2" t="s">
        <v>55</v>
      </c>
      <c r="O24" s="7"/>
    </row>
    <row r="25" spans="1:15" ht="20.100000000000001" customHeight="1" x14ac:dyDescent="0.25">
      <c r="A25" s="17"/>
      <c r="D25" s="1" t="str">
        <f>"Average duration of stay between " &amp; TEXT('Input - Site'!$E$12, "dd mmm yy") &amp; " and " &amp; TEXT('Input - Site'!$E$13, "dd mmm yy") &amp; " pre-weaned livestock"</f>
        <v>Average duration of stay between 01 Jan 24 and 31 Dec 24 pre-weaned livestock</v>
      </c>
      <c r="E25" s="55" cm="1">
        <f t="array" ref="E25">Common_InputFunctions.Utility_LookupValueInTableNumber(E23,Table_SourceData_Dairy_Duration[Animal class j],Table_SourceData_Dairy_Duration[Duration (pre-weaned)])</f>
        <v>0</v>
      </c>
      <c r="F25" s="55" cm="1">
        <f t="array" ref="F25">Common_InputFunctions.Utility_LookupValueInTableNumber(F23,Table_SourceData_Dairy_Duration[Animal class j],Table_SourceData_Dairy_Duration[Duration (pre-weaned)])</f>
        <v>0</v>
      </c>
      <c r="G25" s="55" cm="1">
        <f t="array" ref="G25">Common_InputFunctions.Utility_LookupValueInTableNumber(G23,Table_SourceData_Dairy_Duration[Animal class j],Table_SourceData_Dairy_Duration[Duration (pre-weaned)])</f>
        <v>84</v>
      </c>
      <c r="H25" s="55" cm="1">
        <f t="array" ref="H25">Common_InputFunctions.Utility_LookupValueInTableNumber(H23,Table_SourceData_Dairy_Duration[Animal class j],Table_SourceData_Dairy_Duration[Duration (pre-weaned)])</f>
        <v>0</v>
      </c>
      <c r="I25" s="55" cm="1">
        <f t="array" ref="I25">Common_InputFunctions.Utility_LookupValueInTableNumber(I23,Table_SourceData_Dairy_Duration[Animal class j],Table_SourceData_Dairy_Duration[Duration (pre-weaned)])</f>
        <v>84</v>
      </c>
      <c r="J25" s="2" t="s">
        <v>55</v>
      </c>
      <c r="O25" s="7"/>
    </row>
    <row r="26" spans="1:15" ht="20.100000000000001" customHeight="1" x14ac:dyDescent="0.25">
      <c r="A26" s="17"/>
      <c r="O26" s="7"/>
    </row>
    <row r="27" spans="1:15" ht="20.100000000000001" customHeight="1" x14ac:dyDescent="0.25">
      <c r="A27" s="17"/>
      <c r="D27" s="66" t="s">
        <v>267</v>
      </c>
      <c r="E27" s="41" t="s">
        <v>234</v>
      </c>
      <c r="F27" s="41" t="s">
        <v>251</v>
      </c>
      <c r="G27" s="41" t="s">
        <v>252</v>
      </c>
      <c r="H27" s="41" t="s">
        <v>253</v>
      </c>
      <c r="I27" s="41" t="s">
        <v>254</v>
      </c>
      <c r="O27" s="7"/>
    </row>
    <row r="28" spans="1:15" ht="20.100000000000001" customHeight="1" x14ac:dyDescent="0.25">
      <c r="A28" s="17"/>
      <c r="D28" s="1" t="str">
        <f>"Average duration of stay between " &amp; TEXT('Input - Site'!$E$12, "dd mmm yy") &amp; " and " &amp; TEXT('Input - Site'!$E$13, "dd mmm yy") &amp; " weaned livestock"</f>
        <v>Average duration of stay between 01 Jan 24 and 31 Dec 24 weaned livestock</v>
      </c>
      <c r="E28" s="69" cm="1">
        <f t="array" ref="E28">Common_InputFunctions.Utility_LookupValueInTableNumber(E27,Table_SourceData_Dairy_Duration[Animal class j],Table_SourceData_Dairy_Duration[Duration (weaned)])</f>
        <v>365</v>
      </c>
      <c r="F28" s="69" cm="1">
        <f t="array" ref="F28">Common_InputFunctions.Utility_LookupValueInTableNumber(F27,Table_SourceData_Dairy_Duration[Animal class j],Table_SourceData_Dairy_Duration[Duration (weaned)])</f>
        <v>365</v>
      </c>
      <c r="G28" s="69" cm="1">
        <f t="array" ref="G28">Common_InputFunctions.Utility_LookupValueInTableNumber(G27,Table_SourceData_Dairy_Duration[Animal class j],Table_SourceData_Dairy_Duration[Duration (weaned)])</f>
        <v>281</v>
      </c>
      <c r="H28" s="69" cm="1">
        <f t="array" ref="H28">Common_InputFunctions.Utility_LookupValueInTableNumber(H27,Table_SourceData_Dairy_Duration[Animal class j],Table_SourceData_Dairy_Duration[Duration (weaned)])</f>
        <v>365</v>
      </c>
      <c r="I28" s="69" cm="1">
        <f t="array" ref="I28">Common_InputFunctions.Utility_LookupValueInTableNumber(I27,Table_SourceData_Dairy_Duration[Animal class j],Table_SourceData_Dairy_Duration[Duration (weaned)])</f>
        <v>281</v>
      </c>
      <c r="J28" s="2" t="s">
        <v>55</v>
      </c>
      <c r="O28" s="7"/>
    </row>
    <row r="29" spans="1:15" ht="20.100000000000001" customHeight="1" x14ac:dyDescent="0.25">
      <c r="A29" s="17"/>
      <c r="D29" s="1" t="str">
        <f>"Average duration of stay between " &amp; TEXT('Input - Site'!$E$12, "dd mmm yy") &amp; " and " &amp; TEXT('Input - Site'!$E$13, "dd mmm yy") &amp; " pre-weaned livestock"</f>
        <v>Average duration of stay between 01 Jan 24 and 31 Dec 24 pre-weaned livestock</v>
      </c>
      <c r="E29" s="55">
        <f>365-E28</f>
        <v>0</v>
      </c>
      <c r="F29" s="55">
        <f t="shared" ref="F29:I29" si="0">365-F28</f>
        <v>0</v>
      </c>
      <c r="G29" s="55">
        <f t="shared" si="0"/>
        <v>84</v>
      </c>
      <c r="H29" s="55">
        <f t="shared" si="0"/>
        <v>0</v>
      </c>
      <c r="I29" s="55">
        <f t="shared" si="0"/>
        <v>84</v>
      </c>
      <c r="J29" s="2" t="s">
        <v>55</v>
      </c>
      <c r="O29" s="7"/>
    </row>
    <row r="30" spans="1:15" ht="20.100000000000001" customHeight="1" x14ac:dyDescent="0.25">
      <c r="A30" s="17"/>
      <c r="O30" s="7"/>
    </row>
    <row r="31" spans="1:15" ht="20.100000000000001" customHeight="1" x14ac:dyDescent="0.25">
      <c r="A31" s="70"/>
      <c r="O31" s="7"/>
    </row>
    <row r="32" spans="1:15" ht="20.100000000000001" customHeight="1" x14ac:dyDescent="0.25">
      <c r="A32" s="70"/>
      <c r="D32" s="6" t="s">
        <v>281</v>
      </c>
      <c r="O32" s="7"/>
    </row>
    <row r="33" spans="1:15" ht="20.100000000000001" customHeight="1" x14ac:dyDescent="0.25">
      <c r="A33" s="17"/>
      <c r="D33" s="51"/>
      <c r="O33" s="7"/>
    </row>
    <row r="34" spans="1:15" ht="20.100000000000001" customHeight="1" x14ac:dyDescent="0.25">
      <c r="D34" s="66" t="s">
        <v>268</v>
      </c>
      <c r="E34" s="41" t="s">
        <v>234</v>
      </c>
      <c r="F34" s="41" t="s">
        <v>251</v>
      </c>
      <c r="G34" s="41" t="s">
        <v>252</v>
      </c>
      <c r="H34" s="41" t="s">
        <v>253</v>
      </c>
      <c r="I34" s="41" t="s">
        <v>254</v>
      </c>
      <c r="O34" s="7"/>
    </row>
    <row r="35" spans="1:15" ht="20.100000000000001" customHeight="1" x14ac:dyDescent="0.25">
      <c r="D35" s="1" t="s">
        <v>280</v>
      </c>
      <c r="E35" s="55" cm="1">
        <f t="array" ref="E35">Common_InputFunctions.Utility_LookupValueInTableNumber(E34,Table_SourceData_Dairy_Duration[Animal class j],Table_SourceData_Dairy_Duration[Duration (weaned)])</f>
        <v>365</v>
      </c>
      <c r="F35" s="55" cm="1">
        <f t="array" ref="F35">Common_InputFunctions.Utility_LookupValueInTableNumber(F34,Table_SourceData_Dairy_Duration[Animal class j],Table_SourceData_Dairy_Duration[Duration (weaned)])</f>
        <v>365</v>
      </c>
      <c r="G35" s="55" cm="1">
        <f t="array" ref="G35">Common_InputFunctions.Utility_LookupValueInTableNumber(G34,Table_SourceData_Dairy_Duration[Animal class j],Table_SourceData_Dairy_Duration[Duration (weaned)])</f>
        <v>281</v>
      </c>
      <c r="H35" s="55" cm="1">
        <f t="array" ref="H35">Common_InputFunctions.Utility_LookupValueInTableNumber(H34,Table_SourceData_Dairy_Duration[Animal class j],Table_SourceData_Dairy_Duration[Duration (weaned)])</f>
        <v>365</v>
      </c>
      <c r="I35" s="55" cm="1">
        <f t="array" ref="I35">Common_InputFunctions.Utility_LookupValueInTableNumber(I34,Table_SourceData_Dairy_Duration[Animal class j],Table_SourceData_Dairy_Duration[Duration (weaned)])</f>
        <v>281</v>
      </c>
      <c r="J35" s="2" t="s">
        <v>282</v>
      </c>
      <c r="O35" s="7"/>
    </row>
    <row r="36" spans="1:15" ht="20.100000000000001" customHeight="1" x14ac:dyDescent="0.25">
      <c r="D36" s="1" t="s">
        <v>18</v>
      </c>
      <c r="E36" s="55">
        <f>'Constants - Dairy'!$D$160</f>
        <v>0.75</v>
      </c>
      <c r="F36" s="55">
        <f>'Constants - Dairy'!$D$160</f>
        <v>0.75</v>
      </c>
      <c r="G36" s="55">
        <f>'Constants - Dairy'!$D$160</f>
        <v>0.75</v>
      </c>
      <c r="H36" s="55">
        <f>'Constants - Dairy'!$D$160</f>
        <v>0.75</v>
      </c>
      <c r="I36" s="55">
        <f>'Constants - Dairy'!$D$160</f>
        <v>0.75</v>
      </c>
      <c r="J36" s="2" t="s">
        <v>100</v>
      </c>
      <c r="O36" s="7"/>
    </row>
    <row r="37" spans="1:15" ht="20.100000000000001" customHeight="1" x14ac:dyDescent="0.25">
      <c r="D37" s="1" t="s">
        <v>112</v>
      </c>
      <c r="E37" s="55">
        <f>'Constants - Dairy'!$D$153</f>
        <v>0.2</v>
      </c>
      <c r="F37" s="55">
        <f>'Constants - Dairy'!$D$153</f>
        <v>0.2</v>
      </c>
      <c r="G37" s="55">
        <f>'Constants - Dairy'!$D$153</f>
        <v>0.2</v>
      </c>
      <c r="H37" s="55">
        <f>'Constants - Dairy'!$D$153</f>
        <v>0.2</v>
      </c>
      <c r="I37" s="55">
        <f>'Constants - Dairy'!$D$153</f>
        <v>0.2</v>
      </c>
      <c r="J37" s="2" t="s">
        <v>100</v>
      </c>
      <c r="O37" s="7"/>
    </row>
    <row r="38" spans="1:15" ht="20.100000000000001" customHeight="1" x14ac:dyDescent="0.25">
      <c r="O38" s="7"/>
    </row>
    <row r="39" spans="1:15" ht="20.100000000000001" customHeight="1" x14ac:dyDescent="0.25">
      <c r="A39" s="17"/>
      <c r="D39" s="66" t="s">
        <v>267</v>
      </c>
      <c r="E39" s="41" t="s">
        <v>234</v>
      </c>
      <c r="F39" s="41" t="s">
        <v>251</v>
      </c>
      <c r="G39" s="41" t="s">
        <v>252</v>
      </c>
      <c r="H39" s="41" t="s">
        <v>253</v>
      </c>
      <c r="I39" s="41" t="s">
        <v>254</v>
      </c>
      <c r="O39" s="7"/>
    </row>
    <row r="40" spans="1:15" ht="20.100000000000001" customHeight="1" x14ac:dyDescent="0.25">
      <c r="D40" s="1" t="s">
        <v>280</v>
      </c>
      <c r="E40" s="69" cm="1">
        <f t="array" ref="E40">Common_InputFunctions.Utility_LookupValueInTableNumber(E39,Table_SourceData_Dairy_Duration[Animal class j],Table_SourceData_Dairy_Duration[Duration (weaned)])</f>
        <v>365</v>
      </c>
      <c r="F40" s="69" cm="1">
        <f t="array" ref="F40">Common_InputFunctions.Utility_LookupValueInTableNumber(F39,Table_SourceData_Dairy_Duration[Animal class j],Table_SourceData_Dairy_Duration[Duration (weaned)])</f>
        <v>365</v>
      </c>
      <c r="G40" s="69" cm="1">
        <f t="array" ref="G40">Common_InputFunctions.Utility_LookupValueInTableNumber(G39,Table_SourceData_Dairy_Duration[Animal class j],Table_SourceData_Dairy_Duration[Duration (weaned)])</f>
        <v>281</v>
      </c>
      <c r="H40" s="69" cm="1">
        <f t="array" ref="H40">Common_InputFunctions.Utility_LookupValueInTableNumber(H39,Table_SourceData_Dairy_Duration[Animal class j],Table_SourceData_Dairy_Duration[Duration (weaned)])</f>
        <v>365</v>
      </c>
      <c r="I40" s="69" cm="1">
        <f t="array" ref="I40">Common_InputFunctions.Utility_LookupValueInTableNumber(I39,Table_SourceData_Dairy_Duration[Animal class j],Table_SourceData_Dairy_Duration[Duration (weaned)])</f>
        <v>281</v>
      </c>
      <c r="J40" s="2" t="s">
        <v>282</v>
      </c>
      <c r="O40" s="7"/>
    </row>
    <row r="41" spans="1:15" ht="20.100000000000001" customHeight="1" x14ac:dyDescent="0.25">
      <c r="A41" s="47"/>
      <c r="D41" s="1" t="s">
        <v>18</v>
      </c>
      <c r="E41" s="69">
        <v>0.75</v>
      </c>
      <c r="F41" s="69">
        <v>0.75</v>
      </c>
      <c r="G41" s="69">
        <v>0.75</v>
      </c>
      <c r="H41" s="69">
        <v>0.75</v>
      </c>
      <c r="I41" s="69">
        <v>0.75</v>
      </c>
      <c r="J41" s="2" t="s">
        <v>100</v>
      </c>
      <c r="O41" s="7"/>
    </row>
    <row r="42" spans="1:15" ht="20.100000000000001" customHeight="1" x14ac:dyDescent="0.25">
      <c r="D42" s="1" t="s">
        <v>112</v>
      </c>
      <c r="E42" s="69">
        <v>0.2</v>
      </c>
      <c r="F42" s="69">
        <v>0.2</v>
      </c>
      <c r="G42" s="69">
        <v>0.2</v>
      </c>
      <c r="H42" s="69">
        <v>0.2</v>
      </c>
      <c r="I42" s="69">
        <v>0.2</v>
      </c>
      <c r="J42" s="2" t="s">
        <v>100</v>
      </c>
      <c r="O42" s="7"/>
    </row>
    <row r="43" spans="1:15" ht="20.100000000000001" customHeight="1" x14ac:dyDescent="0.25">
      <c r="O43" s="7"/>
    </row>
    <row r="44" spans="1:15" ht="20.100000000000001" customHeight="1" x14ac:dyDescent="0.25">
      <c r="D44" s="6" t="s">
        <v>258</v>
      </c>
      <c r="E44" s="3"/>
      <c r="F44" s="3"/>
      <c r="G44" s="3"/>
      <c r="H44" s="3"/>
      <c r="I44" s="3"/>
      <c r="J44" s="3"/>
      <c r="O44" s="7"/>
    </row>
    <row r="45" spans="1:15" ht="20.100000000000001" customHeight="1" x14ac:dyDescent="0.25">
      <c r="E45" s="41" t="s">
        <v>234</v>
      </c>
      <c r="F45" s="6"/>
      <c r="G45" s="6"/>
      <c r="H45" s="6"/>
      <c r="I45" s="6"/>
      <c r="J45" s="137"/>
      <c r="O45" s="7"/>
    </row>
    <row r="46" spans="1:15" ht="20.100000000000001" customHeight="1" x14ac:dyDescent="0.25">
      <c r="D46" s="1" t="s">
        <v>259</v>
      </c>
      <c r="E46" s="69">
        <v>44</v>
      </c>
      <c r="F46" s="2" t="s">
        <v>260</v>
      </c>
      <c r="H46" s="3"/>
      <c r="I46" s="3"/>
      <c r="J46" s="3"/>
      <c r="O46" s="7"/>
    </row>
    <row r="47" spans="1:15" ht="20.100000000000001" customHeight="1" x14ac:dyDescent="0.25">
      <c r="O47" s="7"/>
    </row>
    <row r="48" spans="1:15" ht="20.100000000000001" customHeight="1" x14ac:dyDescent="0.25">
      <c r="D48" s="6" t="s">
        <v>276</v>
      </c>
      <c r="O48" s="7"/>
    </row>
    <row r="49" spans="4:15" ht="20.100000000000001" customHeight="1" x14ac:dyDescent="0.25">
      <c r="D49" s="51" t="s">
        <v>263</v>
      </c>
      <c r="O49" s="7"/>
    </row>
    <row r="50" spans="4:15" ht="20.100000000000001" customHeight="1" x14ac:dyDescent="0.25">
      <c r="D50" s="1" t="s">
        <v>265</v>
      </c>
      <c r="E50" s="42" t="s">
        <v>278</v>
      </c>
      <c r="F50" s="2" t="s">
        <v>11</v>
      </c>
      <c r="K50" s="3"/>
      <c r="O50" s="7"/>
    </row>
    <row r="51" spans="4:15" ht="20.100000000000001" customHeight="1" x14ac:dyDescent="0.25">
      <c r="K51" s="3"/>
      <c r="O51" s="7"/>
    </row>
    <row r="52" spans="4:15" ht="20.100000000000001" customHeight="1" x14ac:dyDescent="0.25">
      <c r="D52" s="66" t="s">
        <v>268</v>
      </c>
      <c r="E52" s="41" t="s">
        <v>234</v>
      </c>
      <c r="F52" s="41" t="s">
        <v>251</v>
      </c>
      <c r="G52" s="41" t="s">
        <v>252</v>
      </c>
      <c r="H52" s="41" t="s">
        <v>253</v>
      </c>
      <c r="I52" s="41" t="s">
        <v>254</v>
      </c>
      <c r="K52" s="3"/>
      <c r="O52" s="7"/>
    </row>
    <row r="53" spans="4:15" ht="20.100000000000001" customHeight="1" x14ac:dyDescent="0.25">
      <c r="D53" s="1" t="s">
        <v>202</v>
      </c>
      <c r="E53" s="101" cm="1">
        <f t="array" ref="E53">Common_InputFunctions.Utility_LookupValueInTableNumber($E$50, Table_SourceData_Dairy_ProductionSystemTemplates[Area],Table_SourceData_Dairy_ProductionSystemTemplates[Pasture])</f>
        <v>0.53400000000000003</v>
      </c>
      <c r="F53" s="101" cm="1">
        <f t="array" ref="F53">Common_InputFunctions.Utility_LookupValueInTableNumber($E$50, Table_SourceData_Dairy_ProductionSystemTemplates[Area],Table_SourceData_Dairy_ProductionSystemTemplates[Pasture])</f>
        <v>0.53400000000000003</v>
      </c>
      <c r="G53" s="101" cm="1">
        <f t="array" ref="G53">Common_InputFunctions.Utility_LookupValueInTableNumber($E$50, Table_SourceData_Dairy_ProductionSystemTemplates[Area],Table_SourceData_Dairy_ProductionSystemTemplates[Pasture])</f>
        <v>0.53400000000000003</v>
      </c>
      <c r="H53" s="101" cm="1">
        <f t="array" ref="H53">Common_InputFunctions.Utility_LookupValueInTableNumber($E$50, Table_SourceData_Dairy_ProductionSystemTemplates[Area],Table_SourceData_Dairy_ProductionSystemTemplates[Pasture])</f>
        <v>0.53400000000000003</v>
      </c>
      <c r="I53" s="101" cm="1">
        <f t="array" ref="I53">Common_InputFunctions.Utility_LookupValueInTableNumber($E$50, Table_SourceData_Dairy_ProductionSystemTemplates[Area],Table_SourceData_Dairy_ProductionSystemTemplates[Pasture])</f>
        <v>0.53400000000000003</v>
      </c>
      <c r="J53" s="2" t="s">
        <v>19</v>
      </c>
      <c r="K53" s="3"/>
      <c r="O53" s="7"/>
    </row>
    <row r="54" spans="4:15" ht="20.100000000000001" customHeight="1" x14ac:dyDescent="0.25">
      <c r="D54" s="1" t="s">
        <v>248</v>
      </c>
      <c r="E54" s="101" cm="1">
        <f t="array" ref="E54">Common_InputFunctions.Utility_LookupValueInTableNumber($E$50, Table_SourceData_Dairy_ProductionSystemTemplates[Area],Table_SourceData_Dairy_ProductionSystemTemplates[Milking shed])</f>
        <v>0.11</v>
      </c>
      <c r="F54" s="101" cm="1">
        <f t="array" ref="F54">Common_InputFunctions.Utility_LookupValueInTableNumber($E$50, Table_SourceData_Dairy_ProductionSystemTemplates[Area],Table_SourceData_Dairy_ProductionSystemTemplates[Milking shed])</f>
        <v>0.11</v>
      </c>
      <c r="G54" s="101" cm="1">
        <f t="array" ref="G54">Common_InputFunctions.Utility_LookupValueInTableNumber($E$50, Table_SourceData_Dairy_ProductionSystemTemplates[Area],Table_SourceData_Dairy_ProductionSystemTemplates[Milking shed])</f>
        <v>0.11</v>
      </c>
      <c r="H54" s="101" cm="1">
        <f t="array" ref="H54">Common_InputFunctions.Utility_LookupValueInTableNumber($E$50, Table_SourceData_Dairy_ProductionSystemTemplates[Area],Table_SourceData_Dairy_ProductionSystemTemplates[Milking shed])</f>
        <v>0.11</v>
      </c>
      <c r="I54" s="101" cm="1">
        <f t="array" ref="I54">Common_InputFunctions.Utility_LookupValueInTableNumber($E$50, Table_SourceData_Dairy_ProductionSystemTemplates[Area],Table_SourceData_Dairy_ProductionSystemTemplates[Milking shed])</f>
        <v>0.11</v>
      </c>
      <c r="J54" s="2" t="s">
        <v>19</v>
      </c>
      <c r="K54" s="3"/>
      <c r="O54" s="7"/>
    </row>
    <row r="55" spans="4:15" ht="20.100000000000001" customHeight="1" x14ac:dyDescent="0.25">
      <c r="D55" s="1" t="s">
        <v>264</v>
      </c>
      <c r="E55" s="101" cm="1">
        <f t="array" ref="E55">Common_InputFunctions.Utility_LookupValueInTableNumber($E$50, Table_SourceData_Dairy_ProductionSystemTemplates[Area],Table_SourceData_Dairy_ProductionSystemTemplates[Feedpad])</f>
        <v>0.35599999999999998</v>
      </c>
      <c r="F55" s="101" cm="1">
        <f t="array" ref="F55">Common_InputFunctions.Utility_LookupValueInTableNumber($E$50, Table_SourceData_Dairy_ProductionSystemTemplates[Area],Table_SourceData_Dairy_ProductionSystemTemplates[Feedpad])</f>
        <v>0.35599999999999998</v>
      </c>
      <c r="G55" s="101" cm="1">
        <f t="array" ref="G55">Common_InputFunctions.Utility_LookupValueInTableNumber($E$50, Table_SourceData_Dairy_ProductionSystemTemplates[Area],Table_SourceData_Dairy_ProductionSystemTemplates[Feedpad])</f>
        <v>0.35599999999999998</v>
      </c>
      <c r="H55" s="101" cm="1">
        <f t="array" ref="H55">Common_InputFunctions.Utility_LookupValueInTableNumber($E$50, Table_SourceData_Dairy_ProductionSystemTemplates[Area],Table_SourceData_Dairy_ProductionSystemTemplates[Feedpad])</f>
        <v>0.35599999999999998</v>
      </c>
      <c r="I55" s="101" cm="1">
        <f t="array" ref="I55">Common_InputFunctions.Utility_LookupValueInTableNumber($E$50, Table_SourceData_Dairy_ProductionSystemTemplates[Area],Table_SourceData_Dairy_ProductionSystemTemplates[Feedpad])</f>
        <v>0.35599999999999998</v>
      </c>
      <c r="J55" s="2" t="s">
        <v>19</v>
      </c>
      <c r="K55" s="3"/>
      <c r="O55" s="7"/>
    </row>
    <row r="56" spans="4:15" ht="20.100000000000001" customHeight="1" x14ac:dyDescent="0.25">
      <c r="K56" s="3"/>
      <c r="O56" s="7"/>
    </row>
    <row r="57" spans="4:15" ht="20.100000000000001" customHeight="1" x14ac:dyDescent="0.25">
      <c r="D57" s="66" t="s">
        <v>267</v>
      </c>
      <c r="E57" s="41" t="s">
        <v>234</v>
      </c>
      <c r="F57" s="41" t="s">
        <v>251</v>
      </c>
      <c r="G57" s="41" t="s">
        <v>252</v>
      </c>
      <c r="H57" s="41" t="s">
        <v>253</v>
      </c>
      <c r="I57" s="41" t="s">
        <v>254</v>
      </c>
      <c r="K57" s="3"/>
      <c r="O57" s="7"/>
    </row>
    <row r="58" spans="4:15" ht="20.100000000000001" customHeight="1" x14ac:dyDescent="0.25">
      <c r="D58" s="1" t="s">
        <v>202</v>
      </c>
      <c r="E58" s="138" cm="1">
        <f t="array" ref="E58">Common_InputFunctions.Utility_LookupValueInTableNumber($E$50, Table_SourceData_Dairy_ProductionSystemTemplates[Area],Table_SourceData_Dairy_ProductionSystemTemplates[Pasture])</f>
        <v>0.53400000000000003</v>
      </c>
      <c r="F58" s="138" cm="1">
        <f t="array" ref="F58">Common_InputFunctions.Utility_LookupValueInTableNumber($E$50, Table_SourceData_Dairy_ProductionSystemTemplates[Area],Table_SourceData_Dairy_ProductionSystemTemplates[Pasture])</f>
        <v>0.53400000000000003</v>
      </c>
      <c r="G58" s="138" cm="1">
        <f t="array" ref="G58">Common_InputFunctions.Utility_LookupValueInTableNumber($E$50, Table_SourceData_Dairy_ProductionSystemTemplates[Area],Table_SourceData_Dairy_ProductionSystemTemplates[Pasture])</f>
        <v>0.53400000000000003</v>
      </c>
      <c r="H58" s="138" cm="1">
        <f t="array" ref="H58">Common_InputFunctions.Utility_LookupValueInTableNumber($E$50, Table_SourceData_Dairy_ProductionSystemTemplates[Area],Table_SourceData_Dairy_ProductionSystemTemplates[Pasture])</f>
        <v>0.53400000000000003</v>
      </c>
      <c r="I58" s="138" cm="1">
        <f t="array" ref="I58">Common_InputFunctions.Utility_LookupValueInTableNumber($E$50, Table_SourceData_Dairy_ProductionSystemTemplates[Area],Table_SourceData_Dairy_ProductionSystemTemplates[Pasture])</f>
        <v>0.53400000000000003</v>
      </c>
      <c r="J58" s="2" t="s">
        <v>19</v>
      </c>
      <c r="K58" s="3"/>
      <c r="O58" s="7"/>
    </row>
    <row r="59" spans="4:15" ht="20.100000000000001" customHeight="1" x14ac:dyDescent="0.25">
      <c r="D59" s="1" t="s">
        <v>248</v>
      </c>
      <c r="E59" s="138" cm="1">
        <f t="array" ref="E59">Common_InputFunctions.Utility_LookupValueInTableNumber($E$50, Table_SourceData_Dairy_ProductionSystemTemplates[Area],Table_SourceData_Dairy_ProductionSystemTemplates[Milking shed])</f>
        <v>0.11</v>
      </c>
      <c r="F59" s="138" cm="1">
        <f t="array" ref="F59">Common_InputFunctions.Utility_LookupValueInTableNumber($E$50, Table_SourceData_Dairy_ProductionSystemTemplates[Area],Table_SourceData_Dairy_ProductionSystemTemplates[Milking shed])</f>
        <v>0.11</v>
      </c>
      <c r="G59" s="138" cm="1">
        <f t="array" ref="G59">Common_InputFunctions.Utility_LookupValueInTableNumber($E$50, Table_SourceData_Dairy_ProductionSystemTemplates[Area],Table_SourceData_Dairy_ProductionSystemTemplates[Milking shed])</f>
        <v>0.11</v>
      </c>
      <c r="H59" s="138" cm="1">
        <f t="array" ref="H59">Common_InputFunctions.Utility_LookupValueInTableNumber($E$50, Table_SourceData_Dairy_ProductionSystemTemplates[Area],Table_SourceData_Dairy_ProductionSystemTemplates[Milking shed])</f>
        <v>0.11</v>
      </c>
      <c r="I59" s="138" cm="1">
        <f t="array" ref="I59">Common_InputFunctions.Utility_LookupValueInTableNumber($E$50, Table_SourceData_Dairy_ProductionSystemTemplates[Area],Table_SourceData_Dairy_ProductionSystemTemplates[Milking shed])</f>
        <v>0.11</v>
      </c>
      <c r="J59" s="2" t="s">
        <v>19</v>
      </c>
      <c r="K59" s="3"/>
      <c r="O59" s="7"/>
    </row>
    <row r="60" spans="4:15" ht="20.100000000000001" customHeight="1" x14ac:dyDescent="0.25">
      <c r="D60" s="1" t="s">
        <v>264</v>
      </c>
      <c r="E60" s="138" cm="1">
        <f t="array" ref="E60">Common_InputFunctions.Utility_LookupValueInTableNumber($E$50, Table_SourceData_Dairy_ProductionSystemTemplates[Area],Table_SourceData_Dairy_ProductionSystemTemplates[Feedpad])</f>
        <v>0.35599999999999998</v>
      </c>
      <c r="F60" s="138" cm="1">
        <f t="array" ref="F60">Common_InputFunctions.Utility_LookupValueInTableNumber($E$50, Table_SourceData_Dairy_ProductionSystemTemplates[Area],Table_SourceData_Dairy_ProductionSystemTemplates[Feedpad])</f>
        <v>0.35599999999999998</v>
      </c>
      <c r="G60" s="138" cm="1">
        <f t="array" ref="G60">Common_InputFunctions.Utility_LookupValueInTableNumber($E$50, Table_SourceData_Dairy_ProductionSystemTemplates[Area],Table_SourceData_Dairy_ProductionSystemTemplates[Feedpad])</f>
        <v>0.35599999999999998</v>
      </c>
      <c r="H60" s="138" cm="1">
        <f t="array" ref="H60">Common_InputFunctions.Utility_LookupValueInTableNumber($E$50, Table_SourceData_Dairy_ProductionSystemTemplates[Area],Table_SourceData_Dairy_ProductionSystemTemplates[Feedpad])</f>
        <v>0.35599999999999998</v>
      </c>
      <c r="I60" s="138" cm="1">
        <f t="array" ref="I60">Common_InputFunctions.Utility_LookupValueInTableNumber($E$50, Table_SourceData_Dairy_ProductionSystemTemplates[Area],Table_SourceData_Dairy_ProductionSystemTemplates[Feedpad])</f>
        <v>0.35599999999999998</v>
      </c>
      <c r="J60" s="2" t="s">
        <v>19</v>
      </c>
      <c r="K60" s="3"/>
      <c r="O60" s="7"/>
    </row>
    <row r="61" spans="4:15" ht="20.100000000000001" customHeight="1" x14ac:dyDescent="0.25">
      <c r="E61" s="145"/>
      <c r="K61" s="3"/>
      <c r="O61" s="7"/>
    </row>
    <row r="62" spans="4:15" ht="20.100000000000001" customHeight="1" x14ac:dyDescent="0.25">
      <c r="K62" s="3"/>
      <c r="O62" s="7"/>
    </row>
    <row r="63" spans="4:15" ht="20.100000000000001" customHeight="1" x14ac:dyDescent="0.25">
      <c r="D63" s="6" t="s">
        <v>103</v>
      </c>
      <c r="F63" s="140"/>
      <c r="K63" s="3"/>
      <c r="O63" s="7"/>
    </row>
    <row r="64" spans="4:15" ht="20.100000000000001" customHeight="1" x14ac:dyDescent="0.25">
      <c r="D64" s="51" t="str">
        <f>"From " &amp; $D$54</f>
        <v>From Milking shed</v>
      </c>
      <c r="K64" s="3"/>
      <c r="O64" s="7"/>
    </row>
    <row r="65" spans="4:15" ht="20.100000000000001" customHeight="1" x14ac:dyDescent="0.25">
      <c r="K65" s="3"/>
      <c r="O65" s="7"/>
    </row>
    <row r="66" spans="4:15" ht="20.100000000000001" customHeight="1" x14ac:dyDescent="0.25">
      <c r="D66" s="66" t="s">
        <v>102</v>
      </c>
      <c r="E66" s="41" t="s">
        <v>234</v>
      </c>
      <c r="F66" s="41" t="s">
        <v>251</v>
      </c>
      <c r="G66" s="41" t="s">
        <v>252</v>
      </c>
      <c r="H66" s="41" t="s">
        <v>253</v>
      </c>
      <c r="I66" s="41" t="s">
        <v>254</v>
      </c>
      <c r="K66" s="3"/>
      <c r="O66" s="7"/>
    </row>
    <row r="67" spans="4:15" ht="20.100000000000001" customHeight="1" x14ac:dyDescent="0.25">
      <c r="D67" s="56" t="str">
        <f>'Constants - Dairy'!$D$8</f>
        <v>Anaerobic lagoon</v>
      </c>
      <c r="E67" s="49">
        <v>0.25</v>
      </c>
      <c r="F67" s="49">
        <v>0.25</v>
      </c>
      <c r="G67" s="49">
        <v>0.25</v>
      </c>
      <c r="H67" s="49">
        <v>0.25</v>
      </c>
      <c r="I67" s="49">
        <v>0.25</v>
      </c>
      <c r="J67" s="2" t="s">
        <v>19</v>
      </c>
      <c r="K67" s="3"/>
      <c r="O67" s="7"/>
    </row>
    <row r="68" spans="4:15" ht="20.100000000000001" customHeight="1" x14ac:dyDescent="0.25">
      <c r="D68" s="1" t="str">
        <f>"Were solids separated from " &amp; $D$67 &amp; "?"</f>
        <v>Were solids separated from Anaerobic lagoon?</v>
      </c>
      <c r="E68" s="42" t="s">
        <v>269</v>
      </c>
      <c r="F68" s="2" t="s">
        <v>11</v>
      </c>
      <c r="K68" s="3"/>
      <c r="O68" s="7"/>
    </row>
    <row r="69" spans="4:15" ht="20.100000000000001" customHeight="1" x14ac:dyDescent="0.25">
      <c r="D69" s="1" t="str">
        <f>"Percent solids separated from " &amp; $D$67 &amp; " (Method 1 - Do not edit)"</f>
        <v>Percent solids separated from Anaerobic lagoon (Method 1 - Do not edit)</v>
      </c>
      <c r="E69" s="101">
        <v>0.2</v>
      </c>
      <c r="F69" s="2" t="s">
        <v>19</v>
      </c>
      <c r="K69" s="3"/>
      <c r="O69" s="7"/>
    </row>
    <row r="70" spans="4:15" ht="20.100000000000001" customHeight="1" x14ac:dyDescent="0.25">
      <c r="D70" s="1" t="str">
        <f>"Percent solids separated from " &amp; $D$67 &amp; " (Method 2 - Edit if known)"</f>
        <v>Percent solids separated from Anaerobic lagoon (Method 2 - Edit if known)</v>
      </c>
      <c r="E70" s="49">
        <v>0.2</v>
      </c>
      <c r="F70" s="2" t="s">
        <v>19</v>
      </c>
      <c r="K70" s="3"/>
      <c r="O70" s="7"/>
    </row>
    <row r="71" spans="4:15" ht="20.100000000000001" customHeight="1" x14ac:dyDescent="0.25">
      <c r="K71" s="3"/>
      <c r="O71" s="7"/>
    </row>
    <row r="72" spans="4:15" ht="20.100000000000001" customHeight="1" x14ac:dyDescent="0.25">
      <c r="D72" s="56" t="str">
        <f>'Constants - Dairy'!$D$9</f>
        <v>Sump and dispersal system</v>
      </c>
      <c r="E72" s="49">
        <v>0.25</v>
      </c>
      <c r="F72" s="49">
        <v>0.25</v>
      </c>
      <c r="G72" s="49">
        <v>0.25</v>
      </c>
      <c r="H72" s="49">
        <v>0.25</v>
      </c>
      <c r="I72" s="49">
        <v>0.25</v>
      </c>
      <c r="J72" s="2" t="s">
        <v>19</v>
      </c>
      <c r="O72" s="7"/>
    </row>
    <row r="73" spans="4:15" ht="20.100000000000001" customHeight="1" x14ac:dyDescent="0.25">
      <c r="D73" s="1" t="str">
        <f>"Were solids separated from " &amp; $D$72 &amp; "?"</f>
        <v>Were solids separated from Sump and dispersal system?</v>
      </c>
      <c r="E73" s="42" t="s">
        <v>269</v>
      </c>
      <c r="F73" s="2" t="s">
        <v>11</v>
      </c>
      <c r="O73" s="7"/>
    </row>
    <row r="74" spans="4:15" ht="20.100000000000001" customHeight="1" x14ac:dyDescent="0.25">
      <c r="D74" s="1" t="str">
        <f>"Percent solids separated from " &amp; $D$72 &amp; " (Method 1 - Do not edit)"</f>
        <v>Percent solids separated from Sump and dispersal system (Method 1 - Do not edit)</v>
      </c>
      <c r="E74" s="101">
        <v>0.2</v>
      </c>
      <c r="F74" s="2" t="s">
        <v>19</v>
      </c>
      <c r="O74" s="7"/>
    </row>
    <row r="75" spans="4:15" ht="20.100000000000001" customHeight="1" x14ac:dyDescent="0.25">
      <c r="D75" s="1" t="str">
        <f>"Percent solids separated from " &amp; $D$72 &amp; " (Method 2 - Edit if known)"</f>
        <v>Percent solids separated from Sump and dispersal system (Method 2 - Edit if known)</v>
      </c>
      <c r="E75" s="49">
        <v>0.2</v>
      </c>
      <c r="F75" s="2" t="s">
        <v>19</v>
      </c>
      <c r="O75" s="7"/>
    </row>
    <row r="76" spans="4:15" ht="20.100000000000001" customHeight="1" x14ac:dyDescent="0.25">
      <c r="O76" s="7"/>
    </row>
    <row r="77" spans="4:15" ht="20.100000000000001" customHeight="1" x14ac:dyDescent="0.25">
      <c r="D77" s="56" t="str">
        <f>'Constants - Dairy'!$D$10</f>
        <v>Drains to paddock</v>
      </c>
      <c r="E77" s="49">
        <v>0.25</v>
      </c>
      <c r="F77" s="49">
        <v>0.25</v>
      </c>
      <c r="G77" s="49">
        <v>0.25</v>
      </c>
      <c r="H77" s="49">
        <v>0.25</v>
      </c>
      <c r="I77" s="49">
        <v>0.25</v>
      </c>
      <c r="J77" s="2" t="s">
        <v>19</v>
      </c>
      <c r="O77" s="7"/>
    </row>
    <row r="78" spans="4:15" ht="20.100000000000001" customHeight="1" x14ac:dyDescent="0.25">
      <c r="D78" s="1" t="str">
        <f>"Were solids separated from " &amp; $D$77 &amp; "?"</f>
        <v>Were solids separated from Drains to paddock?</v>
      </c>
      <c r="E78" s="42" t="s">
        <v>269</v>
      </c>
      <c r="F78" s="2" t="s">
        <v>11</v>
      </c>
      <c r="O78" s="7"/>
    </row>
    <row r="79" spans="4:15" ht="20.100000000000001" customHeight="1" x14ac:dyDescent="0.25">
      <c r="D79" s="1" t="str">
        <f>"Percent solids separated from " &amp; $D$77 &amp; " (Method 1 - Do not edit)"</f>
        <v>Percent solids separated from Drains to paddock (Method 1 - Do not edit)</v>
      </c>
      <c r="E79" s="101">
        <v>0.2</v>
      </c>
      <c r="F79" s="2" t="s">
        <v>19</v>
      </c>
      <c r="O79" s="7"/>
    </row>
    <row r="80" spans="4:15" ht="20.100000000000001" customHeight="1" x14ac:dyDescent="0.25">
      <c r="D80" s="1" t="str">
        <f>"Percent solids separated from " &amp; $D$77 &amp; " (Method 2 - Edit if known)"</f>
        <v>Percent solids separated from Drains to paddock (Method 2 - Edit if known)</v>
      </c>
      <c r="E80" s="49">
        <v>0.2</v>
      </c>
      <c r="F80" s="2" t="s">
        <v>19</v>
      </c>
      <c r="O80" s="7"/>
    </row>
    <row r="81" spans="4:15" ht="20.100000000000001" customHeight="1" x14ac:dyDescent="0.25">
      <c r="O81" s="7"/>
    </row>
    <row r="82" spans="4:15" ht="20.100000000000001" customHeight="1" x14ac:dyDescent="0.25">
      <c r="D82" s="56" t="str">
        <f>'Constants - Dairy'!$D$11</f>
        <v>Solid storage</v>
      </c>
      <c r="E82" s="49">
        <v>0.25</v>
      </c>
      <c r="F82" s="49">
        <v>0.25</v>
      </c>
      <c r="G82" s="49">
        <v>0.25</v>
      </c>
      <c r="H82" s="49">
        <v>0.25</v>
      </c>
      <c r="I82" s="49">
        <v>0.25</v>
      </c>
      <c r="J82" s="2" t="s">
        <v>19</v>
      </c>
      <c r="O82" s="7"/>
    </row>
    <row r="83" spans="4:15" ht="20.100000000000001" customHeight="1" x14ac:dyDescent="0.25">
      <c r="D83" s="1" t="str">
        <f>"Perecnt separated from " &amp; $D$67 &amp; " (Method 1)"</f>
        <v>Perecnt separated from Anaerobic lagoon (Method 1)</v>
      </c>
      <c r="E83" s="101">
        <f>E67*$E$69</f>
        <v>0.05</v>
      </c>
      <c r="F83" s="101">
        <f>F67*$E$69</f>
        <v>0.05</v>
      </c>
      <c r="G83" s="101">
        <f>G67*$E$69</f>
        <v>0.05</v>
      </c>
      <c r="H83" s="101">
        <f>H67*$E$69</f>
        <v>0.05</v>
      </c>
      <c r="I83" s="101">
        <f>I67*$E$69</f>
        <v>0.05</v>
      </c>
      <c r="J83" s="2" t="s">
        <v>19</v>
      </c>
      <c r="O83" s="7"/>
    </row>
    <row r="84" spans="4:15" ht="20.100000000000001" customHeight="1" x14ac:dyDescent="0.25">
      <c r="D84" s="1" t="str">
        <f>"Perecnt separated from " &amp; $D$72 &amp; " (Method 1)"</f>
        <v>Perecnt separated from Sump and dispersal system (Method 1)</v>
      </c>
      <c r="E84" s="101">
        <f>E72*$E$74</f>
        <v>0.05</v>
      </c>
      <c r="F84" s="101">
        <f>F72*$E$74</f>
        <v>0.05</v>
      </c>
      <c r="G84" s="101">
        <f>G72*$E$74</f>
        <v>0.05</v>
      </c>
      <c r="H84" s="101">
        <f>H72*$E$74</f>
        <v>0.05</v>
      </c>
      <c r="I84" s="101">
        <f>I72*$E$74</f>
        <v>0.05</v>
      </c>
      <c r="J84" s="2" t="s">
        <v>19</v>
      </c>
      <c r="O84" s="7"/>
    </row>
    <row r="85" spans="4:15" ht="20.100000000000001" customHeight="1" x14ac:dyDescent="0.25">
      <c r="D85" s="1" t="str">
        <f>"Perecnt separated from " &amp; $D$77 &amp; " (Method 1)"</f>
        <v>Perecnt separated from Drains to paddock (Method 1)</v>
      </c>
      <c r="E85" s="101">
        <f>E77*$E$79</f>
        <v>0.05</v>
      </c>
      <c r="F85" s="101">
        <f>F77*$E$79</f>
        <v>0.05</v>
      </c>
      <c r="G85" s="101">
        <f>G77*$E$79</f>
        <v>0.05</v>
      </c>
      <c r="H85" s="101">
        <f>H77*$E$79</f>
        <v>0.05</v>
      </c>
      <c r="I85" s="101">
        <f>I77*$E$79</f>
        <v>0.05</v>
      </c>
      <c r="J85" s="2" t="s">
        <v>19</v>
      </c>
      <c r="O85" s="7"/>
    </row>
    <row r="86" spans="4:15" ht="20.100000000000001" customHeight="1" x14ac:dyDescent="0.25">
      <c r="D86" s="1" t="s">
        <v>271</v>
      </c>
      <c r="E86" s="101">
        <f>E$82+SUM(E83:E85)</f>
        <v>0.4</v>
      </c>
      <c r="F86" s="101">
        <f>F$82+SUM(F83:F85)</f>
        <v>0.4</v>
      </c>
      <c r="G86" s="101">
        <f>G$82+SUM(G83:G85)</f>
        <v>0.4</v>
      </c>
      <c r="H86" s="101">
        <f>H$82+SUM(H83:H85)</f>
        <v>0.4</v>
      </c>
      <c r="I86" s="101">
        <f>I$82+SUM(I83:I85)</f>
        <v>0.4</v>
      </c>
      <c r="J86" s="2" t="s">
        <v>19</v>
      </c>
      <c r="O86" s="7"/>
    </row>
    <row r="87" spans="4:15" ht="20.100000000000001" customHeight="1" x14ac:dyDescent="0.25">
      <c r="O87" s="7"/>
    </row>
    <row r="88" spans="4:15" ht="20.100000000000001" customHeight="1" x14ac:dyDescent="0.25">
      <c r="D88" s="1" t="s">
        <v>270</v>
      </c>
      <c r="E88" s="101">
        <f>(E67-(E67*$E$69))+(E72-(E72*$E$74))+(E77-(E77*$E$79))+E86</f>
        <v>1</v>
      </c>
      <c r="F88" s="101">
        <f>(F67-(F67*$E$69))+(F72-(F72*$E$74))+(F77-(F77*$E$79))+F86</f>
        <v>1</v>
      </c>
      <c r="G88" s="101">
        <f>(G67-(G67*$E$69))+(G72-(G72*$E$74))+(G77-(G77*$E$79))+G86</f>
        <v>1</v>
      </c>
      <c r="H88" s="101">
        <f>(H67-(H67*$E$69))+(H72-(H72*$E$74))+(H77-(H77*$E$79))+H86</f>
        <v>1</v>
      </c>
      <c r="I88" s="101">
        <f>(I67-(I67*$E$69))+(I72-(I72*$E$74))+(I77-(I77*$E$79))+I86</f>
        <v>1</v>
      </c>
      <c r="J88" s="2" t="s">
        <v>19</v>
      </c>
      <c r="O88" s="7"/>
    </row>
    <row r="89" spans="4:15" ht="20.100000000000001" customHeight="1" x14ac:dyDescent="0.25">
      <c r="O89" s="7"/>
    </row>
    <row r="90" spans="4:15" ht="20.100000000000001" customHeight="1" x14ac:dyDescent="0.25">
      <c r="D90" s="1" t="str">
        <f>"Perecnt separated from " &amp; $D$67 &amp; " (Method 2)"</f>
        <v>Perecnt separated from Anaerobic lagoon (Method 2)</v>
      </c>
      <c r="E90" s="101">
        <f>E67*$E$70</f>
        <v>0.05</v>
      </c>
      <c r="F90" s="101">
        <f>F67*$E$70</f>
        <v>0.05</v>
      </c>
      <c r="G90" s="101">
        <f>G67*$E$70</f>
        <v>0.05</v>
      </c>
      <c r="H90" s="101">
        <f>H67*$E$70</f>
        <v>0.05</v>
      </c>
      <c r="I90" s="101">
        <f>I67*$E$70</f>
        <v>0.05</v>
      </c>
      <c r="J90" s="2" t="s">
        <v>19</v>
      </c>
      <c r="O90" s="7"/>
    </row>
    <row r="91" spans="4:15" ht="20.100000000000001" customHeight="1" x14ac:dyDescent="0.25">
      <c r="D91" s="1" t="str">
        <f>"Perecnt separated from " &amp; $D$72 &amp; " (Method 2)"</f>
        <v>Perecnt separated from Sump and dispersal system (Method 2)</v>
      </c>
      <c r="E91" s="101">
        <f>E72*$E$75</f>
        <v>0.05</v>
      </c>
      <c r="F91" s="101">
        <f>F72*$E$75</f>
        <v>0.05</v>
      </c>
      <c r="G91" s="101">
        <f>G72*$E$75</f>
        <v>0.05</v>
      </c>
      <c r="H91" s="101">
        <f>H72*$E$75</f>
        <v>0.05</v>
      </c>
      <c r="I91" s="101">
        <f>I72*$E$75</f>
        <v>0.05</v>
      </c>
      <c r="J91" s="2" t="s">
        <v>19</v>
      </c>
      <c r="O91" s="7"/>
    </row>
    <row r="92" spans="4:15" ht="20.100000000000001" customHeight="1" x14ac:dyDescent="0.25">
      <c r="D92" s="1" t="str">
        <f>"Perecnt separated from " &amp; $D$77 &amp; " (Method 2)"</f>
        <v>Perecnt separated from Drains to paddock (Method 2)</v>
      </c>
      <c r="E92" s="101">
        <f>E77*$E$80</f>
        <v>0.05</v>
      </c>
      <c r="F92" s="101">
        <f>F77*$E$80</f>
        <v>0.05</v>
      </c>
      <c r="G92" s="101">
        <f>G77*$E$80</f>
        <v>0.05</v>
      </c>
      <c r="H92" s="101">
        <f>H77*$E$80</f>
        <v>0.05</v>
      </c>
      <c r="I92" s="101">
        <f>I77*$E$80</f>
        <v>0.05</v>
      </c>
      <c r="J92" s="2" t="s">
        <v>19</v>
      </c>
      <c r="O92" s="7"/>
    </row>
    <row r="93" spans="4:15" ht="20.100000000000001" customHeight="1" x14ac:dyDescent="0.25">
      <c r="D93" s="1" t="s">
        <v>272</v>
      </c>
      <c r="E93" s="101">
        <f>E$82+SUM(E90:E92)</f>
        <v>0.4</v>
      </c>
      <c r="F93" s="101">
        <f>F$82+SUM(F90:F92)</f>
        <v>0.4</v>
      </c>
      <c r="G93" s="101">
        <f>G$82+SUM(G90:G92)</f>
        <v>0.4</v>
      </c>
      <c r="H93" s="101">
        <f>H$82+SUM(H90:H92)</f>
        <v>0.4</v>
      </c>
      <c r="I93" s="101">
        <f>I$82+SUM(I90:I92)</f>
        <v>0.4</v>
      </c>
      <c r="J93" s="2" t="s">
        <v>19</v>
      </c>
      <c r="O93" s="7"/>
    </row>
    <row r="94" spans="4:15" ht="20.100000000000001" customHeight="1" x14ac:dyDescent="0.25">
      <c r="O94" s="7"/>
    </row>
    <row r="95" spans="4:15" ht="20.100000000000001" customHeight="1" x14ac:dyDescent="0.25">
      <c r="D95" s="1" t="s">
        <v>273</v>
      </c>
      <c r="E95" s="101">
        <f>(E67-(E67*$E$70))+(E72-(E72*$E$75))+(E77-(E77*$E$80))+E93</f>
        <v>1</v>
      </c>
      <c r="F95" s="101">
        <f>(F67-(F67*$E$70))+(F72-(F72*$E$75))+(F77-(F77*$E$80))+F93</f>
        <v>1</v>
      </c>
      <c r="G95" s="101">
        <f>(G67-(G67*$E$70))+(G72-(G72*$E$75))+(G77-(G77*$E$80))+G93</f>
        <v>1</v>
      </c>
      <c r="H95" s="101">
        <f>(H67-(H67*$E$70))+(H72-(H72*$E$75))+(H77-(H77*$E$80))+H93</f>
        <v>1</v>
      </c>
      <c r="I95" s="101">
        <f>(I67-(I67*$E$70))+(I72-(I72*$E$75))+(I77-(I77*$E$80))+I93</f>
        <v>1</v>
      </c>
      <c r="J95" s="2" t="s">
        <v>19</v>
      </c>
      <c r="O95" s="7"/>
    </row>
    <row r="96" spans="4:15" ht="20.100000000000001" customHeight="1" x14ac:dyDescent="0.25">
      <c r="O96" s="7"/>
    </row>
    <row r="97" spans="4:15" ht="20.100000000000001" customHeight="1" x14ac:dyDescent="0.25">
      <c r="O97" s="7"/>
    </row>
    <row r="98" spans="4:15" ht="20.100000000000001" customHeight="1" x14ac:dyDescent="0.25">
      <c r="D98" s="51" t="str">
        <f>"From " &amp; $D$55</f>
        <v>From Feed pad</v>
      </c>
      <c r="O98" s="7"/>
    </row>
    <row r="99" spans="4:15" ht="20.100000000000001" customHeight="1" x14ac:dyDescent="0.25">
      <c r="O99" s="7"/>
    </row>
    <row r="100" spans="4:15" ht="20.100000000000001" customHeight="1" x14ac:dyDescent="0.25">
      <c r="D100" s="66" t="s">
        <v>102</v>
      </c>
      <c r="E100" s="41" t="s">
        <v>234</v>
      </c>
      <c r="F100" s="41" t="s">
        <v>251</v>
      </c>
      <c r="G100" s="41" t="s">
        <v>252</v>
      </c>
      <c r="H100" s="41" t="s">
        <v>253</v>
      </c>
      <c r="I100" s="41" t="s">
        <v>254</v>
      </c>
      <c r="O100" s="7"/>
    </row>
    <row r="101" spans="4:15" ht="20.100000000000001" customHeight="1" x14ac:dyDescent="0.25">
      <c r="D101" s="56" t="str">
        <f>'Constants - Dairy'!$D$8</f>
        <v>Anaerobic lagoon</v>
      </c>
      <c r="E101" s="49">
        <v>0.25</v>
      </c>
      <c r="F101" s="49">
        <v>0.25</v>
      </c>
      <c r="G101" s="49">
        <v>0.25</v>
      </c>
      <c r="H101" s="49">
        <v>0.25</v>
      </c>
      <c r="I101" s="49">
        <v>0.25</v>
      </c>
      <c r="J101" s="2" t="s">
        <v>19</v>
      </c>
      <c r="O101" s="7"/>
    </row>
    <row r="102" spans="4:15" ht="20.100000000000001" customHeight="1" x14ac:dyDescent="0.25">
      <c r="D102" s="1" t="str">
        <f>"Were solids separated from " &amp; $D$67 &amp; "?"</f>
        <v>Were solids separated from Anaerobic lagoon?</v>
      </c>
      <c r="E102" s="42" t="s">
        <v>277</v>
      </c>
      <c r="F102" s="2" t="s">
        <v>11</v>
      </c>
      <c r="O102" s="7"/>
    </row>
    <row r="103" spans="4:15" ht="20.100000000000001" customHeight="1" x14ac:dyDescent="0.25">
      <c r="D103" s="1" t="str">
        <f>"Percent solids separated from " &amp; $D$67 &amp; " (Method 1 - Do not edit)"</f>
        <v>Percent solids separated from Anaerobic lagoon (Method 1 - Do not edit)</v>
      </c>
      <c r="E103" s="101">
        <f>IF(E102="Yes", 20%, 0)</f>
        <v>0</v>
      </c>
      <c r="F103" s="2" t="s">
        <v>19</v>
      </c>
      <c r="O103" s="7"/>
    </row>
    <row r="104" spans="4:15" ht="20.100000000000001" customHeight="1" x14ac:dyDescent="0.25">
      <c r="D104" s="1" t="str">
        <f>"Percent solids separated from " &amp; $D$67 &amp; " (Method 2 - Edit if known)"</f>
        <v>Percent solids separated from Anaerobic lagoon (Method 2 - Edit if known)</v>
      </c>
      <c r="E104" s="49">
        <f>IF(E102="Yes", 20%, 0)</f>
        <v>0</v>
      </c>
      <c r="F104" s="2" t="s">
        <v>19</v>
      </c>
      <c r="O104" s="7"/>
    </row>
    <row r="105" spans="4:15" ht="20.100000000000001" customHeight="1" x14ac:dyDescent="0.25">
      <c r="O105" s="7"/>
    </row>
    <row r="106" spans="4:15" ht="20.100000000000001" customHeight="1" x14ac:dyDescent="0.25">
      <c r="D106" s="56" t="str">
        <f>'Constants - Dairy'!$D$9</f>
        <v>Sump and dispersal system</v>
      </c>
      <c r="E106" s="49">
        <v>0.25</v>
      </c>
      <c r="F106" s="49">
        <v>0.25</v>
      </c>
      <c r="G106" s="49">
        <v>0.25</v>
      </c>
      <c r="H106" s="49">
        <v>0.25</v>
      </c>
      <c r="I106" s="49">
        <v>0.25</v>
      </c>
      <c r="J106" s="2" t="s">
        <v>19</v>
      </c>
      <c r="O106" s="7"/>
    </row>
    <row r="107" spans="4:15" ht="20.100000000000001" customHeight="1" x14ac:dyDescent="0.25">
      <c r="D107" s="1" t="str">
        <f>"Were solids separated from " &amp; $D$72 &amp; "?"</f>
        <v>Were solids separated from Sump and dispersal system?</v>
      </c>
      <c r="E107" s="42" t="s">
        <v>269</v>
      </c>
      <c r="F107" s="2" t="s">
        <v>11</v>
      </c>
    </row>
    <row r="108" spans="4:15" ht="20.100000000000001" customHeight="1" x14ac:dyDescent="0.25">
      <c r="D108" s="1" t="str">
        <f>"Percent solids separated from " &amp; $D$72 &amp; " (Method 1 - Do not edit)"</f>
        <v>Percent solids separated from Sump and dispersal system (Method 1 - Do not edit)</v>
      </c>
      <c r="E108" s="101">
        <f>IF(E107="Yes", 20%, 0)</f>
        <v>0.2</v>
      </c>
      <c r="F108" s="2" t="s">
        <v>19</v>
      </c>
    </row>
    <row r="109" spans="4:15" ht="20.100000000000001" customHeight="1" x14ac:dyDescent="0.25">
      <c r="D109" s="1" t="str">
        <f>"Percent solids separated from " &amp; $D$72 &amp; " (Method 2 - Edit if known)"</f>
        <v>Percent solids separated from Sump and dispersal system (Method 2 - Edit if known)</v>
      </c>
      <c r="E109" s="49">
        <f>IF(E107="Yes", 20%, 0)</f>
        <v>0.2</v>
      </c>
      <c r="F109" s="2" t="s">
        <v>19</v>
      </c>
    </row>
    <row r="110" spans="4:15" ht="20.100000000000001" customHeight="1" x14ac:dyDescent="0.25"/>
    <row r="111" spans="4:15" ht="20.100000000000001" customHeight="1" x14ac:dyDescent="0.25">
      <c r="D111" s="56" t="str">
        <f>'Constants - Dairy'!$D$10</f>
        <v>Drains to paddock</v>
      </c>
      <c r="E111" s="49">
        <v>0.25</v>
      </c>
      <c r="F111" s="49">
        <v>0.25</v>
      </c>
      <c r="G111" s="49">
        <v>0.25</v>
      </c>
      <c r="H111" s="49">
        <v>0.25</v>
      </c>
      <c r="I111" s="49">
        <v>0.25</v>
      </c>
      <c r="J111" s="2" t="s">
        <v>19</v>
      </c>
    </row>
    <row r="112" spans="4:15" ht="20.100000000000001" customHeight="1" x14ac:dyDescent="0.25">
      <c r="D112" s="1" t="str">
        <f>"Were solids separated from " &amp; $D$77 &amp; "?"</f>
        <v>Were solids separated from Drains to paddock?</v>
      </c>
      <c r="E112" s="42" t="s">
        <v>269</v>
      </c>
      <c r="F112" s="2" t="s">
        <v>11</v>
      </c>
    </row>
    <row r="113" spans="4:10" ht="20.100000000000001" customHeight="1" x14ac:dyDescent="0.25">
      <c r="D113" s="1" t="str">
        <f>"Percent solids separated from " &amp; $D$77 &amp; " (Method 1 - Do not edit)"</f>
        <v>Percent solids separated from Drains to paddock (Method 1 - Do not edit)</v>
      </c>
      <c r="E113" s="101">
        <f>IF(E112="Yes", 20%, 0)</f>
        <v>0.2</v>
      </c>
      <c r="F113" s="2" t="s">
        <v>19</v>
      </c>
    </row>
    <row r="114" spans="4:10" ht="20.100000000000001" customHeight="1" x14ac:dyDescent="0.25">
      <c r="D114" s="1" t="str">
        <f>"Percent solids separated from " &amp; $D$77 &amp; " (Method 2 - Edit if known)"</f>
        <v>Percent solids separated from Drains to paddock (Method 2 - Edit if known)</v>
      </c>
      <c r="E114" s="49">
        <f>IF(E112="Yes", 20%, 0)</f>
        <v>0.2</v>
      </c>
      <c r="F114" s="2" t="s">
        <v>19</v>
      </c>
    </row>
    <row r="115" spans="4:10" ht="20.100000000000001" customHeight="1" x14ac:dyDescent="0.25"/>
    <row r="116" spans="4:10" ht="20.100000000000001" customHeight="1" x14ac:dyDescent="0.25">
      <c r="D116" s="56" t="str">
        <f>'Constants - Dairy'!$D$11</f>
        <v>Solid storage</v>
      </c>
      <c r="E116" s="49">
        <v>0.25</v>
      </c>
      <c r="F116" s="49">
        <v>0.25</v>
      </c>
      <c r="G116" s="49">
        <v>0.25</v>
      </c>
      <c r="H116" s="49">
        <v>0.25</v>
      </c>
      <c r="I116" s="49">
        <v>0.25</v>
      </c>
      <c r="J116" s="2" t="s">
        <v>19</v>
      </c>
    </row>
    <row r="117" spans="4:10" ht="20.100000000000001" customHeight="1" x14ac:dyDescent="0.25">
      <c r="D117" s="1" t="str">
        <f>"Perecnt separated from " &amp; $D$67 &amp; " (Method 1)"</f>
        <v>Perecnt separated from Anaerobic lagoon (Method 1)</v>
      </c>
      <c r="E117" s="101">
        <f>E101*$E$103</f>
        <v>0</v>
      </c>
      <c r="F117" s="101">
        <f>F101*$E$103</f>
        <v>0</v>
      </c>
      <c r="G117" s="101">
        <f>G101*$E$103</f>
        <v>0</v>
      </c>
      <c r="H117" s="101">
        <f>H101*$E$103</f>
        <v>0</v>
      </c>
      <c r="I117" s="101">
        <f>I101*$E$103</f>
        <v>0</v>
      </c>
      <c r="J117" s="2" t="s">
        <v>19</v>
      </c>
    </row>
    <row r="118" spans="4:10" ht="20.100000000000001" customHeight="1" x14ac:dyDescent="0.25">
      <c r="D118" s="1" t="str">
        <f>"Perecnt separated from " &amp; $D$72 &amp; " (Method 1)"</f>
        <v>Perecnt separated from Sump and dispersal system (Method 1)</v>
      </c>
      <c r="E118" s="101">
        <f>E106*$E$108</f>
        <v>0.05</v>
      </c>
      <c r="F118" s="101">
        <f>F106*$E$108</f>
        <v>0.05</v>
      </c>
      <c r="G118" s="101">
        <f>G106*$E$108</f>
        <v>0.05</v>
      </c>
      <c r="H118" s="101">
        <f>H106*$E$108</f>
        <v>0.05</v>
      </c>
      <c r="I118" s="101">
        <f>I106*$E$108</f>
        <v>0.05</v>
      </c>
      <c r="J118" s="2" t="s">
        <v>19</v>
      </c>
    </row>
    <row r="119" spans="4:10" ht="20.100000000000001" customHeight="1" x14ac:dyDescent="0.25">
      <c r="D119" s="1" t="str">
        <f>"Perecnt separated from " &amp; $D$77 &amp; " (Method 1)"</f>
        <v>Perecnt separated from Drains to paddock (Method 1)</v>
      </c>
      <c r="E119" s="101">
        <f>E111*$E$113</f>
        <v>0.05</v>
      </c>
      <c r="F119" s="101">
        <f>F111*$E$113</f>
        <v>0.05</v>
      </c>
      <c r="G119" s="101">
        <f>G111*$E$113</f>
        <v>0.05</v>
      </c>
      <c r="H119" s="101">
        <f>H111*$E$113</f>
        <v>0.05</v>
      </c>
      <c r="I119" s="101">
        <f>I111*$E$113</f>
        <v>0.05</v>
      </c>
      <c r="J119" s="2" t="s">
        <v>19</v>
      </c>
    </row>
    <row r="120" spans="4:10" ht="20.100000000000001" customHeight="1" x14ac:dyDescent="0.25">
      <c r="D120" s="1" t="s">
        <v>271</v>
      </c>
      <c r="E120" s="101">
        <f>E$116+SUM(E117:E119)</f>
        <v>0.35</v>
      </c>
      <c r="F120" s="101">
        <f>F$116+SUM(F117:F119)</f>
        <v>0.35</v>
      </c>
      <c r="G120" s="101">
        <f>G$116+SUM(G117:G119)</f>
        <v>0.35</v>
      </c>
      <c r="H120" s="101">
        <f>H$116+SUM(H117:H119)</f>
        <v>0.35</v>
      </c>
      <c r="I120" s="101">
        <f>I$116+SUM(I117:I119)</f>
        <v>0.35</v>
      </c>
      <c r="J120" s="2" t="s">
        <v>19</v>
      </c>
    </row>
    <row r="121" spans="4:10" ht="20.100000000000001" customHeight="1" x14ac:dyDescent="0.25"/>
    <row r="122" spans="4:10" ht="20.100000000000001" customHeight="1" x14ac:dyDescent="0.25">
      <c r="D122" s="1" t="s">
        <v>270</v>
      </c>
      <c r="E122" s="101">
        <f>(E101-(E101*$E$103))+(E106-(E106*$E$108))+(E111-(E111*$E$113))+E120</f>
        <v>1</v>
      </c>
      <c r="F122" s="101">
        <f>(F101-(F101*$E$103))+(F106-(F106*$E$108))+(F111-(F111*$E$113))+F120</f>
        <v>1</v>
      </c>
      <c r="G122" s="101">
        <f>(G101-(G101*$E$103))+(G106-(G106*$E$108))+(G111-(G111*$E$113))+G120</f>
        <v>1</v>
      </c>
      <c r="H122" s="101">
        <f>(H101-(H101*$E$103))+(H106-(H106*$E$108))+(H111-(H111*$E$113))+H120</f>
        <v>1</v>
      </c>
      <c r="I122" s="101">
        <f>(I101-(I101*$E$103))+(I106-(I106*$E$108))+(I111-(I111*$E$113))+I120</f>
        <v>1</v>
      </c>
      <c r="J122" s="2" t="s">
        <v>19</v>
      </c>
    </row>
    <row r="123" spans="4:10" ht="20.100000000000001" customHeight="1" x14ac:dyDescent="0.25"/>
    <row r="124" spans="4:10" ht="20.100000000000001" customHeight="1" x14ac:dyDescent="0.25">
      <c r="D124" s="1" t="str">
        <f>"Perecnt separated from " &amp; $D$67 &amp; " (Method 2)"</f>
        <v>Perecnt separated from Anaerobic lagoon (Method 2)</v>
      </c>
      <c r="E124" s="101">
        <f>E101*$E$104</f>
        <v>0</v>
      </c>
      <c r="F124" s="101">
        <f>F101*$E$104</f>
        <v>0</v>
      </c>
      <c r="G124" s="101">
        <f>G101*$E$104</f>
        <v>0</v>
      </c>
      <c r="H124" s="101">
        <f>H101*$E$104</f>
        <v>0</v>
      </c>
      <c r="I124" s="101">
        <f>I101*$E$104</f>
        <v>0</v>
      </c>
      <c r="J124" s="2" t="s">
        <v>19</v>
      </c>
    </row>
    <row r="125" spans="4:10" ht="20.100000000000001" customHeight="1" x14ac:dyDescent="0.25">
      <c r="D125" s="1" t="str">
        <f>"Perecnt separated from " &amp; $D$72 &amp; " (Method 2)"</f>
        <v>Perecnt separated from Sump and dispersal system (Method 2)</v>
      </c>
      <c r="E125" s="101">
        <f>E106*$E$109</f>
        <v>0.05</v>
      </c>
      <c r="F125" s="101">
        <f>F106*$E$109</f>
        <v>0.05</v>
      </c>
      <c r="G125" s="101">
        <f>G106*$E$109</f>
        <v>0.05</v>
      </c>
      <c r="H125" s="101">
        <f>H106*$E$109</f>
        <v>0.05</v>
      </c>
      <c r="I125" s="101">
        <f>I106*$E$109</f>
        <v>0.05</v>
      </c>
      <c r="J125" s="2" t="s">
        <v>19</v>
      </c>
    </row>
    <row r="126" spans="4:10" ht="20.100000000000001" customHeight="1" x14ac:dyDescent="0.25">
      <c r="D126" s="1" t="str">
        <f>"Perecnt separated from " &amp; $D$77 &amp; " (Method 2)"</f>
        <v>Perecnt separated from Drains to paddock (Method 2)</v>
      </c>
      <c r="E126" s="101">
        <f>E111*$E$114</f>
        <v>0.05</v>
      </c>
      <c r="F126" s="101">
        <f>F111*$E$114</f>
        <v>0.05</v>
      </c>
      <c r="G126" s="101">
        <f>G111*$E$114</f>
        <v>0.05</v>
      </c>
      <c r="H126" s="101">
        <f>H111*$E$114</f>
        <v>0.05</v>
      </c>
      <c r="I126" s="101">
        <f>I111*$E$114</f>
        <v>0.05</v>
      </c>
      <c r="J126" s="2" t="s">
        <v>19</v>
      </c>
    </row>
    <row r="127" spans="4:10" ht="20.100000000000001" customHeight="1" x14ac:dyDescent="0.25">
      <c r="D127" s="1" t="s">
        <v>272</v>
      </c>
      <c r="E127" s="101">
        <f>E$116+SUM(E124:E126)</f>
        <v>0.35</v>
      </c>
      <c r="F127" s="101">
        <f>F$116+SUM(F124:F126)</f>
        <v>0.35</v>
      </c>
      <c r="G127" s="101">
        <f>G$116+SUM(G124:G126)</f>
        <v>0.35</v>
      </c>
      <c r="H127" s="101">
        <f>H$116+SUM(H124:H126)</f>
        <v>0.35</v>
      </c>
      <c r="I127" s="101">
        <f>I$116+SUM(I124:I126)</f>
        <v>0.35</v>
      </c>
      <c r="J127" s="2" t="s">
        <v>19</v>
      </c>
    </row>
    <row r="128" spans="4:10" ht="20.100000000000001" customHeight="1" x14ac:dyDescent="0.25">
      <c r="E128" s="140"/>
      <c r="F128" s="140"/>
    </row>
    <row r="129" spans="4:10" ht="20.100000000000001" customHeight="1" x14ac:dyDescent="0.25">
      <c r="D129" s="1" t="s">
        <v>273</v>
      </c>
      <c r="E129" s="101">
        <f>(E101-(E101*$E$104))+(E106-(E106*$E$109))+(E111-(E111*$E$114))+E127</f>
        <v>1</v>
      </c>
      <c r="F129" s="101">
        <f>(F101-(F101*$E$104))+(F106-(F106*$E$109))+(F111-(F111*$E$114))+F127</f>
        <v>1</v>
      </c>
      <c r="G129" s="101">
        <f>(G101-(G101*$E$104))+(G106-(G106*$E$109))+(G111-(G111*$E$114))+G127</f>
        <v>1</v>
      </c>
      <c r="H129" s="101">
        <f>(H101-(H101*$E$104))+(H106-(H106*$E$109))+(H111-(H111*$E$114))+H127</f>
        <v>1</v>
      </c>
      <c r="I129" s="101">
        <f>(I101-(I101*$E$104))+(I106-(I106*$E$109))+(I111-(I111*$E$114))+I127</f>
        <v>1</v>
      </c>
      <c r="J129" s="2" t="s">
        <v>19</v>
      </c>
    </row>
    <row r="130" spans="4:10" ht="20.100000000000001" customHeight="1" x14ac:dyDescent="0.25"/>
    <row r="131" spans="4:10" ht="20.100000000000001" customHeight="1" x14ac:dyDescent="0.25"/>
    <row r="132" spans="4:10" ht="20.100000000000001" customHeight="1" x14ac:dyDescent="0.25">
      <c r="D132" s="6" t="s">
        <v>275</v>
      </c>
    </row>
    <row r="133" spans="4:10" ht="20.100000000000001" customHeight="1" x14ac:dyDescent="0.25">
      <c r="D133" s="51" t="s">
        <v>274</v>
      </c>
    </row>
    <row r="134" spans="4:10" ht="20.100000000000001" customHeight="1" x14ac:dyDescent="0.25"/>
    <row r="135" spans="4:10" ht="20.100000000000001" customHeight="1" x14ac:dyDescent="0.25">
      <c r="D135" s="66" t="s">
        <v>102</v>
      </c>
      <c r="E135" s="41" t="s">
        <v>234</v>
      </c>
      <c r="F135" s="41" t="s">
        <v>251</v>
      </c>
      <c r="G135" s="41" t="s">
        <v>252</v>
      </c>
      <c r="H135" s="41" t="s">
        <v>253</v>
      </c>
      <c r="I135" s="41" t="s">
        <v>254</v>
      </c>
    </row>
    <row r="136" spans="4:10" ht="20.100000000000001" customHeight="1" x14ac:dyDescent="0.25">
      <c r="D136" s="56" t="str">
        <f>"Sent from stage 1: " &amp; $D$67 &amp; " to:"</f>
        <v>Sent from stage 1: Anaerobic lagoon to:</v>
      </c>
      <c r="E136" s="58"/>
    </row>
    <row r="137" spans="4:10" ht="20.100000000000001" customHeight="1" x14ac:dyDescent="0.25">
      <c r="D137" s="1" t="s">
        <v>111</v>
      </c>
      <c r="E137" s="49">
        <v>0.25</v>
      </c>
      <c r="F137" s="49">
        <v>0.25</v>
      </c>
      <c r="G137" s="49">
        <v>0.25</v>
      </c>
      <c r="H137" s="49">
        <v>0.25</v>
      </c>
      <c r="I137" s="49">
        <v>0.25</v>
      </c>
      <c r="J137" s="2" t="s">
        <v>19</v>
      </c>
    </row>
    <row r="138" spans="4:10" ht="20.100000000000001" customHeight="1" x14ac:dyDescent="0.25">
      <c r="D138" s="1" t="s">
        <v>279</v>
      </c>
      <c r="E138" s="49">
        <v>0.25</v>
      </c>
      <c r="F138" s="49">
        <v>0.25</v>
      </c>
      <c r="G138" s="49">
        <v>0.25</v>
      </c>
      <c r="H138" s="49">
        <v>0.25</v>
      </c>
      <c r="I138" s="49">
        <v>0.25</v>
      </c>
      <c r="J138" s="2" t="s">
        <v>19</v>
      </c>
    </row>
    <row r="139" spans="4:10" ht="20.100000000000001" customHeight="1" x14ac:dyDescent="0.25">
      <c r="D139" s="1" t="s">
        <v>151</v>
      </c>
      <c r="E139" s="101">
        <f t="shared" ref="E139:I139" si="1">1-SUM(E137:E138)</f>
        <v>0.5</v>
      </c>
      <c r="F139" s="101">
        <f t="shared" si="1"/>
        <v>0.5</v>
      </c>
      <c r="G139" s="101">
        <f t="shared" si="1"/>
        <v>0.5</v>
      </c>
      <c r="H139" s="101">
        <f t="shared" si="1"/>
        <v>0.5</v>
      </c>
      <c r="I139" s="101">
        <f t="shared" si="1"/>
        <v>0.5</v>
      </c>
      <c r="J139" s="2" t="s">
        <v>19</v>
      </c>
    </row>
    <row r="140" spans="4:10" ht="20.100000000000001" customHeight="1" x14ac:dyDescent="0.25"/>
    <row r="141" spans="4:10" ht="20.100000000000001" customHeight="1" x14ac:dyDescent="0.25">
      <c r="D141" s="56" t="str">
        <f>"Sent from stage 1: " &amp; $D$72 &amp; " to:"</f>
        <v>Sent from stage 1: Sump and dispersal system to:</v>
      </c>
    </row>
    <row r="142" spans="4:10" ht="20.100000000000001" customHeight="1" x14ac:dyDescent="0.25">
      <c r="D142" s="1" t="s">
        <v>111</v>
      </c>
      <c r="E142" s="49">
        <v>0.25</v>
      </c>
      <c r="F142" s="49">
        <v>0.25</v>
      </c>
      <c r="G142" s="49">
        <v>0.25</v>
      </c>
      <c r="H142" s="49">
        <v>0.25</v>
      </c>
      <c r="I142" s="49">
        <v>0.25</v>
      </c>
      <c r="J142" s="2" t="s">
        <v>19</v>
      </c>
    </row>
    <row r="143" spans="4:10" ht="20.100000000000001" customHeight="1" x14ac:dyDescent="0.25">
      <c r="D143" s="1" t="s">
        <v>279</v>
      </c>
      <c r="E143" s="49">
        <v>0.25</v>
      </c>
      <c r="F143" s="49">
        <v>0.25</v>
      </c>
      <c r="G143" s="49">
        <v>0.25</v>
      </c>
      <c r="H143" s="49">
        <v>0.25</v>
      </c>
      <c r="I143" s="49">
        <v>0.25</v>
      </c>
      <c r="J143" s="2" t="s">
        <v>19</v>
      </c>
    </row>
    <row r="144" spans="4:10" ht="20.100000000000001" customHeight="1" x14ac:dyDescent="0.25">
      <c r="D144" s="1" t="s">
        <v>151</v>
      </c>
      <c r="E144" s="101">
        <f>1-SUM(E142:E143)</f>
        <v>0.5</v>
      </c>
      <c r="F144" s="101">
        <f t="shared" ref="F144:I144" si="2">1-SUM(F142:F143)</f>
        <v>0.5</v>
      </c>
      <c r="G144" s="101">
        <f t="shared" si="2"/>
        <v>0.5</v>
      </c>
      <c r="H144" s="101">
        <f t="shared" si="2"/>
        <v>0.5</v>
      </c>
      <c r="I144" s="101">
        <f t="shared" si="2"/>
        <v>0.5</v>
      </c>
      <c r="J144" s="2" t="s">
        <v>19</v>
      </c>
    </row>
    <row r="145" spans="4:10" ht="20.100000000000001" customHeight="1" x14ac:dyDescent="0.25"/>
    <row r="146" spans="4:10" ht="20.100000000000001" customHeight="1" x14ac:dyDescent="0.25">
      <c r="D146" s="56" t="str">
        <f>"Sent from stage 1: " &amp; $D$77 &amp; " to:"</f>
        <v>Sent from stage 1: Drains to paddock to:</v>
      </c>
    </row>
    <row r="147" spans="4:10" ht="20.100000000000001" customHeight="1" x14ac:dyDescent="0.25">
      <c r="D147" s="1" t="s">
        <v>111</v>
      </c>
      <c r="E147" s="49">
        <v>0.25</v>
      </c>
      <c r="F147" s="49">
        <v>0.25</v>
      </c>
      <c r="G147" s="49">
        <v>0.25</v>
      </c>
      <c r="H147" s="49">
        <v>0.25</v>
      </c>
      <c r="I147" s="49">
        <v>0.25</v>
      </c>
      <c r="J147" s="2" t="s">
        <v>19</v>
      </c>
    </row>
    <row r="148" spans="4:10" ht="20.100000000000001" customHeight="1" x14ac:dyDescent="0.25">
      <c r="D148" s="1" t="s">
        <v>279</v>
      </c>
      <c r="E148" s="49">
        <v>0.25</v>
      </c>
      <c r="F148" s="49">
        <v>0.25</v>
      </c>
      <c r="G148" s="49">
        <v>0.25</v>
      </c>
      <c r="H148" s="49">
        <v>0.25</v>
      </c>
      <c r="I148" s="49">
        <v>0.25</v>
      </c>
      <c r="J148" s="2" t="s">
        <v>19</v>
      </c>
    </row>
    <row r="149" spans="4:10" ht="20.100000000000001" customHeight="1" x14ac:dyDescent="0.25">
      <c r="D149" s="1" t="s">
        <v>151</v>
      </c>
      <c r="E149" s="101">
        <f>1-SUM(E147:E148)</f>
        <v>0.5</v>
      </c>
      <c r="F149" s="101">
        <f t="shared" ref="F149:I149" si="3">1-SUM(F147:F148)</f>
        <v>0.5</v>
      </c>
      <c r="G149" s="101">
        <f t="shared" si="3"/>
        <v>0.5</v>
      </c>
      <c r="H149" s="101">
        <f t="shared" si="3"/>
        <v>0.5</v>
      </c>
      <c r="I149" s="101">
        <f t="shared" si="3"/>
        <v>0.5</v>
      </c>
      <c r="J149" s="2" t="s">
        <v>19</v>
      </c>
    </row>
    <row r="150" spans="4:10" ht="20.100000000000001" customHeight="1" x14ac:dyDescent="0.25"/>
    <row r="151" spans="4:10" ht="20.100000000000001" customHeight="1" x14ac:dyDescent="0.25">
      <c r="D151" s="56" t="str">
        <f>"Sent from stage 1: " &amp; $D$82 &amp; " to:"</f>
        <v>Sent from stage 1: Solid storage to:</v>
      </c>
    </row>
    <row r="152" spans="4:10" ht="20.100000000000001" customHeight="1" x14ac:dyDescent="0.25">
      <c r="D152" s="1" t="s">
        <v>111</v>
      </c>
      <c r="E152" s="49">
        <v>0.25</v>
      </c>
      <c r="F152" s="49">
        <v>0.25</v>
      </c>
      <c r="G152" s="49">
        <v>0.25</v>
      </c>
      <c r="H152" s="49">
        <v>0.25</v>
      </c>
      <c r="I152" s="49">
        <v>0.25</v>
      </c>
      <c r="J152" s="2" t="s">
        <v>19</v>
      </c>
    </row>
    <row r="153" spans="4:10" ht="20.100000000000001" customHeight="1" x14ac:dyDescent="0.25">
      <c r="D153" s="1" t="s">
        <v>279</v>
      </c>
      <c r="E153" s="49">
        <v>0.25</v>
      </c>
      <c r="F153" s="49">
        <v>0.25</v>
      </c>
      <c r="G153" s="49">
        <v>0.25</v>
      </c>
      <c r="H153" s="49">
        <v>0.25</v>
      </c>
      <c r="I153" s="49">
        <v>0.25</v>
      </c>
      <c r="J153" s="2" t="s">
        <v>19</v>
      </c>
    </row>
    <row r="154" spans="4:10" ht="20.100000000000001" customHeight="1" x14ac:dyDescent="0.25">
      <c r="D154" s="1" t="s">
        <v>151</v>
      </c>
      <c r="E154" s="101">
        <f>1-SUM(E152:E153)</f>
        <v>0.5</v>
      </c>
      <c r="F154" s="101">
        <f t="shared" ref="F154:I154" si="4">1-SUM(F152:F153)</f>
        <v>0.5</v>
      </c>
      <c r="G154" s="101">
        <f t="shared" si="4"/>
        <v>0.5</v>
      </c>
      <c r="H154" s="101">
        <f t="shared" si="4"/>
        <v>0.5</v>
      </c>
      <c r="I154" s="101">
        <f t="shared" si="4"/>
        <v>0.5</v>
      </c>
      <c r="J154" s="2" t="s">
        <v>19</v>
      </c>
    </row>
    <row r="155" spans="4:10" ht="20.100000000000001" customHeight="1" x14ac:dyDescent="0.25"/>
    <row r="156" spans="4:10" ht="20.100000000000001" customHeight="1" x14ac:dyDescent="0.25">
      <c r="D156" s="113"/>
    </row>
    <row r="157" spans="4:10" ht="20.100000000000001" customHeight="1" x14ac:dyDescent="0.25">
      <c r="D157" s="51" t="str">
        <f>"From " &amp; $D$54</f>
        <v>From Milking shed</v>
      </c>
    </row>
    <row r="158" spans="4:10" ht="20.100000000000001" customHeight="1" x14ac:dyDescent="0.25"/>
    <row r="159" spans="4:10" ht="20.100000000000001" customHeight="1" x14ac:dyDescent="0.25">
      <c r="D159" s="66" t="s">
        <v>102</v>
      </c>
      <c r="E159" s="41" t="s">
        <v>234</v>
      </c>
      <c r="F159" s="41" t="s">
        <v>251</v>
      </c>
      <c r="G159" s="41" t="s">
        <v>252</v>
      </c>
      <c r="H159" s="41" t="s">
        <v>253</v>
      </c>
      <c r="I159" s="41" t="s">
        <v>254</v>
      </c>
    </row>
    <row r="160" spans="4:10" ht="20.100000000000001" customHeight="1" x14ac:dyDescent="0.25">
      <c r="D160" s="56" t="str">
        <f>"Sent from stage 1: " &amp; $D$67 &amp; " to:"</f>
        <v>Sent from stage 1: Anaerobic lagoon to:</v>
      </c>
      <c r="E160" s="58"/>
    </row>
    <row r="161" spans="4:10" ht="20.100000000000001" customHeight="1" x14ac:dyDescent="0.25">
      <c r="D161" s="1" t="s">
        <v>111</v>
      </c>
      <c r="E161" s="49">
        <v>0.25</v>
      </c>
      <c r="F161" s="49">
        <v>0.25</v>
      </c>
      <c r="G161" s="49">
        <v>0.25</v>
      </c>
      <c r="H161" s="49">
        <v>0.25</v>
      </c>
      <c r="I161" s="49">
        <v>0.25</v>
      </c>
      <c r="J161" s="2" t="s">
        <v>19</v>
      </c>
    </row>
    <row r="162" spans="4:10" ht="20.100000000000001" customHeight="1" x14ac:dyDescent="0.25">
      <c r="D162" s="1" t="s">
        <v>279</v>
      </c>
      <c r="E162" s="49">
        <v>0.25</v>
      </c>
      <c r="F162" s="49">
        <v>0.25</v>
      </c>
      <c r="G162" s="49">
        <v>0.25</v>
      </c>
      <c r="H162" s="49">
        <v>0.25</v>
      </c>
      <c r="I162" s="49">
        <v>0.25</v>
      </c>
      <c r="J162" s="2" t="s">
        <v>19</v>
      </c>
    </row>
    <row r="163" spans="4:10" ht="20.100000000000001" customHeight="1" x14ac:dyDescent="0.25">
      <c r="D163" s="1" t="s">
        <v>151</v>
      </c>
      <c r="E163" s="101">
        <f t="shared" ref="E163:I163" si="5">1-SUM(E161:E162)</f>
        <v>0.5</v>
      </c>
      <c r="F163" s="101">
        <f t="shared" si="5"/>
        <v>0.5</v>
      </c>
      <c r="G163" s="101">
        <f t="shared" si="5"/>
        <v>0.5</v>
      </c>
      <c r="H163" s="101">
        <f t="shared" si="5"/>
        <v>0.5</v>
      </c>
      <c r="I163" s="101">
        <f t="shared" si="5"/>
        <v>0.5</v>
      </c>
      <c r="J163" s="2" t="s">
        <v>19</v>
      </c>
    </row>
    <row r="164" spans="4:10" ht="20.100000000000001" customHeight="1" x14ac:dyDescent="0.25"/>
    <row r="165" spans="4:10" ht="20.100000000000001" customHeight="1" x14ac:dyDescent="0.25">
      <c r="D165" s="56" t="str">
        <f>"Sent from stage 1: " &amp; $D$72 &amp; " to:"</f>
        <v>Sent from stage 1: Sump and dispersal system to:</v>
      </c>
    </row>
    <row r="166" spans="4:10" x14ac:dyDescent="0.25">
      <c r="D166" s="1" t="s">
        <v>111</v>
      </c>
      <c r="E166" s="49">
        <v>0.25</v>
      </c>
      <c r="F166" s="49">
        <v>0.25</v>
      </c>
      <c r="G166" s="49">
        <v>0.25</v>
      </c>
      <c r="H166" s="49">
        <v>0.25</v>
      </c>
      <c r="I166" s="49">
        <v>0.25</v>
      </c>
      <c r="J166" s="2" t="s">
        <v>19</v>
      </c>
    </row>
    <row r="167" spans="4:10" x14ac:dyDescent="0.25">
      <c r="D167" s="1" t="s">
        <v>279</v>
      </c>
      <c r="E167" s="49">
        <v>0.25</v>
      </c>
      <c r="F167" s="49">
        <v>0.25</v>
      </c>
      <c r="G167" s="49">
        <v>0.25</v>
      </c>
      <c r="H167" s="49">
        <v>0.25</v>
      </c>
      <c r="I167" s="49">
        <v>0.25</v>
      </c>
      <c r="J167" s="2" t="s">
        <v>19</v>
      </c>
    </row>
    <row r="168" spans="4:10" x14ac:dyDescent="0.25">
      <c r="D168" s="1" t="s">
        <v>151</v>
      </c>
      <c r="E168" s="101">
        <f>1-SUM(E166:E167)</f>
        <v>0.5</v>
      </c>
      <c r="F168" s="101">
        <f t="shared" ref="F168:I168" si="6">1-SUM(F166:F167)</f>
        <v>0.5</v>
      </c>
      <c r="G168" s="101">
        <f t="shared" si="6"/>
        <v>0.5</v>
      </c>
      <c r="H168" s="101">
        <f t="shared" si="6"/>
        <v>0.5</v>
      </c>
      <c r="I168" s="101">
        <f t="shared" si="6"/>
        <v>0.5</v>
      </c>
      <c r="J168" s="2" t="s">
        <v>19</v>
      </c>
    </row>
    <row r="170" spans="4:10" x14ac:dyDescent="0.25">
      <c r="D170" s="56" t="str">
        <f>"Sent from stage 1: " &amp; $D$77 &amp; " to:"</f>
        <v>Sent from stage 1: Drains to paddock to:</v>
      </c>
    </row>
    <row r="171" spans="4:10" x14ac:dyDescent="0.25">
      <c r="D171" s="1" t="s">
        <v>111</v>
      </c>
      <c r="E171" s="49">
        <v>0.25</v>
      </c>
      <c r="F171" s="49">
        <v>0.25</v>
      </c>
      <c r="G171" s="49">
        <v>0.25</v>
      </c>
      <c r="H171" s="49">
        <v>0.25</v>
      </c>
      <c r="I171" s="49">
        <v>0.25</v>
      </c>
      <c r="J171" s="2" t="s">
        <v>19</v>
      </c>
    </row>
    <row r="172" spans="4:10" x14ac:dyDescent="0.25">
      <c r="D172" s="1" t="s">
        <v>279</v>
      </c>
      <c r="E172" s="49">
        <v>0.25</v>
      </c>
      <c r="F172" s="49">
        <v>0.25</v>
      </c>
      <c r="G172" s="49">
        <v>0.25</v>
      </c>
      <c r="H172" s="49">
        <v>0.25</v>
      </c>
      <c r="I172" s="49">
        <v>0.25</v>
      </c>
      <c r="J172" s="2" t="s">
        <v>19</v>
      </c>
    </row>
    <row r="173" spans="4:10" x14ac:dyDescent="0.25">
      <c r="D173" s="1" t="s">
        <v>151</v>
      </c>
      <c r="E173" s="101">
        <f>1-SUM(E171:E172)</f>
        <v>0.5</v>
      </c>
      <c r="F173" s="101">
        <f t="shared" ref="F173:I173" si="7">1-SUM(F171:F172)</f>
        <v>0.5</v>
      </c>
      <c r="G173" s="101">
        <f t="shared" si="7"/>
        <v>0.5</v>
      </c>
      <c r="H173" s="101">
        <f t="shared" si="7"/>
        <v>0.5</v>
      </c>
      <c r="I173" s="101">
        <f t="shared" si="7"/>
        <v>0.5</v>
      </c>
      <c r="J173" s="2" t="s">
        <v>19</v>
      </c>
    </row>
    <row r="175" spans="4:10" x14ac:dyDescent="0.25">
      <c r="D175" s="56" t="str">
        <f>"Sent from stage 1: " &amp; $D$82 &amp; " to:"</f>
        <v>Sent from stage 1: Solid storage to:</v>
      </c>
    </row>
    <row r="176" spans="4:10" x14ac:dyDescent="0.25">
      <c r="D176" s="1" t="s">
        <v>111</v>
      </c>
      <c r="E176" s="49">
        <v>0.25</v>
      </c>
      <c r="F176" s="49">
        <v>0.25</v>
      </c>
      <c r="G176" s="49">
        <v>0.25</v>
      </c>
      <c r="H176" s="49">
        <v>0.25</v>
      </c>
      <c r="I176" s="49">
        <v>0.25</v>
      </c>
      <c r="J176" s="2" t="s">
        <v>19</v>
      </c>
    </row>
    <row r="177" spans="4:10" x14ac:dyDescent="0.25">
      <c r="D177" s="1" t="s">
        <v>279</v>
      </c>
      <c r="E177" s="49">
        <v>0.25</v>
      </c>
      <c r="F177" s="49">
        <v>0.25</v>
      </c>
      <c r="G177" s="49">
        <v>0.25</v>
      </c>
      <c r="H177" s="49">
        <v>0.25</v>
      </c>
      <c r="I177" s="49">
        <v>0.25</v>
      </c>
      <c r="J177" s="2" t="s">
        <v>19</v>
      </c>
    </row>
    <row r="178" spans="4:10" x14ac:dyDescent="0.25">
      <c r="D178" s="1" t="s">
        <v>151</v>
      </c>
      <c r="E178" s="101">
        <f>1-SUM(E176:E177)</f>
        <v>0.5</v>
      </c>
      <c r="F178" s="101">
        <f t="shared" ref="F178:I178" si="8">1-SUM(F176:F177)</f>
        <v>0.5</v>
      </c>
      <c r="G178" s="101">
        <f t="shared" si="8"/>
        <v>0.5</v>
      </c>
      <c r="H178" s="101">
        <f t="shared" si="8"/>
        <v>0.5</v>
      </c>
      <c r="I178" s="101">
        <f t="shared" si="8"/>
        <v>0.5</v>
      </c>
      <c r="J178" s="2" t="s">
        <v>19</v>
      </c>
    </row>
    <row r="180" spans="4:10" x14ac:dyDescent="0.25">
      <c r="D180" s="113"/>
    </row>
    <row r="183" spans="4:10" x14ac:dyDescent="0.25">
      <c r="D183" s="1" t="s">
        <v>196</v>
      </c>
      <c r="E183" s="42" t="s">
        <v>202</v>
      </c>
      <c r="F183" s="2" t="s">
        <v>11</v>
      </c>
    </row>
    <row r="184" spans="4:10" x14ac:dyDescent="0.25">
      <c r="E184" s="42" t="s">
        <v>205</v>
      </c>
      <c r="F184" s="2" t="s">
        <v>11</v>
      </c>
    </row>
  </sheetData>
  <conditionalFormatting sqref="E10:J10 E24:J25 E28:J29 J67 J72 J77 J82:J86">
    <cfRule type="cellIs" dxfId="37" priority="30" operator="lessThan">
      <formula>0</formula>
    </cfRule>
  </conditionalFormatting>
  <conditionalFormatting sqref="E14:J15">
    <cfRule type="cellIs" dxfId="36" priority="2" operator="lessThan">
      <formula>0</formula>
    </cfRule>
  </conditionalFormatting>
  <conditionalFormatting sqref="E18:J19">
    <cfRule type="cellIs" dxfId="35" priority="1" operator="lessThan">
      <formula>0</formula>
    </cfRule>
  </conditionalFormatting>
  <conditionalFormatting sqref="E35:J37">
    <cfRule type="cellIs" dxfId="34" priority="6" operator="lessThan">
      <formula>0</formula>
    </cfRule>
  </conditionalFormatting>
  <conditionalFormatting sqref="E40:J42">
    <cfRule type="cellIs" dxfId="33" priority="3" operator="lessThan">
      <formula>0</formula>
    </cfRule>
  </conditionalFormatting>
  <conditionalFormatting sqref="F69:F70">
    <cfRule type="cellIs" dxfId="32" priority="21" operator="lessThan">
      <formula>0</formula>
    </cfRule>
  </conditionalFormatting>
  <conditionalFormatting sqref="F74:F75">
    <cfRule type="cellIs" dxfId="31" priority="20" operator="lessThan">
      <formula>0</formula>
    </cfRule>
  </conditionalFormatting>
  <conditionalFormatting sqref="F79:F80">
    <cfRule type="cellIs" dxfId="30" priority="19" operator="lessThan">
      <formula>0</formula>
    </cfRule>
  </conditionalFormatting>
  <conditionalFormatting sqref="F103:F104">
    <cfRule type="cellIs" dxfId="29" priority="13" operator="lessThan">
      <formula>0</formula>
    </cfRule>
  </conditionalFormatting>
  <conditionalFormatting sqref="F108:F109">
    <cfRule type="cellIs" dxfId="28" priority="12" operator="lessThan">
      <formula>0</formula>
    </cfRule>
  </conditionalFormatting>
  <conditionalFormatting sqref="F113:F114">
    <cfRule type="cellIs" dxfId="27" priority="11" operator="lessThan">
      <formula>0</formula>
    </cfRule>
  </conditionalFormatting>
  <conditionalFormatting sqref="J53:J55">
    <cfRule type="cellIs" dxfId="26" priority="24" operator="lessThan">
      <formula>0</formula>
    </cfRule>
  </conditionalFormatting>
  <conditionalFormatting sqref="J58:J60">
    <cfRule type="cellIs" dxfId="25" priority="23" operator="lessThan">
      <formula>0</formula>
    </cfRule>
  </conditionalFormatting>
  <conditionalFormatting sqref="J88">
    <cfRule type="cellIs" dxfId="24" priority="17" operator="lessThan">
      <formula>0</formula>
    </cfRule>
  </conditionalFormatting>
  <conditionalFormatting sqref="J90:J93">
    <cfRule type="cellIs" dxfId="23" priority="16" operator="lessThan">
      <formula>0</formula>
    </cfRule>
  </conditionalFormatting>
  <conditionalFormatting sqref="J95">
    <cfRule type="cellIs" dxfId="22" priority="15" operator="lessThan">
      <formula>0</formula>
    </cfRule>
  </conditionalFormatting>
  <conditionalFormatting sqref="J101 J106 J111 J116:J120">
    <cfRule type="cellIs" dxfId="21" priority="14" operator="lessThan">
      <formula>0</formula>
    </cfRule>
  </conditionalFormatting>
  <conditionalFormatting sqref="J122">
    <cfRule type="cellIs" dxfId="20" priority="10" operator="lessThan">
      <formula>0</formula>
    </cfRule>
  </conditionalFormatting>
  <conditionalFormatting sqref="J124:J127">
    <cfRule type="cellIs" dxfId="19" priority="9" operator="lessThan">
      <formula>0</formula>
    </cfRule>
  </conditionalFormatting>
  <conditionalFormatting sqref="J129">
    <cfRule type="cellIs" dxfId="18" priority="8" operator="lessThan">
      <formula>0</formula>
    </cfRule>
  </conditionalFormatting>
  <conditionalFormatting sqref="K43:M43">
    <cfRule type="cellIs" dxfId="17" priority="31" operator="lessThan">
      <formula>0</formula>
    </cfRule>
  </conditionalFormatting>
  <dataValidations disablePrompts="1" count="6">
    <dataValidation type="list" allowBlank="1" showInputMessage="1" showErrorMessage="1" sqref="D96" xr:uid="{4E913AB3-F90B-4C35-BCE1-5DBB8FC05107}">
      <formula1>INDIRECT("Table_SourceData_PoultryMMSStage1[MMS]")</formula1>
    </dataValidation>
    <dataValidation type="list" allowBlank="1" showInputMessage="1" showErrorMessage="1" sqref="E183" xr:uid="{AF94BFC8-A9BD-4286-932B-111409BF1EB6}">
      <formula1>INDIRECT("Table_SourceData_Feedlot_CropProdSystems[Production system]")</formula1>
    </dataValidation>
    <dataValidation type="list" allowBlank="1" showInputMessage="1" showErrorMessage="1" sqref="E184" xr:uid="{20E9D9A1-CABD-46A5-B149-02F06B30AA0E}">
      <formula1>INDIRECT("Table_SourceData_Feedlot_IrrigationMethods[Irrigation method]")</formula1>
    </dataValidation>
    <dataValidation type="list" allowBlank="1" showInputMessage="1" showErrorMessage="1" sqref="E50" xr:uid="{9FB53635-991F-44AA-A123-E8ABEF9EE0A6}">
      <formula1>INDIRECT("Table_SourceData_Dairy_ProductionSystemTemplates[Area]")</formula1>
    </dataValidation>
    <dataValidation type="list" allowBlank="1" showInputMessage="1" showErrorMessage="1" sqref="E68 E73 E78 E112 E107 E102" xr:uid="{00A4EA4C-90D3-4150-979D-4D71C7F37A31}">
      <formula1>"Yes, No"</formula1>
    </dataValidation>
    <dataValidation type="list" allowBlank="1" showInputMessage="1" showErrorMessage="1" sqref="E7" xr:uid="{4AE50AD3-14AA-4BCF-9F4A-CDB83D5683F7}">
      <formula1>INDIRECT("Table_SourceData_Dairy_WjCowsHeifers[Breed]")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W271"/>
  <sheetViews>
    <sheetView showGridLines="0" topLeftCell="A240" zoomScaleNormal="100" workbookViewId="0">
      <selection activeCell="D254" sqref="D254:J26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2" width="30.7109375" style="1" customWidth="1"/>
    <col min="23" max="23" width="4.7109375" style="1" customWidth="1"/>
  </cols>
  <sheetData>
    <row r="1" spans="1:23" s="8" customFormat="1" ht="30" customHeight="1" x14ac:dyDescent="0.35">
      <c r="A1" s="71" t="e" vm="1">
        <v>#VALUE!</v>
      </c>
      <c r="C1" s="8" t="s">
        <v>354</v>
      </c>
    </row>
    <row r="2" spans="1:23" s="9" customFormat="1" ht="20.100000000000001" customHeight="1" x14ac:dyDescent="0.25"/>
    <row r="3" spans="1:23" ht="20.100000000000001" customHeight="1" x14ac:dyDescent="0.25">
      <c r="A3" s="17" t="str">
        <f>HYPERLINK("#'Home'!A1", "Home")</f>
        <v>Home</v>
      </c>
      <c r="C3" s="4"/>
      <c r="D3" s="4" t="s">
        <v>124</v>
      </c>
      <c r="E3" s="4"/>
      <c r="F3" s="4"/>
      <c r="G3" s="4"/>
      <c r="H3" s="4"/>
      <c r="I3" s="4"/>
      <c r="J3" s="4"/>
      <c r="K3" s="4"/>
      <c r="L3" s="4"/>
      <c r="N3" s="4"/>
      <c r="O3" s="4" t="s">
        <v>125</v>
      </c>
      <c r="P3" s="4"/>
      <c r="Q3" s="4"/>
      <c r="R3" s="4"/>
      <c r="S3" s="4"/>
      <c r="T3" s="4"/>
      <c r="U3" s="4"/>
      <c r="V3" s="4"/>
      <c r="W3" s="4"/>
    </row>
    <row r="4" spans="1:23" ht="20.100000000000001" customHeight="1" x14ac:dyDescent="0.25">
      <c r="A4" s="17" t="str">
        <f>HYPERLINK("#'Results'!A1", "Results")</f>
        <v>Results</v>
      </c>
    </row>
    <row r="5" spans="1:23" ht="20.100000000000001" customHeight="1" x14ac:dyDescent="0.25">
      <c r="A5" s="16"/>
      <c r="D5" s="139" t="str" cm="1">
        <f t="array" ref="D5">EntericMethane_Dairy_Equations.VEERG_3_3_1_1__6_MetabolisabilityOfDiet_Title()</f>
        <v>Metabolisability of the diet based on Minson and McDonald (1987)</v>
      </c>
    </row>
    <row r="6" spans="1:23" ht="20.100000000000001" customHeight="1" x14ac:dyDescent="0.25">
      <c r="A6" s="20" t="s">
        <v>3</v>
      </c>
      <c r="D6" s="5" t="str" cm="1">
        <f t="array" ref="D6">EntericMethane_Dairy_Equations.VEERG_3_3_1_1__6_MetabolisabilityOfDiet_Source()</f>
        <v>VEERG 2026: 3.3.1.1, Equation (6)</v>
      </c>
    </row>
    <row r="7" spans="1:2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Common_InputFunctions.Utility_DisplayFunctionName(D23)</f>
        <v>=EntericMethane_Dairy_Equations.VEERG_3_3_1_1__6_MetabolisabilityOfDiet</v>
      </c>
    </row>
    <row r="8" spans="1:23" ht="20.100000000000001" customHeight="1" x14ac:dyDescent="0.25">
      <c r="A8" s="17" t="str">
        <f>HYPERLINK("#'Input - Feedlot'!A1", "Feedlot")</f>
        <v>Feedlot</v>
      </c>
    </row>
    <row r="9" spans="1:23" ht="20.100000000000001" customHeight="1" x14ac:dyDescent="0.25">
      <c r="A9" s="17"/>
    </row>
    <row r="10" spans="1:23" ht="20.100000000000001" customHeight="1" x14ac:dyDescent="0.25">
      <c r="A10" s="19" t="s">
        <v>77</v>
      </c>
      <c r="D10" s="56" t="s">
        <v>30</v>
      </c>
      <c r="E10" s="1" t="str" cm="1">
        <f t="array" ref="E10">EntericMethane_Dairy_Equations.VEERG_3_3_1_1__6_MetabolisabilityOfDiet_Variable()</f>
        <v>qm_j</v>
      </c>
    </row>
    <row r="11" spans="1:23" ht="20.100000000000001" customHeight="1" x14ac:dyDescent="0.25">
      <c r="A11" s="22" t="str">
        <f>HYPERLINK("#'4.1.1.1-2 Methane'!A1", "4.1.1.1-2 Methane")</f>
        <v>4.1.1.1-2 Methane</v>
      </c>
      <c r="D11" s="56" t="s">
        <v>20</v>
      </c>
      <c r="E11" s="57" t="str" cm="1">
        <f t="array" ref="E11">EntericMethane_Dairy_Equations.VEERG_3_3_1_1__6_MetabolisabilityOfDiet_Unit()</f>
        <v>fraction</v>
      </c>
    </row>
    <row r="12" spans="1:23" ht="20.100000000000001" customHeight="1" x14ac:dyDescent="0.25">
      <c r="A12" s="17" t="str">
        <f>HYPERLINK("#'4.1.1.3-4 Direct N20'!A1", "4.1.1.3-4 Direct N2O")</f>
        <v>4.1.1.3-4 Direct N2O</v>
      </c>
    </row>
    <row r="13" spans="1:23" ht="20.100000000000001" customHeight="1" x14ac:dyDescent="0.25">
      <c r="A13" s="17" t="str">
        <f>HYPERLINK("#'4.1.1.5-6 Atmos Deposition'!A1", "4.1.1.5-6 Atmospheric deposition")</f>
        <v>4.1.1.5-6 Atmospheric deposition</v>
      </c>
      <c r="D13" s="115" t="str" cm="1">
        <f t="array" ref="D13:E13">EntericMethane_Dairy_Equations.VEERG_3_3_1_1__6_MetabolisabilityOfDiet_Arguments()</f>
        <v>DMD_j</v>
      </c>
      <c r="E13" s="117" t="str">
        <v>dry matter digestibility expressed as a fraction</v>
      </c>
      <c r="F13" s="116"/>
      <c r="G13" s="115" t="str">
        <f>"See " &amp; D15</f>
        <v>See M1_Table_DMD_j</v>
      </c>
    </row>
    <row r="14" spans="1:23" ht="20.100000000000001" customHeight="1" x14ac:dyDescent="0.25">
      <c r="A14" s="17" t="str">
        <f>HYPERLINK("#'4.1.1.9 Manure applied to soils'!A1", "4.1.1.9 Manure applied to soils")</f>
        <v>4.1.1.9 Manure applied to soils</v>
      </c>
    </row>
    <row r="15" spans="1:23" ht="20.100000000000001" customHeight="1" x14ac:dyDescent="0.25">
      <c r="D15" s="104" t="s">
        <v>129</v>
      </c>
      <c r="O15" s="104" t="s">
        <v>132</v>
      </c>
    </row>
    <row r="16" spans="1:23" ht="20.100000000000001" customHeight="1" x14ac:dyDescent="0.25">
      <c r="A16" s="18" t="s">
        <v>4</v>
      </c>
      <c r="D16" s="103" t="s">
        <v>131</v>
      </c>
      <c r="O16" s="103" t="s">
        <v>308</v>
      </c>
    </row>
    <row r="17" spans="1:23" ht="20.100000000000001" customHeight="1" x14ac:dyDescent="0.25">
      <c r="A17" s="17" t="str">
        <f>HYPERLINK("#'Constants - Feedlot'!A1", "Constants - Feedlot")</f>
        <v>Constants - Feedlot</v>
      </c>
      <c r="D17" s="54" t="s">
        <v>234</v>
      </c>
      <c r="E17" s="54" t="s">
        <v>251</v>
      </c>
      <c r="F17" s="54" t="s">
        <v>252</v>
      </c>
      <c r="G17" s="54" t="s">
        <v>253</v>
      </c>
      <c r="H17" s="54" t="s">
        <v>254</v>
      </c>
      <c r="O17" s="54" t="s">
        <v>234</v>
      </c>
      <c r="P17" s="54" t="s">
        <v>251</v>
      </c>
      <c r="Q17" s="54" t="s">
        <v>252</v>
      </c>
      <c r="R17" s="54" t="s">
        <v>253</v>
      </c>
      <c r="S17" s="54" t="s">
        <v>254</v>
      </c>
    </row>
    <row r="18" spans="1:23" ht="20.100000000000001" customHeight="1" x14ac:dyDescent="0.25">
      <c r="A18" s="17" t="str">
        <f>HYPERLINK("#'Constants - Livestock'!A1", "Constants - Livestock")</f>
        <v>Constants - Livestock</v>
      </c>
      <c r="D18" s="55">
        <f>'Input - Dairy'!$E$36</f>
        <v>0.75</v>
      </c>
      <c r="E18" s="55">
        <f>'Input - Dairy'!$F$36</f>
        <v>0.75</v>
      </c>
      <c r="F18" s="55">
        <f>'Input - Dairy'!$G$36</f>
        <v>0.75</v>
      </c>
      <c r="G18" s="55">
        <f>'Input - Dairy'!$H$36</f>
        <v>0.75</v>
      </c>
      <c r="H18" s="55">
        <f>'Input - Dairy'!$I$36</f>
        <v>0.75</v>
      </c>
      <c r="I18" s="2" t="s">
        <v>297</v>
      </c>
      <c r="J18" s="2"/>
      <c r="K18" s="2"/>
      <c r="O18" s="55">
        <f>'Input - Dairy'!$E$41</f>
        <v>0.75</v>
      </c>
      <c r="P18" s="55">
        <f>'Input - Dairy'!$F$41</f>
        <v>0.75</v>
      </c>
      <c r="Q18" s="55">
        <f>'Input - Dairy'!$G$41</f>
        <v>0.75</v>
      </c>
      <c r="R18" s="55">
        <f>'Input - Dairy'!$H$41</f>
        <v>0.75</v>
      </c>
      <c r="S18" s="55">
        <f>'Input - Dairy'!$I$41</f>
        <v>0.75</v>
      </c>
      <c r="T18" s="2" t="s">
        <v>297</v>
      </c>
      <c r="U18" s="2"/>
      <c r="V18" s="2"/>
    </row>
    <row r="19" spans="1:23" ht="20.100000000000001" customHeight="1" x14ac:dyDescent="0.25">
      <c r="A19" s="17" t="str">
        <f>HYPERLINK("#'Constants - Common'!A1", "Constants - Common")</f>
        <v>Constants - Common</v>
      </c>
    </row>
    <row r="20" spans="1:23" ht="20.100000000000001" customHeight="1" x14ac:dyDescent="0.25">
      <c r="A20" s="17" t="str">
        <f>HYPERLINK("#'Acknowledgements'!A1", "Acknowledgements")</f>
        <v>Acknowledgements</v>
      </c>
      <c r="D20" s="104" t="s">
        <v>298</v>
      </c>
      <c r="O20" s="104" t="s">
        <v>300</v>
      </c>
    </row>
    <row r="21" spans="1:23" ht="20.100000000000001" customHeight="1" x14ac:dyDescent="0.25">
      <c r="D21" s="103" t="s">
        <v>299</v>
      </c>
      <c r="O21" s="103" t="s">
        <v>301</v>
      </c>
    </row>
    <row r="22" spans="1:23" ht="20.100000000000001" customHeight="1" x14ac:dyDescent="0.25">
      <c r="D22" s="54" t="s">
        <v>234</v>
      </c>
      <c r="E22" s="54" t="s">
        <v>251</v>
      </c>
      <c r="F22" s="54" t="s">
        <v>252</v>
      </c>
      <c r="G22" s="54" t="s">
        <v>253</v>
      </c>
      <c r="H22" s="54" t="s">
        <v>254</v>
      </c>
      <c r="O22" s="54" t="s">
        <v>234</v>
      </c>
      <c r="P22" s="54" t="s">
        <v>251</v>
      </c>
      <c r="Q22" s="54" t="s">
        <v>252</v>
      </c>
      <c r="R22" s="54" t="s">
        <v>253</v>
      </c>
      <c r="S22" s="54" t="s">
        <v>254</v>
      </c>
    </row>
    <row r="23" spans="1:23" ht="20.100000000000001" customHeight="1" x14ac:dyDescent="0.25">
      <c r="D23" s="55" cm="1">
        <f t="array" ref="D23">EntericMethane_Dairy_Equations.VEERG_3_3_1_1__6_MetabolisabilityOfDiet(D18)</f>
        <v>59.623600000000003</v>
      </c>
      <c r="E23" s="55" cm="1">
        <f t="array" ref="E23">EntericMethane_Dairy_Equations.VEERG_3_3_1_1__6_MetabolisabilityOfDiet(E18)</f>
        <v>59.623600000000003</v>
      </c>
      <c r="F23" s="55" cm="1">
        <f t="array" ref="F23">EntericMethane_Dairy_Equations.VEERG_3_3_1_1__6_MetabolisabilityOfDiet(F18)</f>
        <v>59.623600000000003</v>
      </c>
      <c r="G23" s="55" cm="1">
        <f t="array" ref="G23">EntericMethane_Dairy_Equations.VEERG_3_3_1_1__6_MetabolisabilityOfDiet(G18)</f>
        <v>59.623600000000003</v>
      </c>
      <c r="H23" s="55" cm="1">
        <f t="array" ref="H23">EntericMethane_Dairy_Equations.VEERG_3_3_1_1__6_MetabolisabilityOfDiet(H18)</f>
        <v>59.623600000000003</v>
      </c>
      <c r="I23" s="2" t="str">
        <f>$E$11</f>
        <v>fraction</v>
      </c>
      <c r="J23" s="2"/>
      <c r="K23" s="2"/>
      <c r="O23" s="55" cm="1">
        <f t="array" ref="O23">EntericMethane_Dairy_Equations.VEERG_3_3_1_1__6_MetabolisabilityOfDiet(O18)</f>
        <v>59.623600000000003</v>
      </c>
      <c r="P23" s="55" cm="1">
        <f t="array" ref="P23">EntericMethane_Dairy_Equations.VEERG_3_3_1_1__6_MetabolisabilityOfDiet(P18)</f>
        <v>59.623600000000003</v>
      </c>
      <c r="Q23" s="55" cm="1">
        <f t="array" ref="Q23">EntericMethane_Dairy_Equations.VEERG_3_3_1_1__6_MetabolisabilityOfDiet(Q18)</f>
        <v>59.623600000000003</v>
      </c>
      <c r="R23" s="55" cm="1">
        <f t="array" ref="R23">EntericMethane_Dairy_Equations.VEERG_3_3_1_1__6_MetabolisabilityOfDiet(R18)</f>
        <v>59.623600000000003</v>
      </c>
      <c r="S23" s="55" cm="1">
        <f t="array" ref="S23">EntericMethane_Dairy_Equations.VEERG_3_3_1_1__6_MetabolisabilityOfDiet(S18)</f>
        <v>59.623600000000003</v>
      </c>
      <c r="T23" s="2" t="str">
        <f>$E$11</f>
        <v>fraction</v>
      </c>
      <c r="U23" s="2"/>
      <c r="V23" s="2"/>
    </row>
    <row r="24" spans="1:23" ht="20.100000000000001" customHeight="1" x14ac:dyDescent="0.25"/>
    <row r="25" spans="1:23" ht="20.100000000000001" customHeight="1" x14ac:dyDescent="0.25"/>
    <row r="26" spans="1:23" ht="20.100000000000001" customHeight="1" x14ac:dyDescent="0.25">
      <c r="C26" s="48"/>
      <c r="D26" s="48"/>
      <c r="E26" s="48"/>
      <c r="F26" s="48"/>
      <c r="G26" s="48"/>
      <c r="H26" s="48"/>
      <c r="I26" s="48"/>
      <c r="J26" s="48"/>
      <c r="K26" s="48"/>
      <c r="L26" s="48"/>
      <c r="N26" s="48"/>
      <c r="O26" s="48"/>
      <c r="P26" s="48"/>
      <c r="Q26" s="48"/>
      <c r="R26" s="48"/>
      <c r="S26" s="48"/>
      <c r="T26" s="48"/>
      <c r="U26" s="48"/>
      <c r="V26" s="48"/>
      <c r="W26" s="48"/>
    </row>
    <row r="27" spans="1:23" ht="20.100000000000001" customHeight="1" x14ac:dyDescent="0.25">
      <c r="D27" s="6" t="str" cm="1">
        <f t="array" ref="D27">EntericMethane_Dairy_Equations.VEERG_3_3_1_1__4_AdditionalIntakeForMilkProduction_Title()</f>
        <v>Additional intake required for milk production</v>
      </c>
    </row>
    <row r="28" spans="1:23" ht="20.100000000000001" customHeight="1" x14ac:dyDescent="0.25">
      <c r="D28" s="5" t="str" cm="1">
        <f t="array" ref="D28">EntericMethane_Dairy_Equations.VEERG_3_3_1_1__4_AdditionalIntakeForMilkProduction_Source()</f>
        <v>VEERG 2026: 3.3.1.1, Equation (4)</v>
      </c>
    </row>
    <row r="29" spans="1:23" ht="20.100000000000001" customHeight="1" x14ac:dyDescent="0.25">
      <c r="D29" s="13" t="s">
        <v>27</v>
      </c>
      <c r="E29" s="13" t="str" cm="1">
        <f t="array" aca="1" ref="E29" ca="1">Common_InputFunctions.Utility_DisplayFunctionName(D49)</f>
        <v>=EntericMethane_Dairy_Equations.VEERG_3_3_1_1__4_AdditionalIntakeForMilkProduction</v>
      </c>
    </row>
    <row r="30" spans="1:23" ht="20.100000000000001" customHeight="1" x14ac:dyDescent="0.25"/>
    <row r="31" spans="1:23" ht="20.100000000000001" customHeight="1" x14ac:dyDescent="0.25">
      <c r="D31" s="6"/>
    </row>
    <row r="32" spans="1:23" ht="20.100000000000001" customHeight="1" x14ac:dyDescent="0.25">
      <c r="D32" s="56" t="s">
        <v>30</v>
      </c>
      <c r="E32" s="1" t="str" cm="1">
        <f t="array" ref="E32">EntericMethane_Dairy_Equations.VEERG_3_3_1_1__4_AdditionalIntakeForMilkProduction_Variable()</f>
        <v>MI_j</v>
      </c>
    </row>
    <row r="33" spans="4:19" ht="20.100000000000001" customHeight="1" x14ac:dyDescent="0.25">
      <c r="D33" s="56" t="s">
        <v>20</v>
      </c>
      <c r="E33" s="57" t="str" cm="1">
        <f t="array" ref="E33">EntericMethane_Dairy_Equations.VEERG_3_3_1_1__4_AdditionalIntakeForMilkProduction_Unit()</f>
        <v>kg DM/head/day</v>
      </c>
    </row>
    <row r="34" spans="4:19" ht="20.100000000000001" customHeight="1" x14ac:dyDescent="0.25"/>
    <row r="35" spans="4:19" ht="20.100000000000001" customHeight="1" x14ac:dyDescent="0.25">
      <c r="D35" s="60" t="str" cm="1">
        <f t="array" ref="D35:E39">EntericMethane_Dairy_Equations.VEERG_3_3_1_1__4_AdditionalIntakeForMilkProduction_Arguments()</f>
        <v>MP_j</v>
      </c>
      <c r="E35" s="61" t="str">
        <v>milk production (L/head/day)</v>
      </c>
      <c r="F35" s="62"/>
      <c r="G35" s="60" t="str">
        <f>"See " &amp; D41</f>
        <v>See Table_MP_j</v>
      </c>
    </row>
    <row r="36" spans="4:19" ht="20.100000000000001" customHeight="1" x14ac:dyDescent="0.25">
      <c r="D36" s="60" t="str">
        <v>NE</v>
      </c>
      <c r="E36" s="61" t="str">
        <v>net energy (MJ net energy/kg milk)</v>
      </c>
      <c r="F36" s="62"/>
      <c r="G36" s="60">
        <f>'Constants - Dairy'!$D$167</f>
        <v>3.0539999999999998</v>
      </c>
    </row>
    <row r="37" spans="4:19" ht="20.100000000000001" customHeight="1" x14ac:dyDescent="0.25">
      <c r="D37" s="60" t="str">
        <v>GEC</v>
      </c>
      <c r="E37" s="61" t="str">
        <v>gross energy content (MJ/kgDM)</v>
      </c>
      <c r="F37" s="62"/>
      <c r="G37" s="60">
        <f>'Constants - Dairy'!$D$174</f>
        <v>18.399999999999999</v>
      </c>
    </row>
    <row r="38" spans="4:19" ht="20.100000000000001" customHeight="1" x14ac:dyDescent="0.25">
      <c r="D38" s="60" t="str">
        <v>k</v>
      </c>
      <c r="E38" s="61" t="str">
        <v>efficiency of metabolizable energy use for milk production (fraction)</v>
      </c>
      <c r="F38" s="62"/>
      <c r="G38" s="60">
        <f>'Constants - Dairy'!$D$181</f>
        <v>0.6</v>
      </c>
    </row>
    <row r="39" spans="4:19" ht="20.100000000000001" customHeight="1" x14ac:dyDescent="0.25">
      <c r="D39" s="60" t="str">
        <v>qm_j</v>
      </c>
      <c r="E39" s="61" t="str">
        <v>metabolisability of the diet (fraction)</v>
      </c>
      <c r="F39" s="62"/>
      <c r="G39" s="60" t="str">
        <f>"See " &amp; D20</f>
        <v>See M1_Table_qm_j</v>
      </c>
    </row>
    <row r="40" spans="4:19" ht="20.100000000000001" customHeight="1" x14ac:dyDescent="0.25"/>
    <row r="41" spans="4:19" ht="20.100000000000001" customHeight="1" x14ac:dyDescent="0.25">
      <c r="D41" s="104" t="s">
        <v>307</v>
      </c>
    </row>
    <row r="42" spans="4:19" ht="20.100000000000001" customHeight="1" x14ac:dyDescent="0.25">
      <c r="D42" s="103" t="s">
        <v>258</v>
      </c>
    </row>
    <row r="43" spans="4:19" ht="20.100000000000001" customHeight="1" x14ac:dyDescent="0.25">
      <c r="D43" s="54" t="s">
        <v>234</v>
      </c>
      <c r="E43" s="54" t="s">
        <v>251</v>
      </c>
      <c r="F43" s="54" t="s">
        <v>252</v>
      </c>
      <c r="G43" s="54" t="s">
        <v>253</v>
      </c>
      <c r="H43" s="54" t="s">
        <v>254</v>
      </c>
    </row>
    <row r="44" spans="4:19" ht="20.100000000000001" customHeight="1" x14ac:dyDescent="0.25">
      <c r="D44" s="55">
        <f>'Input - Dairy'!$E$46</f>
        <v>44</v>
      </c>
      <c r="E44" s="55">
        <v>0</v>
      </c>
      <c r="F44" s="55">
        <v>0</v>
      </c>
      <c r="G44" s="55">
        <v>0</v>
      </c>
      <c r="H44" s="55">
        <v>0</v>
      </c>
      <c r="I44" s="2" t="s">
        <v>304</v>
      </c>
      <c r="J44" s="2"/>
      <c r="K44" s="2"/>
    </row>
    <row r="45" spans="4:19" ht="20.100000000000001" customHeight="1" x14ac:dyDescent="0.25"/>
    <row r="46" spans="4:19" ht="20.100000000000001" customHeight="1" x14ac:dyDescent="0.25">
      <c r="D46" s="104" t="s">
        <v>302</v>
      </c>
      <c r="O46" s="104" t="s">
        <v>305</v>
      </c>
    </row>
    <row r="47" spans="4:19" ht="20.100000000000001" customHeight="1" x14ac:dyDescent="0.25">
      <c r="D47" s="103" t="s">
        <v>303</v>
      </c>
      <c r="O47" s="103" t="s">
        <v>306</v>
      </c>
    </row>
    <row r="48" spans="4:19" ht="20.100000000000001" customHeight="1" x14ac:dyDescent="0.25">
      <c r="D48" s="54" t="s">
        <v>234</v>
      </c>
      <c r="E48" s="54" t="s">
        <v>251</v>
      </c>
      <c r="F48" s="54" t="s">
        <v>252</v>
      </c>
      <c r="G48" s="54" t="s">
        <v>253</v>
      </c>
      <c r="H48" s="54" t="s">
        <v>254</v>
      </c>
      <c r="O48" s="54" t="s">
        <v>234</v>
      </c>
      <c r="P48" s="54" t="s">
        <v>251</v>
      </c>
      <c r="Q48" s="54" t="s">
        <v>252</v>
      </c>
      <c r="R48" s="54" t="s">
        <v>253</v>
      </c>
      <c r="S48" s="54" t="s">
        <v>254</v>
      </c>
    </row>
    <row r="49" spans="3:23" ht="20.100000000000001" customHeight="1" x14ac:dyDescent="0.25">
      <c r="D49" s="55" cm="1">
        <f t="array" ref="D49">EntericMethane_Dairy_Equations.VEERG_3_3_1_1__4_AdditionalIntakeForMilkProduction(D44, $G$36,$G$37,$G$38,D23)</f>
        <v>0.21026726504853488</v>
      </c>
      <c r="E49" s="55" cm="1">
        <f t="array" ref="E49">EntericMethane_Dairy_Equations.VEERG_3_3_1_1__4_AdditionalIntakeForMilkProduction(E44, $G$36,$G$37,$G$38,E23)</f>
        <v>0</v>
      </c>
      <c r="F49" s="55" cm="1">
        <f t="array" ref="F49">EntericMethane_Dairy_Equations.VEERG_3_3_1_1__4_AdditionalIntakeForMilkProduction(F44, $G$36,$G$37,$G$38,F23)</f>
        <v>0</v>
      </c>
      <c r="G49" s="55" cm="1">
        <f t="array" ref="G49">EntericMethane_Dairy_Equations.VEERG_3_3_1_1__4_AdditionalIntakeForMilkProduction(G44, $G$36,$G$37,$G$38,G23)</f>
        <v>0</v>
      </c>
      <c r="H49" s="55" cm="1">
        <f t="array" ref="H49">EntericMethane_Dairy_Equations.VEERG_3_3_1_1__4_AdditionalIntakeForMilkProduction(H44, $G$36,$G$37,$G$38,H23)</f>
        <v>0</v>
      </c>
      <c r="I49" s="2" t="str">
        <f>$E$33</f>
        <v>kg DM/head/day</v>
      </c>
      <c r="J49" s="2"/>
      <c r="K49" s="2"/>
      <c r="O49" s="55" cm="1">
        <f t="array" ref="O49">EntericMethane_Dairy_Equations.VEERG_3_3_1_1__4_AdditionalIntakeForMilkProduction(D44, $G$36,$G$37,$G$38,O23)</f>
        <v>0.21026726504853488</v>
      </c>
      <c r="P49" s="55" cm="1">
        <f t="array" ref="P49">EntericMethane_Dairy_Equations.VEERG_3_3_1_1__4_AdditionalIntakeForMilkProduction(E44, $G$36,$G$37,$G$38,P23)</f>
        <v>0</v>
      </c>
      <c r="Q49" s="55" cm="1">
        <f t="array" ref="Q49">EntericMethane_Dairy_Equations.VEERG_3_3_1_1__4_AdditionalIntakeForMilkProduction(F44, $G$36,$G$37,$G$38,Q23)</f>
        <v>0</v>
      </c>
      <c r="R49" s="55" cm="1">
        <f t="array" ref="R49">EntericMethane_Dairy_Equations.VEERG_3_3_1_1__4_AdditionalIntakeForMilkProduction(G44, $G$36,$G$37,$G$38,R23)</f>
        <v>0</v>
      </c>
      <c r="S49" s="55" cm="1">
        <f t="array" ref="S49">EntericMethane_Dairy_Equations.VEERG_3_3_1_1__4_AdditionalIntakeForMilkProduction(H44, $G$36,$G$37,$G$38,S23)</f>
        <v>0</v>
      </c>
      <c r="T49" s="2" t="str">
        <f>$E$33</f>
        <v>kg DM/head/day</v>
      </c>
      <c r="U49" s="2"/>
      <c r="V49" s="2"/>
    </row>
    <row r="50" spans="3:23" ht="20.100000000000001" customHeight="1" x14ac:dyDescent="0.25"/>
    <row r="51" spans="3:23" ht="20.100000000000001" customHeight="1" x14ac:dyDescent="0.25"/>
    <row r="52" spans="3:23" ht="20.100000000000001" customHeight="1" x14ac:dyDescent="0.25"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48"/>
      <c r="O52" s="48"/>
      <c r="P52" s="48"/>
      <c r="Q52" s="48"/>
      <c r="R52" s="48"/>
      <c r="S52" s="48"/>
      <c r="T52" s="48"/>
      <c r="U52" s="48"/>
      <c r="V52" s="48"/>
      <c r="W52" s="48"/>
    </row>
    <row r="53" spans="3:23" ht="20.100000000000001" customHeight="1" x14ac:dyDescent="0.25">
      <c r="D53" s="139" t="str" cm="1">
        <f t="array" ref="D53">EntericMethane_Dairy_Equations.VEERG_3_3_1_1__3_DryMatterFeedIntake_Title()</f>
        <v>Feed intake based on Minson and McDonald (1987)</v>
      </c>
    </row>
    <row r="54" spans="3:23" ht="20.100000000000001" customHeight="1" x14ac:dyDescent="0.25">
      <c r="D54" s="5" t="str" cm="1">
        <f t="array" ref="D54">EntericMethane_Dairy_Equations.VEERG_3_3_1_1__3_DryMatterFeedIntake_Source()</f>
        <v>VEERG 2026: 3.3.1.1, Equation (3)</v>
      </c>
    </row>
    <row r="55" spans="3:23" ht="20.100000000000001" customHeight="1" x14ac:dyDescent="0.25">
      <c r="D55" s="13" t="s">
        <v>27</v>
      </c>
      <c r="E55" s="13" t="str" cm="1">
        <f t="array" aca="1" ref="E55" ca="1">Common_InputFunctions.Utility_DisplayFunctionName(D84)</f>
        <v>=EntericMethane_Dairy_Equations.VEERG_3_3_1_1__3_DryMatterFeedIntake</v>
      </c>
    </row>
    <row r="56" spans="3:23" ht="20.100000000000001" customHeight="1" x14ac:dyDescent="0.25"/>
    <row r="57" spans="3:23" ht="20.100000000000001" customHeight="1" x14ac:dyDescent="0.25"/>
    <row r="58" spans="3:23" ht="20.100000000000001" customHeight="1" x14ac:dyDescent="0.25">
      <c r="D58" s="56" t="s">
        <v>30</v>
      </c>
      <c r="E58" s="1" t="str" cm="1">
        <f t="array" ref="E58">EntericMethane_Dairy_Equations.VEERG_3_3_1_1__3_DryMatterFeedIntake_Variable()</f>
        <v>I_j</v>
      </c>
    </row>
    <row r="59" spans="3:23" ht="20.100000000000001" customHeight="1" x14ac:dyDescent="0.25">
      <c r="D59" s="56" t="s">
        <v>20</v>
      </c>
      <c r="E59" s="57" t="str" cm="1">
        <f t="array" ref="E59">EntericMethane_Dairy_Equations.VEERG_3_3_1_1__3_DryMatterFeedIntake_Unit()</f>
        <v>kg DM/head/day</v>
      </c>
    </row>
    <row r="60" spans="3:23" ht="20.100000000000001" customHeight="1" x14ac:dyDescent="0.25"/>
    <row r="61" spans="3:23" ht="20.100000000000001" customHeight="1" x14ac:dyDescent="0.25">
      <c r="D61" s="60" t="str" cm="1">
        <f t="array" ref="D61:E64">EntericMethane_Dairy_Equations.VEERG_3_3_1_1__3_DryMatterFeedIntake_Arguments()</f>
        <v>W_j</v>
      </c>
      <c r="E61" s="61" t="str">
        <v>liveweight (kg)</v>
      </c>
      <c r="F61" s="62"/>
      <c r="G61" s="60" t="str">
        <f>"See " &amp; D66</f>
        <v>See M1_Table_W_j</v>
      </c>
    </row>
    <row r="62" spans="3:23" ht="20.100000000000001" customHeight="1" x14ac:dyDescent="0.25">
      <c r="D62" s="60" t="str">
        <v>LWG_j</v>
      </c>
      <c r="E62" s="61" t="str">
        <v>liveweight gain (kg/head/day)</v>
      </c>
      <c r="F62" s="62"/>
      <c r="G62" s="60" t="str">
        <f>"See " &amp; D71</f>
        <v>See M1_Table_LWG_j</v>
      </c>
    </row>
    <row r="63" spans="3:23" ht="20.100000000000001" customHeight="1" x14ac:dyDescent="0.25">
      <c r="D63" s="60" t="str">
        <v>MR_j</v>
      </c>
      <c r="E63" s="61" t="str">
        <v>increase in metabolic rate when producing milk (fraction)</v>
      </c>
      <c r="F63" s="62"/>
      <c r="G63" s="60" t="str">
        <f>"See " &amp; D76</f>
        <v>See Table_MR_j</v>
      </c>
    </row>
    <row r="64" spans="3:23" ht="20.100000000000001" customHeight="1" x14ac:dyDescent="0.25">
      <c r="D64" s="60" t="str">
        <v>MI_j</v>
      </c>
      <c r="E64" s="61" t="str">
        <v>additional intake required for milk production (kg DM/head/day)</v>
      </c>
      <c r="F64" s="62"/>
      <c r="G64" s="60" t="str">
        <f>"See " &amp; D46</f>
        <v>See M1_Table_MI_j</v>
      </c>
    </row>
    <row r="65" spans="4:22" ht="20.100000000000001" customHeight="1" x14ac:dyDescent="0.25"/>
    <row r="66" spans="4:22" ht="20.100000000000001" customHeight="1" x14ac:dyDescent="0.25">
      <c r="D66" s="104" t="s">
        <v>287</v>
      </c>
      <c r="O66" s="104" t="s">
        <v>289</v>
      </c>
    </row>
    <row r="67" spans="4:22" ht="20.100000000000001" customHeight="1" x14ac:dyDescent="0.25">
      <c r="D67" s="103" t="s">
        <v>288</v>
      </c>
      <c r="O67" s="103" t="s">
        <v>290</v>
      </c>
    </row>
    <row r="68" spans="4:22" ht="20.100000000000001" customHeight="1" x14ac:dyDescent="0.25">
      <c r="D68" s="54" t="s">
        <v>234</v>
      </c>
      <c r="E68" s="54" t="s">
        <v>251</v>
      </c>
      <c r="F68" s="54" t="s">
        <v>252</v>
      </c>
      <c r="G68" s="54" t="s">
        <v>253</v>
      </c>
      <c r="H68" s="54" t="s">
        <v>254</v>
      </c>
      <c r="O68" s="54" t="s">
        <v>234</v>
      </c>
      <c r="P68" s="54" t="s">
        <v>251</v>
      </c>
      <c r="Q68" s="54" t="s">
        <v>252</v>
      </c>
      <c r="R68" s="54" t="s">
        <v>253</v>
      </c>
      <c r="S68" s="54" t="s">
        <v>254</v>
      </c>
    </row>
    <row r="69" spans="4:22" ht="20.100000000000001" customHeight="1" x14ac:dyDescent="0.25">
      <c r="D69" s="55">
        <f>'Input - Dairy'!$E$14</f>
        <v>550</v>
      </c>
      <c r="E69" s="55">
        <f>'Input - Dairy'!$F$14</f>
        <v>380</v>
      </c>
      <c r="F69" s="55">
        <f>'Input - Dairy'!$G$14</f>
        <v>155</v>
      </c>
      <c r="G69" s="55">
        <f>'Input - Dairy'!$H$14</f>
        <v>600</v>
      </c>
      <c r="H69" s="55">
        <f>'Input - Dairy'!$I$14</f>
        <v>225</v>
      </c>
      <c r="I69" s="2" t="s">
        <v>256</v>
      </c>
      <c r="J69" s="2"/>
      <c r="K69" s="2"/>
      <c r="O69" s="55">
        <f>'Input - Dairy'!$E$18</f>
        <v>550</v>
      </c>
      <c r="P69" s="55">
        <f>'Input - Dairy'!$F$18</f>
        <v>380</v>
      </c>
      <c r="Q69" s="55">
        <f>'Input - Dairy'!$G$18</f>
        <v>155</v>
      </c>
      <c r="R69" s="55">
        <f>'Input - Dairy'!$H$18</f>
        <v>600</v>
      </c>
      <c r="S69" s="55">
        <f>'Input - Dairy'!$I$18</f>
        <v>225</v>
      </c>
      <c r="T69" s="2" t="s">
        <v>256</v>
      </c>
      <c r="U69" s="2"/>
      <c r="V69" s="2"/>
    </row>
    <row r="70" spans="4:22" ht="20.100000000000001" customHeight="1" x14ac:dyDescent="0.25"/>
    <row r="71" spans="4:22" ht="20.100000000000001" customHeight="1" x14ac:dyDescent="0.25">
      <c r="D71" s="104" t="s">
        <v>291</v>
      </c>
      <c r="O71" s="104" t="s">
        <v>293</v>
      </c>
    </row>
    <row r="72" spans="4:22" ht="20.100000000000001" customHeight="1" x14ac:dyDescent="0.25">
      <c r="D72" s="103" t="s">
        <v>292</v>
      </c>
      <c r="O72" s="103" t="s">
        <v>294</v>
      </c>
    </row>
    <row r="73" spans="4:22" ht="20.100000000000001" customHeight="1" x14ac:dyDescent="0.25">
      <c r="D73" s="54" t="s">
        <v>234</v>
      </c>
      <c r="E73" s="54" t="s">
        <v>251</v>
      </c>
      <c r="F73" s="54" t="s">
        <v>252</v>
      </c>
      <c r="G73" s="54" t="s">
        <v>253</v>
      </c>
      <c r="H73" s="54" t="s">
        <v>254</v>
      </c>
      <c r="O73" s="54" t="s">
        <v>234</v>
      </c>
      <c r="P73" s="54" t="s">
        <v>251</v>
      </c>
      <c r="Q73" s="54" t="s">
        <v>252</v>
      </c>
      <c r="R73" s="54" t="s">
        <v>253</v>
      </c>
      <c r="S73" s="54" t="s">
        <v>254</v>
      </c>
    </row>
    <row r="74" spans="4:22" ht="20.100000000000001" customHeight="1" x14ac:dyDescent="0.25">
      <c r="D74" s="55">
        <f>'Input - Dairy'!$E$15</f>
        <v>1.6E-2</v>
      </c>
      <c r="E74" s="55">
        <f>'Input - Dairy'!$F$15</f>
        <v>0.6</v>
      </c>
      <c r="F74" s="55">
        <f>'Input - Dairy'!$G$15</f>
        <v>0.56999999999999995</v>
      </c>
      <c r="G74" s="55">
        <f>'Input - Dairy'!$H$15</f>
        <v>0.1</v>
      </c>
      <c r="H74" s="55">
        <f>'Input - Dairy'!$I$15</f>
        <v>0.8</v>
      </c>
      <c r="I74" s="2" t="s">
        <v>257</v>
      </c>
      <c r="J74" s="2"/>
      <c r="K74" s="2"/>
      <c r="O74" s="55">
        <f>'Input - Dairy'!$E$19</f>
        <v>1.6E-2</v>
      </c>
      <c r="P74" s="55">
        <f>'Input - Dairy'!$F$19</f>
        <v>0.6</v>
      </c>
      <c r="Q74" s="55">
        <f>'Input - Dairy'!$G$19</f>
        <v>0.56999999999999995</v>
      </c>
      <c r="R74" s="55">
        <f>'Input - Dairy'!$H$19</f>
        <v>0.1</v>
      </c>
      <c r="S74" s="55">
        <f>'Input - Dairy'!$I$19</f>
        <v>0.8</v>
      </c>
      <c r="T74" s="2" t="s">
        <v>257</v>
      </c>
      <c r="U74" s="2"/>
      <c r="V74" s="2"/>
    </row>
    <row r="75" spans="4:22" ht="20.100000000000001" customHeight="1" x14ac:dyDescent="0.25"/>
    <row r="76" spans="4:22" ht="20.100000000000001" customHeight="1" x14ac:dyDescent="0.25">
      <c r="D76" s="104" t="s">
        <v>295</v>
      </c>
    </row>
    <row r="77" spans="4:22" ht="20.100000000000001" customHeight="1" x14ac:dyDescent="0.25">
      <c r="D77" s="103" t="s">
        <v>296</v>
      </c>
    </row>
    <row r="78" spans="4:22" ht="20.100000000000001" customHeight="1" x14ac:dyDescent="0.25">
      <c r="D78" s="54" t="s">
        <v>234</v>
      </c>
      <c r="E78" s="54" t="s">
        <v>251</v>
      </c>
      <c r="F78" s="54" t="s">
        <v>252</v>
      </c>
      <c r="G78" s="54" t="s">
        <v>253</v>
      </c>
      <c r="H78" s="54" t="s">
        <v>254</v>
      </c>
    </row>
    <row r="79" spans="4:22" ht="20.100000000000001" customHeight="1" x14ac:dyDescent="0.25">
      <c r="D79" s="55">
        <f>'Constants - Dairy'!$E$108</f>
        <v>1.1000000000000001</v>
      </c>
      <c r="E79" s="55">
        <f>'Constants - Dairy'!$E$109</f>
        <v>1</v>
      </c>
      <c r="F79" s="55">
        <f>'Constants - Dairy'!$E$109</f>
        <v>1</v>
      </c>
      <c r="G79" s="55">
        <f>'Constants - Dairy'!$E$109</f>
        <v>1</v>
      </c>
      <c r="H79" s="55">
        <f>'Constants - Dairy'!$E$109</f>
        <v>1</v>
      </c>
      <c r="I79" s="2" t="s">
        <v>100</v>
      </c>
      <c r="J79" s="2"/>
      <c r="K79" s="2"/>
    </row>
    <row r="80" spans="4:22" ht="20.100000000000001" customHeight="1" x14ac:dyDescent="0.25"/>
    <row r="81" spans="3:23" ht="20.100000000000001" customHeight="1" x14ac:dyDescent="0.25">
      <c r="D81" s="104" t="s">
        <v>117</v>
      </c>
      <c r="O81" s="104" t="s">
        <v>119</v>
      </c>
    </row>
    <row r="82" spans="3:23" ht="20.100000000000001" customHeight="1" x14ac:dyDescent="0.25">
      <c r="D82" s="103" t="s">
        <v>310</v>
      </c>
      <c r="O82" s="103" t="s">
        <v>309</v>
      </c>
    </row>
    <row r="83" spans="3:23" ht="20.100000000000001" customHeight="1" x14ac:dyDescent="0.25">
      <c r="D83" s="54" t="s">
        <v>234</v>
      </c>
      <c r="E83" s="54" t="s">
        <v>251</v>
      </c>
      <c r="F83" s="54" t="s">
        <v>252</v>
      </c>
      <c r="G83" s="54" t="s">
        <v>253</v>
      </c>
      <c r="H83" s="54" t="s">
        <v>254</v>
      </c>
      <c r="O83" s="54" t="s">
        <v>234</v>
      </c>
      <c r="P83" s="54" t="s">
        <v>251</v>
      </c>
      <c r="Q83" s="54" t="s">
        <v>252</v>
      </c>
      <c r="R83" s="54" t="s">
        <v>253</v>
      </c>
      <c r="S83" s="54" t="s">
        <v>254</v>
      </c>
    </row>
    <row r="84" spans="3:23" ht="20.100000000000001" customHeight="1" x14ac:dyDescent="0.25">
      <c r="D84" s="55" cm="1">
        <f t="array" ref="D84">EntericMethane_Dairy_Equations.VEERG_3_3_1_1__3_DryMatterFeedIntake(D69,D74,D79,D49)</f>
        <v>9.4647127858085369</v>
      </c>
      <c r="E84" s="55" cm="1">
        <f t="array" ref="E84">EntericMethane_Dairy_Equations.VEERG_3_3_1_1__3_DryMatterFeedIntake(E69,E74,E79,E49)</f>
        <v>7.4188685375999972</v>
      </c>
      <c r="F84" s="55" cm="1">
        <f t="array" ref="F84">EntericMethane_Dairy_Equations.VEERG_3_3_1_1__3_DryMatterFeedIntake(F69,F74,F79,F49)</f>
        <v>4.0231734662249998</v>
      </c>
      <c r="G84" s="55" cm="1">
        <f t="array" ref="G84">EntericMethane_Dairy_Equations.VEERG_3_3_1_1__3_DryMatterFeedIntake(G69,G74,G79,G49)</f>
        <v>9.0270202499999979</v>
      </c>
      <c r="H84" s="55" cm="1">
        <f t="array" ref="H84">EntericMethane_Dairy_Equations.VEERG_3_3_1_1__3_DryMatterFeedIntake(H69,H74,H79,H49)</f>
        <v>5.4143472656250013</v>
      </c>
      <c r="I84" s="2" t="str">
        <f>$E$59</f>
        <v>kg DM/head/day</v>
      </c>
      <c r="J84" s="2"/>
      <c r="K84" s="2"/>
      <c r="O84" s="55" cm="1">
        <f t="array" ref="O84">EntericMethane_Dairy_Equations.VEERG_3_3_1_1__3_DryMatterFeedIntake(O69,O74,D79,O49)</f>
        <v>9.4647127858085369</v>
      </c>
      <c r="P84" s="55" cm="1">
        <f t="array" ref="P84">EntericMethane_Dairy_Equations.VEERG_3_3_1_1__3_DryMatterFeedIntake(P69,P74,E79,P49)</f>
        <v>7.4188685375999972</v>
      </c>
      <c r="Q84" s="55" cm="1">
        <f t="array" ref="Q84">EntericMethane_Dairy_Equations.VEERG_3_3_1_1__3_DryMatterFeedIntake(Q69,Q74,F79,Q49)</f>
        <v>4.0231734662249998</v>
      </c>
      <c r="R84" s="55" cm="1">
        <f t="array" ref="R84">EntericMethane_Dairy_Equations.VEERG_3_3_1_1__3_DryMatterFeedIntake(R69,R74,G79,R49)</f>
        <v>9.0270202499999979</v>
      </c>
      <c r="S84" s="55" cm="1">
        <f t="array" ref="S84">EntericMethane_Dairy_Equations.VEERG_3_3_1_1__3_DryMatterFeedIntake(S69,S74,H79,S49)</f>
        <v>5.4143472656250013</v>
      </c>
      <c r="T84" s="2" t="str">
        <f>$E$59</f>
        <v>kg DM/head/day</v>
      </c>
      <c r="U84" s="2"/>
      <c r="V84" s="2"/>
    </row>
    <row r="85" spans="3:23" ht="20.100000000000001" customHeight="1" x14ac:dyDescent="0.25"/>
    <row r="86" spans="3:23" ht="20.100000000000001" customHeight="1" x14ac:dyDescent="0.25"/>
    <row r="87" spans="3:23" ht="20.100000000000001" customHeight="1" x14ac:dyDescent="0.25">
      <c r="C87" s="48"/>
      <c r="D87" s="48"/>
      <c r="E87" s="48"/>
      <c r="F87" s="48"/>
      <c r="G87" s="48"/>
      <c r="H87" s="48"/>
      <c r="I87" s="48"/>
      <c r="J87" s="48"/>
      <c r="K87" s="48"/>
      <c r="L87" s="48"/>
      <c r="N87" s="48"/>
      <c r="O87" s="48"/>
      <c r="P87" s="48"/>
      <c r="Q87" s="48"/>
      <c r="R87" s="48"/>
      <c r="S87" s="48"/>
      <c r="T87" s="48"/>
      <c r="U87" s="48"/>
      <c r="V87" s="48"/>
      <c r="W87" s="48"/>
    </row>
    <row r="88" spans="3:23" ht="20.100000000000001" customHeight="1" x14ac:dyDescent="0.25">
      <c r="D88" s="6" t="str" cm="1">
        <f t="array" ref="D88">MMS_Dairy_Methane_Equations.VEERG_4_3_1_1__3_VolatileSolidsForWeanedDairyCattle_Title()</f>
        <v>Volatile solids for weaned dairy cattle</v>
      </c>
    </row>
    <row r="89" spans="3:23" ht="20.100000000000001" customHeight="1" x14ac:dyDescent="0.25">
      <c r="D89" s="5" t="str" cm="1">
        <f t="array" ref="D89">MMS_Dairy_Methane_Equations.VEERG_4_3_1_1__3_VolatileSolidsForWeanedDairyCattle_Source()</f>
        <v>VEERG 2026: 4.3.1.1, Equation (3)</v>
      </c>
    </row>
    <row r="90" spans="3:23" ht="20.100000000000001" customHeight="1" x14ac:dyDescent="0.25">
      <c r="D90" s="13" t="s">
        <v>27</v>
      </c>
      <c r="E90" s="13" t="str" cm="1">
        <f t="array" aca="1" ref="E90" ca="1">Common_InputFunctions.Utility_DisplayFunctionName(D103)</f>
        <v>=MMS_Dairy_Methane_Equations.VEERG_4_3_1_1__3_VolatileSolidsForWeanedDairyCattle</v>
      </c>
    </row>
    <row r="91" spans="3:23" ht="20.100000000000001" customHeight="1" x14ac:dyDescent="0.25"/>
    <row r="92" spans="3:23" ht="20.100000000000001" customHeight="1" x14ac:dyDescent="0.25"/>
    <row r="93" spans="3:23" ht="20.100000000000001" customHeight="1" x14ac:dyDescent="0.25">
      <c r="D93" s="56" t="s">
        <v>30</v>
      </c>
      <c r="E93" s="1" t="str" cm="1">
        <f t="array" ref="E93">MMS_Dairy_Methane_Equations.VEERG_4_3_1_1__3_VolatileSolidsForWeanedDairyCattle_Variable()</f>
        <v>VS_j</v>
      </c>
    </row>
    <row r="94" spans="3:23" ht="20.100000000000001" customHeight="1" x14ac:dyDescent="0.25">
      <c r="D94" s="56" t="s">
        <v>20</v>
      </c>
      <c r="E94" s="57" t="str" cm="1">
        <f t="array" ref="E94">MMS_Dairy_Methane_Equations.VEERG_4_3_1_1__3_VolatileSolidsForWeanedDairyCattle_Unit()</f>
        <v>kg/head/day</v>
      </c>
    </row>
    <row r="95" spans="3:23" ht="20.100000000000001" customHeight="1" x14ac:dyDescent="0.25"/>
    <row r="96" spans="3:23" ht="20.100000000000001" customHeight="1" x14ac:dyDescent="0.25">
      <c r="D96" s="115" t="str" cm="1">
        <f t="array" ref="D96:E98">MMS_Dairy_Methane_Equations.VEERG_4_3_1_1__3_VolatileSolidsForWeanedDairyCattle_Arguments()</f>
        <v>I_j</v>
      </c>
      <c r="E96" s="117" t="str">
        <v>dry matter feed intake (kgDM/head/day)</v>
      </c>
      <c r="F96" s="116"/>
      <c r="G96" s="115" t="str">
        <f>"See " &amp; D81</f>
        <v>See M1_Table_I_j</v>
      </c>
    </row>
    <row r="97" spans="3:23" ht="20.100000000000001" customHeight="1" x14ac:dyDescent="0.25">
      <c r="D97" s="115" t="str">
        <v>DMD_j</v>
      </c>
      <c r="E97" s="117" t="str">
        <v>dry matter digestibility</v>
      </c>
      <c r="F97" s="116"/>
      <c r="G97" s="115" t="str">
        <f>"See " &amp; D15</f>
        <v>See M1_Table_DMD_j</v>
      </c>
    </row>
    <row r="98" spans="3:23" ht="20.100000000000001" customHeight="1" x14ac:dyDescent="0.25">
      <c r="D98" s="115" t="str">
        <v>A</v>
      </c>
      <c r="E98" s="117" t="str">
        <v>ash content of feed intake</v>
      </c>
      <c r="F98" s="116"/>
      <c r="G98" s="60">
        <f>'Constants - Dairy'!$D$188</f>
        <v>0.08</v>
      </c>
    </row>
    <row r="99" spans="3:23" ht="20.100000000000001" customHeight="1" x14ac:dyDescent="0.25"/>
    <row r="100" spans="3:23" ht="20.100000000000001" customHeight="1" x14ac:dyDescent="0.25">
      <c r="D100" s="104" t="s">
        <v>130</v>
      </c>
      <c r="O100" s="104" t="s">
        <v>133</v>
      </c>
    </row>
    <row r="101" spans="3:23" ht="20.100000000000001" customHeight="1" x14ac:dyDescent="0.25">
      <c r="D101" s="103" t="s">
        <v>311</v>
      </c>
      <c r="O101" s="103" t="s">
        <v>312</v>
      </c>
    </row>
    <row r="102" spans="3:23" ht="20.100000000000001" customHeight="1" x14ac:dyDescent="0.25">
      <c r="D102" s="54" t="s">
        <v>234</v>
      </c>
      <c r="E102" s="54" t="s">
        <v>251</v>
      </c>
      <c r="F102" s="54" t="s">
        <v>252</v>
      </c>
      <c r="G102" s="54" t="s">
        <v>253</v>
      </c>
      <c r="H102" s="54" t="s">
        <v>254</v>
      </c>
      <c r="O102" s="54" t="s">
        <v>234</v>
      </c>
      <c r="P102" s="54" t="s">
        <v>251</v>
      </c>
      <c r="Q102" s="54" t="s">
        <v>252</v>
      </c>
      <c r="R102" s="54" t="s">
        <v>253</v>
      </c>
      <c r="S102" s="54" t="s">
        <v>254</v>
      </c>
    </row>
    <row r="103" spans="3:23" ht="20.100000000000001" customHeight="1" x14ac:dyDescent="0.25">
      <c r="D103" s="55" cm="1">
        <f t="array" ref="D103">MMS_Dairy_Methane_Equations.VEERG_4_3_1_1__3_VolatileSolidsForWeanedDairyCattle(D84,D18,$G$98)</f>
        <v>2.525185371253718</v>
      </c>
      <c r="E103" s="55" cm="1">
        <f t="array" ref="E103">MMS_Dairy_Methane_Equations.VEERG_4_3_1_1__3_VolatileSolidsForWeanedDairyCattle(E84,E18,$G$98)</f>
        <v>1.9793541258316791</v>
      </c>
      <c r="F103" s="55" cm="1">
        <f t="array" ref="F103">MMS_Dairy_Methane_Equations.VEERG_4_3_1_1__3_VolatileSolidsForWeanedDairyCattle(F84,F18,$G$98)</f>
        <v>1.07338268078883</v>
      </c>
      <c r="G103" s="55" cm="1">
        <f t="array" ref="G103">MMS_Dairy_Methane_Equations.VEERG_4_3_1_1__3_VolatileSolidsForWeanedDairyCattle(G84,G18,$G$98)</f>
        <v>2.4084090026999996</v>
      </c>
      <c r="H103" s="55" cm="1">
        <f t="array" ref="H103">MMS_Dairy_Methane_Equations.VEERG_4_3_1_1__3_VolatileSolidsForWeanedDairyCattle(H84,H18,$G$98)</f>
        <v>1.4445478504687506</v>
      </c>
      <c r="I103" s="2" t="str">
        <f>$E$94</f>
        <v>kg/head/day</v>
      </c>
      <c r="O103" s="55" cm="1">
        <f t="array" ref="O103">MMS_Dairy_Methane_Equations.VEERG_4_3_1_1__3_VolatileSolidsForWeanedDairyCattle(O84,O18,$G$98)</f>
        <v>2.525185371253718</v>
      </c>
      <c r="P103" s="55" cm="1">
        <f t="array" ref="P103">MMS_Dairy_Methane_Equations.VEERG_4_3_1_1__3_VolatileSolidsForWeanedDairyCattle(P84,P18,$G$98)</f>
        <v>1.9793541258316791</v>
      </c>
      <c r="Q103" s="55" cm="1">
        <f t="array" ref="Q103">MMS_Dairy_Methane_Equations.VEERG_4_3_1_1__3_VolatileSolidsForWeanedDairyCattle(Q84,Q18,$G$98)</f>
        <v>1.07338268078883</v>
      </c>
      <c r="R103" s="55" cm="1">
        <f t="array" ref="R103">MMS_Dairy_Methane_Equations.VEERG_4_3_1_1__3_VolatileSolidsForWeanedDairyCattle(R84,R18,$G$98)</f>
        <v>2.4084090026999996</v>
      </c>
      <c r="S103" s="55" cm="1">
        <f t="array" ref="S103">MMS_Dairy_Methane_Equations.VEERG_4_3_1_1__3_VolatileSolidsForWeanedDairyCattle(S84,S18,$G$98)</f>
        <v>1.4445478504687506</v>
      </c>
      <c r="T103" s="2" t="str">
        <f>$E$94</f>
        <v>kg/head/day</v>
      </c>
    </row>
    <row r="104" spans="3:23" ht="20.100000000000001" customHeight="1" x14ac:dyDescent="0.25"/>
    <row r="105" spans="3:23" ht="20.100000000000001" customHeight="1" x14ac:dyDescent="0.25"/>
    <row r="106" spans="3:23" ht="20.100000000000001" customHeight="1" x14ac:dyDescent="0.25"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</row>
    <row r="107" spans="3:23" ht="20.100000000000001" customHeight="1" x14ac:dyDescent="0.25">
      <c r="D107" s="6" t="str" cm="1">
        <f t="array" ref="D107">MMS_Dairy_Methane_Equations.VEERG_4_3_1_1__4_FractionVolatileSolidsNotSolidStorage_Title()</f>
        <v>Fraction of volatile solids in each system other than solid storage</v>
      </c>
    </row>
    <row r="108" spans="3:23" ht="20.100000000000001" customHeight="1" x14ac:dyDescent="0.25">
      <c r="D108" s="5" t="str" cm="1">
        <f t="array" ref="D108">MMS_Dairy_Methane_Equations.VEERG_4_3_1_1__4_FractionVolatileSolidsNotSolidStorage_Source()</f>
        <v>VEERG 2026: 4.3.1.1, Equation (4)</v>
      </c>
      <c r="E108" s="13"/>
    </row>
    <row r="109" spans="3:23" ht="20.100000000000001" customHeight="1" x14ac:dyDescent="0.25">
      <c r="D109" s="13" t="s">
        <v>27</v>
      </c>
      <c r="E109" s="13" t="str" cm="1">
        <f t="array" aca="1" ref="E109" ca="1">Common_InputFunctions.Utility_DisplayFunctionName(F141)</f>
        <v>=MMS_Dairy_Methane_Equations.VEERG_4_3_1_1__4_FractionVolatileSolidsNotSolidStorage</v>
      </c>
    </row>
    <row r="110" spans="3:23" ht="20.100000000000001" customHeight="1" x14ac:dyDescent="0.25">
      <c r="D110" s="6"/>
    </row>
    <row r="111" spans="3:23" ht="20.100000000000001" customHeight="1" x14ac:dyDescent="0.25">
      <c r="F111" s="114" t="s">
        <v>352</v>
      </c>
    </row>
    <row r="112" spans="3:23" ht="20.100000000000001" customHeight="1" x14ac:dyDescent="0.25">
      <c r="D112" s="56" t="s">
        <v>30</v>
      </c>
      <c r="E112" s="1" t="str" cm="1">
        <f t="array" ref="E112">MMS_Dairy_Methane_Equations.VEERG_4_3_1_1__4_FractionVolatileSolidsNotSolidStorage_Variable()</f>
        <v>FVS_jm</v>
      </c>
    </row>
    <row r="113" spans="4:22" ht="20.100000000000001" customHeight="1" x14ac:dyDescent="0.25">
      <c r="D113" s="56" t="s">
        <v>20</v>
      </c>
      <c r="E113" s="57" t="str" cm="1">
        <f t="array" ref="E113">MMS_Dairy_Methane_Equations.VEERG_4_3_1_1__4_FractionVolatileSolidsNotSolidStorage_Unit()</f>
        <v>fraction</v>
      </c>
    </row>
    <row r="114" spans="4:22" ht="20.100000000000001" customHeight="1" x14ac:dyDescent="0.25"/>
    <row r="115" spans="4:22" ht="20.100000000000001" customHeight="1" x14ac:dyDescent="0.25">
      <c r="D115" s="115" t="str" cm="1">
        <f t="array" ref="D115:E116">MMS_Dairy_Methane_Equations.VEERG_4_3_1_1__4_FractionVolatileSolidsNotSolidStorage_Arguments()</f>
        <v>MMS_jm</v>
      </c>
      <c r="E115" s="117" t="str">
        <v>fraction of manure to each primary MMS for each class prior to solid separation</v>
      </c>
      <c r="F115" s="116"/>
      <c r="G115" s="115" t="str">
        <f>"See " &amp; D118</f>
        <v>See M1_Table_MMS_j_m</v>
      </c>
    </row>
    <row r="116" spans="4:22" ht="20.100000000000001" customHeight="1" x14ac:dyDescent="0.25">
      <c r="D116" s="115" t="str">
        <v>SS_m</v>
      </c>
      <c r="E116" s="117" t="str">
        <v>fraction of volatile solids separated to solid storage for each MMS</v>
      </c>
      <c r="F116" s="116"/>
      <c r="G116" s="115" t="str">
        <f>"See " &amp; D128</f>
        <v>See M1_Table_SS_m</v>
      </c>
    </row>
    <row r="117" spans="4:22" ht="20.100000000000001" customHeight="1" x14ac:dyDescent="0.25"/>
    <row r="118" spans="4:22" ht="20.100000000000001" customHeight="1" x14ac:dyDescent="0.25">
      <c r="D118" s="104" t="s">
        <v>317</v>
      </c>
      <c r="O118" s="104" t="s">
        <v>319</v>
      </c>
    </row>
    <row r="119" spans="4:22" ht="20.100000000000001" customHeight="1" x14ac:dyDescent="0.25">
      <c r="D119" s="103" t="s">
        <v>318</v>
      </c>
      <c r="O119" s="103" t="s">
        <v>320</v>
      </c>
    </row>
    <row r="120" spans="4:22" ht="20.100000000000001" customHeight="1" x14ac:dyDescent="0.25">
      <c r="D120" s="54" t="s">
        <v>203</v>
      </c>
      <c r="E120" s="54" t="s">
        <v>68</v>
      </c>
      <c r="F120" s="54" t="s">
        <v>234</v>
      </c>
      <c r="G120" s="54" t="s">
        <v>251</v>
      </c>
      <c r="H120" s="54" t="s">
        <v>252</v>
      </c>
      <c r="I120" s="54" t="s">
        <v>253</v>
      </c>
      <c r="J120" s="54" t="s">
        <v>254</v>
      </c>
      <c r="O120" s="54" t="s">
        <v>203</v>
      </c>
      <c r="P120" s="54" t="s">
        <v>68</v>
      </c>
      <c r="Q120" s="54" t="s">
        <v>234</v>
      </c>
      <c r="R120" s="54" t="s">
        <v>251</v>
      </c>
      <c r="S120" s="54" t="s">
        <v>252</v>
      </c>
      <c r="T120" s="54" t="s">
        <v>253</v>
      </c>
      <c r="U120" s="54" t="s">
        <v>254</v>
      </c>
    </row>
    <row r="121" spans="4:22" ht="20.100000000000001" customHeight="1" x14ac:dyDescent="0.25">
      <c r="D121" s="55" t="str">
        <f>'Input - Dairy'!$D$54</f>
        <v>Milking shed</v>
      </c>
      <c r="E121" s="55" t="str">
        <f>'Input - Dairy'!$D$67</f>
        <v>Anaerobic lagoon</v>
      </c>
      <c r="F121" s="55">
        <f>'Input - Dairy'!E$54*'Input - Dairy'!E67</f>
        <v>2.75E-2</v>
      </c>
      <c r="G121" s="55">
        <f>'Input - Dairy'!F$54*'Input - Dairy'!F67</f>
        <v>2.75E-2</v>
      </c>
      <c r="H121" s="55">
        <f>'Input - Dairy'!G$54*'Input - Dairy'!G67</f>
        <v>2.75E-2</v>
      </c>
      <c r="I121" s="55">
        <f>'Input - Dairy'!H$54*'Input - Dairy'!H67</f>
        <v>2.75E-2</v>
      </c>
      <c r="J121" s="55">
        <f>'Input - Dairy'!I$54*'Input - Dairy'!I67</f>
        <v>2.75E-2</v>
      </c>
      <c r="K121" s="2" t="s">
        <v>100</v>
      </c>
      <c r="O121" s="55" t="str">
        <f>'Input - Dairy'!$D$54</f>
        <v>Milking shed</v>
      </c>
      <c r="P121" s="55" t="str">
        <f>'Input - Dairy'!$D$67</f>
        <v>Anaerobic lagoon</v>
      </c>
      <c r="Q121" s="55">
        <f>'Input - Dairy'!E$59*'Input - Dairy'!E67</f>
        <v>2.75E-2</v>
      </c>
      <c r="R121" s="55">
        <f>'Input - Dairy'!F$59*'Input - Dairy'!F67</f>
        <v>2.75E-2</v>
      </c>
      <c r="S121" s="55">
        <f>'Input - Dairy'!G$59*'Input - Dairy'!G67</f>
        <v>2.75E-2</v>
      </c>
      <c r="T121" s="55">
        <f>'Input - Dairy'!H$59*'Input - Dairy'!H67</f>
        <v>2.75E-2</v>
      </c>
      <c r="U121" s="55">
        <f>'Input - Dairy'!I$59*'Input - Dairy'!I67</f>
        <v>2.75E-2</v>
      </c>
      <c r="V121" s="2" t="s">
        <v>100</v>
      </c>
    </row>
    <row r="122" spans="4:22" ht="20.100000000000001" customHeight="1" x14ac:dyDescent="0.25">
      <c r="D122" s="55" t="str">
        <f>'Input - Dairy'!$D$54</f>
        <v>Milking shed</v>
      </c>
      <c r="E122" s="55" t="str">
        <f>'Input - Dairy'!$D$72</f>
        <v>Sump and dispersal system</v>
      </c>
      <c r="F122" s="55">
        <f>'Input - Dairy'!E$54*'Input - Dairy'!E72</f>
        <v>2.75E-2</v>
      </c>
      <c r="G122" s="55">
        <f>'Input - Dairy'!F$54*'Input - Dairy'!F72</f>
        <v>2.75E-2</v>
      </c>
      <c r="H122" s="55">
        <f>'Input - Dairy'!G$54*'Input - Dairy'!G72</f>
        <v>2.75E-2</v>
      </c>
      <c r="I122" s="55">
        <f>'Input - Dairy'!H$54*'Input - Dairy'!H72</f>
        <v>2.75E-2</v>
      </c>
      <c r="J122" s="55">
        <f>'Input - Dairy'!I$54*'Input - Dairy'!I72</f>
        <v>2.75E-2</v>
      </c>
      <c r="K122" s="2" t="s">
        <v>100</v>
      </c>
      <c r="O122" s="55" t="str">
        <f>'Input - Dairy'!$D$54</f>
        <v>Milking shed</v>
      </c>
      <c r="P122" s="55" t="str">
        <f>'Input - Dairy'!$D$72</f>
        <v>Sump and dispersal system</v>
      </c>
      <c r="Q122" s="55">
        <f>'Input - Dairy'!E$59*'Input - Dairy'!E72</f>
        <v>2.75E-2</v>
      </c>
      <c r="R122" s="55">
        <f>'Input - Dairy'!F$59*'Input - Dairy'!F72</f>
        <v>2.75E-2</v>
      </c>
      <c r="S122" s="55">
        <f>'Input - Dairy'!G$59*'Input - Dairy'!G72</f>
        <v>2.75E-2</v>
      </c>
      <c r="T122" s="55">
        <f>'Input - Dairy'!H$59*'Input - Dairy'!H72</f>
        <v>2.75E-2</v>
      </c>
      <c r="U122" s="55">
        <f>'Input - Dairy'!I$59*'Input - Dairy'!I72</f>
        <v>2.75E-2</v>
      </c>
      <c r="V122" s="2" t="s">
        <v>100</v>
      </c>
    </row>
    <row r="123" spans="4:22" ht="20.100000000000001" customHeight="1" x14ac:dyDescent="0.25">
      <c r="D123" s="55" t="str">
        <f>'Input - Dairy'!$D$54</f>
        <v>Milking shed</v>
      </c>
      <c r="E123" s="55" t="str">
        <f>'Input - Dairy'!$D$77</f>
        <v>Drains to paddock</v>
      </c>
      <c r="F123" s="55">
        <f>'Input - Dairy'!E$54*'Input - Dairy'!E77</f>
        <v>2.75E-2</v>
      </c>
      <c r="G123" s="55">
        <f>'Input - Dairy'!F$54*'Input - Dairy'!F77</f>
        <v>2.75E-2</v>
      </c>
      <c r="H123" s="55">
        <f>'Input - Dairy'!G$54*'Input - Dairy'!G77</f>
        <v>2.75E-2</v>
      </c>
      <c r="I123" s="55">
        <f>'Input - Dairy'!H$54*'Input - Dairy'!H77</f>
        <v>2.75E-2</v>
      </c>
      <c r="J123" s="55">
        <f>'Input - Dairy'!I$54*'Input - Dairy'!I77</f>
        <v>2.75E-2</v>
      </c>
      <c r="K123" s="2" t="s">
        <v>100</v>
      </c>
      <c r="O123" s="55" t="str">
        <f>'Input - Dairy'!$D$54</f>
        <v>Milking shed</v>
      </c>
      <c r="P123" s="55" t="str">
        <f>'Input - Dairy'!$D$77</f>
        <v>Drains to paddock</v>
      </c>
      <c r="Q123" s="55">
        <f>'Input - Dairy'!E$59*'Input - Dairy'!E77</f>
        <v>2.75E-2</v>
      </c>
      <c r="R123" s="55">
        <f>'Input - Dairy'!F$59*'Input - Dairy'!F77</f>
        <v>2.75E-2</v>
      </c>
      <c r="S123" s="55">
        <f>'Input - Dairy'!G$59*'Input - Dairy'!G77</f>
        <v>2.75E-2</v>
      </c>
      <c r="T123" s="55">
        <f>'Input - Dairy'!H$59*'Input - Dairy'!H77</f>
        <v>2.75E-2</v>
      </c>
      <c r="U123" s="55">
        <f>'Input - Dairy'!I$59*'Input - Dairy'!I77</f>
        <v>2.75E-2</v>
      </c>
      <c r="V123" s="2" t="s">
        <v>100</v>
      </c>
    </row>
    <row r="124" spans="4:22" ht="20.100000000000001" customHeight="1" x14ac:dyDescent="0.25">
      <c r="D124" s="55" t="str">
        <f>'Input - Dairy'!$D$55</f>
        <v>Feed pad</v>
      </c>
      <c r="E124" s="55" t="str">
        <f>'Input - Dairy'!$D$101</f>
        <v>Anaerobic lagoon</v>
      </c>
      <c r="F124" s="55">
        <f>'Input - Dairy'!E$55*'Input - Dairy'!E101</f>
        <v>8.8999999999999996E-2</v>
      </c>
      <c r="G124" s="55">
        <f>'Input - Dairy'!F$55*'Input - Dairy'!F101</f>
        <v>8.8999999999999996E-2</v>
      </c>
      <c r="H124" s="55">
        <f>'Input - Dairy'!G$55*'Input - Dairy'!G101</f>
        <v>8.8999999999999996E-2</v>
      </c>
      <c r="I124" s="55">
        <f>'Input - Dairy'!H$55*'Input - Dairy'!H101</f>
        <v>8.8999999999999996E-2</v>
      </c>
      <c r="J124" s="55">
        <f>'Input - Dairy'!I$55*'Input - Dairy'!I101</f>
        <v>8.8999999999999996E-2</v>
      </c>
      <c r="K124" s="2" t="s">
        <v>100</v>
      </c>
      <c r="O124" s="55" t="str">
        <f>'Input - Dairy'!$D$55</f>
        <v>Feed pad</v>
      </c>
      <c r="P124" s="55" t="str">
        <f>'Input - Dairy'!$D$101</f>
        <v>Anaerobic lagoon</v>
      </c>
      <c r="Q124" s="55">
        <f>'Input - Dairy'!E$60*'Input - Dairy'!E101</f>
        <v>8.8999999999999996E-2</v>
      </c>
      <c r="R124" s="55">
        <f>'Input - Dairy'!F$60*'Input - Dairy'!F101</f>
        <v>8.8999999999999996E-2</v>
      </c>
      <c r="S124" s="55">
        <f>'Input - Dairy'!G$60*'Input - Dairy'!G101</f>
        <v>8.8999999999999996E-2</v>
      </c>
      <c r="T124" s="55">
        <f>'Input - Dairy'!H$60*'Input - Dairy'!H101</f>
        <v>8.8999999999999996E-2</v>
      </c>
      <c r="U124" s="55">
        <f>'Input - Dairy'!I$60*'Input - Dairy'!I101</f>
        <v>8.8999999999999996E-2</v>
      </c>
      <c r="V124" s="2" t="s">
        <v>100</v>
      </c>
    </row>
    <row r="125" spans="4:22" ht="20.100000000000001" customHeight="1" x14ac:dyDescent="0.25">
      <c r="D125" s="55" t="str">
        <f>'Input - Dairy'!$D$55</f>
        <v>Feed pad</v>
      </c>
      <c r="E125" s="55" t="str">
        <f>'Input - Dairy'!$D$106</f>
        <v>Sump and dispersal system</v>
      </c>
      <c r="F125" s="55">
        <f>'Input - Dairy'!E$55*'Input - Dairy'!E106</f>
        <v>8.8999999999999996E-2</v>
      </c>
      <c r="G125" s="55">
        <f>'Input - Dairy'!F$55*'Input - Dairy'!F106</f>
        <v>8.8999999999999996E-2</v>
      </c>
      <c r="H125" s="55">
        <f>'Input - Dairy'!G$55*'Input - Dairy'!G106</f>
        <v>8.8999999999999996E-2</v>
      </c>
      <c r="I125" s="55">
        <f>'Input - Dairy'!H$55*'Input - Dairy'!H106</f>
        <v>8.8999999999999996E-2</v>
      </c>
      <c r="J125" s="55">
        <f>'Input - Dairy'!I$55*'Input - Dairy'!I106</f>
        <v>8.8999999999999996E-2</v>
      </c>
      <c r="K125" s="2" t="s">
        <v>100</v>
      </c>
      <c r="O125" s="55" t="str">
        <f>'Input - Dairy'!$D$55</f>
        <v>Feed pad</v>
      </c>
      <c r="P125" s="55" t="str">
        <f>'Input - Dairy'!$D$106</f>
        <v>Sump and dispersal system</v>
      </c>
      <c r="Q125" s="55">
        <f>'Input - Dairy'!E$60*'Input - Dairy'!E106</f>
        <v>8.8999999999999996E-2</v>
      </c>
      <c r="R125" s="55">
        <f>'Input - Dairy'!F$60*'Input - Dairy'!F106</f>
        <v>8.8999999999999996E-2</v>
      </c>
      <c r="S125" s="55">
        <f>'Input - Dairy'!G$60*'Input - Dairy'!G106</f>
        <v>8.8999999999999996E-2</v>
      </c>
      <c r="T125" s="55">
        <f>'Input - Dairy'!H$60*'Input - Dairy'!H106</f>
        <v>8.8999999999999996E-2</v>
      </c>
      <c r="U125" s="55">
        <f>'Input - Dairy'!I$60*'Input - Dairy'!I106</f>
        <v>8.8999999999999996E-2</v>
      </c>
      <c r="V125" s="2" t="s">
        <v>100</v>
      </c>
    </row>
    <row r="126" spans="4:22" ht="20.100000000000001" customHeight="1" x14ac:dyDescent="0.25">
      <c r="D126" s="55" t="str">
        <f>'Input - Dairy'!$D$55</f>
        <v>Feed pad</v>
      </c>
      <c r="E126" s="55" t="str">
        <f>'Input - Dairy'!$D$111</f>
        <v>Drains to paddock</v>
      </c>
      <c r="F126" s="55">
        <f>'Input - Dairy'!E$55*'Input - Dairy'!E111</f>
        <v>8.8999999999999996E-2</v>
      </c>
      <c r="G126" s="55">
        <f>'Input - Dairy'!F$55*'Input - Dairy'!F111</f>
        <v>8.8999999999999996E-2</v>
      </c>
      <c r="H126" s="55">
        <f>'Input - Dairy'!G$55*'Input - Dairy'!G111</f>
        <v>8.8999999999999996E-2</v>
      </c>
      <c r="I126" s="55">
        <f>'Input - Dairy'!H$55*'Input - Dairy'!H111</f>
        <v>8.8999999999999996E-2</v>
      </c>
      <c r="J126" s="55">
        <f>'Input - Dairy'!I$55*'Input - Dairy'!I111</f>
        <v>8.8999999999999996E-2</v>
      </c>
      <c r="K126" s="2" t="s">
        <v>100</v>
      </c>
      <c r="O126" s="55" t="str">
        <f>'Input - Dairy'!$D$55</f>
        <v>Feed pad</v>
      </c>
      <c r="P126" s="55" t="str">
        <f>'Input - Dairy'!$D$111</f>
        <v>Drains to paddock</v>
      </c>
      <c r="Q126" s="55">
        <f>'Input - Dairy'!E$60*'Input - Dairy'!E111</f>
        <v>8.8999999999999996E-2</v>
      </c>
      <c r="R126" s="55">
        <f>'Input - Dairy'!F$60*'Input - Dairy'!F111</f>
        <v>8.8999999999999996E-2</v>
      </c>
      <c r="S126" s="55">
        <f>'Input - Dairy'!G$60*'Input - Dairy'!G111</f>
        <v>8.8999999999999996E-2</v>
      </c>
      <c r="T126" s="55">
        <f>'Input - Dairy'!H$60*'Input - Dairy'!H111</f>
        <v>8.8999999999999996E-2</v>
      </c>
      <c r="U126" s="55">
        <f>'Input - Dairy'!I$60*'Input - Dairy'!I111</f>
        <v>8.8999999999999996E-2</v>
      </c>
      <c r="V126" s="2" t="s">
        <v>100</v>
      </c>
    </row>
    <row r="127" spans="4:22" ht="20.100000000000001" customHeight="1" x14ac:dyDescent="0.25"/>
    <row r="128" spans="4:22" ht="20.100000000000001" customHeight="1" x14ac:dyDescent="0.25">
      <c r="D128" s="104" t="s">
        <v>315</v>
      </c>
      <c r="O128" s="104" t="s">
        <v>321</v>
      </c>
    </row>
    <row r="129" spans="4:22" ht="20.100000000000001" customHeight="1" x14ac:dyDescent="0.25">
      <c r="D129" s="103" t="s">
        <v>324</v>
      </c>
      <c r="O129" s="103" t="s">
        <v>325</v>
      </c>
    </row>
    <row r="130" spans="4:22" ht="20.100000000000001" customHeight="1" x14ac:dyDescent="0.25">
      <c r="D130" s="54" t="s">
        <v>203</v>
      </c>
      <c r="E130" s="54" t="s">
        <v>68</v>
      </c>
      <c r="F130" s="54" t="s">
        <v>316</v>
      </c>
      <c r="O130" s="54" t="s">
        <v>203</v>
      </c>
      <c r="P130" s="54" t="s">
        <v>68</v>
      </c>
      <c r="Q130" s="54" t="s">
        <v>316</v>
      </c>
    </row>
    <row r="131" spans="4:22" ht="20.100000000000001" customHeight="1" x14ac:dyDescent="0.25">
      <c r="D131" s="55" t="str">
        <f>'Input - Dairy'!$D$54</f>
        <v>Milking shed</v>
      </c>
      <c r="E131" s="55" t="str">
        <f>'Input - Dairy'!$D$67</f>
        <v>Anaerobic lagoon</v>
      </c>
      <c r="F131" s="55">
        <f>'Input - Dairy'!$E$69</f>
        <v>0.2</v>
      </c>
      <c r="G131" s="2" t="s">
        <v>100</v>
      </c>
      <c r="O131" s="55" t="str">
        <f>'Input - Dairy'!$D$54</f>
        <v>Milking shed</v>
      </c>
      <c r="P131" s="55" t="str">
        <f>'Input - Dairy'!$D$67</f>
        <v>Anaerobic lagoon</v>
      </c>
      <c r="Q131" s="55">
        <f>'Input - Dairy'!$E$70</f>
        <v>0.2</v>
      </c>
      <c r="R131" s="2" t="s">
        <v>100</v>
      </c>
    </row>
    <row r="132" spans="4:22" ht="20.100000000000001" customHeight="1" x14ac:dyDescent="0.25">
      <c r="D132" s="55" t="str">
        <f>'Input - Dairy'!$D$54</f>
        <v>Milking shed</v>
      </c>
      <c r="E132" s="55" t="str">
        <f>'Input - Dairy'!$D$72</f>
        <v>Sump and dispersal system</v>
      </c>
      <c r="F132" s="55">
        <f>'Input - Dairy'!$E$74</f>
        <v>0.2</v>
      </c>
      <c r="G132" s="2" t="s">
        <v>100</v>
      </c>
      <c r="O132" s="55" t="str">
        <f>'Input - Dairy'!$D$54</f>
        <v>Milking shed</v>
      </c>
      <c r="P132" s="55" t="str">
        <f>'Input - Dairy'!$D$72</f>
        <v>Sump and dispersal system</v>
      </c>
      <c r="Q132" s="55">
        <f>'Input - Dairy'!$E$75</f>
        <v>0.2</v>
      </c>
      <c r="R132" s="2" t="s">
        <v>100</v>
      </c>
    </row>
    <row r="133" spans="4:22" ht="20.100000000000001" customHeight="1" x14ac:dyDescent="0.25">
      <c r="D133" s="55" t="str">
        <f>'Input - Dairy'!$D$54</f>
        <v>Milking shed</v>
      </c>
      <c r="E133" s="55" t="str">
        <f>'Input - Dairy'!$D$77</f>
        <v>Drains to paddock</v>
      </c>
      <c r="F133" s="55">
        <f>'Input - Dairy'!$E$79</f>
        <v>0.2</v>
      </c>
      <c r="G133" s="2" t="s">
        <v>100</v>
      </c>
      <c r="O133" s="55" t="str">
        <f>'Input - Dairy'!$D$54</f>
        <v>Milking shed</v>
      </c>
      <c r="P133" s="55" t="str">
        <f>'Input - Dairy'!$D$77</f>
        <v>Drains to paddock</v>
      </c>
      <c r="Q133" s="55">
        <f>'Input - Dairy'!$E$80</f>
        <v>0.2</v>
      </c>
      <c r="R133" s="2" t="s">
        <v>100</v>
      </c>
    </row>
    <row r="134" spans="4:22" ht="20.100000000000001" customHeight="1" x14ac:dyDescent="0.25">
      <c r="D134" s="55" t="str">
        <f>'Input - Dairy'!$D$55</f>
        <v>Feed pad</v>
      </c>
      <c r="E134" s="55" t="str">
        <f>'Input - Dairy'!$D$101</f>
        <v>Anaerobic lagoon</v>
      </c>
      <c r="F134" s="55">
        <f>'Input - Dairy'!$E$103</f>
        <v>0</v>
      </c>
      <c r="G134" s="2" t="s">
        <v>100</v>
      </c>
      <c r="O134" s="55" t="str">
        <f>'Input - Dairy'!$D$55</f>
        <v>Feed pad</v>
      </c>
      <c r="P134" s="55" t="str">
        <f>'Input - Dairy'!$D$101</f>
        <v>Anaerobic lagoon</v>
      </c>
      <c r="Q134" s="55">
        <f>'Input - Dairy'!$E$104</f>
        <v>0</v>
      </c>
      <c r="R134" s="2" t="s">
        <v>100</v>
      </c>
    </row>
    <row r="135" spans="4:22" ht="20.100000000000001" customHeight="1" x14ac:dyDescent="0.25">
      <c r="D135" s="55" t="str">
        <f>'Input - Dairy'!$D$55</f>
        <v>Feed pad</v>
      </c>
      <c r="E135" s="55" t="str">
        <f>'Input - Dairy'!$D$106</f>
        <v>Sump and dispersal system</v>
      </c>
      <c r="F135" s="55">
        <f>'Input - Dairy'!$E$108</f>
        <v>0.2</v>
      </c>
      <c r="G135" s="2" t="s">
        <v>100</v>
      </c>
      <c r="O135" s="55" t="str">
        <f>'Input - Dairy'!$D$55</f>
        <v>Feed pad</v>
      </c>
      <c r="P135" s="55" t="str">
        <f>'Input - Dairy'!$D$106</f>
        <v>Sump and dispersal system</v>
      </c>
      <c r="Q135" s="55">
        <f>'Input - Dairy'!$E$109</f>
        <v>0.2</v>
      </c>
      <c r="R135" s="2" t="s">
        <v>100</v>
      </c>
    </row>
    <row r="136" spans="4:22" ht="20.100000000000001" customHeight="1" x14ac:dyDescent="0.25">
      <c r="D136" s="55" t="str">
        <f>'Input - Dairy'!$D$55</f>
        <v>Feed pad</v>
      </c>
      <c r="E136" s="55" t="str">
        <f>'Input - Dairy'!$D$111</f>
        <v>Drains to paddock</v>
      </c>
      <c r="F136" s="55">
        <f>'Input - Dairy'!$E$113</f>
        <v>0.2</v>
      </c>
      <c r="G136" s="2" t="s">
        <v>100</v>
      </c>
      <c r="O136" s="55" t="str">
        <f>'Input - Dairy'!$D$55</f>
        <v>Feed pad</v>
      </c>
      <c r="P136" s="55" t="str">
        <f>'Input - Dairy'!$D$111</f>
        <v>Drains to paddock</v>
      </c>
      <c r="Q136" s="55">
        <f>'Input - Dairy'!$E$114</f>
        <v>0.2</v>
      </c>
      <c r="R136" s="2" t="s">
        <v>100</v>
      </c>
    </row>
    <row r="137" spans="4:22" ht="20.100000000000001" customHeight="1" x14ac:dyDescent="0.25"/>
    <row r="138" spans="4:22" ht="20.100000000000001" customHeight="1" x14ac:dyDescent="0.25">
      <c r="D138" s="104" t="s">
        <v>314</v>
      </c>
      <c r="O138" s="104" t="s">
        <v>314</v>
      </c>
    </row>
    <row r="139" spans="4:22" ht="20.100000000000001" customHeight="1" x14ac:dyDescent="0.25">
      <c r="D139" s="103" t="s">
        <v>313</v>
      </c>
      <c r="O139" s="103" t="s">
        <v>313</v>
      </c>
    </row>
    <row r="140" spans="4:22" ht="20.100000000000001" customHeight="1" x14ac:dyDescent="0.25">
      <c r="D140" s="54" t="s">
        <v>203</v>
      </c>
      <c r="E140" s="54" t="s">
        <v>68</v>
      </c>
      <c r="F140" s="54" t="s">
        <v>234</v>
      </c>
      <c r="G140" s="54" t="s">
        <v>251</v>
      </c>
      <c r="H140" s="54" t="s">
        <v>252</v>
      </c>
      <c r="I140" s="54" t="s">
        <v>253</v>
      </c>
      <c r="J140" s="54" t="s">
        <v>254</v>
      </c>
      <c r="O140" s="54" t="s">
        <v>203</v>
      </c>
      <c r="P140" s="54" t="s">
        <v>68</v>
      </c>
      <c r="Q140" s="54" t="s">
        <v>234</v>
      </c>
      <c r="R140" s="54" t="s">
        <v>251</v>
      </c>
      <c r="S140" s="54" t="s">
        <v>252</v>
      </c>
      <c r="T140" s="54" t="s">
        <v>253</v>
      </c>
      <c r="U140" s="54" t="s">
        <v>254</v>
      </c>
    </row>
    <row r="141" spans="4:22" ht="20.100000000000001" customHeight="1" x14ac:dyDescent="0.25">
      <c r="D141" s="55" t="str">
        <f>'Input - Dairy'!$D$54</f>
        <v>Milking shed</v>
      </c>
      <c r="E141" s="55" t="str">
        <f>'Input - Dairy'!$D$67</f>
        <v>Anaerobic lagoon</v>
      </c>
      <c r="F141" s="55" cm="1">
        <f t="array" ref="F141">MMS_Dairy_Methane_Equations.VEERG_4_3_1_1__4_FractionVolatileSolidsNotSolidStorage(F121,$F131)</f>
        <v>2.2000000000000002E-2</v>
      </c>
      <c r="G141" s="55" cm="1">
        <f t="array" ref="G141">MMS_Dairy_Methane_Equations.VEERG_4_3_1_1__4_FractionVolatileSolidsNotSolidStorage(G121,$F131)</f>
        <v>2.2000000000000002E-2</v>
      </c>
      <c r="H141" s="55" cm="1">
        <f t="array" ref="H141">MMS_Dairy_Methane_Equations.VEERG_4_3_1_1__4_FractionVolatileSolidsNotSolidStorage(H121,$F131)</f>
        <v>2.2000000000000002E-2</v>
      </c>
      <c r="I141" s="55" cm="1">
        <f t="array" ref="I141">MMS_Dairy_Methane_Equations.VEERG_4_3_1_1__4_FractionVolatileSolidsNotSolidStorage(I121,$F131)</f>
        <v>2.2000000000000002E-2</v>
      </c>
      <c r="J141" s="55" cm="1">
        <f t="array" ref="J141">MMS_Dairy_Methane_Equations.VEERG_4_3_1_1__4_FractionVolatileSolidsNotSolidStorage(J121,$F131)</f>
        <v>2.2000000000000002E-2</v>
      </c>
      <c r="K141" s="2" t="str">
        <f>$E$113</f>
        <v>fraction</v>
      </c>
      <c r="O141" s="55" t="str">
        <f>'Input - Dairy'!$D$54</f>
        <v>Milking shed</v>
      </c>
      <c r="P141" s="55" t="str">
        <f>'Input - Dairy'!$D$67</f>
        <v>Anaerobic lagoon</v>
      </c>
      <c r="Q141" s="55" cm="1">
        <f t="array" ref="Q141">MMS_Dairy_Methane_Equations.VEERG_4_3_1_1__4_FractionVolatileSolidsNotSolidStorage(Q121,$Q131)</f>
        <v>2.2000000000000002E-2</v>
      </c>
      <c r="R141" s="55" cm="1">
        <f t="array" ref="R141">MMS_Dairy_Methane_Equations.VEERG_4_3_1_1__4_FractionVolatileSolidsNotSolidStorage(R121,$Q131)</f>
        <v>2.2000000000000002E-2</v>
      </c>
      <c r="S141" s="55" cm="1">
        <f t="array" ref="S141">MMS_Dairy_Methane_Equations.VEERG_4_3_1_1__4_FractionVolatileSolidsNotSolidStorage(S121,$Q131)</f>
        <v>2.2000000000000002E-2</v>
      </c>
      <c r="T141" s="55" cm="1">
        <f t="array" ref="T141">MMS_Dairy_Methane_Equations.VEERG_4_3_1_1__4_FractionVolatileSolidsNotSolidStorage(T121,$Q131)</f>
        <v>2.2000000000000002E-2</v>
      </c>
      <c r="U141" s="55" cm="1">
        <f t="array" ref="U141">MMS_Dairy_Methane_Equations.VEERG_4_3_1_1__4_FractionVolatileSolidsNotSolidStorage(U121,$Q131)</f>
        <v>2.2000000000000002E-2</v>
      </c>
      <c r="V141" s="2" t="str">
        <f t="shared" ref="V141:V146" si="0">$E$113</f>
        <v>fraction</v>
      </c>
    </row>
    <row r="142" spans="4:22" ht="20.100000000000001" customHeight="1" x14ac:dyDescent="0.25">
      <c r="D142" s="55" t="str">
        <f>'Input - Dairy'!$D$54</f>
        <v>Milking shed</v>
      </c>
      <c r="E142" s="55" t="str">
        <f>'Input - Dairy'!$D$72</f>
        <v>Sump and dispersal system</v>
      </c>
      <c r="F142" s="55" cm="1">
        <f t="array" ref="F142">MMS_Dairy_Methane_Equations.VEERG_4_3_1_1__4_FractionVolatileSolidsNotSolidStorage(F122,$F132)</f>
        <v>2.2000000000000002E-2</v>
      </c>
      <c r="G142" s="55" cm="1">
        <f t="array" ref="G142">MMS_Dairy_Methane_Equations.VEERG_4_3_1_1__4_FractionVolatileSolidsNotSolidStorage(G122,$F132)</f>
        <v>2.2000000000000002E-2</v>
      </c>
      <c r="H142" s="55" cm="1">
        <f t="array" ref="H142">MMS_Dairy_Methane_Equations.VEERG_4_3_1_1__4_FractionVolatileSolidsNotSolidStorage(H122,$F132)</f>
        <v>2.2000000000000002E-2</v>
      </c>
      <c r="I142" s="55" cm="1">
        <f t="array" ref="I142">MMS_Dairy_Methane_Equations.VEERG_4_3_1_1__4_FractionVolatileSolidsNotSolidStorage(I122,$F132)</f>
        <v>2.2000000000000002E-2</v>
      </c>
      <c r="J142" s="55" cm="1">
        <f t="array" ref="J142">MMS_Dairy_Methane_Equations.VEERG_4_3_1_1__4_FractionVolatileSolidsNotSolidStorage(J122,$F132)</f>
        <v>2.2000000000000002E-2</v>
      </c>
      <c r="K142" s="2" t="str">
        <f t="shared" ref="K142:K146" si="1">$E$113</f>
        <v>fraction</v>
      </c>
      <c r="O142" s="55" t="str">
        <f>'Input - Dairy'!$D$54</f>
        <v>Milking shed</v>
      </c>
      <c r="P142" s="55" t="str">
        <f>'Input - Dairy'!$D$72</f>
        <v>Sump and dispersal system</v>
      </c>
      <c r="Q142" s="55" cm="1">
        <f t="array" ref="Q142">MMS_Dairy_Methane_Equations.VEERG_4_3_1_1__4_FractionVolatileSolidsNotSolidStorage(Q122,$Q132)</f>
        <v>2.2000000000000002E-2</v>
      </c>
      <c r="R142" s="55" cm="1">
        <f t="array" ref="R142">MMS_Dairy_Methane_Equations.VEERG_4_3_1_1__4_FractionVolatileSolidsNotSolidStorage(R122,$Q132)</f>
        <v>2.2000000000000002E-2</v>
      </c>
      <c r="S142" s="55" cm="1">
        <f t="array" ref="S142">MMS_Dairy_Methane_Equations.VEERG_4_3_1_1__4_FractionVolatileSolidsNotSolidStorage(S122,$Q132)</f>
        <v>2.2000000000000002E-2</v>
      </c>
      <c r="T142" s="55" cm="1">
        <f t="array" ref="T142">MMS_Dairy_Methane_Equations.VEERG_4_3_1_1__4_FractionVolatileSolidsNotSolidStorage(T122,$Q132)</f>
        <v>2.2000000000000002E-2</v>
      </c>
      <c r="U142" s="55" cm="1">
        <f t="array" ref="U142">MMS_Dairy_Methane_Equations.VEERG_4_3_1_1__4_FractionVolatileSolidsNotSolidStorage(U122,$Q132)</f>
        <v>2.2000000000000002E-2</v>
      </c>
      <c r="V142" s="2" t="str">
        <f t="shared" si="0"/>
        <v>fraction</v>
      </c>
    </row>
    <row r="143" spans="4:22" ht="20.100000000000001" customHeight="1" x14ac:dyDescent="0.25">
      <c r="D143" s="55" t="str">
        <f>'Input - Dairy'!$D$54</f>
        <v>Milking shed</v>
      </c>
      <c r="E143" s="55" t="str">
        <f>'Input - Dairy'!$D$77</f>
        <v>Drains to paddock</v>
      </c>
      <c r="F143" s="55" cm="1">
        <f t="array" ref="F143">MMS_Dairy_Methane_Equations.VEERG_4_3_1_1__4_FractionVolatileSolidsNotSolidStorage(F123,$F133)</f>
        <v>2.2000000000000002E-2</v>
      </c>
      <c r="G143" s="55" cm="1">
        <f t="array" ref="G143">MMS_Dairy_Methane_Equations.VEERG_4_3_1_1__4_FractionVolatileSolidsNotSolidStorage(G123,$F133)</f>
        <v>2.2000000000000002E-2</v>
      </c>
      <c r="H143" s="55" cm="1">
        <f t="array" ref="H143">MMS_Dairy_Methane_Equations.VEERG_4_3_1_1__4_FractionVolatileSolidsNotSolidStorage(H123,$F133)</f>
        <v>2.2000000000000002E-2</v>
      </c>
      <c r="I143" s="55" cm="1">
        <f t="array" ref="I143">MMS_Dairy_Methane_Equations.VEERG_4_3_1_1__4_FractionVolatileSolidsNotSolidStorage(I123,$F133)</f>
        <v>2.2000000000000002E-2</v>
      </c>
      <c r="J143" s="55" cm="1">
        <f t="array" ref="J143">MMS_Dairy_Methane_Equations.VEERG_4_3_1_1__4_FractionVolatileSolidsNotSolidStorage(J123,$F133)</f>
        <v>2.2000000000000002E-2</v>
      </c>
      <c r="K143" s="2" t="str">
        <f t="shared" si="1"/>
        <v>fraction</v>
      </c>
      <c r="O143" s="55" t="str">
        <f>'Input - Dairy'!$D$54</f>
        <v>Milking shed</v>
      </c>
      <c r="P143" s="55" t="str">
        <f>'Input - Dairy'!$D$77</f>
        <v>Drains to paddock</v>
      </c>
      <c r="Q143" s="55" cm="1">
        <f t="array" ref="Q143">MMS_Dairy_Methane_Equations.VEERG_4_3_1_1__4_FractionVolatileSolidsNotSolidStorage(Q123,$Q133)</f>
        <v>2.2000000000000002E-2</v>
      </c>
      <c r="R143" s="55" cm="1">
        <f t="array" ref="R143">MMS_Dairy_Methane_Equations.VEERG_4_3_1_1__4_FractionVolatileSolidsNotSolidStorage(R123,$Q133)</f>
        <v>2.2000000000000002E-2</v>
      </c>
      <c r="S143" s="55" cm="1">
        <f t="array" ref="S143">MMS_Dairy_Methane_Equations.VEERG_4_3_1_1__4_FractionVolatileSolidsNotSolidStorage(S123,$Q133)</f>
        <v>2.2000000000000002E-2</v>
      </c>
      <c r="T143" s="55" cm="1">
        <f t="array" ref="T143">MMS_Dairy_Methane_Equations.VEERG_4_3_1_1__4_FractionVolatileSolidsNotSolidStorage(T123,$Q133)</f>
        <v>2.2000000000000002E-2</v>
      </c>
      <c r="U143" s="55" cm="1">
        <f t="array" ref="U143">MMS_Dairy_Methane_Equations.VEERG_4_3_1_1__4_FractionVolatileSolidsNotSolidStorage(U123,$Q133)</f>
        <v>2.2000000000000002E-2</v>
      </c>
      <c r="V143" s="2" t="str">
        <f t="shared" si="0"/>
        <v>fraction</v>
      </c>
    </row>
    <row r="144" spans="4:22" ht="20.100000000000001" customHeight="1" x14ac:dyDescent="0.25">
      <c r="D144" s="55" t="str">
        <f>'Input - Dairy'!$D$55</f>
        <v>Feed pad</v>
      </c>
      <c r="E144" s="55" t="str">
        <f>'Input - Dairy'!$D$101</f>
        <v>Anaerobic lagoon</v>
      </c>
      <c r="F144" s="55" cm="1">
        <f t="array" ref="F144">MMS_Dairy_Methane_Equations.VEERG_4_3_1_1__4_FractionVolatileSolidsNotSolidStorage(F124,$F134)</f>
        <v>8.8999999999999996E-2</v>
      </c>
      <c r="G144" s="55" cm="1">
        <f t="array" ref="G144">MMS_Dairy_Methane_Equations.VEERG_4_3_1_1__4_FractionVolatileSolidsNotSolidStorage(G124,$F134)</f>
        <v>8.8999999999999996E-2</v>
      </c>
      <c r="H144" s="55" cm="1">
        <f t="array" ref="H144">MMS_Dairy_Methane_Equations.VEERG_4_3_1_1__4_FractionVolatileSolidsNotSolidStorage(H124,$F134)</f>
        <v>8.8999999999999996E-2</v>
      </c>
      <c r="I144" s="55" cm="1">
        <f t="array" ref="I144">MMS_Dairy_Methane_Equations.VEERG_4_3_1_1__4_FractionVolatileSolidsNotSolidStorage(I124,$F134)</f>
        <v>8.8999999999999996E-2</v>
      </c>
      <c r="J144" s="55" cm="1">
        <f t="array" ref="J144">MMS_Dairy_Methane_Equations.VEERG_4_3_1_1__4_FractionVolatileSolidsNotSolidStorage(J124,$F134)</f>
        <v>8.8999999999999996E-2</v>
      </c>
      <c r="K144" s="2" t="str">
        <f t="shared" si="1"/>
        <v>fraction</v>
      </c>
      <c r="O144" s="55" t="str">
        <f>'Input - Dairy'!$D$55</f>
        <v>Feed pad</v>
      </c>
      <c r="P144" s="55" t="str">
        <f>'Input - Dairy'!$D$101</f>
        <v>Anaerobic lagoon</v>
      </c>
      <c r="Q144" s="55" cm="1">
        <f t="array" ref="Q144">MMS_Dairy_Methane_Equations.VEERG_4_3_1_1__4_FractionVolatileSolidsNotSolidStorage(Q124,$Q134)</f>
        <v>8.8999999999999996E-2</v>
      </c>
      <c r="R144" s="55" cm="1">
        <f t="array" ref="R144">MMS_Dairy_Methane_Equations.VEERG_4_3_1_1__4_FractionVolatileSolidsNotSolidStorage(R124,$Q134)</f>
        <v>8.8999999999999996E-2</v>
      </c>
      <c r="S144" s="55" cm="1">
        <f t="array" ref="S144">MMS_Dairy_Methane_Equations.VEERG_4_3_1_1__4_FractionVolatileSolidsNotSolidStorage(S124,$Q134)</f>
        <v>8.8999999999999996E-2</v>
      </c>
      <c r="T144" s="55" cm="1">
        <f t="array" ref="T144">MMS_Dairy_Methane_Equations.VEERG_4_3_1_1__4_FractionVolatileSolidsNotSolidStorage(T124,$Q134)</f>
        <v>8.8999999999999996E-2</v>
      </c>
      <c r="U144" s="55" cm="1">
        <f t="array" ref="U144">MMS_Dairy_Methane_Equations.VEERG_4_3_1_1__4_FractionVolatileSolidsNotSolidStorage(U124,$Q134)</f>
        <v>8.8999999999999996E-2</v>
      </c>
      <c r="V144" s="2" t="str">
        <f t="shared" si="0"/>
        <v>fraction</v>
      </c>
    </row>
    <row r="145" spans="3:23" ht="20.100000000000001" customHeight="1" x14ac:dyDescent="0.25">
      <c r="D145" s="55" t="str">
        <f>'Input - Dairy'!$D$55</f>
        <v>Feed pad</v>
      </c>
      <c r="E145" s="55" t="str">
        <f>'Input - Dairy'!$D$106</f>
        <v>Sump and dispersal system</v>
      </c>
      <c r="F145" s="55" cm="1">
        <f t="array" ref="F145">MMS_Dairy_Methane_Equations.VEERG_4_3_1_1__4_FractionVolatileSolidsNotSolidStorage(F125,$F135)</f>
        <v>7.1199999999999999E-2</v>
      </c>
      <c r="G145" s="55" cm="1">
        <f t="array" ref="G145">MMS_Dairy_Methane_Equations.VEERG_4_3_1_1__4_FractionVolatileSolidsNotSolidStorage(G125,$F135)</f>
        <v>7.1199999999999999E-2</v>
      </c>
      <c r="H145" s="55" cm="1">
        <f t="array" ref="H145">MMS_Dairy_Methane_Equations.VEERG_4_3_1_1__4_FractionVolatileSolidsNotSolidStorage(H125,$F135)</f>
        <v>7.1199999999999999E-2</v>
      </c>
      <c r="I145" s="55" cm="1">
        <f t="array" ref="I145">MMS_Dairy_Methane_Equations.VEERG_4_3_1_1__4_FractionVolatileSolidsNotSolidStorage(I125,$F135)</f>
        <v>7.1199999999999999E-2</v>
      </c>
      <c r="J145" s="55" cm="1">
        <f t="array" ref="J145">MMS_Dairy_Methane_Equations.VEERG_4_3_1_1__4_FractionVolatileSolidsNotSolidStorage(J125,$F135)</f>
        <v>7.1199999999999999E-2</v>
      </c>
      <c r="K145" s="2" t="str">
        <f t="shared" si="1"/>
        <v>fraction</v>
      </c>
      <c r="O145" s="55" t="str">
        <f>'Input - Dairy'!$D$55</f>
        <v>Feed pad</v>
      </c>
      <c r="P145" s="55" t="str">
        <f>'Input - Dairy'!$D$106</f>
        <v>Sump and dispersal system</v>
      </c>
      <c r="Q145" s="55" cm="1">
        <f t="array" ref="Q145">MMS_Dairy_Methane_Equations.VEERG_4_3_1_1__4_FractionVolatileSolidsNotSolidStorage(Q125,$Q135)</f>
        <v>7.1199999999999999E-2</v>
      </c>
      <c r="R145" s="55" cm="1">
        <f t="array" ref="R145">MMS_Dairy_Methane_Equations.VEERG_4_3_1_1__4_FractionVolatileSolidsNotSolidStorage(R125,$Q135)</f>
        <v>7.1199999999999999E-2</v>
      </c>
      <c r="S145" s="55" cm="1">
        <f t="array" ref="S145">MMS_Dairy_Methane_Equations.VEERG_4_3_1_1__4_FractionVolatileSolidsNotSolidStorage(S125,$Q135)</f>
        <v>7.1199999999999999E-2</v>
      </c>
      <c r="T145" s="55" cm="1">
        <f t="array" ref="T145">MMS_Dairy_Methane_Equations.VEERG_4_3_1_1__4_FractionVolatileSolidsNotSolidStorage(T125,$Q135)</f>
        <v>7.1199999999999999E-2</v>
      </c>
      <c r="U145" s="55" cm="1">
        <f t="array" ref="U145">MMS_Dairy_Methane_Equations.VEERG_4_3_1_1__4_FractionVolatileSolidsNotSolidStorage(U125,$Q135)</f>
        <v>7.1199999999999999E-2</v>
      </c>
      <c r="V145" s="2" t="str">
        <f t="shared" si="0"/>
        <v>fraction</v>
      </c>
    </row>
    <row r="146" spans="3:23" ht="20.100000000000001" customHeight="1" x14ac:dyDescent="0.25">
      <c r="D146" s="55" t="str">
        <f>'Input - Dairy'!$D$55</f>
        <v>Feed pad</v>
      </c>
      <c r="E146" s="55" t="str">
        <f>'Input - Dairy'!$D$111</f>
        <v>Drains to paddock</v>
      </c>
      <c r="F146" s="55" cm="1">
        <f t="array" ref="F146">MMS_Dairy_Methane_Equations.VEERG_4_3_1_1__4_FractionVolatileSolidsNotSolidStorage(F126,$F136)</f>
        <v>7.1199999999999999E-2</v>
      </c>
      <c r="G146" s="55" cm="1">
        <f t="array" ref="G146">MMS_Dairy_Methane_Equations.VEERG_4_3_1_1__4_FractionVolatileSolidsNotSolidStorage(G126,$F136)</f>
        <v>7.1199999999999999E-2</v>
      </c>
      <c r="H146" s="55" cm="1">
        <f t="array" ref="H146">MMS_Dairy_Methane_Equations.VEERG_4_3_1_1__4_FractionVolatileSolidsNotSolidStorage(H126,$F136)</f>
        <v>7.1199999999999999E-2</v>
      </c>
      <c r="I146" s="55" cm="1">
        <f t="array" ref="I146">MMS_Dairy_Methane_Equations.VEERG_4_3_1_1__4_FractionVolatileSolidsNotSolidStorage(I126,$F136)</f>
        <v>7.1199999999999999E-2</v>
      </c>
      <c r="J146" s="55" cm="1">
        <f t="array" ref="J146">MMS_Dairy_Methane_Equations.VEERG_4_3_1_1__4_FractionVolatileSolidsNotSolidStorage(J126,$F136)</f>
        <v>7.1199999999999999E-2</v>
      </c>
      <c r="K146" s="2" t="str">
        <f t="shared" si="1"/>
        <v>fraction</v>
      </c>
      <c r="O146" s="55" t="str">
        <f>'Input - Dairy'!$D$55</f>
        <v>Feed pad</v>
      </c>
      <c r="P146" s="55" t="str">
        <f>'Input - Dairy'!$D$111</f>
        <v>Drains to paddock</v>
      </c>
      <c r="Q146" s="55" cm="1">
        <f t="array" ref="Q146">MMS_Dairy_Methane_Equations.VEERG_4_3_1_1__4_FractionVolatileSolidsNotSolidStorage(Q126,$Q136)</f>
        <v>7.1199999999999999E-2</v>
      </c>
      <c r="R146" s="55" cm="1">
        <f t="array" ref="R146">MMS_Dairy_Methane_Equations.VEERG_4_3_1_1__4_FractionVolatileSolidsNotSolidStorage(R126,$Q136)</f>
        <v>7.1199999999999999E-2</v>
      </c>
      <c r="S146" s="55" cm="1">
        <f t="array" ref="S146">MMS_Dairy_Methane_Equations.VEERG_4_3_1_1__4_FractionVolatileSolidsNotSolidStorage(S126,$Q136)</f>
        <v>7.1199999999999999E-2</v>
      </c>
      <c r="T146" s="55" cm="1">
        <f t="array" ref="T146">MMS_Dairy_Methane_Equations.VEERG_4_3_1_1__4_FractionVolatileSolidsNotSolidStorage(T126,$Q136)</f>
        <v>7.1199999999999999E-2</v>
      </c>
      <c r="U146" s="55" cm="1">
        <f t="array" ref="U146">MMS_Dairy_Methane_Equations.VEERG_4_3_1_1__4_FractionVolatileSolidsNotSolidStorage(U126,$Q136)</f>
        <v>7.1199999999999999E-2</v>
      </c>
      <c r="V146" s="2" t="str">
        <f t="shared" si="0"/>
        <v>fraction</v>
      </c>
    </row>
    <row r="147" spans="3:23" ht="20.100000000000001" customHeight="1" x14ac:dyDescent="0.25"/>
    <row r="148" spans="3:23" ht="20.100000000000001" customHeight="1" x14ac:dyDescent="0.25"/>
    <row r="149" spans="3:23" ht="20.100000000000001" customHeight="1" x14ac:dyDescent="0.25"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</row>
    <row r="150" spans="3:23" ht="20.100000000000001" customHeight="1" x14ac:dyDescent="0.25">
      <c r="D150" s="6" t="str" cm="1">
        <f t="array" ref="D150">MMS_Dairy_Methane_Equations.VEERG_4_3_1_1__5_FractionVolatileSolidsSolidStorage_Title()</f>
        <v>Fraction of volatile solids in solid storage</v>
      </c>
    </row>
    <row r="151" spans="3:23" ht="20.100000000000001" customHeight="1" x14ac:dyDescent="0.25">
      <c r="D151" s="5" t="str" cm="1">
        <f t="array" ref="D151">MMS_Dairy_Methane_Equations.VEERG_4_3_1_1__5_FractionVolatileSolidsSolidStorage_Source()</f>
        <v>VEERG 2026: 4.3.1.1, Equation (5)</v>
      </c>
    </row>
    <row r="152" spans="3:23" ht="20.100000000000001" customHeight="1" x14ac:dyDescent="0.25">
      <c r="D152" s="58" t="str" cm="1">
        <f t="array" ref="D152">MMS_Dairy_Methane_Equations.VEERG_4_3_1_1__5_FractionVolatileSolidsSolidStorage_Variation()</f>
        <v>Used separate variables for MMS and SS m 1, 7 and 9.</v>
      </c>
    </row>
    <row r="153" spans="3:23" ht="20.100000000000001" customHeight="1" x14ac:dyDescent="0.25">
      <c r="D153" s="13" t="s">
        <v>27</v>
      </c>
      <c r="E153" s="13" t="str" cm="1">
        <f t="array" aca="1" ref="E153" ca="1">Common_InputFunctions.Utility_DisplayFunctionName($F$172)</f>
        <v>=MMS_Dairy_Methane_Equations.VEERG_4_3_1_1__5_FractionVolatileSolidsSolidStorageVariation</v>
      </c>
    </row>
    <row r="154" spans="3:23" ht="20.100000000000001" customHeight="1" x14ac:dyDescent="0.25"/>
    <row r="155" spans="3:23" ht="20.100000000000001" customHeight="1" x14ac:dyDescent="0.25">
      <c r="D155" s="6"/>
    </row>
    <row r="156" spans="3:23" ht="20.100000000000001" customHeight="1" x14ac:dyDescent="0.25">
      <c r="D156" s="56" t="s">
        <v>30</v>
      </c>
      <c r="E156" s="1" t="str" cm="1">
        <f t="array" ref="E156">MMS_Dairy_Methane_Equations.VEERG_4_3_1_1__5_FractionVolatileSolidsSolidStorage_Variable()</f>
        <v>FVS_jm4</v>
      </c>
    </row>
    <row r="157" spans="3:23" ht="20.100000000000001" customHeight="1" x14ac:dyDescent="0.25">
      <c r="D157" s="56" t="s">
        <v>20</v>
      </c>
      <c r="E157" s="57" t="str" cm="1">
        <f t="array" ref="E157">MMS_Dairy_Methane_Equations.VEERG_4_3_1_1__5_FractionVolatileSolidsSolidStorage_Unit()</f>
        <v>fraction</v>
      </c>
    </row>
    <row r="158" spans="3:23" ht="20.100000000000001" customHeight="1" x14ac:dyDescent="0.25"/>
    <row r="159" spans="3:23" ht="20.100000000000001" customHeight="1" x14ac:dyDescent="0.25">
      <c r="D159" s="60" t="str" cm="1">
        <f t="array" ref="D159:E161">MMS_Dairy_Methane_Equations.VEERG_4_3_1_1__5_FractionVolatileSolidsSolidStorage_Arguments()</f>
        <v>MMS_jm4</v>
      </c>
      <c r="E159" s="61" t="str">
        <v>fraction of volatile solids in solid storage before transfer</v>
      </c>
      <c r="F159" s="62"/>
      <c r="G159" s="60" t="str">
        <f>"See " &amp; D163</f>
        <v>See M1_Table_MMS_j_m-4</v>
      </c>
    </row>
    <row r="160" spans="3:23" ht="20.100000000000001" customHeight="1" x14ac:dyDescent="0.25">
      <c r="D160" s="60" t="str">
        <v>MMS_jm179</v>
      </c>
      <c r="E160" s="61" t="str">
        <v>fraction of volatile solids in MMS m=1,7,9 before transfer</v>
      </c>
      <c r="F160" s="62"/>
      <c r="G160" s="60" t="str">
        <f>"See " &amp; D118</f>
        <v>See M1_Table_MMS_j_m</v>
      </c>
    </row>
    <row r="161" spans="3:23" ht="20.100000000000001" customHeight="1" x14ac:dyDescent="0.25">
      <c r="D161" s="60" t="str">
        <v>SS_m</v>
      </c>
      <c r="E161" s="61" t="str">
        <v>fraction of volatile solids separated to solid storage for each MMS</v>
      </c>
      <c r="F161" s="62"/>
      <c r="G161" s="60" t="str">
        <f>"See " &amp; D128</f>
        <v>See M1_Table_SS_m</v>
      </c>
    </row>
    <row r="162" spans="3:23" ht="20.100000000000001" customHeight="1" x14ac:dyDescent="0.25"/>
    <row r="163" spans="3:23" ht="20.100000000000001" customHeight="1" x14ac:dyDescent="0.25">
      <c r="D163" s="104" t="s">
        <v>322</v>
      </c>
      <c r="O163" s="104" t="s">
        <v>328</v>
      </c>
    </row>
    <row r="164" spans="3:23" ht="20.100000000000001" customHeight="1" x14ac:dyDescent="0.25">
      <c r="D164" s="103" t="s">
        <v>323</v>
      </c>
      <c r="O164" s="103" t="s">
        <v>329</v>
      </c>
    </row>
    <row r="165" spans="3:23" ht="20.100000000000001" customHeight="1" x14ac:dyDescent="0.25">
      <c r="D165" s="54" t="s">
        <v>203</v>
      </c>
      <c r="E165" s="54" t="s">
        <v>68</v>
      </c>
      <c r="F165" s="54" t="s">
        <v>234</v>
      </c>
      <c r="G165" s="54" t="s">
        <v>251</v>
      </c>
      <c r="H165" s="54" t="s">
        <v>252</v>
      </c>
      <c r="I165" s="54" t="s">
        <v>253</v>
      </c>
      <c r="J165" s="54" t="s">
        <v>254</v>
      </c>
      <c r="O165" s="54" t="s">
        <v>203</v>
      </c>
      <c r="P165" s="54" t="s">
        <v>68</v>
      </c>
      <c r="Q165" s="54" t="s">
        <v>234</v>
      </c>
      <c r="R165" s="54" t="s">
        <v>251</v>
      </c>
      <c r="S165" s="54" t="s">
        <v>252</v>
      </c>
      <c r="T165" s="54" t="s">
        <v>253</v>
      </c>
      <c r="U165" s="54" t="s">
        <v>254</v>
      </c>
    </row>
    <row r="166" spans="3:23" ht="20.100000000000001" customHeight="1" x14ac:dyDescent="0.25">
      <c r="D166" s="55" t="str">
        <f>'Input - Dairy'!$D$54</f>
        <v>Milking shed</v>
      </c>
      <c r="E166" s="55" t="str">
        <f>'Input - Dairy'!$D$82</f>
        <v>Solid storage</v>
      </c>
      <c r="F166" s="55">
        <f>'Input - Dairy'!E53*'Input - Dairy'!E82</f>
        <v>0.13350000000000001</v>
      </c>
      <c r="G166" s="55">
        <f>'Input - Dairy'!F53*'Input - Dairy'!F82</f>
        <v>0.13350000000000001</v>
      </c>
      <c r="H166" s="55">
        <f>'Input - Dairy'!G53*'Input - Dairy'!G82</f>
        <v>0.13350000000000001</v>
      </c>
      <c r="I166" s="55">
        <f>'Input - Dairy'!H53*'Input - Dairy'!H82</f>
        <v>0.13350000000000001</v>
      </c>
      <c r="J166" s="55">
        <f>'Input - Dairy'!I53*'Input - Dairy'!I82</f>
        <v>0.13350000000000001</v>
      </c>
      <c r="K166" s="2" t="s">
        <v>100</v>
      </c>
      <c r="O166" s="55" t="str">
        <f>'Input - Dairy'!$D$54</f>
        <v>Milking shed</v>
      </c>
      <c r="P166" s="55" t="str">
        <f>'Input - Dairy'!$D$82</f>
        <v>Solid storage</v>
      </c>
      <c r="Q166" s="141">
        <f>'Input - Dairy'!E59*'Input - Dairy'!E82</f>
        <v>2.75E-2</v>
      </c>
      <c r="R166" s="141">
        <f>'Input - Dairy'!F59*'Input - Dairy'!F82</f>
        <v>2.75E-2</v>
      </c>
      <c r="S166" s="141">
        <f>'Input - Dairy'!G59*'Input - Dairy'!G82</f>
        <v>2.75E-2</v>
      </c>
      <c r="T166" s="141">
        <f>'Input - Dairy'!H59*'Input - Dairy'!H82</f>
        <v>2.75E-2</v>
      </c>
      <c r="U166" s="141">
        <f>'Input - Dairy'!I59*'Input - Dairy'!I82</f>
        <v>2.75E-2</v>
      </c>
      <c r="V166" s="2" t="s">
        <v>100</v>
      </c>
    </row>
    <row r="167" spans="3:23" ht="20.100000000000001" customHeight="1" x14ac:dyDescent="0.25">
      <c r="D167" s="55" t="str">
        <f>'Input - Dairy'!$D$55</f>
        <v>Feed pad</v>
      </c>
      <c r="E167" s="55" t="str">
        <f>'Input - Dairy'!$D$116</f>
        <v>Solid storage</v>
      </c>
      <c r="F167" s="55">
        <f>'Input - Dairy'!E55*'Input - Dairy'!E116</f>
        <v>8.8999999999999996E-2</v>
      </c>
      <c r="G167" s="55">
        <f>'Input - Dairy'!F55*'Input - Dairy'!F116</f>
        <v>8.8999999999999996E-2</v>
      </c>
      <c r="H167" s="55">
        <f>'Input - Dairy'!G55*'Input - Dairy'!G116</f>
        <v>8.8999999999999996E-2</v>
      </c>
      <c r="I167" s="55">
        <f>'Input - Dairy'!H55*'Input - Dairy'!H116</f>
        <v>8.8999999999999996E-2</v>
      </c>
      <c r="J167" s="55">
        <f>'Input - Dairy'!I55*'Input - Dairy'!I116</f>
        <v>8.8999999999999996E-2</v>
      </c>
      <c r="K167" s="2" t="s">
        <v>100</v>
      </c>
      <c r="O167" s="55" t="str">
        <f>'Input - Dairy'!$D$55</f>
        <v>Feed pad</v>
      </c>
      <c r="P167" s="55" t="str">
        <f>'Input - Dairy'!$D$116</f>
        <v>Solid storage</v>
      </c>
      <c r="Q167" s="142">
        <f>'Input - Dairy'!E60*'Input - Dairy'!E116</f>
        <v>8.8999999999999996E-2</v>
      </c>
      <c r="R167" s="142">
        <f>'Input - Dairy'!F60*'Input - Dairy'!F116</f>
        <v>8.8999999999999996E-2</v>
      </c>
      <c r="S167" s="142">
        <f>'Input - Dairy'!G60*'Input - Dairy'!G116</f>
        <v>8.8999999999999996E-2</v>
      </c>
      <c r="T167" s="142">
        <f>'Input - Dairy'!H60*'Input - Dairy'!H116</f>
        <v>8.8999999999999996E-2</v>
      </c>
      <c r="U167" s="142">
        <f>'Input - Dairy'!I60*'Input - Dairy'!I116</f>
        <v>8.8999999999999996E-2</v>
      </c>
      <c r="V167" s="2" t="s">
        <v>100</v>
      </c>
    </row>
    <row r="168" spans="3:23" ht="20.100000000000001" customHeight="1" x14ac:dyDescent="0.25"/>
    <row r="169" spans="3:23" ht="20.100000000000001" customHeight="1" x14ac:dyDescent="0.25">
      <c r="D169" s="104" t="s">
        <v>326</v>
      </c>
      <c r="O169" s="104" t="s">
        <v>330</v>
      </c>
    </row>
    <row r="170" spans="3:23" ht="20.100000000000001" customHeight="1" x14ac:dyDescent="0.25">
      <c r="D170" s="103" t="s">
        <v>327</v>
      </c>
      <c r="O170" s="103" t="s">
        <v>331</v>
      </c>
    </row>
    <row r="171" spans="3:23" ht="20.100000000000001" customHeight="1" x14ac:dyDescent="0.25">
      <c r="D171" s="54" t="s">
        <v>203</v>
      </c>
      <c r="E171" s="54" t="s">
        <v>68</v>
      </c>
      <c r="F171" s="54" t="s">
        <v>234</v>
      </c>
      <c r="G171" s="54" t="s">
        <v>251</v>
      </c>
      <c r="H171" s="54" t="s">
        <v>252</v>
      </c>
      <c r="I171" s="54" t="s">
        <v>253</v>
      </c>
      <c r="J171" s="54" t="s">
        <v>254</v>
      </c>
      <c r="O171" s="54" t="s">
        <v>203</v>
      </c>
      <c r="P171" s="54" t="s">
        <v>68</v>
      </c>
      <c r="Q171" s="54" t="s">
        <v>234</v>
      </c>
      <c r="R171" s="54" t="s">
        <v>251</v>
      </c>
      <c r="S171" s="54" t="s">
        <v>252</v>
      </c>
      <c r="T171" s="54" t="s">
        <v>253</v>
      </c>
      <c r="U171" s="54" t="s">
        <v>254</v>
      </c>
    </row>
    <row r="172" spans="3:23" ht="20.100000000000001" customHeight="1" x14ac:dyDescent="0.25">
      <c r="D172" s="55" t="str">
        <f>'Input - Dairy'!$D$54</f>
        <v>Milking shed</v>
      </c>
      <c r="E172" s="55" t="str">
        <f>'Input - Dairy'!$D$82</f>
        <v>Solid storage</v>
      </c>
      <c r="F172" s="55" cm="1">
        <f t="array" ref="F172">MMS_Dairy_Methane_Equations.VEERG_4_3_1_1__5_FractionVolatileSolidsSolidStorageVariation(F166,F121,$F131,F122,$F132,F123,$F133)</f>
        <v>0.15000000000000002</v>
      </c>
      <c r="G172" s="55" cm="1">
        <f t="array" ref="G172">MMS_Dairy_Methane_Equations.VEERG_4_3_1_1__5_FractionVolatileSolidsSolidStorageVariation(G166,G121,$F131,G122,$F132,G123,$F133)</f>
        <v>0.15000000000000002</v>
      </c>
      <c r="H172" s="55" cm="1">
        <f t="array" ref="H172">MMS_Dairy_Methane_Equations.VEERG_4_3_1_1__5_FractionVolatileSolidsSolidStorageVariation(H166,H121,$F131,H122,$F132,H123,$F133)</f>
        <v>0.15000000000000002</v>
      </c>
      <c r="I172" s="55" cm="1">
        <f t="array" ref="I172">MMS_Dairy_Methane_Equations.VEERG_4_3_1_1__5_FractionVolatileSolidsSolidStorageVariation(I166,I121,$F131,I122,$F132,I123,$F133)</f>
        <v>0.15000000000000002</v>
      </c>
      <c r="J172" s="55" cm="1">
        <f t="array" ref="J172">MMS_Dairy_Methane_Equations.VEERG_4_3_1_1__5_FractionVolatileSolidsSolidStorageVariation(J166,J121,$F131,J122,$F132,J123,$F133)</f>
        <v>0.15000000000000002</v>
      </c>
      <c r="K172" s="2" t="str">
        <f>$E$157</f>
        <v>fraction</v>
      </c>
      <c r="O172" s="55" t="str">
        <f>'Input - Dairy'!$D$54</f>
        <v>Milking shed</v>
      </c>
      <c r="P172" s="55" t="str">
        <f>'Input - Dairy'!$D$82</f>
        <v>Solid storage</v>
      </c>
      <c r="Q172" s="55" cm="1">
        <f t="array" ref="Q172">MMS_Dairy_Methane_Equations.VEERG_4_3_1_1__5_FractionVolatileSolidsSolidStorageVariation(Q166,Q121,$Q131,Q122,$Q132,Q123,$Q133)</f>
        <v>4.3999999999999997E-2</v>
      </c>
      <c r="R172" s="55" cm="1">
        <f t="array" ref="R172">MMS_Dairy_Methane_Equations.VEERG_4_3_1_1__5_FractionVolatileSolidsSolidStorageVariation(R166,R121,$Q131,R122,$Q132,R123,$Q133)</f>
        <v>4.3999999999999997E-2</v>
      </c>
      <c r="S172" s="55" cm="1">
        <f t="array" ref="S172">MMS_Dairy_Methane_Equations.VEERG_4_3_1_1__5_FractionVolatileSolidsSolidStorageVariation(S166,S121,$Q131,S122,$Q132,S123,$Q133)</f>
        <v>4.3999999999999997E-2</v>
      </c>
      <c r="T172" s="55" cm="1">
        <f t="array" ref="T172">MMS_Dairy_Methane_Equations.VEERG_4_3_1_1__5_FractionVolatileSolidsSolidStorageVariation(T166,T121,$Q131,T122,$Q132,T123,$Q133)</f>
        <v>4.3999999999999997E-2</v>
      </c>
      <c r="U172" s="55" cm="1">
        <f t="array" ref="U172">MMS_Dairy_Methane_Equations.VEERG_4_3_1_1__5_FractionVolatileSolidsSolidStorageVariation(U166,U121,$Q131,U122,$Q132,U123,$Q133)</f>
        <v>4.3999999999999997E-2</v>
      </c>
      <c r="V172" s="2" t="str">
        <f t="shared" ref="V172:V173" si="2">$E$157</f>
        <v>fraction</v>
      </c>
    </row>
    <row r="173" spans="3:23" ht="20.100000000000001" customHeight="1" x14ac:dyDescent="0.25">
      <c r="D173" s="55" t="str">
        <f>'Input - Dairy'!$D$55</f>
        <v>Feed pad</v>
      </c>
      <c r="E173" s="55" t="str">
        <f>'Input - Dairy'!$D$116</f>
        <v>Solid storage</v>
      </c>
      <c r="F173" s="55" cm="1">
        <f t="array" ref="F173">MMS_Dairy_Methane_Equations.VEERG_4_3_1_1__5_FractionVolatileSolidsSolidStorageVariation(F167,F124,$F134,F125,$F135,F126,$F136)</f>
        <v>0.12459999999999999</v>
      </c>
      <c r="G173" s="55" cm="1">
        <f t="array" ref="G173">MMS_Dairy_Methane_Equations.VEERG_4_3_1_1__5_FractionVolatileSolidsSolidStorageVariation(G167,G124,$F134,G125,$F135,G126,$F136)</f>
        <v>0.12459999999999999</v>
      </c>
      <c r="H173" s="55" cm="1">
        <f t="array" ref="H173">MMS_Dairy_Methane_Equations.VEERG_4_3_1_1__5_FractionVolatileSolidsSolidStorageVariation(H167,H124,$F134,H125,$F135,H126,$F136)</f>
        <v>0.12459999999999999</v>
      </c>
      <c r="I173" s="55" cm="1">
        <f t="array" ref="I173">MMS_Dairy_Methane_Equations.VEERG_4_3_1_1__5_FractionVolatileSolidsSolidStorageVariation(I167,I124,$F134,I125,$F135,I126,$F136)</f>
        <v>0.12459999999999999</v>
      </c>
      <c r="J173" s="55" cm="1">
        <f t="array" ref="J173">MMS_Dairy_Methane_Equations.VEERG_4_3_1_1__5_FractionVolatileSolidsSolidStorageVariation(J167,J124,$F134,J125,$F135,J126,$F136)</f>
        <v>0.12459999999999999</v>
      </c>
      <c r="K173" s="2" t="str">
        <f>$E$157</f>
        <v>fraction</v>
      </c>
      <c r="O173" s="55" t="str">
        <f>'Input - Dairy'!$D$55</f>
        <v>Feed pad</v>
      </c>
      <c r="P173" s="55" t="str">
        <f>'Input - Dairy'!$D$116</f>
        <v>Solid storage</v>
      </c>
      <c r="Q173" s="55" cm="1">
        <f t="array" ref="Q173">MMS_Dairy_Methane_Equations.VEERG_4_3_1_1__5_FractionVolatileSolidsSolidStorageVariation(Q167,Q124,$Q134,Q125,$Q135,Q126,$Q136)</f>
        <v>0.12459999999999999</v>
      </c>
      <c r="R173" s="55" cm="1">
        <f t="array" ref="R173">MMS_Dairy_Methane_Equations.VEERG_4_3_1_1__5_FractionVolatileSolidsSolidStorageVariation(R167,R124,$Q134,R125,$Q135,R126,$Q136)</f>
        <v>0.12459999999999999</v>
      </c>
      <c r="S173" s="55" cm="1">
        <f t="array" ref="S173">MMS_Dairy_Methane_Equations.VEERG_4_3_1_1__5_FractionVolatileSolidsSolidStorageVariation(S167,S124,$Q134,S125,$Q135,S126,$Q136)</f>
        <v>0.12459999999999999</v>
      </c>
      <c r="T173" s="55" cm="1">
        <f t="array" ref="T173">MMS_Dairy_Methane_Equations.VEERG_4_3_1_1__5_FractionVolatileSolidsSolidStorageVariation(T167,T124,$Q134,T125,$Q135,T126,$Q136)</f>
        <v>0.12459999999999999</v>
      </c>
      <c r="U173" s="55" cm="1">
        <f t="array" ref="U173">MMS_Dairy_Methane_Equations.VEERG_4_3_1_1__5_FractionVolatileSolidsSolidStorageVariation(U167,U124,$Q134,U125,$Q135,U126,$Q136)</f>
        <v>0.12459999999999999</v>
      </c>
      <c r="V173" s="2" t="str">
        <f t="shared" si="2"/>
        <v>fraction</v>
      </c>
    </row>
    <row r="174" spans="3:23" ht="20.100000000000001" customHeight="1" x14ac:dyDescent="0.25"/>
    <row r="175" spans="3:23" ht="20.100000000000001" customHeight="1" x14ac:dyDescent="0.25"/>
    <row r="176" spans="3:23" ht="20.100000000000001" customHeight="1" x14ac:dyDescent="0.25"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</row>
    <row r="177" spans="4:8" ht="20.100000000000001" customHeight="1" x14ac:dyDescent="0.25">
      <c r="D177" s="6" t="str" cm="1">
        <f t="array" ref="D177">MMS_Dairy_Methane_Equations.VEERG_4_3_1_1__2_MethaneFromManureProduction_Title()</f>
        <v>Methane from manure production from weaned dairy cattle</v>
      </c>
    </row>
    <row r="178" spans="4:8" ht="20.100000000000001" customHeight="1" x14ac:dyDescent="0.25">
      <c r="D178" s="5" t="str" cm="1">
        <f t="array" ref="D178">MMS_Dairy_Methane_Equations.VEERG_4_3_1_1__2_MethaneFromManureProduction_Source()</f>
        <v>VEERG 2026: 4.3.1.1, Equation (2)</v>
      </c>
    </row>
    <row r="179" spans="4:8" ht="20.100000000000001" customHeight="1" x14ac:dyDescent="0.25">
      <c r="D179" s="13" t="s">
        <v>27</v>
      </c>
      <c r="E179" s="13" t="str" cm="1">
        <f t="array" aca="1" ref="E179" ca="1">Common_InputFunctions.Utility_DisplayFunctionName($F$203)</f>
        <v>=MMS_Dairy_Methane_Equations.VEERG_4_3_1_1__2_MethaneFromManureProduction</v>
      </c>
    </row>
    <row r="180" spans="4:8" ht="20.100000000000001" customHeight="1" x14ac:dyDescent="0.25"/>
    <row r="181" spans="4:8" ht="20.100000000000001" customHeight="1" x14ac:dyDescent="0.25">
      <c r="D181" s="6"/>
    </row>
    <row r="182" spans="4:8" ht="20.100000000000001" customHeight="1" x14ac:dyDescent="0.25">
      <c r="D182" s="56" t="s">
        <v>30</v>
      </c>
      <c r="E182" s="1" t="str" cm="1">
        <f t="array" ref="E182">MMS_Dairy_Methane_Equations.VEERG_4_3_1_1__2_MethaneFromManureProduction_Variable()</f>
        <v>M_jm</v>
      </c>
    </row>
    <row r="183" spans="4:8" ht="20.100000000000001" customHeight="1" x14ac:dyDescent="0.25">
      <c r="D183" s="56" t="s">
        <v>20</v>
      </c>
      <c r="E183" s="57" t="str" cm="1">
        <f t="array" ref="E183">MMS_Dairy_Methane_Equations.VEERG_4_3_1_1__2_MethaneFromManureProduction_Unit()</f>
        <v>kg CH4/head/day</v>
      </c>
    </row>
    <row r="184" spans="4:8" ht="20.100000000000001" customHeight="1" x14ac:dyDescent="0.25"/>
    <row r="185" spans="4:8" ht="20.100000000000001" customHeight="1" x14ac:dyDescent="0.25">
      <c r="D185" s="60" t="str" cm="1">
        <f t="array" ref="D185:E190">MMS_Dairy_Methane_Equations.VEERG_4_3_1_1__2_MethaneFromManureProduction_Arguments()</f>
        <v>VS_j</v>
      </c>
      <c r="E185" s="61" t="str">
        <v>daily volatile solids production per head for dairy cattle (kg/head/day)</v>
      </c>
      <c r="F185" s="62"/>
      <c r="G185" s="60" t="str">
        <f>"See " &amp; D100</f>
        <v>See M1_Table_VS_j</v>
      </c>
    </row>
    <row r="186" spans="4:8" ht="20.100000000000001" customHeight="1" x14ac:dyDescent="0.25">
      <c r="D186" s="60" t="str">
        <v>FVS_jmT1</v>
      </c>
      <c r="E186" s="61" t="str">
        <v>fraction of waste from each class in each management system</v>
      </c>
      <c r="F186" s="62"/>
      <c r="G186" s="60" t="str">
        <f>"See " &amp; D138 &amp; " and " &amp; D169</f>
        <v>See M1_Table_FVS_j_m and M1_Table_FVS_j_m-4</v>
      </c>
      <c r="H186" s="114" t="s">
        <v>332</v>
      </c>
    </row>
    <row r="187" spans="4:8" ht="20.100000000000001" customHeight="1" x14ac:dyDescent="0.25">
      <c r="D187" s="60" t="str">
        <v>MCF_im</v>
      </c>
      <c r="E187" s="61" t="str">
        <v>methane conversion factor for temperature zone and MMS</v>
      </c>
      <c r="F187" s="62"/>
      <c r="G187" s="60" t="str">
        <f>"See " &amp; D192</f>
        <v>See M1_Table_MCF_i_m</v>
      </c>
      <c r="H187" s="114" t="s">
        <v>356</v>
      </c>
    </row>
    <row r="188" spans="4:8" ht="20.100000000000001" customHeight="1" x14ac:dyDescent="0.25">
      <c r="D188" s="60" t="str">
        <v>B_o</v>
      </c>
      <c r="E188" s="61" t="str">
        <v>emissions potential (m3 CH4/kgVS)</v>
      </c>
      <c r="F188" s="62"/>
      <c r="G188" s="60">
        <f>'Constants - Dairy'!$D$195</f>
        <v>0.24</v>
      </c>
    </row>
    <row r="189" spans="4:8" ht="20.100000000000001" customHeight="1" x14ac:dyDescent="0.25">
      <c r="D189" s="60" t="str">
        <v>rho</v>
      </c>
      <c r="E189" s="61" t="str">
        <v>density of methane (kg/m3)</v>
      </c>
      <c r="F189" s="62"/>
      <c r="G189" s="60">
        <f>'Constants - Common'!$D$164</f>
        <v>0.6784</v>
      </c>
    </row>
    <row r="190" spans="4:8" ht="20.100000000000001" customHeight="1" x14ac:dyDescent="0.25">
      <c r="D190" s="60" t="str">
        <v>i</v>
      </c>
      <c r="E190" s="61" t="str">
        <v>state</v>
      </c>
      <c r="F190" s="62"/>
      <c r="G190" s="60" t="str">
        <f>Common_InputFunctions.Utility_LookupValueInTable('Input - Site'!$E$21, Table_AustralianStates[Common Name],Table_AustralianStates[Abbreviation])</f>
        <v>NSW</v>
      </c>
    </row>
    <row r="191" spans="4:8" ht="20.100000000000001" customHeight="1" x14ac:dyDescent="0.25"/>
    <row r="192" spans="4:8" ht="20.100000000000001" customHeight="1" x14ac:dyDescent="0.25">
      <c r="D192" s="143" t="s">
        <v>333</v>
      </c>
    </row>
    <row r="193" spans="4:22" ht="20.100000000000001" customHeight="1" x14ac:dyDescent="0.25">
      <c r="D193" s="144" t="s">
        <v>334</v>
      </c>
    </row>
    <row r="194" spans="4:22" ht="20.100000000000001" customHeight="1" x14ac:dyDescent="0.25">
      <c r="D194" s="54" t="s">
        <v>68</v>
      </c>
      <c r="E194" s="54" t="s">
        <v>99</v>
      </c>
    </row>
    <row r="195" spans="4:22" ht="20.100000000000001" customHeight="1" x14ac:dyDescent="0.25">
      <c r="D195" s="60" t="str">
        <f>'Constants - Dairy'!D8</f>
        <v>Anaerobic lagoon</v>
      </c>
      <c r="E195" s="55" cm="1">
        <f t="array" ref="E195">CommonLivestock_InputFunctions.Livestock_LookupMCFState(D195,Table_SourceData_Dairy_MCFjm[NIR reference],$G$190,Table_SourceData_Dairy_MCFjm[#Headers],Table_SourceData_Dairy_MCFjm[])</f>
        <v>0.76</v>
      </c>
    </row>
    <row r="196" spans="4:22" ht="20.100000000000001" customHeight="1" x14ac:dyDescent="0.25">
      <c r="D196" s="60" t="str">
        <f>'Constants - Dairy'!D9</f>
        <v>Sump and dispersal system</v>
      </c>
      <c r="E196" s="55" cm="1">
        <f t="array" ref="E196">CommonLivestock_InputFunctions.Livestock_LookupMCFState(D196,Table_SourceData_Dairy_MCFjm[NIR reference],$G$190,Table_SourceData_Dairy_MCFjm[#Headers],Table_SourceData_Dairy_MCFjm[])</f>
        <v>5.0000000000000001E-3</v>
      </c>
    </row>
    <row r="197" spans="4:22" ht="20.100000000000001" customHeight="1" x14ac:dyDescent="0.25">
      <c r="D197" s="60" t="str">
        <f>'Constants - Dairy'!D10</f>
        <v>Drains to paddock</v>
      </c>
      <c r="E197" s="55" cm="1">
        <f t="array" ref="E197">CommonLivestock_InputFunctions.Livestock_LookupMCFState(D197,Table_SourceData_Dairy_MCFjm[NIR reference],$G$190,Table_SourceData_Dairy_MCFjm[#Headers],Table_SourceData_Dairy_MCFjm[])</f>
        <v>0.18</v>
      </c>
    </row>
    <row r="198" spans="4:22" ht="20.100000000000001" customHeight="1" x14ac:dyDescent="0.25">
      <c r="D198" s="60" t="str">
        <f>'Constants - Dairy'!D11</f>
        <v>Solid storage</v>
      </c>
      <c r="E198" s="55" cm="1">
        <f t="array" ref="E198">CommonLivestock_InputFunctions.Livestock_LookupMCFState(D198,Table_SourceData_Dairy_MCFjm[NIR reference],$G$190,Table_SourceData_Dairy_MCFjm[#Headers],Table_SourceData_Dairy_MCFjm[])</f>
        <v>0.02</v>
      </c>
    </row>
    <row r="199" spans="4:22" ht="20.100000000000001" customHeight="1" x14ac:dyDescent="0.25"/>
    <row r="200" spans="4:22" ht="20.100000000000001" customHeight="1" x14ac:dyDescent="0.25">
      <c r="D200" s="143" t="s">
        <v>335</v>
      </c>
      <c r="O200" s="143" t="s">
        <v>349</v>
      </c>
    </row>
    <row r="201" spans="4:22" ht="20.100000000000001" customHeight="1" x14ac:dyDescent="0.25">
      <c r="D201" s="144" t="s">
        <v>351</v>
      </c>
      <c r="O201" s="144" t="s">
        <v>350</v>
      </c>
    </row>
    <row r="202" spans="4:22" ht="20.100000000000001" customHeight="1" x14ac:dyDescent="0.25">
      <c r="D202" s="54" t="s">
        <v>203</v>
      </c>
      <c r="E202" s="54" t="s">
        <v>68</v>
      </c>
      <c r="F202" s="54" t="s">
        <v>234</v>
      </c>
      <c r="G202" s="54" t="s">
        <v>251</v>
      </c>
      <c r="H202" s="54" t="s">
        <v>252</v>
      </c>
      <c r="I202" s="54" t="s">
        <v>253</v>
      </c>
      <c r="J202" s="54" t="s">
        <v>254</v>
      </c>
      <c r="O202" s="54" t="s">
        <v>203</v>
      </c>
      <c r="P202" s="54" t="s">
        <v>68</v>
      </c>
      <c r="Q202" s="54" t="s">
        <v>234</v>
      </c>
      <c r="R202" s="54" t="s">
        <v>251</v>
      </c>
      <c r="S202" s="54" t="s">
        <v>252</v>
      </c>
      <c r="T202" s="54" t="s">
        <v>253</v>
      </c>
      <c r="U202" s="54" t="s">
        <v>254</v>
      </c>
    </row>
    <row r="203" spans="4:22" ht="20.100000000000001" customHeight="1" x14ac:dyDescent="0.25">
      <c r="D203" s="55" t="str">
        <f>'Input - Dairy'!$D$54</f>
        <v>Milking shed</v>
      </c>
      <c r="E203" s="55" t="str">
        <f>'Input - Dairy'!$D$67</f>
        <v>Anaerobic lagoon</v>
      </c>
      <c r="F203" s="55" cm="1">
        <f t="array" ref="F203">MMS_Dairy_Methane_Equations.VEERG_4_3_1_1__2_MethaneFromManureProduction(D$103,F141,$E$195,$G$188,$G$189)</f>
        <v>6.8742705211090795E-3</v>
      </c>
      <c r="G203" s="55" cm="1">
        <f t="array" ref="G203">MMS_Dairy_Methane_Equations.VEERG_4_3_1_1__2_MethaneFromManureProduction(E$103,G141,$E$195,$G$188,$G$189)</f>
        <v>5.3883631169955861E-3</v>
      </c>
      <c r="H203" s="55" cm="1">
        <f t="array" ref="H203">MMS_Dairy_Methane_Equations.VEERG_4_3_1_1__2_MethaneFromManureProduction(F$103,H141,$E$195,$G$188,$G$189)</f>
        <v>2.922051982564853E-3</v>
      </c>
      <c r="I203" s="55" cm="1">
        <f t="array" ref="I203">MMS_Dairy_Methane_Equations.VEERG_4_3_1_1__2_MethaneFromManureProduction(G$103,I141,$E$195,$G$188,$G$189)</f>
        <v>6.556372137469845E-3</v>
      </c>
      <c r="J203" s="55" cm="1">
        <f t="array" ref="J203">MMS_Dairy_Methane_Equations.VEERG_4_3_1_1__2_MethaneFromManureProduction(H$103,J141,$E$195,$G$188,$G$189)</f>
        <v>3.9324688071825046E-3</v>
      </c>
      <c r="K203" s="2" t="str">
        <f>$E$183</f>
        <v>kg CH4/head/day</v>
      </c>
      <c r="O203" s="55" t="str">
        <f>'Input - Dairy'!$D$54</f>
        <v>Milking shed</v>
      </c>
      <c r="P203" s="55" t="str">
        <f>'Input - Dairy'!$D$67</f>
        <v>Anaerobic lagoon</v>
      </c>
      <c r="Q203" s="55" cm="1">
        <f t="array" ref="Q203">MMS_Dairy_Methane_Equations.VEERG_4_3_1_1__2_MethaneFromManureProduction(O$103,Q141,$E$195,$G$188,$G$189)</f>
        <v>6.8742705211090795E-3</v>
      </c>
      <c r="R203" s="55" cm="1">
        <f t="array" ref="R203">MMS_Dairy_Methane_Equations.VEERG_4_3_1_1__2_MethaneFromManureProduction(P$103,R141,$E$195,$G$188,$G$189)</f>
        <v>5.3883631169955861E-3</v>
      </c>
      <c r="S203" s="55" cm="1">
        <f t="array" ref="S203">MMS_Dairy_Methane_Equations.VEERG_4_3_1_1__2_MethaneFromManureProduction(Q$103,S141,$E$195,$G$188,$G$189)</f>
        <v>2.922051982564853E-3</v>
      </c>
      <c r="T203" s="55" cm="1">
        <f t="array" ref="T203">MMS_Dairy_Methane_Equations.VEERG_4_3_1_1__2_MethaneFromManureProduction(R$103,T141,$E$195,$G$188,$G$189)</f>
        <v>6.556372137469845E-3</v>
      </c>
      <c r="U203" s="55" cm="1">
        <f t="array" ref="U203">MMS_Dairy_Methane_Equations.VEERG_4_3_1_1__2_MethaneFromManureProduction(S$103,U141,$E$195,$G$188,$G$189)</f>
        <v>3.9324688071825046E-3</v>
      </c>
      <c r="V203" s="2" t="str">
        <f>$E$183</f>
        <v>kg CH4/head/day</v>
      </c>
    </row>
    <row r="204" spans="4:22" ht="20.100000000000001" customHeight="1" x14ac:dyDescent="0.25">
      <c r="D204" s="55" t="str">
        <f>'Input - Dairy'!$D$54</f>
        <v>Milking shed</v>
      </c>
      <c r="E204" s="55" t="str">
        <f>'Input - Dairy'!$D$72</f>
        <v>Sump and dispersal system</v>
      </c>
      <c r="F204" s="55" cm="1">
        <f t="array" ref="F204">MMS_Dairy_Methane_Equations.VEERG_4_3_1_1__2_MethaneFromManureProduction(D$103,F142,$E$196,$G$188,$G$189)</f>
        <v>4.5225463954664985E-5</v>
      </c>
      <c r="G204" s="55" cm="1">
        <f t="array" ref="G204">MMS_Dairy_Methane_Equations.VEERG_4_3_1_1__2_MethaneFromManureProduction(E$103,G142,$E$196,$G$188,$G$189)</f>
        <v>3.5449757348655176E-5</v>
      </c>
      <c r="H204" s="55" cm="1">
        <f t="array" ref="H204">MMS_Dairy_Methane_Equations.VEERG_4_3_1_1__2_MethaneFromManureProduction(F$103,H142,$E$196,$G$188,$G$189)</f>
        <v>1.9224026201084556E-5</v>
      </c>
      <c r="I204" s="55" cm="1">
        <f t="array" ref="I204">MMS_Dairy_Methane_Equations.VEERG_4_3_1_1__2_MethaneFromManureProduction(G$103,I142,$E$196,$G$188,$G$189)</f>
        <v>4.313402722019635E-5</v>
      </c>
      <c r="J204" s="55" cm="1">
        <f t="array" ref="J204">MMS_Dairy_Methane_Equations.VEERG_4_3_1_1__2_MethaneFromManureProduction(H$103,J142,$E$196,$G$188,$G$189)</f>
        <v>2.587150531041121E-5</v>
      </c>
      <c r="K204" s="2" t="str">
        <f t="shared" ref="K204:K210" si="3">$E$183</f>
        <v>kg CH4/head/day</v>
      </c>
      <c r="O204" s="55" t="str">
        <f>'Input - Dairy'!$D$54</f>
        <v>Milking shed</v>
      </c>
      <c r="P204" s="55" t="str">
        <f>'Input - Dairy'!$D$72</f>
        <v>Sump and dispersal system</v>
      </c>
      <c r="Q204" s="55" cm="1">
        <f t="array" ref="Q204">MMS_Dairy_Methane_Equations.VEERG_4_3_1_1__2_MethaneFromManureProduction(O$103,Q142,$E$196,$G$188,$G$189)</f>
        <v>4.5225463954664985E-5</v>
      </c>
      <c r="R204" s="55" cm="1">
        <f t="array" ref="R204">MMS_Dairy_Methane_Equations.VEERG_4_3_1_1__2_MethaneFromManureProduction(P$103,R142,$E$196,$G$188,$G$189)</f>
        <v>3.5449757348655176E-5</v>
      </c>
      <c r="S204" s="55" cm="1">
        <f t="array" ref="S204">MMS_Dairy_Methane_Equations.VEERG_4_3_1_1__2_MethaneFromManureProduction(Q$103,S142,$E$196,$G$188,$G$189)</f>
        <v>1.9224026201084556E-5</v>
      </c>
      <c r="T204" s="55" cm="1">
        <f t="array" ref="T204">MMS_Dairy_Methane_Equations.VEERG_4_3_1_1__2_MethaneFromManureProduction(R$103,T142,$E$196,$G$188,$G$189)</f>
        <v>4.313402722019635E-5</v>
      </c>
      <c r="U204" s="55" cm="1">
        <f t="array" ref="U204">MMS_Dairy_Methane_Equations.VEERG_4_3_1_1__2_MethaneFromManureProduction(S$103,U142,$E$196,$G$188,$G$189)</f>
        <v>2.587150531041121E-5</v>
      </c>
      <c r="V204" s="2" t="str">
        <f t="shared" ref="V204:V210" si="4">$E$183</f>
        <v>kg CH4/head/day</v>
      </c>
    </row>
    <row r="205" spans="4:22" ht="20.100000000000001" customHeight="1" x14ac:dyDescent="0.25">
      <c r="D205" s="55" t="str">
        <f>'Input - Dairy'!$D$54</f>
        <v>Milking shed</v>
      </c>
      <c r="E205" s="55" t="str">
        <f>'Input - Dairy'!$D$77</f>
        <v>Drains to paddock</v>
      </c>
      <c r="F205" s="55" cm="1">
        <f t="array" ref="F205">MMS_Dairy_Methane_Equations.VEERG_4_3_1_1__2_MethaneFromManureProduction(D$103,F143,$E$197,$G$188,$G$189)</f>
        <v>1.6281167023679398E-3</v>
      </c>
      <c r="G205" s="55" cm="1">
        <f t="array" ref="G205">MMS_Dairy_Methane_Equations.VEERG_4_3_1_1__2_MethaneFromManureProduction(E$103,G143,$E$197,$G$188,$G$189)</f>
        <v>1.2761912645515865E-3</v>
      </c>
      <c r="H205" s="55" cm="1">
        <f t="array" ref="H205">MMS_Dairy_Methane_Equations.VEERG_4_3_1_1__2_MethaneFromManureProduction(F$103,H143,$E$197,$G$188,$G$189)</f>
        <v>6.9206494323904399E-4</v>
      </c>
      <c r="I205" s="55" cm="1">
        <f t="array" ref="I205">MMS_Dairy_Methane_Equations.VEERG_4_3_1_1__2_MethaneFromManureProduction(G$103,I143,$E$197,$G$188,$G$189)</f>
        <v>1.5528249799270685E-3</v>
      </c>
      <c r="J205" s="55" cm="1">
        <f t="array" ref="J205">MMS_Dairy_Methane_Equations.VEERG_4_3_1_1__2_MethaneFromManureProduction(H$103,J143,$E$197,$G$188,$G$189)</f>
        <v>9.3137419117480342E-4</v>
      </c>
      <c r="K205" s="2" t="str">
        <f t="shared" si="3"/>
        <v>kg CH4/head/day</v>
      </c>
      <c r="O205" s="55" t="str">
        <f>'Input - Dairy'!$D$54</f>
        <v>Milking shed</v>
      </c>
      <c r="P205" s="55" t="str">
        <f>'Input - Dairy'!$D$77</f>
        <v>Drains to paddock</v>
      </c>
      <c r="Q205" s="55" cm="1">
        <f t="array" ref="Q205">MMS_Dairy_Methane_Equations.VEERG_4_3_1_1__2_MethaneFromManureProduction(O$103,Q143,$E$197,$G$188,$G$189)</f>
        <v>1.6281167023679398E-3</v>
      </c>
      <c r="R205" s="55" cm="1">
        <f t="array" ref="R205">MMS_Dairy_Methane_Equations.VEERG_4_3_1_1__2_MethaneFromManureProduction(P$103,R143,$E$197,$G$188,$G$189)</f>
        <v>1.2761912645515865E-3</v>
      </c>
      <c r="S205" s="55" cm="1">
        <f t="array" ref="S205">MMS_Dairy_Methane_Equations.VEERG_4_3_1_1__2_MethaneFromManureProduction(Q$103,S143,$E$197,$G$188,$G$189)</f>
        <v>6.9206494323904399E-4</v>
      </c>
      <c r="T205" s="55" cm="1">
        <f t="array" ref="T205">MMS_Dairy_Methane_Equations.VEERG_4_3_1_1__2_MethaneFromManureProduction(R$103,T143,$E$197,$G$188,$G$189)</f>
        <v>1.5528249799270685E-3</v>
      </c>
      <c r="U205" s="55" cm="1">
        <f t="array" ref="U205">MMS_Dairy_Methane_Equations.VEERG_4_3_1_1__2_MethaneFromManureProduction(S$103,U143,$E$197,$G$188,$G$189)</f>
        <v>9.3137419117480342E-4</v>
      </c>
      <c r="V205" s="2" t="str">
        <f t="shared" si="4"/>
        <v>kg CH4/head/day</v>
      </c>
    </row>
    <row r="206" spans="4:22" ht="20.100000000000001" customHeight="1" x14ac:dyDescent="0.25">
      <c r="D206" s="55" t="str">
        <f>'Input - Dairy'!$D$54</f>
        <v>Milking shed</v>
      </c>
      <c r="E206" s="55" t="str">
        <f>'Input - Dairy'!$D$82</f>
        <v>Solid storage</v>
      </c>
      <c r="F206" s="55" cm="1">
        <f t="array" ref="F206">MMS_Dairy_Methane_Equations.VEERG_4_3_1_1__2_MethaneFromManureProduction(D$103,F172,$E$198,$G$188,$G$189)</f>
        <v>1.2334217442181361E-3</v>
      </c>
      <c r="G206" s="55" cm="1">
        <f t="array" ref="G206">MMS_Dairy_Methane_Equations.VEERG_4_3_1_1__2_MethaneFromManureProduction(E$103,G172,$E$198,$G$188,$G$189)</f>
        <v>9.6681156405423207E-4</v>
      </c>
      <c r="H206" s="55" cm="1">
        <f t="array" ref="H206">MMS_Dairy_Methane_Equations.VEERG_4_3_1_1__2_MethaneFromManureProduction(F$103,H172,$E$198,$G$188,$G$189)</f>
        <v>5.2429162366594254E-4</v>
      </c>
      <c r="I206" s="55" cm="1">
        <f t="array" ref="I206">MMS_Dairy_Methane_Equations.VEERG_4_3_1_1__2_MethaneFromManureProduction(G$103,I172,$E$198,$G$188,$G$189)</f>
        <v>1.1763825605508097E-3</v>
      </c>
      <c r="J206" s="55" cm="1">
        <f t="array" ref="J206">MMS_Dairy_Methane_Equations.VEERG_4_3_1_1__2_MethaneFromManureProduction(H$103,J172,$E$198,$G$188,$G$189)</f>
        <v>7.055865084657604E-4</v>
      </c>
      <c r="K206" s="2" t="str">
        <f t="shared" si="3"/>
        <v>kg CH4/head/day</v>
      </c>
      <c r="O206" s="55" t="str">
        <f>'Input - Dairy'!$D$54</f>
        <v>Milking shed</v>
      </c>
      <c r="P206" s="55" t="str">
        <f>'Input - Dairy'!$D$82</f>
        <v>Solid storage</v>
      </c>
      <c r="Q206" s="55" cm="1">
        <f t="array" ref="Q206">MMS_Dairy_Methane_Equations.VEERG_4_3_1_1__2_MethaneFromManureProduction(O$103,Q172,$E$198,$G$188,$G$189)</f>
        <v>3.6180371163731982E-4</v>
      </c>
      <c r="R206" s="55" cm="1">
        <f t="array" ref="R206">MMS_Dairy_Methane_Equations.VEERG_4_3_1_1__2_MethaneFromManureProduction(P$103,R172,$E$198,$G$188,$G$189)</f>
        <v>2.8359805878924141E-4</v>
      </c>
      <c r="S206" s="55" cm="1">
        <f t="array" ref="S206">MMS_Dairy_Methane_Equations.VEERG_4_3_1_1__2_MethaneFromManureProduction(Q$103,S172,$E$198,$G$188,$G$189)</f>
        <v>1.5379220960867642E-4</v>
      </c>
      <c r="T206" s="55" cm="1">
        <f t="array" ref="T206">MMS_Dairy_Methane_Equations.VEERG_4_3_1_1__2_MethaneFromManureProduction(R$103,T172,$E$198,$G$188,$G$189)</f>
        <v>3.4507221776157069E-4</v>
      </c>
      <c r="U206" s="55" cm="1">
        <f t="array" ref="U206">MMS_Dairy_Methane_Equations.VEERG_4_3_1_1__2_MethaneFromManureProduction(S$103,U172,$E$198,$G$188,$G$189)</f>
        <v>2.0697204248328968E-4</v>
      </c>
      <c r="V206" s="2" t="str">
        <f t="shared" si="4"/>
        <v>kg CH4/head/day</v>
      </c>
    </row>
    <row r="207" spans="4:22" ht="20.100000000000001" customHeight="1" x14ac:dyDescent="0.25">
      <c r="D207" s="55" t="str">
        <f>'Input - Dairy'!$D$55</f>
        <v>Feed pad</v>
      </c>
      <c r="E207" s="55" t="str">
        <f>'Input - Dairy'!$D$101</f>
        <v>Anaerobic lagoon</v>
      </c>
      <c r="F207" s="55" cm="1">
        <f t="array" ref="F207">MMS_Dairy_Methane_Equations.VEERG_4_3_1_1__2_MethaneFromManureProduction(D$103,F144,$E$195,$G$188,$G$189)</f>
        <v>2.7809548926304904E-2</v>
      </c>
      <c r="G207" s="55" cm="1">
        <f t="array" ref="G207">MMS_Dairy_Methane_Equations.VEERG_4_3_1_1__2_MethaneFromManureProduction(E$103,G144,$E$195,$G$188,$G$189)</f>
        <v>2.1798378064209416E-2</v>
      </c>
      <c r="H207" s="55" cm="1">
        <f t="array" ref="H207">MMS_Dairy_Methane_Equations.VEERG_4_3_1_1__2_MethaneFromManureProduction(F$103,H144,$E$195,$G$188,$G$189)</f>
        <v>1.1821028474921448E-2</v>
      </c>
      <c r="I207" s="55" cm="1">
        <f t="array" ref="I207">MMS_Dairy_Methane_Equations.VEERG_4_3_1_1__2_MethaneFromManureProduction(G$103,I144,$E$195,$G$188,$G$189)</f>
        <v>2.6523505465218911E-2</v>
      </c>
      <c r="J207" s="55" cm="1">
        <f t="array" ref="J207">MMS_Dairy_Methane_Equations.VEERG_4_3_1_1__2_MethaneFromManureProduction(H$103,J144,$E$195,$G$188,$G$189)</f>
        <v>1.5908623810874673E-2</v>
      </c>
      <c r="K207" s="2" t="str">
        <f t="shared" si="3"/>
        <v>kg CH4/head/day</v>
      </c>
      <c r="O207" s="55" t="str">
        <f>'Input - Dairy'!$D$55</f>
        <v>Feed pad</v>
      </c>
      <c r="P207" s="55" t="str">
        <f>'Input - Dairy'!$D$101</f>
        <v>Anaerobic lagoon</v>
      </c>
      <c r="Q207" s="55" cm="1">
        <f t="array" ref="Q207">MMS_Dairy_Methane_Equations.VEERG_4_3_1_1__2_MethaneFromManureProduction(O$103,Q144,$E$195,$G$188,$G$189)</f>
        <v>2.7809548926304904E-2</v>
      </c>
      <c r="R207" s="55" cm="1">
        <f t="array" ref="R207">MMS_Dairy_Methane_Equations.VEERG_4_3_1_1__2_MethaneFromManureProduction(P$103,R144,$E$195,$G$188,$G$189)</f>
        <v>2.1798378064209416E-2</v>
      </c>
      <c r="S207" s="55" cm="1">
        <f t="array" ref="S207">MMS_Dairy_Methane_Equations.VEERG_4_3_1_1__2_MethaneFromManureProduction(Q$103,S144,$E$195,$G$188,$G$189)</f>
        <v>1.1821028474921448E-2</v>
      </c>
      <c r="T207" s="55" cm="1">
        <f t="array" ref="T207">MMS_Dairy_Methane_Equations.VEERG_4_3_1_1__2_MethaneFromManureProduction(R$103,T144,$E$195,$G$188,$G$189)</f>
        <v>2.6523505465218911E-2</v>
      </c>
      <c r="U207" s="55" cm="1">
        <f t="array" ref="U207">MMS_Dairy_Methane_Equations.VEERG_4_3_1_1__2_MethaneFromManureProduction(S$103,U144,$E$195,$G$188,$G$189)</f>
        <v>1.5908623810874673E-2</v>
      </c>
      <c r="V207" s="2" t="str">
        <f t="shared" si="4"/>
        <v>kg CH4/head/day</v>
      </c>
    </row>
    <row r="208" spans="4:22" ht="20.100000000000001" customHeight="1" x14ac:dyDescent="0.25">
      <c r="D208" s="55" t="str">
        <f>'Input - Dairy'!$D$55</f>
        <v>Feed pad</v>
      </c>
      <c r="E208" s="55" t="str">
        <f>'Input - Dairy'!$D$106</f>
        <v>Sump and dispersal system</v>
      </c>
      <c r="F208" s="55" cm="1">
        <f t="array" ref="F208">MMS_Dairy_Methane_Equations.VEERG_4_3_1_1__2_MethaneFromManureProduction(D$103,F145,$E$196,$G$188,$G$189)</f>
        <v>1.4636604698055217E-4</v>
      </c>
      <c r="G208" s="55" cm="1">
        <f t="array" ref="G208">MMS_Dairy_Methane_Equations.VEERG_4_3_1_1__2_MethaneFromManureProduction(E$103,G145,$E$196,$G$188,$G$189)</f>
        <v>1.1472830560110218E-4</v>
      </c>
      <c r="H208" s="55" cm="1">
        <f t="array" ref="H208">MMS_Dairy_Methane_Equations.VEERG_4_3_1_1__2_MethaneFromManureProduction(F$103,H145,$E$196,$G$188,$G$189)</f>
        <v>6.2215939341691832E-5</v>
      </c>
      <c r="I208" s="55" cm="1">
        <f t="array" ref="I208">MMS_Dairy_Methane_Equations.VEERG_4_3_1_1__2_MethaneFromManureProduction(G$103,I145,$E$196,$G$188,$G$189)</f>
        <v>1.3959739718536268E-4</v>
      </c>
      <c r="J208" s="55" cm="1">
        <f t="array" ref="J208">MMS_Dairy_Methane_Equations.VEERG_4_3_1_1__2_MethaneFromManureProduction(H$103,J145,$E$196,$G$188,$G$189)</f>
        <v>8.3729599004603552E-5</v>
      </c>
      <c r="K208" s="2" t="str">
        <f t="shared" si="3"/>
        <v>kg CH4/head/day</v>
      </c>
      <c r="O208" s="55" t="str">
        <f>'Input - Dairy'!$D$55</f>
        <v>Feed pad</v>
      </c>
      <c r="P208" s="55" t="str">
        <f>'Input - Dairy'!$D$106</f>
        <v>Sump and dispersal system</v>
      </c>
      <c r="Q208" s="55" cm="1">
        <f t="array" ref="Q208">MMS_Dairy_Methane_Equations.VEERG_4_3_1_1__2_MethaneFromManureProduction(O$103,Q145,$E$196,$G$188,$G$189)</f>
        <v>1.4636604698055217E-4</v>
      </c>
      <c r="R208" s="55" cm="1">
        <f t="array" ref="R208">MMS_Dairy_Methane_Equations.VEERG_4_3_1_1__2_MethaneFromManureProduction(P$103,R145,$E$196,$G$188,$G$189)</f>
        <v>1.1472830560110218E-4</v>
      </c>
      <c r="S208" s="55" cm="1">
        <f t="array" ref="S208">MMS_Dairy_Methane_Equations.VEERG_4_3_1_1__2_MethaneFromManureProduction(Q$103,S145,$E$196,$G$188,$G$189)</f>
        <v>6.2215939341691832E-5</v>
      </c>
      <c r="T208" s="55" cm="1">
        <f t="array" ref="T208">MMS_Dairy_Methane_Equations.VEERG_4_3_1_1__2_MethaneFromManureProduction(R$103,T145,$E$196,$G$188,$G$189)</f>
        <v>1.3959739718536268E-4</v>
      </c>
      <c r="U208" s="55" cm="1">
        <f t="array" ref="U208">MMS_Dairy_Methane_Equations.VEERG_4_3_1_1__2_MethaneFromManureProduction(S$103,U145,$E$196,$G$188,$G$189)</f>
        <v>8.3729599004603552E-5</v>
      </c>
      <c r="V208" s="2" t="str">
        <f t="shared" si="4"/>
        <v>kg CH4/head/day</v>
      </c>
    </row>
    <row r="209" spans="3:23" ht="20.100000000000001" customHeight="1" x14ac:dyDescent="0.25">
      <c r="D209" s="55" t="str">
        <f>'Input - Dairy'!$D$55</f>
        <v>Feed pad</v>
      </c>
      <c r="E209" s="55" t="str">
        <f>'Input - Dairy'!$D$111</f>
        <v>Drains to paddock</v>
      </c>
      <c r="F209" s="55" cm="1">
        <f t="array" ref="F209">MMS_Dairy_Methane_Equations.VEERG_4_3_1_1__2_MethaneFromManureProduction(D$103,F146,$E$197,$G$188,$G$189)</f>
        <v>5.2691776912998757E-3</v>
      </c>
      <c r="G209" s="55" cm="1">
        <f t="array" ref="G209">MMS_Dairy_Methane_Equations.VEERG_4_3_1_1__2_MethaneFromManureProduction(E$103,G146,$E$197,$G$188,$G$189)</f>
        <v>4.1302190016396789E-3</v>
      </c>
      <c r="H209" s="55" cm="1">
        <f t="array" ref="H209">MMS_Dairy_Methane_Equations.VEERG_4_3_1_1__2_MethaneFromManureProduction(F$103,H146,$E$197,$G$188,$G$189)</f>
        <v>2.2397738163009058E-3</v>
      </c>
      <c r="I209" s="55" cm="1">
        <f t="array" ref="I209">MMS_Dairy_Methane_Equations.VEERG_4_3_1_1__2_MethaneFromManureProduction(G$103,I146,$E$197,$G$188,$G$189)</f>
        <v>5.0255062986730567E-3</v>
      </c>
      <c r="J209" s="55" cm="1">
        <f t="array" ref="J209">MMS_Dairy_Methane_Equations.VEERG_4_3_1_1__2_MethaneFromManureProduction(H$103,J146,$E$197,$G$188,$G$189)</f>
        <v>3.0142655641657275E-3</v>
      </c>
      <c r="K209" s="2" t="str">
        <f t="shared" si="3"/>
        <v>kg CH4/head/day</v>
      </c>
      <c r="O209" s="55" t="str">
        <f>'Input - Dairy'!$D$55</f>
        <v>Feed pad</v>
      </c>
      <c r="P209" s="55" t="str">
        <f>'Input - Dairy'!$D$111</f>
        <v>Drains to paddock</v>
      </c>
      <c r="Q209" s="55" cm="1">
        <f t="array" ref="Q209">MMS_Dairy_Methane_Equations.VEERG_4_3_1_1__2_MethaneFromManureProduction(O$103,Q146,$E$197,$G$188,$G$189)</f>
        <v>5.2691776912998757E-3</v>
      </c>
      <c r="R209" s="55" cm="1">
        <f t="array" ref="R209">MMS_Dairy_Methane_Equations.VEERG_4_3_1_1__2_MethaneFromManureProduction(P$103,R146,$E$197,$G$188,$G$189)</f>
        <v>4.1302190016396789E-3</v>
      </c>
      <c r="S209" s="55" cm="1">
        <f t="array" ref="S209">MMS_Dairy_Methane_Equations.VEERG_4_3_1_1__2_MethaneFromManureProduction(Q$103,S146,$E$197,$G$188,$G$189)</f>
        <v>2.2397738163009058E-3</v>
      </c>
      <c r="T209" s="55" cm="1">
        <f t="array" ref="T209">MMS_Dairy_Methane_Equations.VEERG_4_3_1_1__2_MethaneFromManureProduction(R$103,T146,$E$197,$G$188,$G$189)</f>
        <v>5.0255062986730567E-3</v>
      </c>
      <c r="U209" s="55" cm="1">
        <f t="array" ref="U209">MMS_Dairy_Methane_Equations.VEERG_4_3_1_1__2_MethaneFromManureProduction(S$103,U146,$E$197,$G$188,$G$189)</f>
        <v>3.0142655641657275E-3</v>
      </c>
      <c r="V209" s="2" t="str">
        <f t="shared" si="4"/>
        <v>kg CH4/head/day</v>
      </c>
    </row>
    <row r="210" spans="3:23" ht="20.100000000000001" customHeight="1" x14ac:dyDescent="0.25">
      <c r="D210" s="55" t="str">
        <f>'Input - Dairy'!$D$55</f>
        <v>Feed pad</v>
      </c>
      <c r="E210" s="55" t="str">
        <f>'Input - Dairy'!$D$116</f>
        <v>Solid storage</v>
      </c>
      <c r="F210" s="55" cm="1">
        <f t="array" ref="F210">MMS_Dairy_Methane_Equations.VEERG_4_3_1_1__2_MethaneFromManureProduction(D$103,F173,$E$198,$G$188,$G$189)</f>
        <v>1.0245623288638649E-3</v>
      </c>
      <c r="G210" s="55" cm="1">
        <f t="array" ref="G210">MMS_Dairy_Methane_Equations.VEERG_4_3_1_1__2_MethaneFromManureProduction(E$103,G173,$E$198,$G$188,$G$189)</f>
        <v>8.0309813920771526E-4</v>
      </c>
      <c r="H210" s="55" cm="1">
        <f t="array" ref="H210">MMS_Dairy_Methane_Equations.VEERG_4_3_1_1__2_MethaneFromManureProduction(F$103,H173,$E$198,$G$188,$G$189)</f>
        <v>4.3551157539184287E-4</v>
      </c>
      <c r="I210" s="55" cm="1">
        <f t="array" ref="I210">MMS_Dairy_Methane_Equations.VEERG_4_3_1_1__2_MethaneFromManureProduction(G$103,I173,$E$198,$G$188,$G$189)</f>
        <v>9.7718178029753897E-4</v>
      </c>
      <c r="J210" s="55" cm="1">
        <f t="array" ref="J210">MMS_Dairy_Methane_Equations.VEERG_4_3_1_1__2_MethaneFromManureProduction(H$103,J173,$E$198,$G$188,$G$189)</f>
        <v>5.8610719303222485E-4</v>
      </c>
      <c r="K210" s="2" t="str">
        <f t="shared" si="3"/>
        <v>kg CH4/head/day</v>
      </c>
      <c r="O210" s="55" t="str">
        <f>'Input - Dairy'!$D$55</f>
        <v>Feed pad</v>
      </c>
      <c r="P210" s="55" t="str">
        <f>'Input - Dairy'!$D$116</f>
        <v>Solid storage</v>
      </c>
      <c r="Q210" s="55" cm="1">
        <f t="array" ref="Q210">MMS_Dairy_Methane_Equations.VEERG_4_3_1_1__2_MethaneFromManureProduction(O$103,Q173,$E$198,$G$188,$G$189)</f>
        <v>1.0245623288638649E-3</v>
      </c>
      <c r="R210" s="55" cm="1">
        <f t="array" ref="R210">MMS_Dairy_Methane_Equations.VEERG_4_3_1_1__2_MethaneFromManureProduction(P$103,R173,$E$198,$G$188,$G$189)</f>
        <v>8.0309813920771526E-4</v>
      </c>
      <c r="S210" s="55" cm="1">
        <f t="array" ref="S210">MMS_Dairy_Methane_Equations.VEERG_4_3_1_1__2_MethaneFromManureProduction(Q$103,S173,$E$198,$G$188,$G$189)</f>
        <v>4.3551157539184287E-4</v>
      </c>
      <c r="T210" s="55" cm="1">
        <f t="array" ref="T210">MMS_Dairy_Methane_Equations.VEERG_4_3_1_1__2_MethaneFromManureProduction(R$103,T173,$E$198,$G$188,$G$189)</f>
        <v>9.7718178029753897E-4</v>
      </c>
      <c r="U210" s="55" cm="1">
        <f t="array" ref="U210">MMS_Dairy_Methane_Equations.VEERG_4_3_1_1__2_MethaneFromManureProduction(S$103,U173,$E$198,$G$188,$G$189)</f>
        <v>5.8610719303222485E-4</v>
      </c>
      <c r="V210" s="2" t="str">
        <f t="shared" si="4"/>
        <v>kg CH4/head/day</v>
      </c>
    </row>
    <row r="211" spans="3:23" ht="20.100000000000001" customHeight="1" x14ac:dyDescent="0.25"/>
    <row r="212" spans="3:23" ht="20.100000000000001" customHeight="1" x14ac:dyDescent="0.25"/>
    <row r="213" spans="3:23" ht="20.100000000000001" customHeight="1" x14ac:dyDescent="0.25"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</row>
    <row r="214" spans="3:23" ht="20.100000000000001" customHeight="1" x14ac:dyDescent="0.25">
      <c r="D214" s="6" t="str" cm="1">
        <f t="array" ref="D214">MMS_Dairy_Methane_Equations.VEERG_4_3_1_1__1_TotalAnnualMethaneFromManureManagement_Title()</f>
        <v>Total annual methane production from manure management</v>
      </c>
    </row>
    <row r="215" spans="3:23" ht="20.100000000000001" customHeight="1" x14ac:dyDescent="0.25">
      <c r="D215" s="5" t="str" cm="1">
        <f t="array" ref="D215">MMS_Dairy_Methane_Equations.VEERG_4_3_1_1__1_TotalAnnualMethaneFromManureManagement_Source()</f>
        <v>VEERG 2026: 4.3.1.1, Equation (1)</v>
      </c>
    </row>
    <row r="216" spans="3:23" ht="20.100000000000001" customHeight="1" x14ac:dyDescent="0.25">
      <c r="D216" s="58" t="str" cm="1">
        <f t="array" ref="D216">MMS_Dairy_Methane_Equations.VEERG_4_3_1_1__1_TotalAnnualMethaneFromManureManagement_Variation()</f>
        <v>VARIATION: Used separate variable for duration of stay on farm for pre-weaned heifer and bull calves.</v>
      </c>
    </row>
    <row r="217" spans="3:23" ht="20.100000000000001" customHeight="1" x14ac:dyDescent="0.25">
      <c r="D217" s="13" t="s">
        <v>27</v>
      </c>
      <c r="E217" s="13" t="str" cm="1">
        <f t="array" aca="1" ref="E217" ca="1">Common_InputFunctions.Utility_DisplayFunctionName($F$255)</f>
        <v>=MMS_Dairy_Methane_Equations.VEERG_4_3_1_1__1_TotalAnnualMethaneFromManureManagementVariation</v>
      </c>
    </row>
    <row r="218" spans="3:23" ht="20.100000000000001" customHeight="1" x14ac:dyDescent="0.25">
      <c r="D218" s="6"/>
    </row>
    <row r="219" spans="3:23" ht="20.100000000000001" customHeight="1" x14ac:dyDescent="0.25">
      <c r="D219" s="6"/>
    </row>
    <row r="220" spans="3:23" ht="20.100000000000001" customHeight="1" x14ac:dyDescent="0.25">
      <c r="D220" s="56" t="s">
        <v>30</v>
      </c>
      <c r="E220" s="1" t="str" cm="1">
        <f t="array" ref="E220">MMS_Dairy_Methane_Equations.VEERG_4_3_1_1__1_TotalAnnualMethaneFromManureManagement_Variable()</f>
        <v>E_CH4</v>
      </c>
    </row>
    <row r="221" spans="3:23" ht="20.100000000000001" customHeight="1" x14ac:dyDescent="0.25">
      <c r="D221" s="56" t="s">
        <v>20</v>
      </c>
      <c r="E221" s="57" t="str" cm="1">
        <f t="array" ref="E221">MMS_Dairy_Methane_Equations.VEERG_4_3_1_1__1_TotalAnnualMethaneFromManureManagement_Unit()</f>
        <v>t CH4</v>
      </c>
    </row>
    <row r="222" spans="3:23" ht="20.100000000000001" customHeight="1" x14ac:dyDescent="0.25"/>
    <row r="223" spans="3:23" ht="20.100000000000001" customHeight="1" x14ac:dyDescent="0.25">
      <c r="D223" s="60" t="str" cm="1">
        <f t="array" ref="D223:E230">MMS_Dairy_Methane_Equations.VEERG_4_3_1_1__1_TotalAnnualMethaneFromManureManagement_Arguments()</f>
        <v>N_j124</v>
      </c>
      <c r="E223" s="61" t="str">
        <v>number of dairy cattle in classes j=1,2,4</v>
      </c>
      <c r="F223" s="105"/>
      <c r="G223" s="62"/>
      <c r="H223" s="60" t="str">
        <f>"See " &amp; $D$232</f>
        <v>See Table_N_j</v>
      </c>
    </row>
    <row r="224" spans="3:23" ht="20.100000000000001" customHeight="1" x14ac:dyDescent="0.25">
      <c r="D224" s="60" t="str">
        <v>M_j124m</v>
      </c>
      <c r="E224" s="61" t="str">
        <v>methane production from manure of weaned dairy cattle in classes j=1,2,4 in MMS m (kg CH4/head/day)</v>
      </c>
      <c r="F224" s="105"/>
      <c r="G224" s="62"/>
      <c r="H224" s="60" t="str">
        <f>"See " &amp; $D$200</f>
        <v>See M1_M_j_m</v>
      </c>
    </row>
    <row r="225" spans="4:20" ht="20.100000000000001" customHeight="1" x14ac:dyDescent="0.25">
      <c r="D225" s="60" t="str">
        <v>D_j124</v>
      </c>
      <c r="E225" s="61" t="str">
        <v>duration of stay on farm for classes j=1,2,4 (days)</v>
      </c>
      <c r="F225" s="105"/>
      <c r="G225" s="62"/>
      <c r="H225" s="60" t="str">
        <f>"See " &amp; $D$237</f>
        <v>See M1_Table_D_j</v>
      </c>
    </row>
    <row r="226" spans="4:20" ht="20.100000000000001" customHeight="1" x14ac:dyDescent="0.25">
      <c r="D226" s="60" t="str">
        <v>N_j35</v>
      </c>
      <c r="E226" s="61" t="str">
        <v>number of dairy cattle in classes j=3,5</v>
      </c>
      <c r="F226" s="105"/>
      <c r="G226" s="62"/>
      <c r="H226" s="60" t="str">
        <f>"See " &amp; $D$232</f>
        <v>See Table_N_j</v>
      </c>
    </row>
    <row r="227" spans="4:20" ht="20.100000000000001" customHeight="1" x14ac:dyDescent="0.25">
      <c r="D227" s="60" t="str">
        <v>M_j35m</v>
      </c>
      <c r="E227" s="61" t="str">
        <v>methane production from manure of weaned dairy cattle in classes j=3,5 in MMS m (kg CH4/head/day)</v>
      </c>
      <c r="F227" s="105"/>
      <c r="G227" s="62"/>
      <c r="H227" s="60" t="str">
        <f>"See " &amp; $D$200</f>
        <v>See M1_M_j_m</v>
      </c>
    </row>
    <row r="228" spans="4:20" ht="20.100000000000001" customHeight="1" x14ac:dyDescent="0.25">
      <c r="D228" s="60" t="str">
        <v>D_j35</v>
      </c>
      <c r="E228" s="61" t="str">
        <v>duration of stay on farm for classes j=3,5 (days)</v>
      </c>
      <c r="F228" s="105"/>
      <c r="G228" s="62"/>
      <c r="H228" s="60" t="str">
        <f>"See " &amp; $D$237</f>
        <v>See M1_Table_D_j</v>
      </c>
    </row>
    <row r="229" spans="4:20" ht="20.100000000000001" customHeight="1" x14ac:dyDescent="0.25">
      <c r="D229" s="60" t="str">
        <v>MPW_manure_j35</v>
      </c>
      <c r="E229" s="61" t="str">
        <v>methane production from manure of pre-weaned heifer and bull calves (kg CH4/head/day)</v>
      </c>
      <c r="F229" s="105"/>
      <c r="G229" s="62"/>
      <c r="H229" s="60" t="str">
        <f>"See " &amp; $D$242</f>
        <v>See Table_MPW_manure_j-3-5</v>
      </c>
    </row>
    <row r="230" spans="4:20" ht="20.100000000000001" customHeight="1" x14ac:dyDescent="0.25">
      <c r="D230" s="60" t="str">
        <v>DPW_j35</v>
      </c>
      <c r="E230" s="61" t="str">
        <v>duration of stay on farm for pre-weaned heifer and bull calves (days)</v>
      </c>
      <c r="F230" s="105"/>
      <c r="G230" s="62"/>
      <c r="H230" s="60" t="str">
        <f>"See " &amp; $D$247</f>
        <v>See M1_Table_DPW_j</v>
      </c>
    </row>
    <row r="231" spans="4:20" ht="20.100000000000001" customHeight="1" x14ac:dyDescent="0.25"/>
    <row r="232" spans="4:20" ht="20.100000000000001" customHeight="1" x14ac:dyDescent="0.25">
      <c r="D232" s="104" t="s">
        <v>108</v>
      </c>
    </row>
    <row r="233" spans="4:20" ht="20.100000000000001" customHeight="1" x14ac:dyDescent="0.25">
      <c r="D233" s="103" t="s">
        <v>336</v>
      </c>
    </row>
    <row r="234" spans="4:20" ht="20.100000000000001" customHeight="1" x14ac:dyDescent="0.25">
      <c r="D234" s="54" t="s">
        <v>234</v>
      </c>
      <c r="E234" s="54" t="s">
        <v>251</v>
      </c>
      <c r="F234" s="54" t="s">
        <v>252</v>
      </c>
      <c r="G234" s="54" t="s">
        <v>253</v>
      </c>
      <c r="H234" s="54" t="s">
        <v>254</v>
      </c>
    </row>
    <row r="235" spans="4:20" ht="20.100000000000001" customHeight="1" x14ac:dyDescent="0.25">
      <c r="D235" s="107">
        <f>'Input - Dairy'!$E$10</f>
        <v>100</v>
      </c>
      <c r="E235" s="107">
        <f>'Input - Dairy'!$F$10</f>
        <v>100</v>
      </c>
      <c r="F235" s="107">
        <f>'Input - Dairy'!$G$10</f>
        <v>100</v>
      </c>
      <c r="G235" s="107">
        <f>'Input - Dairy'!$H$10</f>
        <v>100</v>
      </c>
      <c r="H235" s="107">
        <f>'Input - Dairy'!$I$10</f>
        <v>100</v>
      </c>
      <c r="I235" s="2" t="s">
        <v>109</v>
      </c>
    </row>
    <row r="236" spans="4:20" ht="20.100000000000001" customHeight="1" x14ac:dyDescent="0.25"/>
    <row r="237" spans="4:20" ht="20.100000000000001" customHeight="1" x14ac:dyDescent="0.25">
      <c r="D237" s="104" t="s">
        <v>337</v>
      </c>
      <c r="O237" s="104" t="s">
        <v>347</v>
      </c>
    </row>
    <row r="238" spans="4:20" ht="20.100000000000001" customHeight="1" x14ac:dyDescent="0.25">
      <c r="D238" s="103" t="s">
        <v>345</v>
      </c>
      <c r="O238" s="103" t="s">
        <v>348</v>
      </c>
    </row>
    <row r="239" spans="4:20" ht="20.100000000000001" customHeight="1" x14ac:dyDescent="0.25">
      <c r="D239" s="54" t="s">
        <v>234</v>
      </c>
      <c r="E239" s="54" t="s">
        <v>251</v>
      </c>
      <c r="F239" s="54" t="s">
        <v>252</v>
      </c>
      <c r="G239" s="54" t="s">
        <v>253</v>
      </c>
      <c r="H239" s="54" t="s">
        <v>254</v>
      </c>
      <c r="O239" s="54" t="s">
        <v>234</v>
      </c>
      <c r="P239" s="54" t="s">
        <v>251</v>
      </c>
      <c r="Q239" s="54" t="s">
        <v>252</v>
      </c>
      <c r="R239" s="54" t="s">
        <v>253</v>
      </c>
      <c r="S239" s="54" t="s">
        <v>254</v>
      </c>
    </row>
    <row r="240" spans="4:20" ht="20.100000000000001" customHeight="1" x14ac:dyDescent="0.25">
      <c r="D240" s="55">
        <f>'Input - Dairy'!$E$24</f>
        <v>365</v>
      </c>
      <c r="E240" s="55">
        <f>'Input - Dairy'!$F$24</f>
        <v>365</v>
      </c>
      <c r="F240" s="55">
        <f>'Input - Dairy'!$G$24</f>
        <v>281</v>
      </c>
      <c r="G240" s="55">
        <f>'Input - Dairy'!$H$24</f>
        <v>365</v>
      </c>
      <c r="H240" s="55">
        <f>'Input - Dairy'!$I$24</f>
        <v>281</v>
      </c>
      <c r="I240" s="2" t="s">
        <v>55</v>
      </c>
      <c r="O240" s="55">
        <f>'Input - Dairy'!$E$28</f>
        <v>365</v>
      </c>
      <c r="P240" s="55">
        <f>'Input - Dairy'!$F$28</f>
        <v>365</v>
      </c>
      <c r="Q240" s="55">
        <f>'Input - Dairy'!$G$28</f>
        <v>281</v>
      </c>
      <c r="R240" s="55">
        <f>'Input - Dairy'!$H$28</f>
        <v>365</v>
      </c>
      <c r="S240" s="55">
        <f>'Input - Dairy'!$I$28</f>
        <v>281</v>
      </c>
      <c r="T240" s="2" t="s">
        <v>55</v>
      </c>
    </row>
    <row r="241" spans="4:21" ht="20.100000000000001" customHeight="1" x14ac:dyDescent="0.25"/>
    <row r="242" spans="4:21" ht="20.100000000000001" customHeight="1" x14ac:dyDescent="0.25">
      <c r="D242" s="104" t="s">
        <v>339</v>
      </c>
    </row>
    <row r="243" spans="4:21" ht="20.100000000000001" customHeight="1" x14ac:dyDescent="0.25">
      <c r="D243" s="103" t="s">
        <v>340</v>
      </c>
    </row>
    <row r="244" spans="4:21" ht="20.100000000000001" customHeight="1" x14ac:dyDescent="0.25">
      <c r="D244" s="54" t="s">
        <v>234</v>
      </c>
      <c r="E244" s="54" t="s">
        <v>251</v>
      </c>
      <c r="F244" s="54" t="s">
        <v>252</v>
      </c>
      <c r="G244" s="54" t="s">
        <v>253</v>
      </c>
      <c r="H244" s="54" t="s">
        <v>254</v>
      </c>
    </row>
    <row r="245" spans="4:21" ht="20.100000000000001" customHeight="1" x14ac:dyDescent="0.25">
      <c r="D245" s="55">
        <v>0</v>
      </c>
      <c r="E245" s="55">
        <v>0</v>
      </c>
      <c r="F245" s="55">
        <f>'Constants - Dairy'!$E$63</f>
        <v>1.7600000000000001E-2</v>
      </c>
      <c r="G245" s="55">
        <v>0</v>
      </c>
      <c r="H245" s="55">
        <f>'Constants - Dairy'!$E$64</f>
        <v>2.0400000000000001E-2</v>
      </c>
      <c r="I245" s="2" t="s">
        <v>342</v>
      </c>
    </row>
    <row r="246" spans="4:21" ht="20.100000000000001" customHeight="1" x14ac:dyDescent="0.25"/>
    <row r="247" spans="4:21" ht="20.100000000000001" customHeight="1" x14ac:dyDescent="0.25">
      <c r="D247" s="104" t="s">
        <v>338</v>
      </c>
      <c r="O247" s="104" t="s">
        <v>338</v>
      </c>
    </row>
    <row r="248" spans="4:21" ht="20.100000000000001" customHeight="1" x14ac:dyDescent="0.25">
      <c r="D248" s="103" t="s">
        <v>346</v>
      </c>
      <c r="O248" s="103" t="s">
        <v>346</v>
      </c>
    </row>
    <row r="249" spans="4:21" ht="20.100000000000001" customHeight="1" x14ac:dyDescent="0.25">
      <c r="D249" s="54" t="s">
        <v>234</v>
      </c>
      <c r="E249" s="54" t="s">
        <v>251</v>
      </c>
      <c r="F249" s="54" t="s">
        <v>252</v>
      </c>
      <c r="G249" s="54" t="s">
        <v>253</v>
      </c>
      <c r="H249" s="54" t="s">
        <v>254</v>
      </c>
      <c r="O249" s="54" t="s">
        <v>234</v>
      </c>
      <c r="P249" s="54" t="s">
        <v>251</v>
      </c>
      <c r="Q249" s="54" t="s">
        <v>252</v>
      </c>
      <c r="R249" s="54" t="s">
        <v>253</v>
      </c>
      <c r="S249" s="54" t="s">
        <v>254</v>
      </c>
    </row>
    <row r="250" spans="4:21" ht="20.100000000000001" customHeight="1" x14ac:dyDescent="0.25">
      <c r="D250" s="55">
        <f>'Input - Dairy'!$E$25</f>
        <v>0</v>
      </c>
      <c r="E250" s="55">
        <f>'Input - Dairy'!$F$25</f>
        <v>0</v>
      </c>
      <c r="F250" s="55">
        <f>'Input - Dairy'!$G$25</f>
        <v>84</v>
      </c>
      <c r="G250" s="55">
        <f>'Input - Dairy'!$H$25</f>
        <v>0</v>
      </c>
      <c r="H250" s="55">
        <f>'Input - Dairy'!$I$25</f>
        <v>84</v>
      </c>
      <c r="I250" s="2" t="s">
        <v>55</v>
      </c>
      <c r="O250" s="55">
        <f>'Input - Dairy'!$E$29</f>
        <v>0</v>
      </c>
      <c r="P250" s="55">
        <f>'Input - Dairy'!$F$29</f>
        <v>0</v>
      </c>
      <c r="Q250" s="55">
        <f>'Input - Dairy'!$G$29</f>
        <v>84</v>
      </c>
      <c r="R250" s="55">
        <f>'Input - Dairy'!$H$29</f>
        <v>0</v>
      </c>
      <c r="S250" s="55">
        <f>'Input - Dairy'!$I$29</f>
        <v>84</v>
      </c>
      <c r="T250" s="2" t="s">
        <v>55</v>
      </c>
    </row>
    <row r="251" spans="4:21" ht="20.100000000000001" customHeight="1" x14ac:dyDescent="0.25"/>
    <row r="252" spans="4:21" ht="20.100000000000001" customHeight="1" x14ac:dyDescent="0.25">
      <c r="D252" s="104" t="s">
        <v>341</v>
      </c>
      <c r="O252" s="104" t="s">
        <v>341</v>
      </c>
    </row>
    <row r="253" spans="4:21" ht="20.100000000000001" customHeight="1" x14ac:dyDescent="0.25">
      <c r="D253" s="103" t="s">
        <v>353</v>
      </c>
      <c r="O253" s="103" t="s">
        <v>353</v>
      </c>
    </row>
    <row r="254" spans="4:21" ht="20.100000000000001" customHeight="1" x14ac:dyDescent="0.25">
      <c r="D254" s="54" t="s">
        <v>203</v>
      </c>
      <c r="E254" s="54" t="s">
        <v>68</v>
      </c>
      <c r="F254" s="54" t="s">
        <v>234</v>
      </c>
      <c r="G254" s="54" t="s">
        <v>251</v>
      </c>
      <c r="H254" s="54" t="s">
        <v>252</v>
      </c>
      <c r="I254" s="54" t="s">
        <v>253</v>
      </c>
      <c r="J254" s="54" t="s">
        <v>254</v>
      </c>
      <c r="O254" s="54" t="s">
        <v>203</v>
      </c>
      <c r="P254" s="54" t="s">
        <v>68</v>
      </c>
      <c r="Q254" s="54" t="s">
        <v>234</v>
      </c>
      <c r="R254" s="54" t="s">
        <v>251</v>
      </c>
      <c r="S254" s="54" t="s">
        <v>252</v>
      </c>
      <c r="T254" s="54" t="s">
        <v>253</v>
      </c>
      <c r="U254" s="54" t="s">
        <v>254</v>
      </c>
    </row>
    <row r="255" spans="4:21" ht="20.100000000000001" customHeight="1" x14ac:dyDescent="0.25">
      <c r="D255" s="55" t="str">
        <f>'Input - Dairy'!$D$54</f>
        <v>Milking shed</v>
      </c>
      <c r="E255" s="55" t="str">
        <f>'Input - Dairy'!$D$67</f>
        <v>Anaerobic lagoon</v>
      </c>
      <c r="F255" s="55" cm="1">
        <f t="array" ref="F255">MMS_Dairy_Methane_Equations.VEERG_4_3_1_1__1_TotalAnnualMethaneFromManureManagementVariation(D$235,F203,D$240,0,0,0,0,0)</f>
        <v>0.2509108740204814</v>
      </c>
      <c r="G255" s="55" cm="1">
        <f t="array" ref="G255">MMS_Dairy_Methane_Equations.VEERG_4_3_1_1__1_TotalAnnualMethaneFromManureManagementVariation(E$235,G203,E$240,0,0,0,0,0)</f>
        <v>0.1966752537703389</v>
      </c>
      <c r="H255" s="55" cm="1">
        <f t="array" ref="H255">MMS_Dairy_Methane_Equations.VEERG_4_3_1_1__1_TotalAnnualMethaneFromManureManagementVariation(0,0,0,F$235,H203,F$240,F$245,F$250)</f>
        <v>0.22994966071007236</v>
      </c>
      <c r="I255" s="55" cm="1">
        <f t="array" ref="I255">MMS_Dairy_Methane_Equations.VEERG_4_3_1_1__1_TotalAnnualMethaneFromManureManagementVariation(G$235,I203,G$240,0,0,0,0,0)</f>
        <v>0.23930758301764934</v>
      </c>
      <c r="J255" s="55" cm="1">
        <f t="array" ref="J255">MMS_Dairy_Methane_Equations.VEERG_4_3_1_1__1_TotalAnnualMethaneFromManureManagementVariation(0,0,0,H$235,J203,H$240,H$245,H$250)</f>
        <v>0.28186237348182841</v>
      </c>
      <c r="O255" s="55" t="str">
        <f>'Input - Dairy'!$D$54</f>
        <v>Milking shed</v>
      </c>
      <c r="P255" s="55" t="str">
        <f>'Input - Dairy'!$D$67</f>
        <v>Anaerobic lagoon</v>
      </c>
      <c r="Q255" s="55" cm="1">
        <f t="array" ref="Q255">MMS_Dairy_Methane_Equations.VEERG_4_3_1_1__1_TotalAnnualMethaneFromManureManagementVariation(D$235,Q203,O$240,0,0,0,0,0)</f>
        <v>0.2509108740204814</v>
      </c>
      <c r="R255" s="55" cm="1">
        <f t="array" ref="R255">MMS_Dairy_Methane_Equations.VEERG_4_3_1_1__1_TotalAnnualMethaneFromManureManagementVariation(D$235,R203,P$240,0,0,0,0,0)</f>
        <v>0.1966752537703389</v>
      </c>
      <c r="S255" s="55" cm="1">
        <f t="array" ref="S255">MMS_Dairy_Methane_Equations.VEERG_4_3_1_1__1_TotalAnnualMethaneFromManureManagementVariation(0,0,0,F$235,S203,Q$240,F$245,Q$250)</f>
        <v>0.22994966071007236</v>
      </c>
      <c r="T255" s="55" cm="1">
        <f t="array" ref="T255">MMS_Dairy_Methane_Equations.VEERG_4_3_1_1__1_TotalAnnualMethaneFromManureManagementVariation(F$235,T203,R$240,0,0,0,0,0)</f>
        <v>0.23930758301764934</v>
      </c>
      <c r="U255" s="55" cm="1">
        <f t="array" ref="U255">MMS_Dairy_Methane_Equations.VEERG_4_3_1_1__1_TotalAnnualMethaneFromManureManagementVariation(0,0,0,H$235,U203,S$240,H$245,S$250)</f>
        <v>0.28186237348182841</v>
      </c>
    </row>
    <row r="256" spans="4:21" ht="20.100000000000001" customHeight="1" x14ac:dyDescent="0.25">
      <c r="D256" s="55" t="str">
        <f>'Input - Dairy'!$D$54</f>
        <v>Milking shed</v>
      </c>
      <c r="E256" s="55" t="str">
        <f>'Input - Dairy'!$D$72</f>
        <v>Sump and dispersal system</v>
      </c>
      <c r="F256" s="55" cm="1">
        <f t="array" ref="F256">MMS_Dairy_Methane_Equations.VEERG_4_3_1_1__1_TotalAnnualMethaneFromManureManagementVariation(D$235,F204,D$240,0,0,0,0,0)</f>
        <v>1.6507294343452721E-3</v>
      </c>
      <c r="G256" s="55" cm="1">
        <f t="array" ref="G256">MMS_Dairy_Methane_Equations.VEERG_4_3_1_1__1_TotalAnnualMethaneFromManureManagementVariation(E$235,G204,E$240,0,0,0,0,0)</f>
        <v>1.293916143225914E-3</v>
      </c>
      <c r="H256" s="55" cm="1">
        <f t="array" ref="H256">MMS_Dairy_Methane_Equations.VEERG_4_3_1_1__1_TotalAnnualMethaneFromManureManagementVariation(0,0,0,F$235,H204,F$240,F$245,F$250)</f>
        <v>0.14838019513625048</v>
      </c>
      <c r="I256" s="55" cm="1">
        <f t="array" ref="I256">MMS_Dairy_Methane_Equations.VEERG_4_3_1_1__1_TotalAnnualMethaneFromManureManagementVariation(G$235,I204,G$240,0,0,0,0,0)</f>
        <v>1.5743919935371669E-3</v>
      </c>
      <c r="J256" s="55" cm="1">
        <f t="array" ref="J256">MMS_Dairy_Methane_Equations.VEERG_4_3_1_1__1_TotalAnnualMethaneFromManureManagementVariation(0,0,0,H$235,J204,H$240,H$245,H$250)</f>
        <v>0.17208698929922259</v>
      </c>
      <c r="O256" s="55" t="str">
        <f>'Input - Dairy'!$D$54</f>
        <v>Milking shed</v>
      </c>
      <c r="P256" s="55" t="str">
        <f>'Input - Dairy'!$D$72</f>
        <v>Sump and dispersal system</v>
      </c>
      <c r="Q256" s="55" cm="1">
        <f t="array" ref="Q256">MMS_Dairy_Methane_Equations.VEERG_4_3_1_1__1_TotalAnnualMethaneFromManureManagementVariation(D$235,Q204,O$240,0,0,0,0,0)</f>
        <v>1.6507294343452721E-3</v>
      </c>
      <c r="R256" s="55" cm="1">
        <f t="array" ref="R256">MMS_Dairy_Methane_Equations.VEERG_4_3_1_1__1_TotalAnnualMethaneFromManureManagementVariation(D$235,R204,P$240,0,0,0,0,0)</f>
        <v>1.293916143225914E-3</v>
      </c>
      <c r="S256" s="55" cm="1">
        <f t="array" ref="S256">MMS_Dairy_Methane_Equations.VEERG_4_3_1_1__1_TotalAnnualMethaneFromManureManagementVariation(0,0,0,F$235,S204,Q$240,F$245,Q$250)</f>
        <v>0.14838019513625048</v>
      </c>
      <c r="T256" s="55" cm="1">
        <f t="array" ref="T256">MMS_Dairy_Methane_Equations.VEERG_4_3_1_1__1_TotalAnnualMethaneFromManureManagementVariation(F$235,T204,R$240,0,0,0,0,0)</f>
        <v>1.5743919935371669E-3</v>
      </c>
      <c r="U256" s="55" cm="1">
        <f t="array" ref="U256">MMS_Dairy_Methane_Equations.VEERG_4_3_1_1__1_TotalAnnualMethaneFromManureManagementVariation(0,0,0,H$235,U204,S$240,H$245,S$250)</f>
        <v>0.17208698929922259</v>
      </c>
    </row>
    <row r="257" spans="4:21" ht="20.100000000000001" customHeight="1" x14ac:dyDescent="0.25">
      <c r="D257" s="55" t="str">
        <f>'Input - Dairy'!$D$54</f>
        <v>Milking shed</v>
      </c>
      <c r="E257" s="55" t="str">
        <f>'Input - Dairy'!$D$77</f>
        <v>Drains to paddock</v>
      </c>
      <c r="F257" s="55" cm="1">
        <f t="array" ref="F257">MMS_Dairy_Methane_Equations.VEERG_4_3_1_1__1_TotalAnnualMethaneFromManureManagementVariation(D$235,F205,D$240,0,0,0,0,0)</f>
        <v>5.9426259636429807E-2</v>
      </c>
      <c r="G257" s="55" cm="1">
        <f t="array" ref="G257">MMS_Dairy_Methane_Equations.VEERG_4_3_1_1__1_TotalAnnualMethaneFromManureManagementVariation(E$235,G205,E$240,0,0,0,0,0)</f>
        <v>4.6580981156132899E-2</v>
      </c>
      <c r="H257" s="55" cm="1">
        <f t="array" ref="H257">MMS_Dairy_Methane_Equations.VEERG_4_3_1_1__1_TotalAnnualMethaneFromManureManagementVariation(0,0,0,F$235,H205,F$240,F$245,F$250)</f>
        <v>0.16728702490501715</v>
      </c>
      <c r="I257" s="55" cm="1">
        <f t="array" ref="I257">MMS_Dairy_Methane_Equations.VEERG_4_3_1_1__1_TotalAnnualMethaneFromManureManagementVariation(G$235,I205,G$240,0,0,0,0,0)</f>
        <v>5.6678111767338002E-2</v>
      </c>
      <c r="J257" s="55" cm="1">
        <f t="array" ref="J257">MMS_Dairy_Methane_Equations.VEERG_4_3_1_1__1_TotalAnnualMethaneFromManureManagementVariation(0,0,0,H$235,J205,H$240,H$245,H$250)</f>
        <v>0.197531614772012</v>
      </c>
      <c r="O257" s="55" t="str">
        <f>'Input - Dairy'!$D$54</f>
        <v>Milking shed</v>
      </c>
      <c r="P257" s="55" t="str">
        <f>'Input - Dairy'!$D$77</f>
        <v>Drains to paddock</v>
      </c>
      <c r="Q257" s="55" cm="1">
        <f t="array" ref="Q257">MMS_Dairy_Methane_Equations.VEERG_4_3_1_1__1_TotalAnnualMethaneFromManureManagementVariation(D$235,Q205,O$240,0,0,0,0,0)</f>
        <v>5.9426259636429807E-2</v>
      </c>
      <c r="R257" s="55" cm="1">
        <f t="array" ref="R257">MMS_Dairy_Methane_Equations.VEERG_4_3_1_1__1_TotalAnnualMethaneFromManureManagementVariation(D$235,R205,P$240,0,0,0,0,0)</f>
        <v>4.6580981156132899E-2</v>
      </c>
      <c r="S257" s="55" cm="1">
        <f t="array" ref="S257">MMS_Dairy_Methane_Equations.VEERG_4_3_1_1__1_TotalAnnualMethaneFromManureManagementVariation(0,0,0,F$235,S205,Q$240,F$245,Q$250)</f>
        <v>0.16728702490501715</v>
      </c>
      <c r="T257" s="55" cm="1">
        <f t="array" ref="T257">MMS_Dairy_Methane_Equations.VEERG_4_3_1_1__1_TotalAnnualMethaneFromManureManagementVariation(F$235,T205,R$240,0,0,0,0,0)</f>
        <v>5.6678111767338002E-2</v>
      </c>
      <c r="U257" s="55" cm="1">
        <f t="array" ref="U257">MMS_Dairy_Methane_Equations.VEERG_4_3_1_1__1_TotalAnnualMethaneFromManureManagementVariation(0,0,0,H$235,U205,S$240,H$245,S$250)</f>
        <v>0.197531614772012</v>
      </c>
    </row>
    <row r="258" spans="4:21" ht="20.100000000000001" customHeight="1" x14ac:dyDescent="0.25">
      <c r="D258" s="55" t="str">
        <f>'Input - Dairy'!$D$54</f>
        <v>Milking shed</v>
      </c>
      <c r="E258" s="55" t="str">
        <f>'Input - Dairy'!$D$82</f>
        <v>Solid storage</v>
      </c>
      <c r="F258" s="55" cm="1">
        <f t="array" ref="F258">MMS_Dairy_Methane_Equations.VEERG_4_3_1_1__1_TotalAnnualMethaneFromManureManagementVariation(D$235,F206,D$240,0,0,0,0,0)</f>
        <v>4.5019893663961967E-2</v>
      </c>
      <c r="G258" s="55" cm="1">
        <f t="array" ref="G258">MMS_Dairy_Methane_Equations.VEERG_4_3_1_1__1_TotalAnnualMethaneFromManureManagementVariation(E$235,G206,E$240,0,0,0,0,0)</f>
        <v>3.5288622087979477E-2</v>
      </c>
      <c r="H258" s="55" cm="1">
        <f t="array" ref="H258">MMS_Dairy_Methane_Equations.VEERG_4_3_1_1__1_TotalAnnualMethaneFromManureManagementVariation(0,0,0,F$235,H206,F$240,F$245,F$250)</f>
        <v>0.16257259462501297</v>
      </c>
      <c r="I258" s="55" cm="1">
        <f t="array" ref="I258">MMS_Dairy_Methane_Equations.VEERG_4_3_1_1__1_TotalAnnualMethaneFromManureManagementVariation(G$235,I206,G$240,0,0,0,0,0)</f>
        <v>4.2937963460104554E-2</v>
      </c>
      <c r="J258" s="55" cm="1">
        <f t="array" ref="J258">MMS_Dairy_Methane_Equations.VEERG_4_3_1_1__1_TotalAnnualMethaneFromManureManagementVariation(0,0,0,H$235,J206,H$240,H$245,H$250)</f>
        <v>0.19118698088788791</v>
      </c>
      <c r="O258" s="55" t="str">
        <f>'Input - Dairy'!$D$54</f>
        <v>Milking shed</v>
      </c>
      <c r="P258" s="55" t="str">
        <f>'Input - Dairy'!$D$82</f>
        <v>Solid storage</v>
      </c>
      <c r="Q258" s="55" cm="1">
        <f t="array" ref="Q258">MMS_Dairy_Methane_Equations.VEERG_4_3_1_1__1_TotalAnnualMethaneFromManureManagementVariation(D$235,Q206,O$240,0,0,0,0,0)</f>
        <v>1.3205835474762173E-2</v>
      </c>
      <c r="R258" s="55" cm="1">
        <f t="array" ref="R258">MMS_Dairy_Methane_Equations.VEERG_4_3_1_1__1_TotalAnnualMethaneFromManureManagementVariation(D$235,R206,P$240,0,0,0,0,0)</f>
        <v>1.0351329145807312E-2</v>
      </c>
      <c r="S258" s="55" cm="1">
        <f t="array" ref="S258">MMS_Dairy_Methane_Equations.VEERG_4_3_1_1__1_TotalAnnualMethaneFromManureManagementVariation(0,0,0,F$235,S206,Q$240,F$245,Q$250)</f>
        <v>0.15216156109000381</v>
      </c>
      <c r="T258" s="55" cm="1">
        <f t="array" ref="T258">MMS_Dairy_Methane_Equations.VEERG_4_3_1_1__1_TotalAnnualMethaneFromManureManagementVariation(F$235,T206,R$240,0,0,0,0,0)</f>
        <v>1.259513594829733E-2</v>
      </c>
      <c r="U258" s="55" cm="1">
        <f t="array" ref="U258">MMS_Dairy_Methane_Equations.VEERG_4_3_1_1__1_TotalAnnualMethaneFromManureManagementVariation(0,0,0,H$235,U206,S$240,H$245,S$250)</f>
        <v>0.17717591439378047</v>
      </c>
    </row>
    <row r="259" spans="4:21" ht="20.100000000000001" customHeight="1" x14ac:dyDescent="0.25">
      <c r="D259" s="55" t="str">
        <f>'Input - Dairy'!$D$55</f>
        <v>Feed pad</v>
      </c>
      <c r="E259" s="55" t="str">
        <f>'Input - Dairy'!$D$101</f>
        <v>Anaerobic lagoon</v>
      </c>
      <c r="F259" s="55" cm="1">
        <f t="array" ref="F259">MMS_Dairy_Methane_Equations.VEERG_4_3_1_1__1_TotalAnnualMethaneFromManureManagementVariation(D$235,F207,D$240,0,0,0,0,0)</f>
        <v>1.0150485358101291</v>
      </c>
      <c r="G259" s="55" cm="1">
        <f t="array" ref="G259">MMS_Dairy_Methane_Equations.VEERG_4_3_1_1__1_TotalAnnualMethaneFromManureManagementVariation(E$235,G207,E$240,0,0,0,0,0)</f>
        <v>0.79564079934364373</v>
      </c>
      <c r="H259" s="55" cm="1">
        <f t="array" ref="H259">MMS_Dairy_Methane_Equations.VEERG_4_3_1_1__1_TotalAnnualMethaneFromManureManagementVariation(0,0,0,F$235,H207,F$240,F$245,F$250)</f>
        <v>0.48001090014529268</v>
      </c>
      <c r="I259" s="55" cm="1">
        <f t="array" ref="I259">MMS_Dairy_Methane_Equations.VEERG_4_3_1_1__1_TotalAnnualMethaneFromManureManagementVariation(G$235,I207,G$240,0,0,0,0,0)</f>
        <v>0.96810794948049028</v>
      </c>
      <c r="J259" s="55" cm="1">
        <f t="array" ref="J259">MMS_Dairy_Methane_Equations.VEERG_4_3_1_1__1_TotalAnnualMethaneFromManureManagementVariation(0,0,0,H$235,J207,H$240,H$245,H$250)</f>
        <v>0.6183923290855784</v>
      </c>
      <c r="O259" s="55" t="str">
        <f>'Input - Dairy'!$D$55</f>
        <v>Feed pad</v>
      </c>
      <c r="P259" s="55" t="str">
        <f>'Input - Dairy'!$D$101</f>
        <v>Anaerobic lagoon</v>
      </c>
      <c r="Q259" s="55" cm="1">
        <f t="array" ref="Q259">MMS_Dairy_Methane_Equations.VEERG_4_3_1_1__1_TotalAnnualMethaneFromManureManagementVariation(D$235,Q207,O$240,0,0,0,0,0)</f>
        <v>1.0150485358101291</v>
      </c>
      <c r="R259" s="55" cm="1">
        <f t="array" ref="R259">MMS_Dairy_Methane_Equations.VEERG_4_3_1_1__1_TotalAnnualMethaneFromManureManagementVariation(D$235,R207,P$240,0,0,0,0,0)</f>
        <v>0.79564079934364373</v>
      </c>
      <c r="S259" s="55" cm="1">
        <f t="array" ref="S259">MMS_Dairy_Methane_Equations.VEERG_4_3_1_1__1_TotalAnnualMethaneFromManureManagementVariation(0,0,0,F$235,S207,Q$240,F$245,Q$250)</f>
        <v>0.48001090014529268</v>
      </c>
      <c r="T259" s="55" cm="1">
        <f t="array" ref="T259">MMS_Dairy_Methane_Equations.VEERG_4_3_1_1__1_TotalAnnualMethaneFromManureManagementVariation(F$235,T207,R$240,0,0,0,0,0)</f>
        <v>0.96810794948049028</v>
      </c>
      <c r="U259" s="55" cm="1">
        <f t="array" ref="U259">MMS_Dairy_Methane_Equations.VEERG_4_3_1_1__1_TotalAnnualMethaneFromManureManagementVariation(0,0,0,H$235,U207,S$240,H$245,S$250)</f>
        <v>0.6183923290855784</v>
      </c>
    </row>
    <row r="260" spans="4:21" ht="20.100000000000001" customHeight="1" x14ac:dyDescent="0.25">
      <c r="D260" s="55" t="str">
        <f>'Input - Dairy'!$D$55</f>
        <v>Feed pad</v>
      </c>
      <c r="E260" s="55" t="str">
        <f>'Input - Dairy'!$D$106</f>
        <v>Sump and dispersal system</v>
      </c>
      <c r="F260" s="55" cm="1">
        <f t="array" ref="F260">MMS_Dairy_Methane_Equations.VEERG_4_3_1_1__1_TotalAnnualMethaneFromManureManagementVariation(D$235,F208,D$240,0,0,0,0,0)</f>
        <v>5.3423607147901541E-3</v>
      </c>
      <c r="G260" s="55" cm="1">
        <f t="array" ref="G260">MMS_Dairy_Methane_Equations.VEERG_4_3_1_1__1_TotalAnnualMethaneFromManureManagementVariation(E$235,G208,E$240,0,0,0,0,0)</f>
        <v>4.1875831544402296E-3</v>
      </c>
      <c r="H260" s="55" cm="1">
        <f t="array" ref="H260">MMS_Dairy_Methane_Equations.VEERG_4_3_1_1__1_TotalAnnualMethaneFromManureManagementVariation(0,0,0,F$235,H208,F$240,F$245,F$250)</f>
        <v>0.14958826789550153</v>
      </c>
      <c r="I260" s="55" cm="1">
        <f t="array" ref="I260">MMS_Dairy_Methane_Equations.VEERG_4_3_1_1__1_TotalAnnualMethaneFromManureManagementVariation(G$235,I208,G$240,0,0,0,0,0)</f>
        <v>5.095304997265738E-3</v>
      </c>
      <c r="J260" s="55" cm="1">
        <f t="array" ref="J260">MMS_Dairy_Methane_Equations.VEERG_4_3_1_1__1_TotalAnnualMethaneFromManureManagementVariation(0,0,0,H$235,J208,H$240,H$245,H$250)</f>
        <v>0.17371280173202935</v>
      </c>
      <c r="O260" s="55" t="str">
        <f>'Input - Dairy'!$D$55</f>
        <v>Feed pad</v>
      </c>
      <c r="P260" s="55" t="str">
        <f>'Input - Dairy'!$D$106</f>
        <v>Sump and dispersal system</v>
      </c>
      <c r="Q260" s="55" cm="1">
        <f t="array" ref="Q260">MMS_Dairy_Methane_Equations.VEERG_4_3_1_1__1_TotalAnnualMethaneFromManureManagementVariation(D$235,Q208,O$240,0,0,0,0,0)</f>
        <v>5.3423607147901541E-3</v>
      </c>
      <c r="R260" s="55" cm="1">
        <f t="array" ref="R260">MMS_Dairy_Methane_Equations.VEERG_4_3_1_1__1_TotalAnnualMethaneFromManureManagementVariation(D$235,R208,P$240,0,0,0,0,0)</f>
        <v>4.1875831544402296E-3</v>
      </c>
      <c r="S260" s="55" cm="1">
        <f t="array" ref="S260">MMS_Dairy_Methane_Equations.VEERG_4_3_1_1__1_TotalAnnualMethaneFromManureManagementVariation(0,0,0,F$235,S208,Q$240,F$245,Q$250)</f>
        <v>0.14958826789550153</v>
      </c>
      <c r="T260" s="55" cm="1">
        <f t="array" ref="T260">MMS_Dairy_Methane_Equations.VEERG_4_3_1_1__1_TotalAnnualMethaneFromManureManagementVariation(F$235,T208,R$240,0,0,0,0,0)</f>
        <v>5.095304997265738E-3</v>
      </c>
      <c r="U260" s="55" cm="1">
        <f t="array" ref="U260">MMS_Dairy_Methane_Equations.VEERG_4_3_1_1__1_TotalAnnualMethaneFromManureManagementVariation(0,0,0,H$235,U208,S$240,H$245,S$250)</f>
        <v>0.17371280173202935</v>
      </c>
    </row>
    <row r="261" spans="4:21" ht="20.100000000000001" customHeight="1" x14ac:dyDescent="0.25">
      <c r="D261" s="55" t="str">
        <f>'Input - Dairy'!$D$55</f>
        <v>Feed pad</v>
      </c>
      <c r="E261" s="55" t="str">
        <f>'Input - Dairy'!$D$111</f>
        <v>Drains to paddock</v>
      </c>
      <c r="F261" s="55" cm="1">
        <f t="array" ref="F261">MMS_Dairy_Methane_Equations.VEERG_4_3_1_1__1_TotalAnnualMethaneFromManureManagementVariation(D$235,F209,D$240,0,0,0,0,0)</f>
        <v>0.19232498573244547</v>
      </c>
      <c r="G261" s="55" cm="1">
        <f t="array" ref="G261">MMS_Dairy_Methane_Equations.VEERG_4_3_1_1__1_TotalAnnualMethaneFromManureManagementVariation(E$235,G209,E$240,0,0,0,0,0)</f>
        <v>0.15075299355984828</v>
      </c>
      <c r="H261" s="55" cm="1">
        <f t="array" ref="H261">MMS_Dairy_Methane_Equations.VEERG_4_3_1_1__1_TotalAnnualMethaneFromManureManagementVariation(0,0,0,F$235,H209,F$240,F$245,F$250)</f>
        <v>0.21077764423805545</v>
      </c>
      <c r="I261" s="55" cm="1">
        <f t="array" ref="I261">MMS_Dairy_Methane_Equations.VEERG_4_3_1_1__1_TotalAnnualMethaneFromManureManagementVariation(G$235,I209,G$240,0,0,0,0,0)</f>
        <v>0.18343097990156659</v>
      </c>
      <c r="J261" s="55" cm="1">
        <f t="array" ref="J261">MMS_Dairy_Methane_Equations.VEERG_4_3_1_1__1_TotalAnnualMethaneFromManureManagementVariation(0,0,0,H$235,J209,H$240,H$245,H$250)</f>
        <v>0.25606086235305697</v>
      </c>
      <c r="O261" s="55" t="str">
        <f>'Input - Dairy'!$D$55</f>
        <v>Feed pad</v>
      </c>
      <c r="P261" s="55" t="str">
        <f>'Input - Dairy'!$D$111</f>
        <v>Drains to paddock</v>
      </c>
      <c r="Q261" s="55" cm="1">
        <f t="array" ref="Q261">MMS_Dairy_Methane_Equations.VEERG_4_3_1_1__1_TotalAnnualMethaneFromManureManagementVariation(D$235,Q209,O$240,0,0,0,0,0)</f>
        <v>0.19232498573244547</v>
      </c>
      <c r="R261" s="55" cm="1">
        <f t="array" ref="R261">MMS_Dairy_Methane_Equations.VEERG_4_3_1_1__1_TotalAnnualMethaneFromManureManagementVariation(D$235,R209,P$240,0,0,0,0,0)</f>
        <v>0.15075299355984828</v>
      </c>
      <c r="S261" s="55" cm="1">
        <f t="array" ref="S261">MMS_Dairy_Methane_Equations.VEERG_4_3_1_1__1_TotalAnnualMethaneFromManureManagementVariation(0,0,0,F$235,S209,Q$240,F$245,Q$250)</f>
        <v>0.21077764423805545</v>
      </c>
      <c r="T261" s="55" cm="1">
        <f t="array" ref="T261">MMS_Dairy_Methane_Equations.VEERG_4_3_1_1__1_TotalAnnualMethaneFromManureManagementVariation(F$235,T209,R$240,0,0,0,0,0)</f>
        <v>0.18343097990156659</v>
      </c>
      <c r="U261" s="55" cm="1">
        <f t="array" ref="U261">MMS_Dairy_Methane_Equations.VEERG_4_3_1_1__1_TotalAnnualMethaneFromManureManagementVariation(0,0,0,H$235,U209,S$240,H$245,S$250)</f>
        <v>0.25606086235305697</v>
      </c>
    </row>
    <row r="262" spans="4:21" ht="20.100000000000001" customHeight="1" x14ac:dyDescent="0.25">
      <c r="D262" s="55" t="str">
        <f>'Input - Dairy'!$D$55</f>
        <v>Feed pad</v>
      </c>
      <c r="E262" s="55" t="str">
        <f>'Input - Dairy'!$D$116</f>
        <v>Solid storage</v>
      </c>
      <c r="F262" s="55" cm="1">
        <f t="array" ref="F262">MMS_Dairy_Methane_Equations.VEERG_4_3_1_1__1_TotalAnnualMethaneFromManureManagementVariation(D$235,F210,D$240,0,0,0,0,0)</f>
        <v>3.7396525003531071E-2</v>
      </c>
      <c r="G262" s="55" cm="1">
        <f t="array" ref="G262">MMS_Dairy_Methane_Equations.VEERG_4_3_1_1__1_TotalAnnualMethaneFromManureManagementVariation(E$235,G210,E$240,0,0,0,0,0)</f>
        <v>2.9313082081081607E-2</v>
      </c>
      <c r="H262" s="55" cm="1">
        <f t="array" ref="H262">MMS_Dairy_Methane_Equations.VEERG_4_3_1_1__1_TotalAnnualMethaneFromManureManagementVariation(0,0,0,F$235,H210,F$240,F$245,F$250)</f>
        <v>0.16007787526851078</v>
      </c>
      <c r="I262" s="55" cm="1">
        <f t="array" ref="I262">MMS_Dairy_Methane_Equations.VEERG_4_3_1_1__1_TotalAnnualMethaneFromManureManagementVariation(G$235,I210,G$240,0,0,0,0,0)</f>
        <v>3.5667134980860167E-2</v>
      </c>
      <c r="J262" s="55" cm="1">
        <f t="array" ref="J262">MMS_Dairy_Methane_Equations.VEERG_4_3_1_1__1_TotalAnnualMethaneFromManureManagementVariation(0,0,0,H$235,J210,H$240,H$245,H$250)</f>
        <v>0.18782961212420554</v>
      </c>
      <c r="O262" s="55" t="str">
        <f>'Input - Dairy'!$D$55</f>
        <v>Feed pad</v>
      </c>
      <c r="P262" s="55" t="str">
        <f>'Input - Dairy'!$D$116</f>
        <v>Solid storage</v>
      </c>
      <c r="Q262" s="55" cm="1">
        <f t="array" ref="Q262">MMS_Dairy_Methane_Equations.VEERG_4_3_1_1__1_TotalAnnualMethaneFromManureManagementVariation(D$235,Q210,O$240,0,0,0,0,0)</f>
        <v>3.7396525003531071E-2</v>
      </c>
      <c r="R262" s="55" cm="1">
        <f t="array" ref="R262">MMS_Dairy_Methane_Equations.VEERG_4_3_1_1__1_TotalAnnualMethaneFromManureManagementVariation(D$235,R210,P$240,0,0,0,0,0)</f>
        <v>2.9313082081081607E-2</v>
      </c>
      <c r="S262" s="55" cm="1">
        <f t="array" ref="S262">MMS_Dairy_Methane_Equations.VEERG_4_3_1_1__1_TotalAnnualMethaneFromManureManagementVariation(0,0,0,F$235,S210,Q$240,F$245,Q$250)</f>
        <v>0.16007787526851078</v>
      </c>
      <c r="T262" s="55" cm="1">
        <f t="array" ref="T262">MMS_Dairy_Methane_Equations.VEERG_4_3_1_1__1_TotalAnnualMethaneFromManureManagementVariation(F$235,T210,R$240,0,0,0,0,0)</f>
        <v>3.5667134980860167E-2</v>
      </c>
      <c r="U262" s="55" cm="1">
        <f t="array" ref="U262">MMS_Dairy_Methane_Equations.VEERG_4_3_1_1__1_TotalAnnualMethaneFromManureManagementVariation(0,0,0,H$235,U210,S$240,H$245,S$250)</f>
        <v>0.18782961212420554</v>
      </c>
    </row>
    <row r="263" spans="4:21" ht="20.100000000000001" customHeight="1" x14ac:dyDescent="0.25"/>
    <row r="264" spans="4:21" ht="20.100000000000001" customHeight="1" x14ac:dyDescent="0.25">
      <c r="D264" s="108" t="s">
        <v>134</v>
      </c>
      <c r="E264" s="109">
        <f>SUM(F255:J262)</f>
        <v>8.1869605415711497</v>
      </c>
      <c r="F264" s="110" t="str">
        <f>$E$221</f>
        <v>t CH4</v>
      </c>
      <c r="O264" s="108" t="s">
        <v>134</v>
      </c>
      <c r="P264" s="109">
        <f>SUM(Q255:U262)</f>
        <v>8.0754442628988556</v>
      </c>
      <c r="Q264" s="110" t="str">
        <f>$E$221</f>
        <v>t CH4</v>
      </c>
    </row>
    <row r="265" spans="4:21" ht="20.100000000000001" customHeight="1" x14ac:dyDescent="0.25"/>
    <row r="266" spans="4:21" ht="20.100000000000001" customHeight="1" x14ac:dyDescent="0.25">
      <c r="D266" s="60" t="str" cm="1">
        <f t="array" ref="D266:E267">Common_Equations.Common_ConvertCH4ToCO2e_Arguments()</f>
        <v>ECH4</v>
      </c>
      <c r="E266" s="61" t="str">
        <v>Methane emissions (t CH4)</v>
      </c>
      <c r="F266" s="111"/>
      <c r="G266" s="55">
        <f>E264</f>
        <v>8.1869605415711497</v>
      </c>
      <c r="H266" s="2" t="s">
        <v>344</v>
      </c>
      <c r="O266" s="60" t="str" cm="1">
        <f t="array" ref="O266:P267">Common_Equations.Common_ConvertCH4ToCO2e_Arguments()</f>
        <v>ECH4</v>
      </c>
      <c r="P266" s="61" t="str">
        <v>Methane emissions (t CH4)</v>
      </c>
      <c r="Q266" s="111"/>
      <c r="R266" s="55">
        <f>P264</f>
        <v>8.0754442628988556</v>
      </c>
      <c r="S266" s="2" t="s">
        <v>344</v>
      </c>
    </row>
    <row r="267" spans="4:21" ht="20.100000000000001" customHeight="1" x14ac:dyDescent="0.25">
      <c r="D267" s="60" t="str">
        <v>GWPCH4</v>
      </c>
      <c r="E267" s="61" t="str">
        <v>Global warming potential for methane (t CO2-e / t CH4)</v>
      </c>
      <c r="F267" s="111"/>
      <c r="G267" s="55">
        <f>Common_InputFunctions.Utility_LookupValueInTableNumber("CH4",[1]!Table_GWPData182218221822182218[Gas],[1]!Table_GWPData182218221822182218[CO2-e factor])</f>
        <v>0</v>
      </c>
      <c r="O267" s="60" t="str">
        <v>GWPCH4</v>
      </c>
      <c r="P267" s="61" t="str">
        <v>Global warming potential for methane (t CO2-e / t CH4)</v>
      </c>
      <c r="Q267" s="111"/>
      <c r="R267" s="55">
        <f>Common_InputFunctions.Utility_LookupValueInTableNumber("CH4",[1]!Table_GWPData182218221822182218[Gas],[1]!Table_GWPData182218221822182218[CO2-e factor])</f>
        <v>0</v>
      </c>
    </row>
    <row r="268" spans="4:21" ht="20.100000000000001" customHeight="1" x14ac:dyDescent="0.25"/>
    <row r="269" spans="4:21" ht="20.100000000000001" customHeight="1" x14ac:dyDescent="0.25">
      <c r="D269" s="48" t="s">
        <v>135</v>
      </c>
      <c r="E269" s="48" cm="1">
        <f t="array" ref="E269">Common_Equations.Common_ConvertCH4ToCO2e(G266,G267)</f>
        <v>0</v>
      </c>
      <c r="F269" s="112" t="str" cm="1">
        <f t="array" ref="F269">Common_Equations.Common_ConvertN2OToCO2e_Unit()</f>
        <v>t CO2e</v>
      </c>
      <c r="O269" s="48" t="s">
        <v>135</v>
      </c>
      <c r="P269" s="48" cm="1">
        <f t="array" ref="P269">Common_Equations.Common_ConvertCH4ToCO2e(R266,R267)</f>
        <v>0</v>
      </c>
      <c r="Q269" s="112" t="str" cm="1">
        <f t="array" ref="Q269">Common_Equations.Common_ConvertN2OToCO2e_Unit()</f>
        <v>t CO2e</v>
      </c>
    </row>
    <row r="270" spans="4:21" ht="20.100000000000001" customHeight="1" x14ac:dyDescent="0.25"/>
    <row r="271" spans="4:21" ht="20.100000000000001" customHeight="1" x14ac:dyDescent="0.25"/>
  </sheetData>
  <dataValidations disablePrompts="1" count="1">
    <dataValidation operator="equal" allowBlank="1" showInputMessage="1" showErrorMessage="1" sqref="E116:G116 F132:F136 Q122:U126 D154:F154 P60:R60 E121:J121 F122:J126 E131:F131 Q132:Q136 P131:Q131 P121:U121 E141:J141 F142:J146 P141:U141 Q142:U146 E166:J166 F167:J167 E172:J172 F173:J173 Q173:U173 P166:U166 Q167:U167 P172:U172 E206 E203 E258 E255 P206 P203 P258 P255" xr:uid="{AF7BB680-B75F-4AE8-AA2D-EDF03FCB10D8}"/>
  </dataValidations>
  <pageMargins left="0.7" right="0.7" top="0.75" bottom="0.75" header="0.3" footer="0.3"/>
  <pageSetup paperSize="9" orientation="portrait" r:id="rId1"/>
  <ignoredErrors>
    <ignoredError sqref="H255 H256:H262 I255:I262 S255:S262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43"/>
  <sheetViews>
    <sheetView showGridLines="0" topLeftCell="A212" zoomScale="115" zoomScaleNormal="115" workbookViewId="0">
      <selection activeCell="G246" sqref="G24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71" t="e" vm="1">
        <v>#VALUE!</v>
      </c>
      <c r="C1" s="8" t="s">
        <v>355</v>
      </c>
    </row>
    <row r="2" spans="1:21" s="9" customFormat="1" ht="20.100000000000001" customHeight="1" x14ac:dyDescent="0.25"/>
    <row r="3" spans="1:21" ht="20.100000000000001" customHeight="1" x14ac:dyDescent="0.25">
      <c r="A3" s="17" t="str">
        <f>HYPERLINK("#'Home'!A1", "Home")</f>
        <v>Home</v>
      </c>
      <c r="C3" s="4"/>
      <c r="D3" s="4" t="s">
        <v>124</v>
      </c>
      <c r="E3" s="4"/>
      <c r="F3" s="4"/>
      <c r="G3" s="4"/>
      <c r="H3" s="4"/>
      <c r="I3" s="4"/>
      <c r="J3" s="4"/>
      <c r="K3" s="4"/>
      <c r="M3" s="4"/>
      <c r="N3" s="4" t="s">
        <v>125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MMS_Dairy_N2ODirect_Equations.VEERG_4_3_1_3__8_RelativeSize_Title()</f>
        <v>Relative size</v>
      </c>
    </row>
    <row r="6" spans="1:21" ht="20.100000000000001" customHeight="1" x14ac:dyDescent="0.25">
      <c r="A6" s="20" t="s">
        <v>3</v>
      </c>
      <c r="D6" s="5" t="str" cm="1">
        <f t="array" ref="D6">MMS_Dairy_N2ODirect_Equations.VEERG_4_3_1_3__8_RelativeSize_Source()</f>
        <v>VEERG 2026: 4.3.1.3, Equation (8)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Common_InputFunctions.Utility_DisplayFunctionName(D29)</f>
        <v>=MMS_Dairy_N2ODirect_Equations.VEERG_4_3_1_3__8_RelativeSize</v>
      </c>
    </row>
    <row r="8" spans="1:21" ht="20.100000000000001" customHeight="1" x14ac:dyDescent="0.25">
      <c r="A8" s="17" t="str">
        <f>HYPERLINK("#'Input - Feedlot'!A1", "Feedlot")</f>
        <v>Feedlot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77</v>
      </c>
      <c r="D10" s="56" t="s">
        <v>30</v>
      </c>
      <c r="E10" s="1" t="str" cm="1">
        <f t="array" ref="E10">MMS_Dairy_N2ODirect_Equations.VEERG_4_3_1_3__8_RelativeSize_Variable()</f>
        <v>Z_j</v>
      </c>
    </row>
    <row r="11" spans="1:21" ht="20.100000000000001" customHeight="1" x14ac:dyDescent="0.25">
      <c r="A11" s="17" t="str">
        <f>HYPERLINK("#'4.1.1.1-2 Methane'!A1", "4.1.1.1-2 Methane")</f>
        <v>4.1.1.1-2 Methane</v>
      </c>
      <c r="D11" s="56" t="s">
        <v>20</v>
      </c>
      <c r="E11" s="57" t="str" cm="1">
        <f t="array" ref="E11">MMS_Dairy_N2ODirect_Equations.VEERG_4_3_1_3__8_RelativeSize_Unit()</f>
        <v>ratio</v>
      </c>
    </row>
    <row r="12" spans="1:21" ht="20.100000000000001" customHeight="1" x14ac:dyDescent="0.25">
      <c r="A12" s="22" t="str">
        <f>HYPERLINK("#'4.1.1.3-4 Direct N20'!A1", "4.1.1.3-4 Direct N2O")</f>
        <v>4.1.1.3-4 Direct N2O</v>
      </c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4">MMS_Dairy_N2ODirect_Equations.VEERG_4_3_1_3__8_RelativeSize_Arguments()</f>
        <v>W_j</v>
      </c>
      <c r="E13" s="60" t="str">
        <v>liveweight (kg)</v>
      </c>
      <c r="F13" s="60" t="str">
        <f>"See " &amp; D16</f>
        <v>See M1_Table_W_j</v>
      </c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WR_j</v>
      </c>
      <c r="E14" s="60" t="str">
        <v>reference weight (kg)</v>
      </c>
      <c r="F14" s="60" t="str">
        <f>"See " &amp; D21</f>
        <v>See Table_WR_j</v>
      </c>
    </row>
    <row r="15" spans="1:21" ht="20.100000000000001" customHeight="1" x14ac:dyDescent="0.25"/>
    <row r="16" spans="1:21" ht="20.100000000000001" customHeight="1" x14ac:dyDescent="0.25">
      <c r="A16" s="18" t="s">
        <v>4</v>
      </c>
      <c r="D16" s="104" t="s">
        <v>287</v>
      </c>
      <c r="N16" s="104" t="s">
        <v>289</v>
      </c>
    </row>
    <row r="17" spans="1:21" ht="20.100000000000001" customHeight="1" x14ac:dyDescent="0.25">
      <c r="A17" s="17" t="str">
        <f>HYPERLINK("#'Constants - Feedlot'!A1", "Constants - Feedlot")</f>
        <v>Constants - Feedlot</v>
      </c>
      <c r="D17" s="103" t="s">
        <v>288</v>
      </c>
      <c r="N17" s="103" t="s">
        <v>290</v>
      </c>
    </row>
    <row r="18" spans="1:21" ht="20.100000000000001" customHeight="1" x14ac:dyDescent="0.25">
      <c r="A18" s="17" t="str">
        <f>HYPERLINK("#'Constants - Livestock'!A1", "Constants - Livestock")</f>
        <v>Constants - Livestock</v>
      </c>
      <c r="D18" s="54" t="s">
        <v>234</v>
      </c>
      <c r="E18" s="54" t="s">
        <v>251</v>
      </c>
      <c r="F18" s="54" t="s">
        <v>252</v>
      </c>
      <c r="G18" s="54" t="s">
        <v>253</v>
      </c>
      <c r="H18" s="54" t="s">
        <v>254</v>
      </c>
      <c r="N18" s="54" t="s">
        <v>234</v>
      </c>
      <c r="O18" s="54" t="s">
        <v>251</v>
      </c>
      <c r="P18" s="54" t="s">
        <v>252</v>
      </c>
      <c r="Q18" s="54" t="s">
        <v>253</v>
      </c>
      <c r="R18" s="54" t="s">
        <v>254</v>
      </c>
    </row>
    <row r="19" spans="1:21" ht="20.100000000000001" customHeight="1" x14ac:dyDescent="0.25">
      <c r="A19" s="17" t="str">
        <f>HYPERLINK("#'Constants - Common'!A1", "Constants - Common")</f>
        <v>Constants - Common</v>
      </c>
      <c r="D19" s="55">
        <f>'Input - Dairy'!$E$14</f>
        <v>550</v>
      </c>
      <c r="E19" s="55">
        <f>'Input - Dairy'!$F$14</f>
        <v>380</v>
      </c>
      <c r="F19" s="55">
        <f>'Input - Dairy'!$G$14</f>
        <v>155</v>
      </c>
      <c r="G19" s="55">
        <f>'Input - Dairy'!$H$14</f>
        <v>600</v>
      </c>
      <c r="H19" s="55">
        <f>'Input - Dairy'!$I$14</f>
        <v>225</v>
      </c>
      <c r="I19" s="2" t="s">
        <v>256</v>
      </c>
      <c r="N19" s="55">
        <f>'Input - Dairy'!$E$18</f>
        <v>550</v>
      </c>
      <c r="O19" s="55">
        <f>'Input - Dairy'!$F$18</f>
        <v>380</v>
      </c>
      <c r="P19" s="55">
        <f>'Input - Dairy'!$G$18</f>
        <v>155</v>
      </c>
      <c r="Q19" s="55">
        <f>'Input - Dairy'!$H$18</f>
        <v>600</v>
      </c>
      <c r="R19" s="55">
        <f>'Input - Dairy'!$I$18</f>
        <v>225</v>
      </c>
      <c r="S19" s="2" t="s">
        <v>256</v>
      </c>
    </row>
    <row r="20" spans="1:21" ht="20.100000000000001" customHeight="1" x14ac:dyDescent="0.25">
      <c r="A20" s="17" t="str">
        <f>HYPERLINK("#'Acknowledgements'!A1", "Acknowledgements")</f>
        <v>Acknowledgements</v>
      </c>
    </row>
    <row r="21" spans="1:21" ht="20.100000000000001" customHeight="1" x14ac:dyDescent="0.25">
      <c r="D21" s="104" t="s">
        <v>357</v>
      </c>
    </row>
    <row r="22" spans="1:21" ht="20.100000000000001" customHeight="1" x14ac:dyDescent="0.25">
      <c r="D22" s="103" t="s">
        <v>358</v>
      </c>
    </row>
    <row r="23" spans="1:21" ht="20.100000000000001" customHeight="1" x14ac:dyDescent="0.25">
      <c r="D23" s="54" t="s">
        <v>234</v>
      </c>
      <c r="E23" s="54" t="s">
        <v>251</v>
      </c>
      <c r="F23" s="54" t="s">
        <v>252</v>
      </c>
      <c r="G23" s="54" t="s">
        <v>253</v>
      </c>
      <c r="H23" s="54" t="s">
        <v>254</v>
      </c>
    </row>
    <row r="24" spans="1:21" ht="20.100000000000001" customHeight="1" x14ac:dyDescent="0.25">
      <c r="D24" s="55" cm="1">
        <f t="array" ref="D24">Table_SourceData_Dairy_WRj[Milking cows]</f>
        <v>590</v>
      </c>
      <c r="E24" s="55" cm="1">
        <f t="array" ref="E24">Table_SourceData_Dairy_WRj[Heifers &gt; 1]</f>
        <v>590</v>
      </c>
      <c r="F24" s="55" cm="1">
        <f t="array" ref="F24">Table_SourceData_Dairy_WRj[Heifers &lt; 1 (weaned)]</f>
        <v>590</v>
      </c>
      <c r="G24" s="55" cm="1">
        <f t="array" ref="G24">Table_SourceData_Dairy_WRj[Bulls &gt; 1]</f>
        <v>770</v>
      </c>
      <c r="H24" s="55" cm="1">
        <f t="array" ref="H24">Table_SourceData_Dairy_WRj[Bulls &lt; 1 (weaned)]</f>
        <v>770</v>
      </c>
      <c r="I24" s="2" t="s">
        <v>256</v>
      </c>
    </row>
    <row r="25" spans="1:21" ht="20.100000000000001" customHeight="1" x14ac:dyDescent="0.25"/>
    <row r="26" spans="1:21" ht="20.100000000000001" customHeight="1" x14ac:dyDescent="0.25">
      <c r="D26" s="104" t="s">
        <v>359</v>
      </c>
      <c r="N26" s="104" t="s">
        <v>359</v>
      </c>
    </row>
    <row r="27" spans="1:21" ht="20.100000000000001" customHeight="1" x14ac:dyDescent="0.25">
      <c r="D27" s="103" t="s">
        <v>360</v>
      </c>
      <c r="N27" s="103" t="s">
        <v>360</v>
      </c>
    </row>
    <row r="28" spans="1:21" ht="20.100000000000001" customHeight="1" x14ac:dyDescent="0.25">
      <c r="D28" s="54" t="s">
        <v>234</v>
      </c>
      <c r="E28" s="54" t="s">
        <v>251</v>
      </c>
      <c r="F28" s="54" t="s">
        <v>252</v>
      </c>
      <c r="G28" s="54" t="s">
        <v>253</v>
      </c>
      <c r="H28" s="54" t="s">
        <v>254</v>
      </c>
      <c r="N28" s="54" t="s">
        <v>234</v>
      </c>
      <c r="O28" s="54" t="s">
        <v>251</v>
      </c>
      <c r="P28" s="54" t="s">
        <v>252</v>
      </c>
      <c r="Q28" s="54" t="s">
        <v>253</v>
      </c>
      <c r="R28" s="54" t="s">
        <v>254</v>
      </c>
    </row>
    <row r="29" spans="1:21" ht="20.100000000000001" customHeight="1" x14ac:dyDescent="0.25">
      <c r="D29" s="55" cm="1">
        <f t="array" ref="D29">MMS_Dairy_N2ODirect_Equations.VEERG_4_3_1_3__8_RelativeSize(D19,D24)</f>
        <v>0.93220338983050843</v>
      </c>
      <c r="E29" s="55" cm="1">
        <f t="array" ref="E29">MMS_Dairy_N2ODirect_Equations.VEERG_4_3_1_3__8_RelativeSize(E19,E24)</f>
        <v>0.64406779661016944</v>
      </c>
      <c r="F29" s="55" cm="1">
        <f t="array" ref="F29">MMS_Dairy_N2ODirect_Equations.VEERG_4_3_1_3__8_RelativeSize(F19,F24)</f>
        <v>0.26271186440677968</v>
      </c>
      <c r="G29" s="55" cm="1">
        <f t="array" ref="G29">MMS_Dairy_N2ODirect_Equations.VEERG_4_3_1_3__8_RelativeSize(G19,G24)</f>
        <v>0.77922077922077926</v>
      </c>
      <c r="H29" s="55" cm="1">
        <f t="array" ref="H29">MMS_Dairy_N2ODirect_Equations.VEERG_4_3_1_3__8_RelativeSize(H19,H24)</f>
        <v>0.29220779220779219</v>
      </c>
      <c r="I29" s="2" t="str">
        <f>$E$11</f>
        <v>ratio</v>
      </c>
      <c r="N29" s="55" cm="1">
        <f t="array" ref="N29">MMS_Dairy_N2ODirect_Equations.VEERG_4_3_1_3__8_RelativeSize(N19,D24)</f>
        <v>0.93220338983050843</v>
      </c>
      <c r="O29" s="55" cm="1">
        <f t="array" ref="O29">MMS_Dairy_N2ODirect_Equations.VEERG_4_3_1_3__8_RelativeSize(O19,E24)</f>
        <v>0.64406779661016944</v>
      </c>
      <c r="P29" s="55" cm="1">
        <f t="array" ref="P29">MMS_Dairy_N2ODirect_Equations.VEERG_4_3_1_3__8_RelativeSize(P19,F24)</f>
        <v>0.26271186440677968</v>
      </c>
      <c r="Q29" s="55" cm="1">
        <f t="array" ref="Q29">MMS_Dairy_N2ODirect_Equations.VEERG_4_3_1_3__8_RelativeSize(Q19,G24)</f>
        <v>0.77922077922077926</v>
      </c>
      <c r="R29" s="55" cm="1">
        <f t="array" ref="R29">MMS_Dairy_N2ODirect_Equations.VEERG_4_3_1_3__8_RelativeSize(R19,H24)</f>
        <v>0.29220779220779219</v>
      </c>
      <c r="S29" s="2" t="str">
        <f>$E$11</f>
        <v>ratio</v>
      </c>
    </row>
    <row r="30" spans="1:21" ht="20.100000000000001" customHeight="1" x14ac:dyDescent="0.25"/>
    <row r="31" spans="1:21" ht="20.100000000000001" customHeight="1" x14ac:dyDescent="0.25"/>
    <row r="32" spans="1:21" ht="20.100000000000001" customHeight="1" x14ac:dyDescent="0.25">
      <c r="C32" s="48"/>
      <c r="D32" s="48"/>
      <c r="E32" s="48"/>
      <c r="F32" s="48"/>
      <c r="G32" s="48"/>
      <c r="H32" s="48"/>
      <c r="I32" s="48"/>
      <c r="J32" s="48"/>
      <c r="K32" s="48"/>
      <c r="M32" s="48"/>
      <c r="N32" s="48"/>
      <c r="O32" s="48"/>
      <c r="P32" s="48"/>
      <c r="Q32" s="48"/>
      <c r="R32" s="48"/>
      <c r="S32" s="48"/>
      <c r="T32" s="48"/>
      <c r="U32" s="48"/>
    </row>
    <row r="33" spans="4:14" ht="20.100000000000001" customHeight="1" x14ac:dyDescent="0.25">
      <c r="D33" s="6" t="str" cm="1">
        <f t="array" ref="D33">MMS_Dairy_N2ODirect_Equations.VEERG_4_3_1_3__7_IntakeRelativeToMaintenance_Title()</f>
        <v>Intake relative to maintenance</v>
      </c>
    </row>
    <row r="34" spans="4:14" ht="20.100000000000001" customHeight="1" x14ac:dyDescent="0.25">
      <c r="D34" s="5" t="str" cm="1">
        <f t="array" ref="D34">MMS_Dairy_N2ODirect_Equations.VEERG_4_3_1_3__7_IntakeRelativeToMaintenance_Source()</f>
        <v>VEERG 2026: 4.3.1.3, Equation (7)</v>
      </c>
    </row>
    <row r="35" spans="4:14" ht="20.100000000000001" customHeight="1" x14ac:dyDescent="0.25">
      <c r="D35" s="13" t="s">
        <v>27</v>
      </c>
      <c r="E35" s="13" t="str" cm="1">
        <f t="array" aca="1" ref="E35" ca="1">Common_InputFunctions.Utility_DisplayFunctionName(D65)</f>
        <v>=MMS_Dairy_N2ODirect_Equations.VEERG_4_3_1_3__7_IntakeRelativeToMaintenance</v>
      </c>
    </row>
    <row r="36" spans="4:14" ht="20.100000000000001" customHeight="1" x14ac:dyDescent="0.25"/>
    <row r="37" spans="4:14" ht="20.100000000000001" customHeight="1" x14ac:dyDescent="0.25">
      <c r="D37" s="6"/>
      <c r="F37" s="6"/>
    </row>
    <row r="38" spans="4:14" ht="20.100000000000001" customHeight="1" x14ac:dyDescent="0.25"/>
    <row r="39" spans="4:14" ht="20.100000000000001" customHeight="1" x14ac:dyDescent="0.25">
      <c r="D39" s="56" t="s">
        <v>30</v>
      </c>
      <c r="E39" s="1" t="str" cm="1">
        <f t="array" ref="E39">MMS_Dairy_N2ODirect_Equations.VEERG_4_3_1_3__7_IntakeRelativeToMaintenance_Variable()</f>
        <v>L_j</v>
      </c>
    </row>
    <row r="40" spans="4:14" ht="20.100000000000001" customHeight="1" x14ac:dyDescent="0.25">
      <c r="D40" s="56" t="s">
        <v>20</v>
      </c>
      <c r="E40" s="57" t="str" cm="1">
        <f t="array" ref="E40">MMS_Dairy_N2ODirect_Equations.VEERG_4_3_1_3__7_IntakeRelativeToMaintenance_Unit()</f>
        <v>ratio</v>
      </c>
    </row>
    <row r="41" spans="4:14" ht="20.100000000000001" customHeight="1" x14ac:dyDescent="0.25"/>
    <row r="42" spans="4:14" ht="20.100000000000001" customHeight="1" x14ac:dyDescent="0.25">
      <c r="D42" s="60" t="str" cm="1">
        <f t="array" ref="D42:E45">MMS_Dairy_N2ODirect_Equations.VEERG_4_3_1_3__7_IntakeRelativeToMaintenance_Arguments()</f>
        <v>I_j</v>
      </c>
      <c r="E42" s="61" t="str">
        <v>dry matter intake (kgDM/head/day)</v>
      </c>
      <c r="F42" s="62"/>
      <c r="G42" s="60" t="str">
        <f>"See " &amp; D47</f>
        <v>See M1_Table_I_j</v>
      </c>
    </row>
    <row r="43" spans="4:14" ht="20.100000000000001" customHeight="1" x14ac:dyDescent="0.25">
      <c r="D43" s="60" t="str">
        <v>W_j</v>
      </c>
      <c r="E43" s="61" t="str">
        <v>liveweight (kg)</v>
      </c>
      <c r="F43" s="62"/>
      <c r="G43" s="60" t="str">
        <f>"See " &amp; D16</f>
        <v>See M1_Table_W_j</v>
      </c>
    </row>
    <row r="44" spans="4:14" ht="20.100000000000001" customHeight="1" x14ac:dyDescent="0.25">
      <c r="D44" s="60" t="str">
        <v>MR_j</v>
      </c>
      <c r="E44" s="61" t="str">
        <v>increase in metabolic rate when producing milk</v>
      </c>
      <c r="F44" s="62"/>
      <c r="G44" s="60" t="str">
        <f>"See " &amp; D52</f>
        <v>See Table_MR_j</v>
      </c>
    </row>
    <row r="45" spans="4:14" ht="20.100000000000001" customHeight="1" x14ac:dyDescent="0.25">
      <c r="D45" s="60" t="str">
        <v>MI_j</v>
      </c>
      <c r="E45" s="61" t="str">
        <v>additional intake required for milk production (kgDM/head/day)</v>
      </c>
      <c r="F45" s="62"/>
      <c r="G45" s="60" t="str">
        <f>"See " &amp; D57</f>
        <v>See M1_Table_MI_j</v>
      </c>
    </row>
    <row r="46" spans="4:14" ht="20.100000000000001" customHeight="1" x14ac:dyDescent="0.25"/>
    <row r="47" spans="4:14" ht="20.100000000000001" customHeight="1" x14ac:dyDescent="0.25">
      <c r="D47" s="104" t="s">
        <v>117</v>
      </c>
      <c r="N47" s="104" t="s">
        <v>119</v>
      </c>
    </row>
    <row r="48" spans="4:14" ht="20.100000000000001" customHeight="1" x14ac:dyDescent="0.25">
      <c r="D48" s="103" t="s">
        <v>310</v>
      </c>
      <c r="N48" s="103" t="s">
        <v>309</v>
      </c>
    </row>
    <row r="49" spans="4:19" ht="20.100000000000001" customHeight="1" x14ac:dyDescent="0.25">
      <c r="D49" s="54" t="s">
        <v>234</v>
      </c>
      <c r="E49" s="54" t="s">
        <v>251</v>
      </c>
      <c r="F49" s="54" t="s">
        <v>252</v>
      </c>
      <c r="G49" s="54" t="s">
        <v>253</v>
      </c>
      <c r="H49" s="54" t="s">
        <v>254</v>
      </c>
      <c r="N49" s="54" t="s">
        <v>234</v>
      </c>
      <c r="O49" s="54" t="s">
        <v>251</v>
      </c>
      <c r="P49" s="54" t="s">
        <v>252</v>
      </c>
      <c r="Q49" s="54" t="s">
        <v>253</v>
      </c>
      <c r="R49" s="54" t="s">
        <v>254</v>
      </c>
    </row>
    <row r="50" spans="4:19" ht="20.100000000000001" customHeight="1" x14ac:dyDescent="0.25">
      <c r="D50" s="55">
        <f>'4.3.1.1-2 Methane'!D84</f>
        <v>9.4647127858085369</v>
      </c>
      <c r="E50" s="55">
        <f>'4.3.1.1-2 Methane'!E84</f>
        <v>7.4188685375999972</v>
      </c>
      <c r="F50" s="55">
        <f>'4.3.1.1-2 Methane'!F84</f>
        <v>4.0231734662249998</v>
      </c>
      <c r="G50" s="55">
        <f>'4.3.1.1-2 Methane'!G84</f>
        <v>9.0270202499999979</v>
      </c>
      <c r="H50" s="55">
        <f>'4.3.1.1-2 Methane'!H84</f>
        <v>5.4143472656250013</v>
      </c>
      <c r="I50" s="2" t="str">
        <f>'4.3.1.1-2 Methane'!I84</f>
        <v>kg DM/head/day</v>
      </c>
      <c r="N50" s="55">
        <f>'4.3.1.1-2 Methane'!O84</f>
        <v>9.4647127858085369</v>
      </c>
      <c r="O50" s="55">
        <f>'4.3.1.1-2 Methane'!P84</f>
        <v>7.4188685375999972</v>
      </c>
      <c r="P50" s="55">
        <f>'4.3.1.1-2 Methane'!Q84</f>
        <v>4.0231734662249998</v>
      </c>
      <c r="Q50" s="55">
        <f>'4.3.1.1-2 Methane'!R84</f>
        <v>9.0270202499999979</v>
      </c>
      <c r="R50" s="55">
        <f>'4.3.1.1-2 Methane'!S84</f>
        <v>5.4143472656250013</v>
      </c>
      <c r="S50" s="2" t="str">
        <f>'4.3.1.1-2 Methane'!T84</f>
        <v>kg DM/head/day</v>
      </c>
    </row>
    <row r="51" spans="4:19" ht="20.100000000000001" customHeight="1" x14ac:dyDescent="0.25"/>
    <row r="52" spans="4:19" ht="20.100000000000001" customHeight="1" x14ac:dyDescent="0.25">
      <c r="D52" s="104" t="s">
        <v>295</v>
      </c>
    </row>
    <row r="53" spans="4:19" ht="20.100000000000001" customHeight="1" x14ac:dyDescent="0.25">
      <c r="D53" s="103" t="s">
        <v>296</v>
      </c>
    </row>
    <row r="54" spans="4:19" ht="20.100000000000001" customHeight="1" x14ac:dyDescent="0.25">
      <c r="D54" s="54" t="s">
        <v>234</v>
      </c>
      <c r="E54" s="54" t="s">
        <v>251</v>
      </c>
      <c r="F54" s="54" t="s">
        <v>252</v>
      </c>
      <c r="G54" s="54" t="s">
        <v>253</v>
      </c>
      <c r="H54" s="54" t="s">
        <v>254</v>
      </c>
    </row>
    <row r="55" spans="4:19" ht="20.100000000000001" customHeight="1" x14ac:dyDescent="0.25">
      <c r="D55" s="55">
        <f>'Constants - Dairy'!$E$108</f>
        <v>1.1000000000000001</v>
      </c>
      <c r="E55" s="55">
        <f>'Constants - Dairy'!$E$109</f>
        <v>1</v>
      </c>
      <c r="F55" s="55">
        <f>'Constants - Dairy'!$E$109</f>
        <v>1</v>
      </c>
      <c r="G55" s="55">
        <f>'Constants - Dairy'!$E$109</f>
        <v>1</v>
      </c>
      <c r="H55" s="55">
        <f>'Constants - Dairy'!$E$109</f>
        <v>1</v>
      </c>
      <c r="I55" s="2" t="s">
        <v>100</v>
      </c>
    </row>
    <row r="56" spans="4:19" ht="20.100000000000001" customHeight="1" x14ac:dyDescent="0.25"/>
    <row r="57" spans="4:19" ht="20.100000000000001" customHeight="1" x14ac:dyDescent="0.25">
      <c r="D57" s="104" t="s">
        <v>302</v>
      </c>
    </row>
    <row r="58" spans="4:19" ht="20.100000000000001" customHeight="1" x14ac:dyDescent="0.25">
      <c r="D58" s="103" t="s">
        <v>303</v>
      </c>
    </row>
    <row r="59" spans="4:19" ht="20.100000000000001" customHeight="1" x14ac:dyDescent="0.25">
      <c r="D59" s="54" t="s">
        <v>234</v>
      </c>
      <c r="E59" s="54" t="s">
        <v>251</v>
      </c>
      <c r="F59" s="54" t="s">
        <v>252</v>
      </c>
      <c r="G59" s="54" t="s">
        <v>253</v>
      </c>
      <c r="H59" s="54" t="s">
        <v>254</v>
      </c>
    </row>
    <row r="60" spans="4:19" ht="20.100000000000001" customHeight="1" x14ac:dyDescent="0.25">
      <c r="D60" s="55">
        <f>'4.3.1.1-2 Methane'!D49</f>
        <v>0.21026726504853488</v>
      </c>
      <c r="E60" s="55">
        <f>'4.3.1.1-2 Methane'!E49</f>
        <v>0</v>
      </c>
      <c r="F60" s="55">
        <f>'4.3.1.1-2 Methane'!F49</f>
        <v>0</v>
      </c>
      <c r="G60" s="55">
        <f>'4.3.1.1-2 Methane'!G49</f>
        <v>0</v>
      </c>
      <c r="H60" s="55">
        <f>'4.3.1.1-2 Methane'!H49</f>
        <v>0</v>
      </c>
      <c r="I60" s="2" t="str">
        <f>'4.3.1.1-2 Methane'!I49</f>
        <v>kg DM/head/day</v>
      </c>
    </row>
    <row r="61" spans="4:19" ht="20.100000000000001" customHeight="1" x14ac:dyDescent="0.25"/>
    <row r="62" spans="4:19" ht="20.100000000000001" customHeight="1" x14ac:dyDescent="0.25">
      <c r="D62" s="104" t="s">
        <v>361</v>
      </c>
      <c r="N62" s="104" t="s">
        <v>363</v>
      </c>
    </row>
    <row r="63" spans="4:19" ht="20.100000000000001" customHeight="1" x14ac:dyDescent="0.25">
      <c r="D63" s="103" t="s">
        <v>362</v>
      </c>
      <c r="N63" s="103" t="s">
        <v>364</v>
      </c>
    </row>
    <row r="64" spans="4:19" ht="20.100000000000001" customHeight="1" x14ac:dyDescent="0.25">
      <c r="D64" s="54" t="s">
        <v>234</v>
      </c>
      <c r="E64" s="54" t="s">
        <v>251</v>
      </c>
      <c r="F64" s="54" t="s">
        <v>252</v>
      </c>
      <c r="G64" s="54" t="s">
        <v>253</v>
      </c>
      <c r="H64" s="54" t="s">
        <v>254</v>
      </c>
      <c r="N64" s="54" t="s">
        <v>234</v>
      </c>
      <c r="O64" s="54" t="s">
        <v>251</v>
      </c>
      <c r="P64" s="54" t="s">
        <v>252</v>
      </c>
      <c r="Q64" s="54" t="s">
        <v>253</v>
      </c>
      <c r="R64" s="54" t="s">
        <v>254</v>
      </c>
    </row>
    <row r="65" spans="3:21" ht="20.100000000000001" customHeight="1" x14ac:dyDescent="0.25">
      <c r="D65" s="55" cm="1">
        <f t="array" ref="D65">MMS_Dairy_N2ODirect_Equations.VEERG_4_3_1_3__7_IntakeRelativeToMaintenance(D50,D19,D55,D60)</f>
        <v>1.0034066233551036</v>
      </c>
      <c r="E65" s="55" cm="1">
        <f t="array" ref="E65">MMS_Dairy_N2ODirect_Equations.VEERG_4_3_1_3__7_IntakeRelativeToMaintenance(E50,E19,E55,E60)</f>
        <v>1.1546862260954116</v>
      </c>
      <c r="F65" s="55" cm="1">
        <f t="array" ref="F65">MMS_Dairy_N2ODirect_Equations.VEERG_4_3_1_3__7_IntakeRelativeToMaintenance(F50,F19,F55,F60)</f>
        <v>1.206300296845944</v>
      </c>
      <c r="G65" s="55" cm="1">
        <f t="array" ref="G65">MMS_Dairy_N2ODirect_Equations.VEERG_4_3_1_3__7_IntakeRelativeToMaintenance(G50,G19,G55,G60)</f>
        <v>1.0213029780639273</v>
      </c>
      <c r="H65" s="55" cm="1">
        <f t="array" ref="H65">MMS_Dairy_N2ODirect_Equations.VEERG_4_3_1_3__7_IntakeRelativeToMaintenance(H50,H19,H55,H60)</f>
        <v>1.2576570545672616</v>
      </c>
      <c r="I65" s="2" t="str">
        <f>$E$40</f>
        <v>ratio</v>
      </c>
      <c r="N65" s="55" cm="1">
        <f t="array" ref="N65">MMS_Dairy_N2ODirect_Equations.VEERG_4_3_1_3__7_IntakeRelativeToMaintenance(N50,N19,D55,D60)</f>
        <v>1.0034066233551036</v>
      </c>
      <c r="O65" s="55" cm="1">
        <f t="array" ref="O65">MMS_Dairy_N2ODirect_Equations.VEERG_4_3_1_3__7_IntakeRelativeToMaintenance(O50,O19,E55,E60)</f>
        <v>1.1546862260954116</v>
      </c>
      <c r="P65" s="55" cm="1">
        <f t="array" ref="P65">MMS_Dairy_N2ODirect_Equations.VEERG_4_3_1_3__7_IntakeRelativeToMaintenance(P50,P19,F55,F60)</f>
        <v>1.206300296845944</v>
      </c>
      <c r="Q65" s="55" cm="1">
        <f t="array" ref="Q65">MMS_Dairy_N2ODirect_Equations.VEERG_4_3_1_3__7_IntakeRelativeToMaintenance(Q50,Q19,G55,G60)</f>
        <v>1.0213029780639273</v>
      </c>
      <c r="R65" s="55" cm="1">
        <f t="array" ref="R65">MMS_Dairy_N2ODirect_Equations.VEERG_4_3_1_3__7_IntakeRelativeToMaintenance(R50,R19,H55,H60)</f>
        <v>1.2576570545672616</v>
      </c>
      <c r="S65" s="2" t="str">
        <f>$E$40</f>
        <v>ratio</v>
      </c>
    </row>
    <row r="66" spans="3:21" ht="20.100000000000001" customHeight="1" x14ac:dyDescent="0.25"/>
    <row r="67" spans="3:21" ht="20.100000000000001" customHeight="1" x14ac:dyDescent="0.25"/>
    <row r="68" spans="3:21" ht="20.100000000000001" customHeight="1" x14ac:dyDescent="0.25">
      <c r="C68" s="48"/>
      <c r="D68" s="48"/>
      <c r="E68" s="48"/>
      <c r="F68" s="48"/>
      <c r="G68" s="48"/>
      <c r="H68" s="48"/>
      <c r="I68" s="48"/>
      <c r="J68" s="48"/>
      <c r="K68" s="48"/>
      <c r="M68" s="48"/>
      <c r="N68" s="48"/>
      <c r="O68" s="48"/>
      <c r="P68" s="48"/>
      <c r="Q68" s="48"/>
      <c r="R68" s="48"/>
      <c r="S68" s="48"/>
      <c r="T68" s="48"/>
      <c r="U68" s="48"/>
    </row>
    <row r="69" spans="3:21" ht="20.100000000000001" customHeight="1" x14ac:dyDescent="0.25">
      <c r="D69" s="6" t="str" cm="1">
        <f t="array" ref="D69">MMS_Dairy_N2ODirect_Equations.VEERG_4_3_1_3__6_NitrogenRetainedByBody_Title()</f>
        <v>Amount of nitrogen retained by the body</v>
      </c>
    </row>
    <row r="70" spans="3:21" ht="20.100000000000001" customHeight="1" x14ac:dyDescent="0.25">
      <c r="D70" s="5" t="str" cm="1">
        <f t="array" ref="D70">MMS_Dairy_N2ODirect_Equations.VEERG_4_3_1_3__6_NitrogenRetainedByBody_Source()</f>
        <v>VEERG 2026: 4.3.1.3, Equation (6)</v>
      </c>
    </row>
    <row r="71" spans="3:21" ht="20.100000000000001" customHeight="1" x14ac:dyDescent="0.25">
      <c r="D71" s="13" t="s">
        <v>27</v>
      </c>
      <c r="E71" s="13" t="str" cm="1">
        <f t="array" aca="1" ref="E71" ca="1">Common_InputFunctions.Utility_DisplayFunctionName(D96)</f>
        <v>=MMS_Dairy_N2ODirect_Equations.VEERG_4_3_1_3__6_NitrogenRetainedByBody</v>
      </c>
    </row>
    <row r="72" spans="3:21" ht="20.100000000000001" customHeight="1" x14ac:dyDescent="0.25"/>
    <row r="73" spans="3:21" ht="20.100000000000001" customHeight="1" x14ac:dyDescent="0.25"/>
    <row r="74" spans="3:21" ht="20.100000000000001" customHeight="1" x14ac:dyDescent="0.25"/>
    <row r="75" spans="3:21" ht="20.100000000000001" customHeight="1" x14ac:dyDescent="0.25">
      <c r="D75" s="56" t="s">
        <v>30</v>
      </c>
      <c r="E75" s="1" t="str" cm="1">
        <f t="array" ref="E75">MMS_Dairy_N2ODirect_Equations.VEERG_4_3_1_3__6_NitrogenRetainedByBody_Variable()</f>
        <v>NR_j</v>
      </c>
    </row>
    <row r="76" spans="3:21" ht="20.100000000000001" customHeight="1" x14ac:dyDescent="0.25">
      <c r="D76" s="56" t="s">
        <v>20</v>
      </c>
      <c r="E76" s="57" t="str" cm="1">
        <f t="array" ref="E76">MMS_Dairy_N2ODirect_Equations.VEERG_4_3_1_3__6_NitrogenRetainedByBody_Unit()</f>
        <v>kg N/head/day</v>
      </c>
    </row>
    <row r="77" spans="3:21" ht="20.100000000000001" customHeight="1" x14ac:dyDescent="0.25"/>
    <row r="78" spans="3:21" ht="20.100000000000001" customHeight="1" x14ac:dyDescent="0.25">
      <c r="D78" s="115" t="str" cm="1">
        <f t="array" ref="D78:E81">MMS_Dairy_N2ODirect_Equations.VEERG_4_3_1_3__6_NitrogenRetainedByBody_Arguments()</f>
        <v>MP_j</v>
      </c>
      <c r="E78" s="117" t="str">
        <v>milk production (L/head/day)</v>
      </c>
      <c r="F78" s="116"/>
      <c r="G78" s="115" t="str">
        <f>"See " &amp; D83</f>
        <v>See Table_MP_j</v>
      </c>
    </row>
    <row r="79" spans="3:21" ht="20.100000000000001" customHeight="1" x14ac:dyDescent="0.25">
      <c r="D79" s="115" t="str">
        <v>L_j</v>
      </c>
      <c r="E79" s="117" t="str">
        <v>intake relative to maintenance</v>
      </c>
      <c r="F79" s="116"/>
      <c r="G79" s="115" t="str">
        <f>"See " &amp; D62</f>
        <v>See M1_Table_L_j</v>
      </c>
    </row>
    <row r="80" spans="3:21" ht="20.100000000000001" customHeight="1" x14ac:dyDescent="0.25">
      <c r="D80" s="115" t="str">
        <v>Z_j</v>
      </c>
      <c r="E80" s="117" t="str">
        <v>relative size</v>
      </c>
      <c r="F80" s="116"/>
      <c r="G80" s="115" t="str">
        <f>"See " &amp; D26</f>
        <v>See M1_Table_Z_j</v>
      </c>
    </row>
    <row r="81" spans="4:19" ht="20.100000000000001" customHeight="1" x14ac:dyDescent="0.25">
      <c r="D81" s="115" t="str">
        <v>LWG_j</v>
      </c>
      <c r="E81" s="117" t="str">
        <v>liveweight gain (kg/day)</v>
      </c>
      <c r="F81" s="116"/>
      <c r="G81" s="115" t="str">
        <f>"See " &amp; D88</f>
        <v>See M1_Table_LWG_j</v>
      </c>
    </row>
    <row r="82" spans="4:19" ht="20.100000000000001" customHeight="1" x14ac:dyDescent="0.25"/>
    <row r="83" spans="4:19" ht="20.100000000000001" customHeight="1" x14ac:dyDescent="0.25">
      <c r="D83" s="104" t="s">
        <v>307</v>
      </c>
    </row>
    <row r="84" spans="4:19" ht="20.100000000000001" customHeight="1" x14ac:dyDescent="0.25">
      <c r="D84" s="103" t="s">
        <v>258</v>
      </c>
    </row>
    <row r="85" spans="4:19" ht="20.100000000000001" customHeight="1" x14ac:dyDescent="0.25">
      <c r="D85" s="54" t="s">
        <v>234</v>
      </c>
      <c r="E85" s="54" t="s">
        <v>251</v>
      </c>
      <c r="F85" s="54" t="s">
        <v>252</v>
      </c>
      <c r="G85" s="54" t="s">
        <v>253</v>
      </c>
      <c r="H85" s="54" t="s">
        <v>254</v>
      </c>
    </row>
    <row r="86" spans="4:19" ht="20.100000000000001" customHeight="1" x14ac:dyDescent="0.25">
      <c r="D86" s="55">
        <f>'Input - Dairy'!$E$46</f>
        <v>44</v>
      </c>
      <c r="E86" s="55">
        <v>0</v>
      </c>
      <c r="F86" s="55">
        <v>0</v>
      </c>
      <c r="G86" s="55">
        <v>0</v>
      </c>
      <c r="H86" s="55">
        <v>0</v>
      </c>
      <c r="I86" s="2" t="s">
        <v>304</v>
      </c>
    </row>
    <row r="87" spans="4:19" ht="20.100000000000001" customHeight="1" x14ac:dyDescent="0.25"/>
    <row r="88" spans="4:19" ht="20.100000000000001" customHeight="1" x14ac:dyDescent="0.25">
      <c r="D88" s="104" t="s">
        <v>291</v>
      </c>
      <c r="N88" s="104" t="s">
        <v>293</v>
      </c>
    </row>
    <row r="89" spans="4:19" ht="20.100000000000001" customHeight="1" x14ac:dyDescent="0.25">
      <c r="D89" s="103" t="s">
        <v>292</v>
      </c>
      <c r="N89" s="103" t="s">
        <v>294</v>
      </c>
    </row>
    <row r="90" spans="4:19" ht="20.100000000000001" customHeight="1" x14ac:dyDescent="0.25">
      <c r="D90" s="54" t="s">
        <v>234</v>
      </c>
      <c r="E90" s="54" t="s">
        <v>251</v>
      </c>
      <c r="F90" s="54" t="s">
        <v>252</v>
      </c>
      <c r="G90" s="54" t="s">
        <v>253</v>
      </c>
      <c r="H90" s="54" t="s">
        <v>254</v>
      </c>
      <c r="N90" s="54" t="s">
        <v>234</v>
      </c>
      <c r="O90" s="54" t="s">
        <v>251</v>
      </c>
      <c r="P90" s="54" t="s">
        <v>252</v>
      </c>
      <c r="Q90" s="54" t="s">
        <v>253</v>
      </c>
      <c r="R90" s="54" t="s">
        <v>254</v>
      </c>
    </row>
    <row r="91" spans="4:19" ht="20.100000000000001" customHeight="1" x14ac:dyDescent="0.25">
      <c r="D91" s="55">
        <f>'Input - Dairy'!$E$15</f>
        <v>1.6E-2</v>
      </c>
      <c r="E91" s="55">
        <f>'Input - Dairy'!$F$15</f>
        <v>0.6</v>
      </c>
      <c r="F91" s="55">
        <f>'Input - Dairy'!$G$15</f>
        <v>0.56999999999999995</v>
      </c>
      <c r="G91" s="55">
        <f>'Input - Dairy'!$H$15</f>
        <v>0.1</v>
      </c>
      <c r="H91" s="55">
        <f>'Input - Dairy'!$I$15</f>
        <v>0.8</v>
      </c>
      <c r="I91" s="2" t="s">
        <v>257</v>
      </c>
      <c r="N91" s="55">
        <f>'Input - Dairy'!$E$19</f>
        <v>1.6E-2</v>
      </c>
      <c r="O91" s="55">
        <f>'Input - Dairy'!$F$19</f>
        <v>0.6</v>
      </c>
      <c r="P91" s="55">
        <f>'Input - Dairy'!$G$19</f>
        <v>0.56999999999999995</v>
      </c>
      <c r="Q91" s="55">
        <f>'Input - Dairy'!$H$19</f>
        <v>0.1</v>
      </c>
      <c r="R91" s="55">
        <f>'Input - Dairy'!$I$19</f>
        <v>0.8</v>
      </c>
      <c r="S91" s="2" t="s">
        <v>257</v>
      </c>
    </row>
    <row r="92" spans="4:19" ht="20.100000000000001" customHeight="1" x14ac:dyDescent="0.25"/>
    <row r="93" spans="4:19" ht="20.100000000000001" customHeight="1" x14ac:dyDescent="0.25">
      <c r="D93" s="104" t="s">
        <v>120</v>
      </c>
      <c r="N93" s="104" t="s">
        <v>121</v>
      </c>
    </row>
    <row r="94" spans="4:19" ht="20.100000000000001" customHeight="1" x14ac:dyDescent="0.25">
      <c r="D94" s="103" t="s">
        <v>365</v>
      </c>
      <c r="N94" s="103" t="s">
        <v>366</v>
      </c>
    </row>
    <row r="95" spans="4:19" ht="20.100000000000001" customHeight="1" x14ac:dyDescent="0.25">
      <c r="D95" s="54" t="s">
        <v>234</v>
      </c>
      <c r="E95" s="54" t="s">
        <v>251</v>
      </c>
      <c r="F95" s="54" t="s">
        <v>252</v>
      </c>
      <c r="G95" s="54" t="s">
        <v>253</v>
      </c>
      <c r="H95" s="54" t="s">
        <v>254</v>
      </c>
      <c r="N95" s="54" t="s">
        <v>234</v>
      </c>
      <c r="O95" s="54" t="s">
        <v>251</v>
      </c>
      <c r="P95" s="54" t="s">
        <v>252</v>
      </c>
      <c r="Q95" s="54" t="s">
        <v>253</v>
      </c>
      <c r="R95" s="54" t="s">
        <v>254</v>
      </c>
    </row>
    <row r="96" spans="4:19" ht="20.100000000000001" customHeight="1" x14ac:dyDescent="0.25">
      <c r="D96" s="55" cm="1">
        <f t="array" ref="D96">MMS_Dairy_N2ODirect_Equations.VEERG_4_3_1_3__6_NitrogenRetainedByBody(D86,D65,D29,D91)</f>
        <v>3.6552968231573939E-2</v>
      </c>
      <c r="E96" s="55" cm="1">
        <f t="array" ref="E96">MMS_Dairy_N2ODirect_Equations.VEERG_4_3_1_3__6_NitrogenRetainedByBody(E86,E65,E29,E91)</f>
        <v>8.7932411900846184E-3</v>
      </c>
      <c r="F96" s="55" cm="1">
        <f t="array" ref="F96">MMS_Dairy_N2ODirect_Equations.VEERG_4_3_1_3__6_NitrogenRetainedByBody(F86,F65,F29,F91)</f>
        <v>1.4575548166167214E-2</v>
      </c>
      <c r="G96" s="55" cm="1">
        <f t="array" ref="G96">MMS_Dairy_N2ODirect_Equations.VEERG_4_3_1_3__6_NitrogenRetainedByBody(G86,G65,G29,G91)</f>
        <v>1.2626203146474683E-3</v>
      </c>
      <c r="H96" s="55" cm="1">
        <f t="array" ref="H96">MMS_Dairy_N2ODirect_Equations.VEERG_4_3_1_3__6_NitrogenRetainedByBody(H86,H65,H29,H91)</f>
        <v>1.9757354894894087E-2</v>
      </c>
      <c r="I96" s="2" t="str">
        <f>$E$76</f>
        <v>kg N/head/day</v>
      </c>
      <c r="N96" s="55" cm="1">
        <f t="array" ref="N96">MMS_Dairy_N2ODirect_Equations.VEERG_4_3_1_3__6_NitrogenRetainedByBody(D86,N65,N29,N91)</f>
        <v>3.6552968231573939E-2</v>
      </c>
      <c r="O96" s="55" cm="1">
        <f t="array" ref="O96">MMS_Dairy_N2ODirect_Equations.VEERG_4_3_1_3__6_NitrogenRetainedByBody(E86,O65,O29,O91)</f>
        <v>8.7932411900846184E-3</v>
      </c>
      <c r="P96" s="55" cm="1">
        <f t="array" ref="P96">MMS_Dairy_N2ODirect_Equations.VEERG_4_3_1_3__6_NitrogenRetainedByBody(F86,P65,P29,P91)</f>
        <v>1.4575548166167214E-2</v>
      </c>
      <c r="Q96" s="55" cm="1">
        <f t="array" ref="Q96">MMS_Dairy_N2ODirect_Equations.VEERG_4_3_1_3__6_NitrogenRetainedByBody(G86,Q65,Q29,Q91)</f>
        <v>1.2626203146474683E-3</v>
      </c>
      <c r="R96" s="55" cm="1">
        <f t="array" ref="R96">MMS_Dairy_N2ODirect_Equations.VEERG_4_3_1_3__6_NitrogenRetainedByBody(H86,R65,R29,R91)</f>
        <v>1.9757354894894087E-2</v>
      </c>
      <c r="S96" s="2" t="str">
        <f>$E$76</f>
        <v>kg N/head/day</v>
      </c>
    </row>
    <row r="97" spans="3:21" ht="20.100000000000001" customHeight="1" x14ac:dyDescent="0.25"/>
    <row r="98" spans="3:21" ht="20.100000000000001" customHeight="1" x14ac:dyDescent="0.25"/>
    <row r="99" spans="3:21" ht="20.100000000000001" customHeight="1" x14ac:dyDescent="0.25">
      <c r="C99" s="48"/>
      <c r="D99" s="48"/>
      <c r="E99" s="48"/>
      <c r="F99" s="48"/>
      <c r="G99" s="48"/>
      <c r="H99" s="48"/>
      <c r="I99" s="48"/>
      <c r="J99" s="48"/>
      <c r="K99" s="48"/>
      <c r="M99" s="48"/>
      <c r="N99" s="48"/>
      <c r="O99" s="48"/>
      <c r="P99" s="48"/>
      <c r="Q99" s="48"/>
      <c r="R99" s="48"/>
      <c r="S99" s="48"/>
      <c r="T99" s="48"/>
      <c r="U99" s="48"/>
    </row>
    <row r="100" spans="3:21" ht="20.100000000000001" customHeight="1" x14ac:dyDescent="0.25">
      <c r="D100" s="6" t="str" cm="1">
        <f t="array" ref="D100">MMS_Dairy_N2ODirect_Equations.VEERG_4_3_1_3__5_CrudeProteinIntakeOfDairyCattle_Title()</f>
        <v>Crude protein intake of dairy cattle</v>
      </c>
    </row>
    <row r="101" spans="3:21" ht="20.100000000000001" customHeight="1" x14ac:dyDescent="0.25">
      <c r="D101" s="5" t="str" cm="1">
        <f t="array" ref="D101">MMS_Dairy_N2ODirect_Equations.VEERG_4_3_1_3__5_CrudeProteinIntakeOfDairyCattle_Source()</f>
        <v>VEERG 2026: 4.3.1.3, Equation (5)</v>
      </c>
    </row>
    <row r="102" spans="3:21" ht="20.100000000000001" customHeight="1" x14ac:dyDescent="0.25">
      <c r="D102" s="13" t="s">
        <v>27</v>
      </c>
      <c r="E102" s="13" t="str" cm="1">
        <f t="array" aca="1" ref="E102" ca="1">Common_InputFunctions.Utility_DisplayFunctionName(D119)</f>
        <v>=MMS_Dairy_N2ODirect_Equations.VEERG_4_3_1_3__5_CrudeProteinIntakeOfDairyCattle</v>
      </c>
    </row>
    <row r="103" spans="3:21" ht="20.100000000000001" customHeight="1" x14ac:dyDescent="0.25"/>
    <row r="104" spans="3:21" ht="20.100000000000001" customHeight="1" x14ac:dyDescent="0.25">
      <c r="D104" s="6"/>
    </row>
    <row r="105" spans="3:21" ht="20.100000000000001" customHeight="1" x14ac:dyDescent="0.25">
      <c r="D105" s="56" t="s">
        <v>30</v>
      </c>
      <c r="E105" s="1" t="str" cm="1">
        <f t="array" ref="E105">MMS_Dairy_N2ODirect_Equations.VEERG_4_3_1_3__5_CrudeProteinIntakeOfDairyCattle_Variable()</f>
        <v>CPI_j</v>
      </c>
    </row>
    <row r="106" spans="3:21" ht="20.100000000000001" customHeight="1" x14ac:dyDescent="0.25">
      <c r="D106" s="56" t="s">
        <v>20</v>
      </c>
      <c r="E106" s="57" t="str" cm="1">
        <f t="array" ref="E106">MMS_Dairy_N2ODirect_Equations.VEERG_4_3_1_3__5_CrudeProteinIntakeOfDairyCattle_Unit()</f>
        <v>kg/head/day</v>
      </c>
    </row>
    <row r="107" spans="3:21" ht="20.100000000000001" customHeight="1" x14ac:dyDescent="0.25"/>
    <row r="108" spans="3:21" ht="20.100000000000001" customHeight="1" x14ac:dyDescent="0.25">
      <c r="D108" s="60" t="str" cm="1">
        <f t="array" ref="D108:E109">MMS_Dairy_N2ODirect_Equations.VEERG_4_3_1_3__5_CrudeProteinIntakeOfDairyCattle_Arguments()</f>
        <v>I_j</v>
      </c>
      <c r="E108" s="61" t="str">
        <v>dry matter intake (kgDM/head/day)</v>
      </c>
      <c r="F108" s="62"/>
      <c r="G108" s="60" t="str">
        <f>"See " &amp; D47</f>
        <v>See M1_Table_I_j</v>
      </c>
    </row>
    <row r="109" spans="3:21" ht="20.100000000000001" customHeight="1" x14ac:dyDescent="0.25">
      <c r="D109" s="60" t="str">
        <v>CP_j</v>
      </c>
      <c r="E109" s="61" t="str">
        <v>crude protein content of feed intake (fraction)</v>
      </c>
      <c r="F109" s="62"/>
      <c r="G109" s="60" t="str">
        <f>"See " &amp; D111</f>
        <v>See M1_Table_CP_j</v>
      </c>
    </row>
    <row r="110" spans="3:21" ht="20.100000000000001" customHeight="1" x14ac:dyDescent="0.25"/>
    <row r="111" spans="3:21" ht="20.100000000000001" customHeight="1" x14ac:dyDescent="0.25">
      <c r="D111" s="104" t="s">
        <v>118</v>
      </c>
      <c r="N111" s="104" t="s">
        <v>118</v>
      </c>
    </row>
    <row r="112" spans="3:21" ht="20.100000000000001" customHeight="1" x14ac:dyDescent="0.25">
      <c r="D112" s="103" t="s">
        <v>367</v>
      </c>
      <c r="N112" s="103" t="s">
        <v>367</v>
      </c>
    </row>
    <row r="113" spans="3:21" ht="20.100000000000001" customHeight="1" x14ac:dyDescent="0.25">
      <c r="D113" s="54" t="s">
        <v>234</v>
      </c>
      <c r="E113" s="54" t="s">
        <v>251</v>
      </c>
      <c r="F113" s="54" t="s">
        <v>252</v>
      </c>
      <c r="G113" s="54" t="s">
        <v>253</v>
      </c>
      <c r="H113" s="54" t="s">
        <v>254</v>
      </c>
      <c r="N113" s="54" t="s">
        <v>234</v>
      </c>
      <c r="O113" s="54" t="s">
        <v>251</v>
      </c>
      <c r="P113" s="54" t="s">
        <v>252</v>
      </c>
      <c r="Q113" s="54" t="s">
        <v>253</v>
      </c>
      <c r="R113" s="54" t="s">
        <v>254</v>
      </c>
    </row>
    <row r="114" spans="3:21" ht="20.100000000000001" customHeight="1" x14ac:dyDescent="0.25">
      <c r="D114" s="55">
        <f>'Input - Dairy'!E37</f>
        <v>0.2</v>
      </c>
      <c r="E114" s="55">
        <f>'Input - Dairy'!F37</f>
        <v>0.2</v>
      </c>
      <c r="F114" s="55">
        <f>'Input - Dairy'!G37</f>
        <v>0.2</v>
      </c>
      <c r="G114" s="55">
        <f>'Input - Dairy'!H37</f>
        <v>0.2</v>
      </c>
      <c r="H114" s="55">
        <f>'Input - Dairy'!I37</f>
        <v>0.2</v>
      </c>
      <c r="I114" s="2" t="s">
        <v>100</v>
      </c>
      <c r="N114" s="55">
        <f>'Input - Dairy'!E42</f>
        <v>0.2</v>
      </c>
      <c r="O114" s="55">
        <f>'Input - Dairy'!F42</f>
        <v>0.2</v>
      </c>
      <c r="P114" s="55">
        <f>'Input - Dairy'!G42</f>
        <v>0.2</v>
      </c>
      <c r="Q114" s="55">
        <f>'Input - Dairy'!H42</f>
        <v>0.2</v>
      </c>
      <c r="R114" s="55">
        <f>'Input - Dairy'!I42</f>
        <v>0.2</v>
      </c>
      <c r="S114" s="2" t="s">
        <v>100</v>
      </c>
    </row>
    <row r="115" spans="3:21" ht="20.100000000000001" customHeight="1" x14ac:dyDescent="0.25"/>
    <row r="116" spans="3:21" ht="20.100000000000001" customHeight="1" x14ac:dyDescent="0.25">
      <c r="D116" s="104" t="s">
        <v>368</v>
      </c>
      <c r="N116" s="104" t="s">
        <v>368</v>
      </c>
    </row>
    <row r="117" spans="3:21" ht="20.100000000000001" customHeight="1" x14ac:dyDescent="0.25">
      <c r="D117" s="103" t="s">
        <v>369</v>
      </c>
      <c r="N117" s="103" t="s">
        <v>369</v>
      </c>
    </row>
    <row r="118" spans="3:21" ht="20.100000000000001" customHeight="1" x14ac:dyDescent="0.25">
      <c r="D118" s="54" t="s">
        <v>234</v>
      </c>
      <c r="E118" s="54" t="s">
        <v>251</v>
      </c>
      <c r="F118" s="54" t="s">
        <v>252</v>
      </c>
      <c r="G118" s="54" t="s">
        <v>253</v>
      </c>
      <c r="H118" s="54" t="s">
        <v>254</v>
      </c>
      <c r="N118" s="54" t="s">
        <v>234</v>
      </c>
      <c r="O118" s="54" t="s">
        <v>251</v>
      </c>
      <c r="P118" s="54" t="s">
        <v>252</v>
      </c>
      <c r="Q118" s="54" t="s">
        <v>253</v>
      </c>
      <c r="R118" s="54" t="s">
        <v>254</v>
      </c>
    </row>
    <row r="119" spans="3:21" ht="20.100000000000001" customHeight="1" x14ac:dyDescent="0.25">
      <c r="D119" s="55" cm="1">
        <f t="array" ref="D119">MMS_Dairy_N2ODirect_Equations.VEERG_4_3_1_3__5_CrudeProteinIntakeOfDairyCattle(D50,D114)</f>
        <v>1.8929425571617076</v>
      </c>
      <c r="E119" s="55" cm="1">
        <f t="array" ref="E119">MMS_Dairy_N2ODirect_Equations.VEERG_4_3_1_3__5_CrudeProteinIntakeOfDairyCattle(E50,E114)</f>
        <v>1.4837737075199995</v>
      </c>
      <c r="F119" s="55" cm="1">
        <f t="array" ref="F119">MMS_Dairy_N2ODirect_Equations.VEERG_4_3_1_3__5_CrudeProteinIntakeOfDairyCattle(F50,F114)</f>
        <v>0.80463469324500003</v>
      </c>
      <c r="G119" s="55" cm="1">
        <f t="array" ref="G119">MMS_Dairy_N2ODirect_Equations.VEERG_4_3_1_3__5_CrudeProteinIntakeOfDairyCattle(G50,G114)</f>
        <v>1.8054040499999997</v>
      </c>
      <c r="H119" s="55" cm="1">
        <f t="array" ref="H119">MMS_Dairy_N2ODirect_Equations.VEERG_4_3_1_3__5_CrudeProteinIntakeOfDairyCattle(H50,H114)</f>
        <v>1.0828694531250003</v>
      </c>
      <c r="I119" s="2" t="str">
        <f>$E$106</f>
        <v>kg/head/day</v>
      </c>
      <c r="N119" s="55" cm="1">
        <f t="array" ref="N119">MMS_Dairy_N2ODirect_Equations.VEERG_4_3_1_3__5_CrudeProteinIntakeOfDairyCattle(N50,N114)</f>
        <v>1.8929425571617076</v>
      </c>
      <c r="O119" s="55" cm="1">
        <f t="array" ref="O119">MMS_Dairy_N2ODirect_Equations.VEERG_4_3_1_3__5_CrudeProteinIntakeOfDairyCattle(O50,O114)</f>
        <v>1.4837737075199995</v>
      </c>
      <c r="P119" s="55" cm="1">
        <f t="array" ref="P119">MMS_Dairy_N2ODirect_Equations.VEERG_4_3_1_3__5_CrudeProteinIntakeOfDairyCattle(P50,P114)</f>
        <v>0.80463469324500003</v>
      </c>
      <c r="Q119" s="55" cm="1">
        <f t="array" ref="Q119">MMS_Dairy_N2ODirect_Equations.VEERG_4_3_1_3__5_CrudeProteinIntakeOfDairyCattle(Q50,Q114)</f>
        <v>1.8054040499999997</v>
      </c>
      <c r="R119" s="55" cm="1">
        <f t="array" ref="R119">MMS_Dairy_N2ODirect_Equations.VEERG_4_3_1_3__5_CrudeProteinIntakeOfDairyCattle(R50,R114)</f>
        <v>1.0828694531250003</v>
      </c>
      <c r="S119" s="2" t="str">
        <f>$E$106</f>
        <v>kg/head/day</v>
      </c>
    </row>
    <row r="120" spans="3:21" ht="20.100000000000001" customHeight="1" x14ac:dyDescent="0.25"/>
    <row r="121" spans="3:21" ht="20.100000000000001" customHeight="1" x14ac:dyDescent="0.25"/>
    <row r="122" spans="3:21" ht="20.100000000000001" customHeight="1" x14ac:dyDescent="0.25"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  <c r="R122" s="48"/>
      <c r="S122" s="48"/>
      <c r="T122" s="48"/>
      <c r="U122" s="48"/>
    </row>
    <row r="123" spans="3:21" ht="20.100000000000001" customHeight="1" x14ac:dyDescent="0.25">
      <c r="D123" s="6" t="str" cm="1">
        <f t="array" ref="D123">MMS_Dairy_N2ODirect_Equations.VEERG_4_3_1_3__4_NitrogenExcretedByDairyCattleGreaterThanOneYear_Title()</f>
        <v>Nitrogen excreted by dairy cattle greater than one year old</v>
      </c>
    </row>
    <row r="124" spans="3:21" ht="20.100000000000001" customHeight="1" x14ac:dyDescent="0.25">
      <c r="D124" s="5" t="str" cm="1">
        <f t="array" ref="D124">MMS_Dairy_N2ODirect_Equations.VEERG_4_3_1_3__4_NitrogenExcretedByDairyCattleGreaterThanOneYear_Source()</f>
        <v>VEERG 2026: 4.3.1.3, Equation (4)</v>
      </c>
    </row>
    <row r="125" spans="3:21" ht="20.100000000000001" customHeight="1" x14ac:dyDescent="0.25">
      <c r="D125" s="13" t="s">
        <v>27</v>
      </c>
      <c r="E125" s="13" t="str" cm="1">
        <f t="array" aca="1" ref="E125" ca="1">Common_InputFunctions.Utility_DisplayFunctionName(D139)</f>
        <v>=MMS_Dairy_N2ODirect_Equations.VEERG_4_3_1_3__4_NitrogenExcretedByDairyCattleGreaterThanOneYear</v>
      </c>
    </row>
    <row r="126" spans="3:21" ht="20.100000000000001" customHeight="1" x14ac:dyDescent="0.25"/>
    <row r="127" spans="3:21" ht="20.100000000000001" customHeight="1" x14ac:dyDescent="0.25">
      <c r="D127" s="6"/>
    </row>
    <row r="128" spans="3:21" ht="20.100000000000001" customHeight="1" x14ac:dyDescent="0.25"/>
    <row r="129" spans="3:21" ht="20.100000000000001" customHeight="1" x14ac:dyDescent="0.25">
      <c r="D129" s="56" t="s">
        <v>30</v>
      </c>
      <c r="E129" s="1" t="str" cm="1">
        <f t="array" ref="E129">MMS_Dairy_N2ODirect_Equations.VEERG_4_3_1_3__4_NitrogenExcretedByDairyCattleGreaterThanOneYear_Variable()</f>
        <v>NE_j</v>
      </c>
    </row>
    <row r="130" spans="3:21" ht="20.100000000000001" customHeight="1" x14ac:dyDescent="0.25">
      <c r="D130" s="56" t="s">
        <v>20</v>
      </c>
      <c r="E130" s="57" t="str" cm="1">
        <f t="array" ref="E130">MMS_Dairy_N2ODirect_Equations.VEERG_4_3_1_3__4_NitrogenExcretedByDairyCattleGreaterThanOneYear_Unit()</f>
        <v>kg N/head/day</v>
      </c>
    </row>
    <row r="131" spans="3:21" ht="20.100000000000001" customHeight="1" x14ac:dyDescent="0.25"/>
    <row r="132" spans="3:21" ht="20.100000000000001" customHeight="1" x14ac:dyDescent="0.25">
      <c r="D132" s="60" t="str" cm="1">
        <f t="array" ref="D132:E134">MMS_Dairy_N2ODirect_Equations.VEERG_4_3_1_3__4_NitrogenExcretedByDairyCattleGreaterThanOneYear_Arguments()</f>
        <v>CPI_j</v>
      </c>
      <c r="E132" s="61" t="str">
        <v>crude protein intake (kg/head/day)</v>
      </c>
      <c r="F132" s="62"/>
      <c r="G132" s="60" t="str">
        <f>"See " &amp;D116</f>
        <v>See M1_Table_CPI_j</v>
      </c>
    </row>
    <row r="133" spans="3:21" ht="20.100000000000001" customHeight="1" x14ac:dyDescent="0.25">
      <c r="D133" s="60" t="str">
        <v>NR_j</v>
      </c>
      <c r="E133" s="61" t="str">
        <v>amount of nitrogen retained by the body (kg N/head/day)</v>
      </c>
      <c r="F133" s="62"/>
      <c r="G133" s="60" t="str">
        <f>"See " &amp; D93</f>
        <v>See M1_Table_NR_j</v>
      </c>
    </row>
    <row r="134" spans="3:21" ht="20.100000000000001" customHeight="1" x14ac:dyDescent="0.25">
      <c r="D134" s="60" t="str">
        <v>W_j</v>
      </c>
      <c r="E134" s="61" t="str">
        <v>liveweight (kg)</v>
      </c>
      <c r="F134" s="62"/>
      <c r="G134" s="60" t="str">
        <f>"See " &amp; D16</f>
        <v>See M1_Table_W_j</v>
      </c>
    </row>
    <row r="135" spans="3:21" ht="20.100000000000001" customHeight="1" x14ac:dyDescent="0.25"/>
    <row r="136" spans="3:21" ht="20.100000000000001" customHeight="1" x14ac:dyDescent="0.25">
      <c r="D136" s="104" t="s">
        <v>122</v>
      </c>
      <c r="N136" s="104" t="s">
        <v>123</v>
      </c>
    </row>
    <row r="137" spans="3:21" ht="20.100000000000001" customHeight="1" x14ac:dyDescent="0.25">
      <c r="D137" s="103" t="s">
        <v>370</v>
      </c>
      <c r="N137" s="103" t="s">
        <v>371</v>
      </c>
    </row>
    <row r="138" spans="3:21" ht="20.100000000000001" customHeight="1" x14ac:dyDescent="0.25">
      <c r="D138" s="54" t="s">
        <v>234</v>
      </c>
      <c r="E138" s="54" t="s">
        <v>251</v>
      </c>
      <c r="F138" s="54" t="s">
        <v>252</v>
      </c>
      <c r="G138" s="54" t="s">
        <v>253</v>
      </c>
      <c r="H138" s="54" t="s">
        <v>254</v>
      </c>
      <c r="N138" s="54" t="s">
        <v>234</v>
      </c>
      <c r="O138" s="54" t="s">
        <v>251</v>
      </c>
      <c r="P138" s="54" t="s">
        <v>252</v>
      </c>
      <c r="Q138" s="54" t="s">
        <v>253</v>
      </c>
      <c r="R138" s="54" t="s">
        <v>254</v>
      </c>
    </row>
    <row r="139" spans="3:21" ht="20.100000000000001" customHeight="1" x14ac:dyDescent="0.25">
      <c r="D139" s="55" cm="1">
        <f t="array" ref="D139">MMS_Dairy_N2ODirect_Equations.VEERG_4_3_1_3__4_NitrogenExcretedByDairyCattleGreaterThanOneYear(D119,D96,D19)</f>
        <v>0.26431897029296131</v>
      </c>
      <c r="E139" s="55" cm="1">
        <f t="array" ref="E139">MMS_Dairy_N2ODirect_Equations.VEERG_4_3_1_3__4_NitrogenExcretedByDairyCattleGreaterThanOneYear(E119,E96,E19)</f>
        <v>0.22709576921272823</v>
      </c>
      <c r="F139" s="55" cm="1">
        <f t="array" ref="F139">MMS_Dairy_N2ODirect_Equations.VEERG_4_3_1_3__4_NitrogenExcretedByDairyCattleGreaterThanOneYear(F119,F96,F19)</f>
        <v>0.1133928568810149</v>
      </c>
      <c r="G139" s="55" cm="1">
        <f t="array" ref="G139">MMS_Dairy_N2ODirect_Equations.VEERG_4_3_1_3__4_NitrogenExcretedByDairyCattleGreaterThanOneYear(G119,G96,G19)</f>
        <v>0.28546836331241399</v>
      </c>
      <c r="H139" s="55" cm="1">
        <f t="array" ref="H139">MMS_Dairy_N2ODirect_Equations.VEERG_4_3_1_3__4_NitrogenExcretedByDairyCattleGreaterThanOneYear(H119,H96,H19)</f>
        <v>0.15247929000170721</v>
      </c>
      <c r="I139" s="2" t="str">
        <f>$E$130</f>
        <v>kg N/head/day</v>
      </c>
      <c r="N139" s="55" cm="1">
        <f t="array" ref="N139">MMS_Dairy_N2ODirect_Equations.VEERG_4_3_1_3__4_NitrogenExcretedByDairyCattleGreaterThanOneYear(N119,N96,N19)</f>
        <v>0.26431897029296131</v>
      </c>
      <c r="O139" s="55" cm="1">
        <f t="array" ref="O139">MMS_Dairy_N2ODirect_Equations.VEERG_4_3_1_3__4_NitrogenExcretedByDairyCattleGreaterThanOneYear(O119,O96,O19)</f>
        <v>0.22709576921272823</v>
      </c>
      <c r="P139" s="55" cm="1">
        <f t="array" ref="P139">MMS_Dairy_N2ODirect_Equations.VEERG_4_3_1_3__4_NitrogenExcretedByDairyCattleGreaterThanOneYear(P119,P96,P19)</f>
        <v>0.1133928568810149</v>
      </c>
      <c r="Q139" s="55" cm="1">
        <f t="array" ref="Q139">MMS_Dairy_N2ODirect_Equations.VEERG_4_3_1_3__4_NitrogenExcretedByDairyCattleGreaterThanOneYear(Q119,Q96,Q19)</f>
        <v>0.28546836331241399</v>
      </c>
      <c r="R139" s="55" cm="1">
        <f t="array" ref="R139">MMS_Dairy_N2ODirect_Equations.VEERG_4_3_1_3__4_NitrogenExcretedByDairyCattleGreaterThanOneYear(R119,R96,R19)</f>
        <v>0.15247929000170721</v>
      </c>
      <c r="S139" s="2" t="str">
        <f>$E$130</f>
        <v>kg N/head/day</v>
      </c>
    </row>
    <row r="140" spans="3:21" ht="20.100000000000001" customHeight="1" x14ac:dyDescent="0.25"/>
    <row r="141" spans="3:21" ht="20.100000000000001" customHeight="1" x14ac:dyDescent="0.25"/>
    <row r="142" spans="3:21" ht="20.100000000000001" customHeight="1" x14ac:dyDescent="0.25">
      <c r="C142" s="48"/>
      <c r="D142" s="48"/>
      <c r="E142" s="48"/>
      <c r="F142" s="48"/>
      <c r="G142" s="48"/>
      <c r="H142" s="48"/>
      <c r="I142" s="48"/>
      <c r="J142" s="48"/>
      <c r="K142" s="48"/>
      <c r="M142" s="48"/>
      <c r="N142" s="48"/>
      <c r="O142" s="48"/>
      <c r="P142" s="48"/>
      <c r="Q142" s="48"/>
      <c r="R142" s="48"/>
      <c r="S142" s="48"/>
      <c r="T142" s="48"/>
      <c r="U142" s="48"/>
    </row>
    <row r="143" spans="3:21" ht="20.100000000000001" customHeight="1" x14ac:dyDescent="0.25">
      <c r="D143" s="6" t="str" cm="1">
        <f t="array" ref="D143">MMS_Dairy_N2ODirect_Equations.VEERG_4_3_1_3__3a_TotalAnnualNitrogenExcretedGreaterThanOneYear_Title()</f>
        <v>Total annual nitrogen excreted by dairy cattle greater than one year old</v>
      </c>
    </row>
    <row r="144" spans="3:21" ht="20.100000000000001" customHeight="1" x14ac:dyDescent="0.25">
      <c r="D144" s="5" t="str" cm="1">
        <f t="array" ref="D144">MMS_Dairy_N2ODirect_Equations.VEERG_4_3_1_3__3a_TotalAnnualNitrogenExcretedGreaterThanOneYear_Source()</f>
        <v>VEERG 2026: 4.3.1.3, Equation (3a)</v>
      </c>
    </row>
    <row r="145" spans="4:9" ht="20.100000000000001" customHeight="1" x14ac:dyDescent="0.25">
      <c r="D145" s="58" t="str" cm="1">
        <f t="array" ref="D145">MMS_Dairy_N2ODirect_Equations.VEERG_4_3_1_3__3a_TotalAnnualNitrogenExcretedGreaterThanOneYear_Variation()</f>
        <v>VARIATION: Used Duration variables instead of hard-coded 365 value.</v>
      </c>
    </row>
    <row r="146" spans="4:9" ht="20.100000000000001" customHeight="1" x14ac:dyDescent="0.25">
      <c r="D146" s="13" t="s">
        <v>27</v>
      </c>
      <c r="E146" s="13" t="str" cm="1">
        <f t="array" aca="1" ref="E146" ca="1">Common_InputFunctions.Utility_DisplayFunctionName(D169)</f>
        <v>=MMS_Dairy_N2ODirect_Equations.VEERG_4_3_1_3__3a_TotalAnnualNitrogenExcretedGreaterThanOneYearVariation</v>
      </c>
    </row>
    <row r="147" spans="4:9" ht="20.100000000000001" customHeight="1" x14ac:dyDescent="0.25"/>
    <row r="148" spans="4:9" ht="20.100000000000001" customHeight="1" x14ac:dyDescent="0.25">
      <c r="D148" s="6"/>
    </row>
    <row r="149" spans="4:9" ht="20.100000000000001" customHeight="1" x14ac:dyDescent="0.25">
      <c r="D149" s="56" t="s">
        <v>30</v>
      </c>
      <c r="E149" s="1" t="str" cm="1">
        <f t="array" ref="E149">MMS_Dairy_N2ODirect_Equations.VEERG_4_3_1_3__3a_TotalAnnualNitrogenExcretedGreaterThanOneYear_Variable()</f>
        <v>AE_j124</v>
      </c>
    </row>
    <row r="150" spans="4:9" ht="20.100000000000001" customHeight="1" x14ac:dyDescent="0.25">
      <c r="D150" s="56" t="s">
        <v>20</v>
      </c>
      <c r="E150" s="57" t="str" cm="1">
        <f t="array" ref="E150">MMS_Dairy_N2ODirect_Equations.VEERG_4_3_1_3__3a_TotalAnnualNitrogenExcretedGreaterThanOneYear_Unit()</f>
        <v>kg N</v>
      </c>
    </row>
    <row r="151" spans="4:9" ht="20.100000000000001" customHeight="1" x14ac:dyDescent="0.25"/>
    <row r="152" spans="4:9" ht="20.100000000000001" customHeight="1" x14ac:dyDescent="0.25">
      <c r="D152" s="115" t="str" cm="1">
        <f t="array" ref="D152:E154">MMS_Dairy_N2ODirect_Equations.VEERG_4_3_1_3__3a_TotalAnnualNitrogenExcretedGreaterThanOneYear_Arguments()</f>
        <v>N_j124</v>
      </c>
      <c r="E152" s="117" t="str">
        <v>number of dairy cattle in classes j=1,2,4</v>
      </c>
      <c r="F152" s="116"/>
      <c r="G152" s="115" t="str">
        <f>"See " &amp; D156</f>
        <v>See Table_N_j</v>
      </c>
    </row>
    <row r="153" spans="4:9" ht="20.100000000000001" customHeight="1" x14ac:dyDescent="0.25">
      <c r="D153" s="115" t="str">
        <v>NE_j124</v>
      </c>
      <c r="E153" s="117" t="str">
        <v>nitrogen excreted by dairy cattle greater than one year old (kg N/head/day)</v>
      </c>
      <c r="F153" s="116"/>
      <c r="G153" s="115" t="str">
        <f>"See " &amp; D136</f>
        <v>See M1_Table_NE_j</v>
      </c>
    </row>
    <row r="154" spans="4:9" ht="20.100000000000001" customHeight="1" x14ac:dyDescent="0.25">
      <c r="D154" s="115" t="str">
        <v>D_j124</v>
      </c>
      <c r="E154" s="117" t="str">
        <v>duration of stay on farm for classes j=1,2,4 (days)</v>
      </c>
      <c r="F154" s="116"/>
      <c r="G154" s="115" t="str">
        <f>"See " &amp; D161</f>
        <v>See M1_Table_D_j-1-2-4</v>
      </c>
    </row>
    <row r="155" spans="4:9" ht="20.100000000000001" customHeight="1" x14ac:dyDescent="0.25"/>
    <row r="156" spans="4:9" ht="20.100000000000001" customHeight="1" x14ac:dyDescent="0.25">
      <c r="D156" s="104" t="s">
        <v>108</v>
      </c>
    </row>
    <row r="157" spans="4:9" ht="20.100000000000001" customHeight="1" x14ac:dyDescent="0.25">
      <c r="D157" s="103" t="s">
        <v>336</v>
      </c>
    </row>
    <row r="158" spans="4:9" ht="20.100000000000001" customHeight="1" x14ac:dyDescent="0.25">
      <c r="D158" s="54" t="s">
        <v>234</v>
      </c>
      <c r="E158" s="54" t="s">
        <v>251</v>
      </c>
      <c r="F158" s="54" t="s">
        <v>252</v>
      </c>
      <c r="G158" s="54" t="s">
        <v>253</v>
      </c>
      <c r="H158" s="54" t="s">
        <v>254</v>
      </c>
    </row>
    <row r="159" spans="4:9" ht="20.100000000000001" customHeight="1" x14ac:dyDescent="0.25">
      <c r="D159" s="107">
        <f>'Input - Dairy'!$E$10</f>
        <v>100</v>
      </c>
      <c r="E159" s="107">
        <f>'Input - Dairy'!$F$10</f>
        <v>100</v>
      </c>
      <c r="F159" s="107">
        <f>'Input - Dairy'!$G$10</f>
        <v>100</v>
      </c>
      <c r="G159" s="107">
        <f>'Input - Dairy'!$H$10</f>
        <v>100</v>
      </c>
      <c r="H159" s="107">
        <f>'Input - Dairy'!$I$10</f>
        <v>100</v>
      </c>
      <c r="I159" s="2" t="s">
        <v>109</v>
      </c>
    </row>
    <row r="160" spans="4:9" ht="20.100000000000001" customHeight="1" x14ac:dyDescent="0.25"/>
    <row r="161" spans="3:21" ht="20.100000000000001" customHeight="1" x14ac:dyDescent="0.25">
      <c r="D161" s="104" t="s">
        <v>343</v>
      </c>
      <c r="N161" s="104" t="s">
        <v>343</v>
      </c>
    </row>
    <row r="162" spans="3:21" ht="20.100000000000001" customHeight="1" x14ac:dyDescent="0.25">
      <c r="D162" s="103" t="s">
        <v>374</v>
      </c>
      <c r="N162" s="103" t="s">
        <v>375</v>
      </c>
    </row>
    <row r="163" spans="3:21" ht="20.100000000000001" customHeight="1" x14ac:dyDescent="0.25">
      <c r="D163" s="54" t="s">
        <v>234</v>
      </c>
      <c r="E163" s="54" t="s">
        <v>251</v>
      </c>
      <c r="F163" s="54" t="s">
        <v>252</v>
      </c>
      <c r="G163" s="54" t="s">
        <v>253</v>
      </c>
      <c r="H163" s="54" t="s">
        <v>254</v>
      </c>
      <c r="N163" s="54" t="s">
        <v>234</v>
      </c>
      <c r="O163" s="54" t="s">
        <v>251</v>
      </c>
      <c r="P163" s="54" t="s">
        <v>252</v>
      </c>
      <c r="Q163" s="54" t="s">
        <v>253</v>
      </c>
      <c r="R163" s="54" t="s">
        <v>254</v>
      </c>
    </row>
    <row r="164" spans="3:21" ht="20.100000000000001" customHeight="1" x14ac:dyDescent="0.25">
      <c r="D164" s="55">
        <f>'Input - Dairy'!$E$24</f>
        <v>365</v>
      </c>
      <c r="E164" s="55">
        <f>'Input - Dairy'!$F$24</f>
        <v>365</v>
      </c>
      <c r="F164" s="55">
        <v>0</v>
      </c>
      <c r="G164" s="55">
        <f>'Input - Dairy'!$H$24</f>
        <v>365</v>
      </c>
      <c r="H164" s="55">
        <v>0</v>
      </c>
      <c r="I164" s="2" t="s">
        <v>55</v>
      </c>
      <c r="N164" s="55">
        <f>'Input - Dairy'!E28</f>
        <v>365</v>
      </c>
      <c r="O164" s="55">
        <f>'Input - Dairy'!F28</f>
        <v>365</v>
      </c>
      <c r="P164" s="55">
        <v>0</v>
      </c>
      <c r="Q164" s="55">
        <f>'Input - Dairy'!H28</f>
        <v>365</v>
      </c>
      <c r="R164" s="55">
        <v>0</v>
      </c>
      <c r="S164" s="2" t="s">
        <v>55</v>
      </c>
    </row>
    <row r="165" spans="3:21" ht="20.100000000000001" customHeight="1" x14ac:dyDescent="0.25"/>
    <row r="166" spans="3:21" ht="20.100000000000001" customHeight="1" x14ac:dyDescent="0.25">
      <c r="D166" s="104" t="s">
        <v>372</v>
      </c>
      <c r="N166" s="104" t="s">
        <v>372</v>
      </c>
    </row>
    <row r="167" spans="3:21" ht="20.100000000000001" customHeight="1" x14ac:dyDescent="0.25">
      <c r="D167" s="103" t="s">
        <v>381</v>
      </c>
      <c r="N167" s="103" t="s">
        <v>373</v>
      </c>
    </row>
    <row r="168" spans="3:21" ht="20.100000000000001" customHeight="1" x14ac:dyDescent="0.25">
      <c r="D168" s="54" t="s">
        <v>234</v>
      </c>
      <c r="E168" s="54" t="s">
        <v>251</v>
      </c>
      <c r="F168" s="54" t="s">
        <v>252</v>
      </c>
      <c r="G168" s="54" t="s">
        <v>253</v>
      </c>
      <c r="H168" s="54" t="s">
        <v>254</v>
      </c>
      <c r="N168" s="54" t="s">
        <v>234</v>
      </c>
      <c r="O168" s="54" t="s">
        <v>251</v>
      </c>
      <c r="P168" s="54" t="s">
        <v>252</v>
      </c>
      <c r="Q168" s="54" t="s">
        <v>253</v>
      </c>
      <c r="R168" s="54" t="s">
        <v>254</v>
      </c>
    </row>
    <row r="169" spans="3:21" ht="20.100000000000001" customHeight="1" x14ac:dyDescent="0.25">
      <c r="D169" s="55" cm="1">
        <f t="array" ref="D169">MMS_Dairy_N2ODirect_Equations.VEERG_4_3_1_3__3a_TotalAnnualNitrogenExcretedGreaterThanOneYearVariation(D159,D139,D164)</f>
        <v>9647.642415693088</v>
      </c>
      <c r="E169" s="55" cm="1">
        <f t="array" ref="E169">MMS_Dairy_N2ODirect_Equations.VEERG_4_3_1_3__3a_TotalAnnualNitrogenExcretedGreaterThanOneYearVariation(E159,E139,E164)</f>
        <v>8288.9955762645804</v>
      </c>
      <c r="F169" s="55" cm="1">
        <f t="array" ref="F169">MMS_Dairy_N2ODirect_Equations.VEERG_4_3_1_3__3a_TotalAnnualNitrogenExcretedGreaterThanOneYearVariation(F159,F139,F164)</f>
        <v>0</v>
      </c>
      <c r="G169" s="55" cm="1">
        <f t="array" ref="G169">MMS_Dairy_N2ODirect_Equations.VEERG_4_3_1_3__3a_TotalAnnualNitrogenExcretedGreaterThanOneYearVariation(G159,G139,G164)</f>
        <v>10419.59526090311</v>
      </c>
      <c r="H169" s="55" cm="1">
        <f t="array" ref="H169">MMS_Dairy_N2ODirect_Equations.VEERG_4_3_1_3__3a_TotalAnnualNitrogenExcretedGreaterThanOneYearVariation(H159,H139,H164)</f>
        <v>0</v>
      </c>
      <c r="I169" s="2" t="str">
        <f>$E$150</f>
        <v>kg N</v>
      </c>
      <c r="N169" s="55" cm="1">
        <f t="array" ref="N169">MMS_Dairy_N2ODirect_Equations.VEERG_4_3_1_3__3a_TotalAnnualNitrogenExcretedGreaterThanOneYearVariation(D159,N139,N164)</f>
        <v>9647.642415693088</v>
      </c>
      <c r="O169" s="55" cm="1">
        <f t="array" ref="O169">MMS_Dairy_N2ODirect_Equations.VEERG_4_3_1_3__3a_TotalAnnualNitrogenExcretedGreaterThanOneYearVariation(E159,O139,O164)</f>
        <v>8288.9955762645804</v>
      </c>
      <c r="P169" s="55" cm="1">
        <f t="array" ref="P169">MMS_Dairy_N2ODirect_Equations.VEERG_4_3_1_3__3a_TotalAnnualNitrogenExcretedGreaterThanOneYearVariation(F159,P139,P164)</f>
        <v>0</v>
      </c>
      <c r="Q169" s="55" cm="1">
        <f t="array" ref="Q169">MMS_Dairy_N2ODirect_Equations.VEERG_4_3_1_3__3a_TotalAnnualNitrogenExcretedGreaterThanOneYearVariation(G159,Q139,Q164)</f>
        <v>10419.59526090311</v>
      </c>
      <c r="R169" s="55" cm="1">
        <f t="array" ref="R169">MMS_Dairy_N2ODirect_Equations.VEERG_4_3_1_3__3a_TotalAnnualNitrogenExcretedGreaterThanOneYearVariation(H159,R139,R164)</f>
        <v>0</v>
      </c>
      <c r="S169" s="2" t="str">
        <f>$E$150</f>
        <v>kg N</v>
      </c>
    </row>
    <row r="170" spans="3:21" ht="20.100000000000001" customHeight="1" x14ac:dyDescent="0.25"/>
    <row r="171" spans="3:21" ht="20.100000000000001" customHeight="1" x14ac:dyDescent="0.25"/>
    <row r="172" spans="3:21" ht="20.100000000000001" customHeight="1" x14ac:dyDescent="0.25">
      <c r="C172" s="48"/>
      <c r="D172" s="48"/>
      <c r="E172" s="48"/>
      <c r="F172" s="48"/>
      <c r="G172" s="48"/>
      <c r="H172" s="48"/>
      <c r="I172" s="48"/>
      <c r="J172" s="48"/>
      <c r="K172" s="48"/>
      <c r="M172" s="48"/>
      <c r="N172" s="48"/>
      <c r="O172" s="48"/>
      <c r="P172" s="48"/>
      <c r="Q172" s="48"/>
      <c r="R172" s="48"/>
      <c r="S172" s="48"/>
      <c r="T172" s="48"/>
      <c r="U172" s="48"/>
    </row>
    <row r="173" spans="3:21" ht="20.100000000000001" customHeight="1" x14ac:dyDescent="0.25">
      <c r="D173" s="6" t="str" cm="1">
        <f t="array" ref="D173">MMS_Dairy_N2ODirect_Equations.VEERG_4_3_1_3__3b_TotalAnnualNitrogenExcretedLessThanOneYear_Title()</f>
        <v>Total annual nitrogen excreted by dairy cattle less than one year old</v>
      </c>
    </row>
    <row r="174" spans="3:21" ht="20.100000000000001" customHeight="1" x14ac:dyDescent="0.25">
      <c r="D174" s="5" t="str" cm="1">
        <f t="array" ref="D174">MMS_Dairy_N2ODirect_Equations.VEERG_4_3_1_3__3b_TotalAnnualNitrogenExcretedLessThanOneYear_Source()</f>
        <v>VEERG 2026: 4.3.1.3, Equation (3b)</v>
      </c>
    </row>
    <row r="175" spans="3:21" ht="20.100000000000001" customHeight="1" x14ac:dyDescent="0.25">
      <c r="D175" s="58" t="str" cm="1">
        <f t="array" ref="D175">MMS_Dairy_N2ODirect_Equations.VEERG_4_3_1_3__3b_TotalAnnualNitrogenExcretedLessThanOneYear_Variation()</f>
        <v>VARIATION: Used Duration variables instead of hard-coded 281 and 84 values.</v>
      </c>
    </row>
    <row r="176" spans="3:21" ht="20.100000000000001" customHeight="1" x14ac:dyDescent="0.25">
      <c r="D176" s="13" t="s">
        <v>27</v>
      </c>
      <c r="E176" s="13" t="str" cm="1">
        <f t="array" aca="1" ref="E176" ca="1">Common_InputFunctions.Utility_DisplayFunctionName(D206)</f>
        <v>=MMS_Dairy_N2ODirect_Equations.VEERG_4_3_1_3__3b_TotalAnnualNitrogenExcretedLessThanOneYearVariation</v>
      </c>
    </row>
    <row r="177" spans="4:9" ht="20.100000000000001" customHeight="1" x14ac:dyDescent="0.25">
      <c r="D177" s="6"/>
    </row>
    <row r="178" spans="4:9" ht="20.100000000000001" customHeight="1" x14ac:dyDescent="0.25">
      <c r="D178" s="6"/>
    </row>
    <row r="179" spans="4:9" ht="20.100000000000001" customHeight="1" x14ac:dyDescent="0.25">
      <c r="D179" s="56" t="s">
        <v>30</v>
      </c>
      <c r="E179" s="1" t="str" cm="1">
        <f t="array" ref="E179">MMS_Dairy_N2ODirect_Equations.VEERG_4_3_1_3__3b_TotalAnnualNitrogenExcretedLessThanOneYear_Variable()</f>
        <v>AE_j35</v>
      </c>
    </row>
    <row r="180" spans="4:9" ht="20.100000000000001" customHeight="1" x14ac:dyDescent="0.25">
      <c r="D180" s="56" t="s">
        <v>20</v>
      </c>
      <c r="E180" s="57" t="str" cm="1">
        <f t="array" ref="E180">MMS_Dairy_N2ODirect_Equations.VEERG_4_3_1_3__3b_TotalAnnualNitrogenExcretedLessThanOneYear_Unit()</f>
        <v>kg N</v>
      </c>
    </row>
    <row r="181" spans="4:9" ht="20.100000000000001" customHeight="1" x14ac:dyDescent="0.25"/>
    <row r="182" spans="4:9" ht="20.100000000000001" customHeight="1" x14ac:dyDescent="0.25">
      <c r="D182" s="60" t="str" cm="1">
        <f t="array" ref="D182:E186">MMS_Dairy_N2ODirect_Equations.VEERG_4_3_1_3__3b_TotalAnnualNitrogenExcretedLessThanOneYear_Arguments()</f>
        <v>N_j35</v>
      </c>
      <c r="E182" s="61" t="str">
        <v>number of dairy cattle in classes j=3,5</v>
      </c>
      <c r="F182" s="62"/>
      <c r="G182" s="60" t="str">
        <f>"See " &amp; D156</f>
        <v>See Table_N_j</v>
      </c>
    </row>
    <row r="183" spans="4:9" ht="20.100000000000001" customHeight="1" x14ac:dyDescent="0.25">
      <c r="D183" s="60" t="str">
        <v>NE_j35</v>
      </c>
      <c r="E183" s="61" t="str">
        <v>nitrogen excreted by weaned dairy cattle less than one year old (kg N/head/day)</v>
      </c>
      <c r="F183" s="62"/>
      <c r="G183" s="60" t="str">
        <f>"See " &amp; D136</f>
        <v>See M1_Table_NE_j</v>
      </c>
    </row>
    <row r="184" spans="4:9" ht="20.100000000000001" customHeight="1" x14ac:dyDescent="0.25">
      <c r="D184" s="60" t="str">
        <v>NPW_j35</v>
      </c>
      <c r="E184" s="61" t="str">
        <v>nitrogen excreted by pre-weaned calves (kg N/head/day)</v>
      </c>
      <c r="F184" s="62"/>
      <c r="G184" s="60" t="str">
        <f>"See " &amp; D188</f>
        <v>See Table_NPW_j-3-5</v>
      </c>
    </row>
    <row r="185" spans="4:9" ht="20.100000000000001" customHeight="1" x14ac:dyDescent="0.25">
      <c r="D185" s="60" t="str">
        <v>D_j35</v>
      </c>
      <c r="E185" s="61" t="str">
        <v>duration of stay on farm for weaned dairy cattle less than one year old (days)</v>
      </c>
      <c r="F185" s="62"/>
      <c r="G185" s="60" t="str">
        <f>"See " &amp; D193</f>
        <v>See M1_Table_D_j-3-5</v>
      </c>
    </row>
    <row r="186" spans="4:9" ht="20.100000000000001" customHeight="1" x14ac:dyDescent="0.25">
      <c r="D186" s="60" t="str">
        <v>DPW_j35</v>
      </c>
      <c r="E186" s="61" t="str">
        <v>duration of stay on farm for pre-weaned calves (days)</v>
      </c>
      <c r="F186" s="62"/>
      <c r="G186" s="60" t="str">
        <f>"See " &amp; D198</f>
        <v>See M1_Table_DPW_j</v>
      </c>
    </row>
    <row r="187" spans="4:9" ht="20.100000000000001" customHeight="1" x14ac:dyDescent="0.25"/>
    <row r="188" spans="4:9" ht="20.100000000000001" customHeight="1" x14ac:dyDescent="0.25">
      <c r="D188" s="104" t="s">
        <v>378</v>
      </c>
    </row>
    <row r="189" spans="4:9" ht="20.100000000000001" customHeight="1" x14ac:dyDescent="0.25">
      <c r="D189" s="103" t="s">
        <v>379</v>
      </c>
    </row>
    <row r="190" spans="4:9" ht="20.100000000000001" customHeight="1" x14ac:dyDescent="0.25">
      <c r="D190" s="54" t="s">
        <v>234</v>
      </c>
      <c r="E190" s="54" t="s">
        <v>251</v>
      </c>
      <c r="F190" s="54" t="s">
        <v>252</v>
      </c>
      <c r="G190" s="54" t="s">
        <v>253</v>
      </c>
      <c r="H190" s="54" t="s">
        <v>254</v>
      </c>
    </row>
    <row r="191" spans="4:9" ht="20.100000000000001" customHeight="1" x14ac:dyDescent="0.25">
      <c r="D191" s="55">
        <v>0</v>
      </c>
      <c r="E191" s="55">
        <v>0</v>
      </c>
      <c r="F191" s="55">
        <f>'Constants - Dairy'!$G$63</f>
        <v>1.37E-2</v>
      </c>
      <c r="G191" s="55">
        <v>0</v>
      </c>
      <c r="H191" s="55">
        <f>'Constants - Dairy'!$G$64</f>
        <v>9.1999999999999998E-3</v>
      </c>
      <c r="I191" s="2" t="s">
        <v>342</v>
      </c>
    </row>
    <row r="192" spans="4:9" ht="20.100000000000001" customHeight="1" x14ac:dyDescent="0.25"/>
    <row r="193" spans="4:19" ht="20.100000000000001" customHeight="1" x14ac:dyDescent="0.25">
      <c r="D193" s="104" t="s">
        <v>376</v>
      </c>
      <c r="N193" s="104" t="s">
        <v>376</v>
      </c>
    </row>
    <row r="194" spans="4:19" ht="20.100000000000001" customHeight="1" x14ac:dyDescent="0.25">
      <c r="D194" s="103" t="s">
        <v>377</v>
      </c>
      <c r="N194" s="103" t="s">
        <v>377</v>
      </c>
    </row>
    <row r="195" spans="4:19" ht="20.100000000000001" customHeight="1" x14ac:dyDescent="0.25">
      <c r="D195" s="54" t="s">
        <v>234</v>
      </c>
      <c r="E195" s="54" t="s">
        <v>251</v>
      </c>
      <c r="F195" s="54" t="s">
        <v>252</v>
      </c>
      <c r="G195" s="54" t="s">
        <v>253</v>
      </c>
      <c r="H195" s="54" t="s">
        <v>254</v>
      </c>
      <c r="N195" s="54" t="s">
        <v>234</v>
      </c>
      <c r="O195" s="54" t="s">
        <v>251</v>
      </c>
      <c r="P195" s="54" t="s">
        <v>252</v>
      </c>
      <c r="Q195" s="54" t="s">
        <v>253</v>
      </c>
      <c r="R195" s="54" t="s">
        <v>254</v>
      </c>
    </row>
    <row r="196" spans="4:19" ht="20.100000000000001" customHeight="1" x14ac:dyDescent="0.25">
      <c r="D196" s="55">
        <v>0</v>
      </c>
      <c r="E196" s="55">
        <v>0</v>
      </c>
      <c r="F196" s="55">
        <f>'Input - Dairy'!$G$24</f>
        <v>281</v>
      </c>
      <c r="G196" s="55">
        <v>0</v>
      </c>
      <c r="H196" s="55">
        <f>'Input - Dairy'!$I$24</f>
        <v>281</v>
      </c>
      <c r="I196" s="2" t="s">
        <v>55</v>
      </c>
      <c r="N196" s="55">
        <v>0</v>
      </c>
      <c r="O196" s="55">
        <v>0</v>
      </c>
      <c r="P196" s="55">
        <f>'Input - Dairy'!G28</f>
        <v>281</v>
      </c>
      <c r="Q196" s="55">
        <v>0</v>
      </c>
      <c r="R196" s="55">
        <f>'Input - Dairy'!I28</f>
        <v>281</v>
      </c>
      <c r="S196" s="2" t="s">
        <v>55</v>
      </c>
    </row>
    <row r="197" spans="4:19" ht="20.100000000000001" customHeight="1" x14ac:dyDescent="0.25"/>
    <row r="198" spans="4:19" ht="20.100000000000001" customHeight="1" x14ac:dyDescent="0.25">
      <c r="D198" s="104" t="s">
        <v>338</v>
      </c>
      <c r="N198" s="104" t="s">
        <v>338</v>
      </c>
    </row>
    <row r="199" spans="4:19" ht="20.100000000000001" customHeight="1" x14ac:dyDescent="0.25">
      <c r="D199" s="103" t="s">
        <v>346</v>
      </c>
      <c r="N199" s="103" t="s">
        <v>346</v>
      </c>
    </row>
    <row r="200" spans="4:19" ht="20.100000000000001" customHeight="1" x14ac:dyDescent="0.25">
      <c r="D200" s="54" t="s">
        <v>234</v>
      </c>
      <c r="E200" s="54" t="s">
        <v>251</v>
      </c>
      <c r="F200" s="54" t="s">
        <v>252</v>
      </c>
      <c r="G200" s="54" t="s">
        <v>253</v>
      </c>
      <c r="H200" s="54" t="s">
        <v>254</v>
      </c>
      <c r="N200" s="54" t="s">
        <v>234</v>
      </c>
      <c r="O200" s="54" t="s">
        <v>251</v>
      </c>
      <c r="P200" s="54" t="s">
        <v>252</v>
      </c>
      <c r="Q200" s="54" t="s">
        <v>253</v>
      </c>
      <c r="R200" s="54" t="s">
        <v>254</v>
      </c>
    </row>
    <row r="201" spans="4:19" ht="20.100000000000001" customHeight="1" x14ac:dyDescent="0.25">
      <c r="D201" s="55">
        <f>'Input - Dairy'!$E$25</f>
        <v>0</v>
      </c>
      <c r="E201" s="55">
        <f>'Input - Dairy'!$F$25</f>
        <v>0</v>
      </c>
      <c r="F201" s="55">
        <f>'Input - Dairy'!$G$25</f>
        <v>84</v>
      </c>
      <c r="G201" s="55">
        <f>'Input - Dairy'!$H$25</f>
        <v>0</v>
      </c>
      <c r="H201" s="55">
        <f>'Input - Dairy'!$I$25</f>
        <v>84</v>
      </c>
      <c r="I201" s="2" t="s">
        <v>55</v>
      </c>
      <c r="N201" s="55">
        <f>'Input - Dairy'!$E$25</f>
        <v>0</v>
      </c>
      <c r="O201" s="55">
        <f>'Input - Dairy'!$F$25</f>
        <v>0</v>
      </c>
      <c r="P201" s="55">
        <f>'Input - Dairy'!G29</f>
        <v>84</v>
      </c>
      <c r="Q201" s="55">
        <f>'Input - Dairy'!$H$25</f>
        <v>0</v>
      </c>
      <c r="R201" s="55">
        <f>'Input - Dairy'!I29</f>
        <v>84</v>
      </c>
      <c r="S201" s="2" t="s">
        <v>55</v>
      </c>
    </row>
    <row r="202" spans="4:19" ht="20.100000000000001" customHeight="1" x14ac:dyDescent="0.25"/>
    <row r="203" spans="4:19" ht="20.100000000000001" customHeight="1" x14ac:dyDescent="0.25">
      <c r="D203" s="104" t="s">
        <v>126</v>
      </c>
      <c r="N203" s="104" t="s">
        <v>126</v>
      </c>
    </row>
    <row r="204" spans="4:19" ht="20.100000000000001" customHeight="1" x14ac:dyDescent="0.25">
      <c r="D204" s="103" t="s">
        <v>380</v>
      </c>
      <c r="N204" s="103" t="s">
        <v>380</v>
      </c>
    </row>
    <row r="205" spans="4:19" ht="20.100000000000001" customHeight="1" x14ac:dyDescent="0.25">
      <c r="D205" s="54" t="s">
        <v>234</v>
      </c>
      <c r="E205" s="54" t="s">
        <v>251</v>
      </c>
      <c r="F205" s="54" t="s">
        <v>252</v>
      </c>
      <c r="G205" s="54" t="s">
        <v>253</v>
      </c>
      <c r="H205" s="54" t="s">
        <v>254</v>
      </c>
      <c r="N205" s="54" t="s">
        <v>234</v>
      </c>
      <c r="O205" s="54" t="s">
        <v>251</v>
      </c>
      <c r="P205" s="54" t="s">
        <v>252</v>
      </c>
      <c r="Q205" s="54" t="s">
        <v>253</v>
      </c>
      <c r="R205" s="54" t="s">
        <v>254</v>
      </c>
    </row>
    <row r="206" spans="4:19" ht="20.100000000000001" customHeight="1" x14ac:dyDescent="0.25">
      <c r="D206" s="55" cm="1">
        <f t="array" ref="D206">MMS_Dairy_N2ODirect_Equations.VEERG_4_3_1_3__3b_TotalAnnualNitrogenExcretedLessThanOneYearVariation(D159,D139,D191,D196,D201)</f>
        <v>0</v>
      </c>
      <c r="E206" s="55" cm="1">
        <f t="array" ref="E206">MMS_Dairy_N2ODirect_Equations.VEERG_4_3_1_3__3b_TotalAnnualNitrogenExcretedLessThanOneYearVariation(E159,E139,E191,E196,E201)</f>
        <v>0</v>
      </c>
      <c r="F206" s="55" cm="1">
        <f t="array" ref="F206">MMS_Dairy_N2ODirect_Equations.VEERG_4_3_1_3__3b_TotalAnnualNitrogenExcretedLessThanOneYearVariation(F159,F139,F191,F196,F201)</f>
        <v>3301.419278356519</v>
      </c>
      <c r="G206" s="55" cm="1">
        <f t="array" ref="G206">MMS_Dairy_N2ODirect_Equations.VEERG_4_3_1_3__3b_TotalAnnualNitrogenExcretedLessThanOneYearVariation(G159,G139,G191,G196,G201)</f>
        <v>0</v>
      </c>
      <c r="H206" s="55" cm="1">
        <f t="array" ref="H206">MMS_Dairy_N2ODirect_Equations.VEERG_4_3_1_3__3b_TotalAnnualNitrogenExcretedLessThanOneYearVariation(H159,H139,H191,H196,H201)</f>
        <v>4361.9480490479727</v>
      </c>
      <c r="I206" s="2" t="s">
        <v>55</v>
      </c>
      <c r="N206" s="55" cm="1">
        <f t="array" ref="N206">MMS_Dairy_N2ODirect_Equations.VEERG_4_3_1_3__3b_TotalAnnualNitrogenExcretedLessThanOneYearVariation(D159,N139,D191,N196,N201)</f>
        <v>0</v>
      </c>
      <c r="O206" s="55" cm="1">
        <f t="array" ref="O206">MMS_Dairy_N2ODirect_Equations.VEERG_4_3_1_3__3b_TotalAnnualNitrogenExcretedLessThanOneYearVariation(E159,O139,E191,O196,O201)</f>
        <v>0</v>
      </c>
      <c r="P206" s="55" cm="1">
        <f t="array" ref="P206">MMS_Dairy_N2ODirect_Equations.VEERG_4_3_1_3__3b_TotalAnnualNitrogenExcretedLessThanOneYearVariation(F159,P139,F191,P196,P201)</f>
        <v>3301.419278356519</v>
      </c>
      <c r="Q206" s="55" cm="1">
        <f t="array" ref="Q206">MMS_Dairy_N2ODirect_Equations.VEERG_4_3_1_3__3b_TotalAnnualNitrogenExcretedLessThanOneYearVariation(G159,Q139,G191,Q196,Q201)</f>
        <v>0</v>
      </c>
      <c r="R206" s="55" cm="1">
        <f t="array" ref="R206">MMS_Dairy_N2ODirect_Equations.VEERG_4_3_1_3__3b_TotalAnnualNitrogenExcretedLessThanOneYearVariation(H159,R139,H191,R196,R201)</f>
        <v>4361.9480490479727</v>
      </c>
      <c r="S206" s="2" t="s">
        <v>55</v>
      </c>
    </row>
    <row r="207" spans="4:19" ht="20.100000000000001" customHeight="1" x14ac:dyDescent="0.25"/>
    <row r="208" spans="4:19" ht="20.100000000000001" customHeight="1" x14ac:dyDescent="0.25"/>
    <row r="209" spans="3:21" ht="20.100000000000001" customHeight="1" x14ac:dyDescent="0.25">
      <c r="C209" s="48"/>
      <c r="D209" s="48"/>
      <c r="E209" s="48"/>
      <c r="F209" s="48"/>
      <c r="G209" s="48"/>
      <c r="H209" s="48"/>
      <c r="I209" s="48"/>
      <c r="J209" s="48"/>
      <c r="K209" s="48"/>
      <c r="M209" s="48"/>
      <c r="N209" s="48"/>
      <c r="O209" s="48"/>
      <c r="P209" s="48"/>
      <c r="Q209" s="48"/>
      <c r="R209" s="48"/>
      <c r="S209" s="48"/>
      <c r="T209" s="48"/>
      <c r="U209" s="48"/>
    </row>
    <row r="210" spans="3:21" ht="20.100000000000001" customHeight="1" x14ac:dyDescent="0.25">
      <c r="D210" s="6" t="str" cm="1">
        <f t="array" ref="D210">MMS_Dairy_N2ODirect_Equations.VEERG_4_3_1_3__2_TotalNitrogenInEachMMS_Title()</f>
        <v>Total nitrogen in each MMS</v>
      </c>
    </row>
    <row r="211" spans="3:21" ht="20.100000000000001" customHeight="1" x14ac:dyDescent="0.25">
      <c r="D211" s="5" t="str" cm="1">
        <f t="array" ref="D211">MMS_Dairy_N2ODirect_Equations.VEERG_4_3_1_3__2_TotalNitrogenInEachMMS_Source()</f>
        <v>VEERG 2026: 4.3.1.3, Equation (2)</v>
      </c>
    </row>
    <row r="212" spans="3:21" ht="20.100000000000001" customHeight="1" x14ac:dyDescent="0.25">
      <c r="D212" s="13" t="s">
        <v>27</v>
      </c>
      <c r="E212" s="13" t="e" cm="1">
        <f t="array" aca="1" ref="E212" ca="1">Common_InputFunctions.Utility_DisplayFunctionName(D242)</f>
        <v>#N/A</v>
      </c>
    </row>
    <row r="213" spans="3:21" ht="20.100000000000001" customHeight="1" x14ac:dyDescent="0.25"/>
    <row r="214" spans="3:21" ht="20.100000000000001" customHeight="1" x14ac:dyDescent="0.25">
      <c r="D214" s="6"/>
    </row>
    <row r="215" spans="3:21" ht="20.100000000000001" customHeight="1" x14ac:dyDescent="0.25">
      <c r="D215" s="56" t="s">
        <v>30</v>
      </c>
      <c r="E215" s="1" t="str" cm="1">
        <f t="array" ref="E215">MMS_Dairy_N2ODirect_Equations.VEERG_4_3_1_3__2_TotalNitrogenInEachMMS_Variable()</f>
        <v>MN_jm</v>
      </c>
    </row>
    <row r="216" spans="3:21" ht="20.100000000000001" customHeight="1" x14ac:dyDescent="0.25">
      <c r="D216" s="56" t="s">
        <v>20</v>
      </c>
      <c r="E216" s="57" t="str" cm="1">
        <f t="array" ref="E216">MMS_Dairy_N2ODirect_Equations.VEERG_4_3_1_3__2_TotalNitrogenInEachMMS_Unit()</f>
        <v>kg N</v>
      </c>
    </row>
    <row r="217" spans="3:21" ht="20.100000000000001" customHeight="1" x14ac:dyDescent="0.25"/>
    <row r="218" spans="3:21" x14ac:dyDescent="0.25">
      <c r="D218" s="115" t="str" cm="1">
        <f t="array" ref="D218:E219">MMS_Dairy_N2ODirect_Equations.VEERG_4_3_1_3__2_TotalNitrogenInEachMMS_Arguments()</f>
        <v>AE_j</v>
      </c>
      <c r="E218" s="117" t="str">
        <v>total nitrogen excreted by each dairy class (kg N)</v>
      </c>
      <c r="F218" s="116"/>
      <c r="G218" s="115" t="str">
        <f>"See " &amp; D166 &amp; " and " &amp; D203</f>
        <v>See M1_Table_AE_j-1-2-4 and M1_Table_AE_j</v>
      </c>
    </row>
    <row r="219" spans="3:21" x14ac:dyDescent="0.25">
      <c r="D219" s="115" t="str">
        <v>MMS_jm</v>
      </c>
      <c r="E219" s="117" t="str">
        <v>manure management system fraction for class j and system m</v>
      </c>
      <c r="F219" s="116"/>
      <c r="G219" s="115" t="str">
        <f>"See " &amp; D221</f>
        <v>See M1_Table_MMS_j_m</v>
      </c>
    </row>
    <row r="221" spans="3:21" x14ac:dyDescent="0.25">
      <c r="D221" s="104" t="s">
        <v>317</v>
      </c>
      <c r="N221" s="104" t="s">
        <v>319</v>
      </c>
    </row>
    <row r="222" spans="3:21" x14ac:dyDescent="0.25">
      <c r="D222" s="103" t="s">
        <v>382</v>
      </c>
      <c r="N222" s="103" t="s">
        <v>383</v>
      </c>
    </row>
    <row r="223" spans="3:21" x14ac:dyDescent="0.25">
      <c r="D223" s="54" t="s">
        <v>203</v>
      </c>
      <c r="E223" s="54" t="s">
        <v>68</v>
      </c>
      <c r="F223" s="54" t="s">
        <v>234</v>
      </c>
      <c r="G223" s="54" t="s">
        <v>251</v>
      </c>
      <c r="H223" s="54" t="s">
        <v>252</v>
      </c>
      <c r="I223" s="54" t="s">
        <v>253</v>
      </c>
      <c r="J223" s="54" t="s">
        <v>254</v>
      </c>
      <c r="N223" s="54" t="s">
        <v>203</v>
      </c>
      <c r="O223" s="54" t="s">
        <v>68</v>
      </c>
      <c r="P223" s="54" t="s">
        <v>234</v>
      </c>
      <c r="Q223" s="54" t="s">
        <v>251</v>
      </c>
      <c r="R223" s="54" t="s">
        <v>252</v>
      </c>
      <c r="S223" s="54" t="s">
        <v>253</v>
      </c>
      <c r="T223" s="54" t="s">
        <v>254</v>
      </c>
    </row>
    <row r="224" spans="3:21" x14ac:dyDescent="0.25">
      <c r="D224" s="55" t="str">
        <f>'Input - Dairy'!$D$54</f>
        <v>Milking shed</v>
      </c>
      <c r="E224" s="55" t="str">
        <f>'Input - Dairy'!$D$67</f>
        <v>Anaerobic lagoon</v>
      </c>
      <c r="F224" s="55" cm="1">
        <f t="array" ref="F224">InputFunctions_Dairy.CalculateFractionInMMSAfterSolidSeparation('Input - Dairy'!E54,'Input - Dairy'!E67,'Input - Dairy'!$E$69)</f>
        <v>2.2000000000000002E-2</v>
      </c>
      <c r="G224" s="55" cm="1">
        <f t="array" ref="G224">InputFunctions_Dairy.CalculateFractionInMMSAfterSolidSeparation('Input - Dairy'!F54,'Input - Dairy'!F67,'Input - Dairy'!$E$69)</f>
        <v>2.2000000000000002E-2</v>
      </c>
      <c r="H224" s="55" cm="1">
        <f t="array" ref="H224">InputFunctions_Dairy.CalculateFractionInMMSAfterSolidSeparation('Input - Dairy'!G54,'Input - Dairy'!G67,'Input - Dairy'!$E$69)</f>
        <v>2.2000000000000002E-2</v>
      </c>
      <c r="I224" s="55" cm="1">
        <f t="array" ref="I224">InputFunctions_Dairy.CalculateFractionInMMSAfterSolidSeparation('Input - Dairy'!H54,'Input - Dairy'!H67,'Input - Dairy'!$E$69)</f>
        <v>2.2000000000000002E-2</v>
      </c>
      <c r="J224" s="55" cm="1">
        <f t="array" ref="J224">InputFunctions_Dairy.CalculateFractionInMMSAfterSolidSeparation('Input - Dairy'!I54,'Input - Dairy'!I67,'Input - Dairy'!$E$69)</f>
        <v>2.2000000000000002E-2</v>
      </c>
      <c r="N224" s="55" t="str">
        <f>'Input - Dairy'!$D$54</f>
        <v>Milking shed</v>
      </c>
      <c r="O224" s="55" t="str">
        <f>'Input - Dairy'!$D$67</f>
        <v>Anaerobic lagoon</v>
      </c>
      <c r="P224" s="55" cm="1">
        <f t="array" ref="P224">InputFunctions_Dairy.CalculateFractionInMMSAfterSolidSeparation('Input - Dairy'!E59,'Input - Dairy'!E67,'Input - Dairy'!$E$70)</f>
        <v>2.2000000000000002E-2</v>
      </c>
      <c r="Q224" s="55" cm="1">
        <f t="array" ref="Q224">InputFunctions_Dairy.CalculateFractionInMMSAfterSolidSeparation('Input - Dairy'!F59,'Input - Dairy'!F67,'Input - Dairy'!$E$70)</f>
        <v>2.2000000000000002E-2</v>
      </c>
      <c r="R224" s="55" cm="1">
        <f t="array" ref="R224">InputFunctions_Dairy.CalculateFractionInMMSAfterSolidSeparation('Input - Dairy'!G59,'Input - Dairy'!G67,'Input - Dairy'!$E$70)</f>
        <v>2.2000000000000002E-2</v>
      </c>
      <c r="S224" s="55" cm="1">
        <f t="array" ref="S224">InputFunctions_Dairy.CalculateFractionInMMSAfterSolidSeparation('Input - Dairy'!H59,'Input - Dairy'!H67,'Input - Dairy'!$E$70)</f>
        <v>2.2000000000000002E-2</v>
      </c>
      <c r="T224" s="55" cm="1">
        <f t="array" ref="T224">InputFunctions_Dairy.CalculateFractionInMMSAfterSolidSeparation('Input - Dairy'!I59,'Input - Dairy'!I67,'Input - Dairy'!$E$70)</f>
        <v>2.2000000000000002E-2</v>
      </c>
    </row>
    <row r="225" spans="4:20" x14ac:dyDescent="0.25">
      <c r="D225" s="55" t="str">
        <f>'Input - Dairy'!$D$54</f>
        <v>Milking shed</v>
      </c>
      <c r="E225" s="55" t="str">
        <f>'Input - Dairy'!$D$72</f>
        <v>Sump and dispersal system</v>
      </c>
      <c r="F225" s="55" cm="1">
        <f t="array" ref="F225">InputFunctions_Dairy.CalculateFractionInMMSAfterSolidSeparation('Input - Dairy'!E54,'Input - Dairy'!E72,'Input - Dairy'!$E$74)</f>
        <v>2.2000000000000002E-2</v>
      </c>
      <c r="G225" s="55" cm="1">
        <f t="array" ref="G225">InputFunctions_Dairy.CalculateFractionInMMSAfterSolidSeparation('Input - Dairy'!F54,'Input - Dairy'!F72,'Input - Dairy'!$E$74)</f>
        <v>2.2000000000000002E-2</v>
      </c>
      <c r="H225" s="55" cm="1">
        <f t="array" ref="H225">InputFunctions_Dairy.CalculateFractionInMMSAfterSolidSeparation('Input - Dairy'!G54,'Input - Dairy'!G72,'Input - Dairy'!$E$74)</f>
        <v>2.2000000000000002E-2</v>
      </c>
      <c r="I225" s="55" cm="1">
        <f t="array" ref="I225">InputFunctions_Dairy.CalculateFractionInMMSAfterSolidSeparation('Input - Dairy'!H54,'Input - Dairy'!H72,'Input - Dairy'!$E$74)</f>
        <v>2.2000000000000002E-2</v>
      </c>
      <c r="J225" s="55" cm="1">
        <f t="array" ref="J225">InputFunctions_Dairy.CalculateFractionInMMSAfterSolidSeparation('Input - Dairy'!I54,'Input - Dairy'!I72,'Input - Dairy'!$E$74)</f>
        <v>2.2000000000000002E-2</v>
      </c>
      <c r="N225" s="55" t="str">
        <f>'Input - Dairy'!$D$54</f>
        <v>Milking shed</v>
      </c>
      <c r="O225" s="55" t="str">
        <f>'Input - Dairy'!$D$72</f>
        <v>Sump and dispersal system</v>
      </c>
      <c r="P225" s="55" cm="1">
        <f t="array" ref="P225">InputFunctions_Dairy.CalculateFractionInMMSAfterSolidSeparation('Input - Dairy'!E59,'Input - Dairy'!E72,'Input - Dairy'!$E$75)</f>
        <v>2.2000000000000002E-2</v>
      </c>
      <c r="Q225" s="55" cm="1">
        <f t="array" ref="Q225">InputFunctions_Dairy.CalculateFractionInMMSAfterSolidSeparation('Input - Dairy'!F59,'Input - Dairy'!F72,'Input - Dairy'!$E$75)</f>
        <v>2.2000000000000002E-2</v>
      </c>
      <c r="R225" s="55" cm="1">
        <f t="array" ref="R225">InputFunctions_Dairy.CalculateFractionInMMSAfterSolidSeparation('Input - Dairy'!G59,'Input - Dairy'!G72,'Input - Dairy'!$E$75)</f>
        <v>2.2000000000000002E-2</v>
      </c>
      <c r="S225" s="55" cm="1">
        <f t="array" ref="S225">InputFunctions_Dairy.CalculateFractionInMMSAfterSolidSeparation('Input - Dairy'!H59,'Input - Dairy'!H72,'Input - Dairy'!$E$75)</f>
        <v>2.2000000000000002E-2</v>
      </c>
      <c r="T225" s="55" cm="1">
        <f t="array" ref="T225">InputFunctions_Dairy.CalculateFractionInMMSAfterSolidSeparation('Input - Dairy'!I59,'Input - Dairy'!I72,'Input - Dairy'!$E$75)</f>
        <v>2.2000000000000002E-2</v>
      </c>
    </row>
    <row r="226" spans="4:20" x14ac:dyDescent="0.25">
      <c r="D226" s="55" t="str">
        <f>'Input - Dairy'!$D$54</f>
        <v>Milking shed</v>
      </c>
      <c r="E226" s="55" t="str">
        <f>'Input - Dairy'!$D$77</f>
        <v>Drains to paddock</v>
      </c>
      <c r="F226" s="55" cm="1">
        <f t="array" ref="F226">InputFunctions_Dairy.CalculateFractionInMMSAfterSolidSeparation('Input - Dairy'!E54,'Input - Dairy'!E77,'Input - Dairy'!$E$79)</f>
        <v>2.2000000000000002E-2</v>
      </c>
      <c r="G226" s="55" cm="1">
        <f t="array" ref="G226">InputFunctions_Dairy.CalculateFractionInMMSAfterSolidSeparation('Input - Dairy'!F54,'Input - Dairy'!F77,'Input - Dairy'!$E$79)</f>
        <v>2.2000000000000002E-2</v>
      </c>
      <c r="H226" s="55" cm="1">
        <f t="array" ref="H226">InputFunctions_Dairy.CalculateFractionInMMSAfterSolidSeparation('Input - Dairy'!G54,'Input - Dairy'!G77,'Input - Dairy'!$E$79)</f>
        <v>2.2000000000000002E-2</v>
      </c>
      <c r="I226" s="55" cm="1">
        <f t="array" ref="I226">InputFunctions_Dairy.CalculateFractionInMMSAfterSolidSeparation('Input - Dairy'!H54,'Input - Dairy'!H77,'Input - Dairy'!$E$79)</f>
        <v>2.2000000000000002E-2</v>
      </c>
      <c r="J226" s="55" cm="1">
        <f t="array" ref="J226">InputFunctions_Dairy.CalculateFractionInMMSAfterSolidSeparation('Input - Dairy'!I54,'Input - Dairy'!I77,'Input - Dairy'!$E$79)</f>
        <v>2.2000000000000002E-2</v>
      </c>
      <c r="N226" s="55" t="str">
        <f>'Input - Dairy'!$D$54</f>
        <v>Milking shed</v>
      </c>
      <c r="O226" s="55" t="str">
        <f>'Input - Dairy'!$D$77</f>
        <v>Drains to paddock</v>
      </c>
      <c r="P226" s="55" cm="1">
        <f t="array" ref="P226">InputFunctions_Dairy.CalculateFractionInMMSAfterSolidSeparation('Input - Dairy'!E59,'Input - Dairy'!E77,'Input - Dairy'!$E$80)</f>
        <v>2.2000000000000002E-2</v>
      </c>
      <c r="Q226" s="55" cm="1">
        <f t="array" ref="Q226">InputFunctions_Dairy.CalculateFractionInMMSAfterSolidSeparation('Input - Dairy'!F59,'Input - Dairy'!F77,'Input - Dairy'!$E$80)</f>
        <v>2.2000000000000002E-2</v>
      </c>
      <c r="R226" s="55" cm="1">
        <f t="array" ref="R226">InputFunctions_Dairy.CalculateFractionInMMSAfterSolidSeparation('Input - Dairy'!G59,'Input - Dairy'!G77,'Input - Dairy'!$E$80)</f>
        <v>2.2000000000000002E-2</v>
      </c>
      <c r="S226" s="55" cm="1">
        <f t="array" ref="S226">InputFunctions_Dairy.CalculateFractionInMMSAfterSolidSeparation('Input - Dairy'!H59,'Input - Dairy'!H77,'Input - Dairy'!$E$80)</f>
        <v>2.2000000000000002E-2</v>
      </c>
      <c r="T226" s="55" cm="1">
        <f t="array" ref="T226">InputFunctions_Dairy.CalculateFractionInMMSAfterSolidSeparation('Input - Dairy'!I59,'Input - Dairy'!I77,'Input - Dairy'!$E$80)</f>
        <v>2.2000000000000002E-2</v>
      </c>
    </row>
    <row r="227" spans="4:20" x14ac:dyDescent="0.25">
      <c r="D227" s="55" t="str">
        <f>'Input - Dairy'!$D$54</f>
        <v>Milking shed</v>
      </c>
      <c r="E227" s="55" t="str">
        <f>'Input - Dairy'!$D$82</f>
        <v>Solid storage</v>
      </c>
      <c r="F227" s="55" cm="1">
        <f t="array" ref="F227">InputFunctions_Dairy.CalculateFractionInSolidStorage('Input - Dairy'!E54,'Input - Dairy'!E82,'Input - Dairy'!E67,'Input - Dairy'!$E$69,'Input - Dairy'!E72,'Input - Dairy'!$E$74,'Input - Dairy'!E77,'Input - Dairy'!$E$79)</f>
        <v>4.3999999999999997E-2</v>
      </c>
      <c r="G227" s="55" cm="1">
        <f t="array" ref="G227">InputFunctions_Dairy.CalculateFractionInSolidStorage('Input - Dairy'!F54,'Input - Dairy'!F82,'Input - Dairy'!F67,'Input - Dairy'!$E$69,'Input - Dairy'!F72,'Input - Dairy'!$E$74,'Input - Dairy'!F77,'Input - Dairy'!$E$79)</f>
        <v>4.3999999999999997E-2</v>
      </c>
      <c r="H227" s="55" cm="1">
        <f t="array" ref="H227">InputFunctions_Dairy.CalculateFractionInSolidStorage('Input - Dairy'!G54,'Input - Dairy'!G82,'Input - Dairy'!G67,'Input - Dairy'!$E$69,'Input - Dairy'!G72,'Input - Dairy'!$E$74,'Input - Dairy'!G77,'Input - Dairy'!$E$79)</f>
        <v>4.3999999999999997E-2</v>
      </c>
      <c r="I227" s="55" cm="1">
        <f t="array" ref="I227">InputFunctions_Dairy.CalculateFractionInSolidStorage('Input - Dairy'!H54,'Input - Dairy'!H82,'Input - Dairy'!H67,'Input - Dairy'!$E$69,'Input - Dairy'!H72,'Input - Dairy'!$E$74,'Input - Dairy'!H77,'Input - Dairy'!$E$79)</f>
        <v>4.3999999999999997E-2</v>
      </c>
      <c r="J227" s="55" cm="1">
        <f t="array" ref="J227">InputFunctions_Dairy.CalculateFractionInSolidStorage('Input - Dairy'!I54,'Input - Dairy'!I82,'Input - Dairy'!I67,'Input - Dairy'!$E$69,'Input - Dairy'!I72,'Input - Dairy'!$E$74,'Input - Dairy'!I77,'Input - Dairy'!$E$79)</f>
        <v>4.3999999999999997E-2</v>
      </c>
      <c r="N227" s="55" t="str">
        <f>'Input - Dairy'!$D$54</f>
        <v>Milking shed</v>
      </c>
      <c r="O227" s="55" t="str">
        <f>'Input - Dairy'!$D$82</f>
        <v>Solid storage</v>
      </c>
      <c r="P227" s="55" cm="1">
        <f t="array" ref="P227">InputFunctions_Dairy.CalculateFractionInSolidStorage('Input - Dairy'!E59,'Input - Dairy'!E82,'Input - Dairy'!E67,'Input - Dairy'!$E$70,'Input - Dairy'!E72,'Input - Dairy'!$E$75,'Input - Dairy'!E77,'Input - Dairy'!$E$80)</f>
        <v>4.3999999999999997E-2</v>
      </c>
      <c r="Q227" s="55" cm="1">
        <f t="array" ref="Q227">InputFunctions_Dairy.CalculateFractionInSolidStorage('Input - Dairy'!F59,'Input - Dairy'!F82,'Input - Dairy'!F67,'Input - Dairy'!$E$70,'Input - Dairy'!F72,'Input - Dairy'!$E$75,'Input - Dairy'!F77,'Input - Dairy'!$E$80)</f>
        <v>4.3999999999999997E-2</v>
      </c>
      <c r="R227" s="55" cm="1">
        <f t="array" ref="R227">InputFunctions_Dairy.CalculateFractionInSolidStorage('Input - Dairy'!G59,'Input - Dairy'!G82,'Input - Dairy'!G67,'Input - Dairy'!$E$70,'Input - Dairy'!G72,'Input - Dairy'!$E$75,'Input - Dairy'!G77,'Input - Dairy'!$E$80)</f>
        <v>4.3999999999999997E-2</v>
      </c>
      <c r="S227" s="55" cm="1">
        <f t="array" ref="S227">InputFunctions_Dairy.CalculateFractionInSolidStorage('Input - Dairy'!H59,'Input - Dairy'!H82,'Input - Dairy'!H67,'Input - Dairy'!$E$70,'Input - Dairy'!H72,'Input - Dairy'!$E$75,'Input - Dairy'!H77,'Input - Dairy'!$E$80)</f>
        <v>4.3999999999999997E-2</v>
      </c>
      <c r="T227" s="55" cm="1">
        <f t="array" ref="T227">InputFunctions_Dairy.CalculateFractionInSolidStorage('Input - Dairy'!I59,'Input - Dairy'!I82,'Input - Dairy'!I67,'Input - Dairy'!$E$70,'Input - Dairy'!I72,'Input - Dairy'!$E$75,'Input - Dairy'!I77,'Input - Dairy'!$E$80)</f>
        <v>4.3999999999999997E-2</v>
      </c>
    </row>
    <row r="228" spans="4:20" x14ac:dyDescent="0.25">
      <c r="D228" s="55" t="str">
        <f>'Input - Dairy'!$D$55</f>
        <v>Feed pad</v>
      </c>
      <c r="E228" s="55" t="str">
        <f>'Input - Dairy'!$D$101</f>
        <v>Anaerobic lagoon</v>
      </c>
      <c r="F228" s="55" cm="1">
        <f t="array" ref="F228">InputFunctions_Dairy.CalculateFractionInMMSAfterSolidSeparation('Input - Dairy'!E55,'Input - Dairy'!E101,'Input - Dairy'!$E$103)</f>
        <v>8.8999999999999996E-2</v>
      </c>
      <c r="G228" s="55" cm="1">
        <f t="array" ref="G228">InputFunctions_Dairy.CalculateFractionInMMSAfterSolidSeparation('Input - Dairy'!F55,'Input - Dairy'!F101,'Input - Dairy'!$E$103)</f>
        <v>8.8999999999999996E-2</v>
      </c>
      <c r="H228" s="55" cm="1">
        <f t="array" ref="H228">InputFunctions_Dairy.CalculateFractionInMMSAfterSolidSeparation('Input - Dairy'!G55,'Input - Dairy'!G101,'Input - Dairy'!$E$103)</f>
        <v>8.8999999999999996E-2</v>
      </c>
      <c r="I228" s="55" cm="1">
        <f t="array" ref="I228">InputFunctions_Dairy.CalculateFractionInMMSAfterSolidSeparation('Input - Dairy'!H55,'Input - Dairy'!H101,'Input - Dairy'!$E$103)</f>
        <v>8.8999999999999996E-2</v>
      </c>
      <c r="J228" s="55" cm="1">
        <f t="array" ref="J228">InputFunctions_Dairy.CalculateFractionInMMSAfterSolidSeparation('Input - Dairy'!I55,'Input - Dairy'!I101,'Input - Dairy'!$E$103)</f>
        <v>8.8999999999999996E-2</v>
      </c>
      <c r="N228" s="55" t="str">
        <f>'Input - Dairy'!$D$55</f>
        <v>Feed pad</v>
      </c>
      <c r="O228" s="55" t="str">
        <f>'Input - Dairy'!$D$101</f>
        <v>Anaerobic lagoon</v>
      </c>
      <c r="P228" s="55" cm="1">
        <f t="array" ref="P228">InputFunctions_Dairy.CalculateFractionInMMSAfterSolidSeparation('Input - Dairy'!E60,'Input - Dairy'!E101,'Input - Dairy'!$E$104)</f>
        <v>8.8999999999999996E-2</v>
      </c>
      <c r="Q228" s="55" cm="1">
        <f t="array" ref="Q228">InputFunctions_Dairy.CalculateFractionInMMSAfterSolidSeparation('Input - Dairy'!F60,'Input - Dairy'!F101,'Input - Dairy'!$E$104)</f>
        <v>8.8999999999999996E-2</v>
      </c>
      <c r="R228" s="55" cm="1">
        <f t="array" ref="R228">InputFunctions_Dairy.CalculateFractionInMMSAfterSolidSeparation('Input - Dairy'!G60,'Input - Dairy'!G101,'Input - Dairy'!$E$104)</f>
        <v>8.8999999999999996E-2</v>
      </c>
      <c r="S228" s="55" cm="1">
        <f t="array" ref="S228">InputFunctions_Dairy.CalculateFractionInMMSAfterSolidSeparation('Input - Dairy'!H60,'Input - Dairy'!H101,'Input - Dairy'!$E$104)</f>
        <v>8.8999999999999996E-2</v>
      </c>
      <c r="T228" s="55" cm="1">
        <f t="array" ref="T228">InputFunctions_Dairy.CalculateFractionInMMSAfterSolidSeparation('Input - Dairy'!I60,'Input - Dairy'!I101,'Input - Dairy'!$E$104)</f>
        <v>8.8999999999999996E-2</v>
      </c>
    </row>
    <row r="229" spans="4:20" x14ac:dyDescent="0.25">
      <c r="D229" s="55" t="str">
        <f>'Input - Dairy'!$D$55</f>
        <v>Feed pad</v>
      </c>
      <c r="E229" s="55" t="str">
        <f>'Input - Dairy'!$D$106</f>
        <v>Sump and dispersal system</v>
      </c>
      <c r="F229" s="55" cm="1">
        <f t="array" ref="F229">InputFunctions_Dairy.CalculateFractionInMMSAfterSolidSeparation('Input - Dairy'!E55,'Input - Dairy'!E106,'Input - Dairy'!$E$108)</f>
        <v>7.1199999999999999E-2</v>
      </c>
      <c r="G229" s="55" cm="1">
        <f t="array" ref="G229">InputFunctions_Dairy.CalculateFractionInMMSAfterSolidSeparation('Input - Dairy'!F55,'Input - Dairy'!F106,'Input - Dairy'!$E$108)</f>
        <v>7.1199999999999999E-2</v>
      </c>
      <c r="H229" s="55" cm="1">
        <f t="array" ref="H229">InputFunctions_Dairy.CalculateFractionInMMSAfterSolidSeparation('Input - Dairy'!G55,'Input - Dairy'!G106,'Input - Dairy'!$E$108)</f>
        <v>7.1199999999999999E-2</v>
      </c>
      <c r="I229" s="55" cm="1">
        <f t="array" ref="I229">InputFunctions_Dairy.CalculateFractionInMMSAfterSolidSeparation('Input - Dairy'!H55,'Input - Dairy'!H106,'Input - Dairy'!$E$108)</f>
        <v>7.1199999999999999E-2</v>
      </c>
      <c r="J229" s="55" cm="1">
        <f t="array" ref="J229">InputFunctions_Dairy.CalculateFractionInMMSAfterSolidSeparation('Input - Dairy'!I55,'Input - Dairy'!I106,'Input - Dairy'!$E$108)</f>
        <v>7.1199999999999999E-2</v>
      </c>
      <c r="N229" s="55" t="str">
        <f>'Input - Dairy'!$D$55</f>
        <v>Feed pad</v>
      </c>
      <c r="O229" s="55" t="str">
        <f>'Input - Dairy'!$D$106</f>
        <v>Sump and dispersal system</v>
      </c>
      <c r="P229" s="55" cm="1">
        <f t="array" ref="P229">InputFunctions_Dairy.CalculateFractionInMMSAfterSolidSeparation('Input - Dairy'!E60,'Input - Dairy'!E106,'Input - Dairy'!$E$109)</f>
        <v>7.1199999999999999E-2</v>
      </c>
      <c r="Q229" s="55" cm="1">
        <f t="array" ref="Q229">InputFunctions_Dairy.CalculateFractionInMMSAfterSolidSeparation('Input - Dairy'!F60,'Input - Dairy'!F106,'Input - Dairy'!$E$109)</f>
        <v>7.1199999999999999E-2</v>
      </c>
      <c r="R229" s="55" cm="1">
        <f t="array" ref="R229">InputFunctions_Dairy.CalculateFractionInMMSAfterSolidSeparation('Input - Dairy'!G60,'Input - Dairy'!G106,'Input - Dairy'!$E$109)</f>
        <v>7.1199999999999999E-2</v>
      </c>
      <c r="S229" s="55" cm="1">
        <f t="array" ref="S229">InputFunctions_Dairy.CalculateFractionInMMSAfterSolidSeparation('Input - Dairy'!H60,'Input - Dairy'!H106,'Input - Dairy'!$E$109)</f>
        <v>7.1199999999999999E-2</v>
      </c>
      <c r="T229" s="55" cm="1">
        <f t="array" ref="T229">InputFunctions_Dairy.CalculateFractionInMMSAfterSolidSeparation('Input - Dairy'!I60,'Input - Dairy'!I106,'Input - Dairy'!$E$109)</f>
        <v>7.1199999999999999E-2</v>
      </c>
    </row>
    <row r="230" spans="4:20" x14ac:dyDescent="0.25">
      <c r="D230" s="55" t="str">
        <f>'Input - Dairy'!$D$55</f>
        <v>Feed pad</v>
      </c>
      <c r="E230" s="55" t="str">
        <f>'Input - Dairy'!$D$111</f>
        <v>Drains to paddock</v>
      </c>
      <c r="F230" s="55" cm="1">
        <f t="array" ref="F230">InputFunctions_Dairy.CalculateFractionInMMSAfterSolidSeparation('Input - Dairy'!E55,'Input - Dairy'!E111,'Input - Dairy'!$E$113)</f>
        <v>7.1199999999999999E-2</v>
      </c>
      <c r="G230" s="55" cm="1">
        <f t="array" ref="G230">InputFunctions_Dairy.CalculateFractionInMMSAfterSolidSeparation('Input - Dairy'!F55,'Input - Dairy'!F111,'Input - Dairy'!$E$113)</f>
        <v>7.1199999999999999E-2</v>
      </c>
      <c r="H230" s="55" cm="1">
        <f t="array" ref="H230">InputFunctions_Dairy.CalculateFractionInMMSAfterSolidSeparation('Input - Dairy'!G55,'Input - Dairy'!G111,'Input - Dairy'!$E$113)</f>
        <v>7.1199999999999999E-2</v>
      </c>
      <c r="I230" s="55" cm="1">
        <f t="array" ref="I230">InputFunctions_Dairy.CalculateFractionInMMSAfterSolidSeparation('Input - Dairy'!H55,'Input - Dairy'!H111,'Input - Dairy'!$E$113)</f>
        <v>7.1199999999999999E-2</v>
      </c>
      <c r="J230" s="55" cm="1">
        <f t="array" ref="J230">InputFunctions_Dairy.CalculateFractionInMMSAfterSolidSeparation('Input - Dairy'!I55,'Input - Dairy'!I111,'Input - Dairy'!$E$113)</f>
        <v>7.1199999999999999E-2</v>
      </c>
      <c r="N230" s="55" t="str">
        <f>'Input - Dairy'!$D$55</f>
        <v>Feed pad</v>
      </c>
      <c r="O230" s="55" t="str">
        <f>'Input - Dairy'!$D$111</f>
        <v>Drains to paddock</v>
      </c>
      <c r="P230" s="55" cm="1">
        <f t="array" ref="P230">InputFunctions_Dairy.CalculateFractionInMMSAfterSolidSeparation('Input - Dairy'!E60,'Input - Dairy'!E111,'Input - Dairy'!$E$114)</f>
        <v>7.1199999999999999E-2</v>
      </c>
      <c r="Q230" s="55" cm="1">
        <f t="array" ref="Q230">InputFunctions_Dairy.CalculateFractionInMMSAfterSolidSeparation('Input - Dairy'!F60,'Input - Dairy'!F111,'Input - Dairy'!$E$114)</f>
        <v>7.1199999999999999E-2</v>
      </c>
      <c r="R230" s="55" cm="1">
        <f t="array" ref="R230">InputFunctions_Dairy.CalculateFractionInMMSAfterSolidSeparation('Input - Dairy'!G60,'Input - Dairy'!G111,'Input - Dairy'!$E$114)</f>
        <v>7.1199999999999999E-2</v>
      </c>
      <c r="S230" s="55" cm="1">
        <f t="array" ref="S230">InputFunctions_Dairy.CalculateFractionInMMSAfterSolidSeparation('Input - Dairy'!H60,'Input - Dairy'!H111,'Input - Dairy'!$E$114)</f>
        <v>7.1199999999999999E-2</v>
      </c>
      <c r="T230" s="55" cm="1">
        <f t="array" ref="T230">InputFunctions_Dairy.CalculateFractionInMMSAfterSolidSeparation('Input - Dairy'!I60,'Input - Dairy'!I111,'Input - Dairy'!$E$114)</f>
        <v>7.1199999999999999E-2</v>
      </c>
    </row>
    <row r="231" spans="4:20" x14ac:dyDescent="0.25">
      <c r="D231" s="55" t="str">
        <f>'Input - Dairy'!$D$55</f>
        <v>Feed pad</v>
      </c>
      <c r="E231" s="55" t="str">
        <f>'Input - Dairy'!$D$116</f>
        <v>Solid storage</v>
      </c>
      <c r="F231" s="55" cm="1">
        <f t="array" ref="F231">InputFunctions_Dairy.CalculateFractionInSolidStorage('Input - Dairy'!E55,'Input - Dairy'!E116,'Input - Dairy'!E101,'Input - Dairy'!$E$103,'Input - Dairy'!E106,'Input - Dairy'!$E$108,'Input - Dairy'!E111,'Input - Dairy'!$E$113)</f>
        <v>0.12459999999999999</v>
      </c>
      <c r="G231" s="55" cm="1">
        <f t="array" ref="G231">InputFunctions_Dairy.CalculateFractionInSolidStorage('Input - Dairy'!F55,'Input - Dairy'!F116,'Input - Dairy'!F101,'Input - Dairy'!$E$103,'Input - Dairy'!F106,'Input - Dairy'!$E$108,'Input - Dairy'!F111,'Input - Dairy'!$E$113)</f>
        <v>0.12459999999999999</v>
      </c>
      <c r="H231" s="55" cm="1">
        <f t="array" ref="H231">InputFunctions_Dairy.CalculateFractionInSolidStorage('Input - Dairy'!G55,'Input - Dairy'!G116,'Input - Dairy'!G101,'Input - Dairy'!$E$103,'Input - Dairy'!G106,'Input - Dairy'!$E$108,'Input - Dairy'!G111,'Input - Dairy'!$E$113)</f>
        <v>0.12459999999999999</v>
      </c>
      <c r="I231" s="55" cm="1">
        <f t="array" ref="I231">InputFunctions_Dairy.CalculateFractionInSolidStorage('Input - Dairy'!H55,'Input - Dairy'!H116,'Input - Dairy'!H101,'Input - Dairy'!$E$103,'Input - Dairy'!H106,'Input - Dairy'!$E$108,'Input - Dairy'!H111,'Input - Dairy'!$E$113)</f>
        <v>0.12459999999999999</v>
      </c>
      <c r="J231" s="55" cm="1">
        <f t="array" ref="J231">InputFunctions_Dairy.CalculateFractionInSolidStorage('Input - Dairy'!I55,'Input - Dairy'!I116,'Input - Dairy'!I101,'Input - Dairy'!$E$103,'Input - Dairy'!I106,'Input - Dairy'!$E$108,'Input - Dairy'!I111,'Input - Dairy'!$E$113)</f>
        <v>0.12459999999999999</v>
      </c>
      <c r="N231" s="55" t="str">
        <f>'Input - Dairy'!$D$55</f>
        <v>Feed pad</v>
      </c>
      <c r="O231" s="55" t="str">
        <f>'Input - Dairy'!$D$116</f>
        <v>Solid storage</v>
      </c>
      <c r="P231" s="55" cm="1">
        <f t="array" ref="P231">InputFunctions_Dairy.CalculateFractionInSolidStorage('Input - Dairy'!E60,'Input - Dairy'!E116,'Input - Dairy'!E101,'Input - Dairy'!$E$104, 'Input - Dairy'!E106,'Input - Dairy'!$E$109,'Input - Dairy'!E111,'Input - Dairy'!$E$114)</f>
        <v>0.12459999999999999</v>
      </c>
      <c r="Q231" s="55" cm="1">
        <f t="array" ref="Q231">InputFunctions_Dairy.CalculateFractionInSolidStorage('Input - Dairy'!F60,'Input - Dairy'!F116,'Input - Dairy'!F101,'Input - Dairy'!$E$104, 'Input - Dairy'!F106,'Input - Dairy'!$E$109,'Input - Dairy'!F111,'Input - Dairy'!$E$114)</f>
        <v>0.12459999999999999</v>
      </c>
      <c r="R231" s="55" cm="1">
        <f t="array" ref="R231">InputFunctions_Dairy.CalculateFractionInSolidStorage('Input - Dairy'!G60,'Input - Dairy'!G116,'Input - Dairy'!G101,'Input - Dairy'!$E$104, 'Input - Dairy'!G106,'Input - Dairy'!$E$109,'Input - Dairy'!G111,'Input - Dairy'!$E$114)</f>
        <v>0.12459999999999999</v>
      </c>
      <c r="S231" s="55" cm="1">
        <f t="array" ref="S231">InputFunctions_Dairy.CalculateFractionInSolidStorage('Input - Dairy'!H60,'Input - Dairy'!H116,'Input - Dairy'!H101,'Input - Dairy'!$E$104, 'Input - Dairy'!H106,'Input - Dairy'!$E$109,'Input - Dairy'!H111,'Input - Dairy'!$E$114)</f>
        <v>0.12459999999999999</v>
      </c>
      <c r="T231" s="55" cm="1">
        <f t="array" ref="T231">InputFunctions_Dairy.CalculateFractionInSolidStorage('Input - Dairy'!I60,'Input - Dairy'!I116,'Input - Dairy'!I101,'Input - Dairy'!$E$104, 'Input - Dairy'!I106,'Input - Dairy'!$E$109,'Input - Dairy'!I111,'Input - Dairy'!$E$114)</f>
        <v>0.12459999999999999</v>
      </c>
    </row>
    <row r="232" spans="4:20" x14ac:dyDescent="0.25">
      <c r="Q232" s="146"/>
    </row>
    <row r="233" spans="4:20" x14ac:dyDescent="0.25">
      <c r="D233" s="104" t="s">
        <v>384</v>
      </c>
    </row>
    <row r="234" spans="4:20" x14ac:dyDescent="0.25">
      <c r="D234" s="103" t="s">
        <v>385</v>
      </c>
    </row>
    <row r="235" spans="4:20" x14ac:dyDescent="0.25">
      <c r="D235" s="54" t="s">
        <v>203</v>
      </c>
      <c r="E235" s="54" t="s">
        <v>68</v>
      </c>
      <c r="F235" s="54" t="s">
        <v>234</v>
      </c>
      <c r="G235" s="54" t="s">
        <v>251</v>
      </c>
      <c r="H235" s="54" t="s">
        <v>252</v>
      </c>
      <c r="I235" s="54" t="s">
        <v>253</v>
      </c>
      <c r="J235" s="54" t="s">
        <v>254</v>
      </c>
    </row>
    <row r="236" spans="4:20" x14ac:dyDescent="0.25">
      <c r="D236" s="55" t="str">
        <f>'Input - Dairy'!$D$54</f>
        <v>Milking shed</v>
      </c>
      <c r="E236" s="55" t="str">
        <f>'Input - Dairy'!$D$67</f>
        <v>Anaerobic lagoon</v>
      </c>
      <c r="F236" s="55" cm="1">
        <f t="array" ref="F236">MMS_Dairy_N2ODirect_Equations.VEERG_4_3_1_3__2_TotalNitrogenInEachMMS(D$169,F224)</f>
        <v>212.24813314524795</v>
      </c>
      <c r="G236" s="55" cm="1">
        <f t="array" ref="G236">MMS_Dairy_N2ODirect_Equations.VEERG_4_3_1_3__2_TotalNitrogenInEachMMS(E$169,G224)</f>
        <v>182.35790267782079</v>
      </c>
      <c r="H236" s="55" cm="1">
        <f t="array" ref="H236">MMS_Dairy_N2ODirect_Equations.VEERG_4_3_1_3__2_TotalNitrogenInEachMMS(F$206,H224)</f>
        <v>72.631224123843424</v>
      </c>
      <c r="I236" s="55" cm="1">
        <f t="array" ref="I236">MMS_Dairy_N2ODirect_Equations.VEERG_4_3_1_3__2_TotalNitrogenInEachMMS(G$169,I224)</f>
        <v>229.23109573986844</v>
      </c>
      <c r="J236" s="55" cm="1">
        <f t="array" ref="J236">MMS_Dairy_N2ODirect_Equations.VEERG_4_3_1_3__2_TotalNitrogenInEachMMS(H$206,J224)</f>
        <v>95.962857079055411</v>
      </c>
    </row>
    <row r="237" spans="4:20" x14ac:dyDescent="0.25">
      <c r="D237" s="55" t="str">
        <f>'Input - Dairy'!$D$54</f>
        <v>Milking shed</v>
      </c>
      <c r="E237" s="55" t="str">
        <f>'Input - Dairy'!$D$72</f>
        <v>Sump and dispersal system</v>
      </c>
      <c r="F237" s="55" cm="1">
        <f t="array" ref="F237">MMS_Dairy_N2ODirect_Equations.VEERG_4_3_1_3__2_TotalNitrogenInEachMMS(D$169,F225)</f>
        <v>212.24813314524795</v>
      </c>
      <c r="G237" s="55" cm="1">
        <f t="array" ref="G237">MMS_Dairy_N2ODirect_Equations.VEERG_4_3_1_3__2_TotalNitrogenInEachMMS(E$169,G225)</f>
        <v>182.35790267782079</v>
      </c>
      <c r="H237" s="55" cm="1">
        <f t="array" ref="H237">MMS_Dairy_N2ODirect_Equations.VEERG_4_3_1_3__2_TotalNitrogenInEachMMS(F$206,H225)</f>
        <v>72.631224123843424</v>
      </c>
      <c r="I237" s="55" cm="1">
        <f t="array" ref="I237">MMS_Dairy_N2ODirect_Equations.VEERG_4_3_1_3__2_TotalNitrogenInEachMMS(G$169,I225)</f>
        <v>229.23109573986844</v>
      </c>
      <c r="J237" s="55" cm="1">
        <f t="array" ref="J237">MMS_Dairy_N2ODirect_Equations.VEERG_4_3_1_3__2_TotalNitrogenInEachMMS(H$206,J225)</f>
        <v>95.962857079055411</v>
      </c>
    </row>
    <row r="238" spans="4:20" x14ac:dyDescent="0.25">
      <c r="D238" s="55" t="str">
        <f>'Input - Dairy'!$D$54</f>
        <v>Milking shed</v>
      </c>
      <c r="E238" s="55" t="str">
        <f>'Input - Dairy'!$D$77</f>
        <v>Drains to paddock</v>
      </c>
      <c r="F238" s="55" cm="1">
        <f t="array" ref="F238">MMS_Dairy_N2ODirect_Equations.VEERG_4_3_1_3__2_TotalNitrogenInEachMMS(D$169,F226)</f>
        <v>212.24813314524795</v>
      </c>
      <c r="G238" s="55" cm="1">
        <f t="array" ref="G238">MMS_Dairy_N2ODirect_Equations.VEERG_4_3_1_3__2_TotalNitrogenInEachMMS(E$169,G226)</f>
        <v>182.35790267782079</v>
      </c>
      <c r="H238" s="55" cm="1">
        <f t="array" ref="H238">MMS_Dairy_N2ODirect_Equations.VEERG_4_3_1_3__2_TotalNitrogenInEachMMS(F$206,H226)</f>
        <v>72.631224123843424</v>
      </c>
      <c r="I238" s="55" cm="1">
        <f t="array" ref="I238">MMS_Dairy_N2ODirect_Equations.VEERG_4_3_1_3__2_TotalNitrogenInEachMMS(G$169,I226)</f>
        <v>229.23109573986844</v>
      </c>
      <c r="J238" s="55" cm="1">
        <f t="array" ref="J238">MMS_Dairy_N2ODirect_Equations.VEERG_4_3_1_3__2_TotalNitrogenInEachMMS(H$206,J226)</f>
        <v>95.962857079055411</v>
      </c>
    </row>
    <row r="239" spans="4:20" x14ac:dyDescent="0.25">
      <c r="D239" s="55" t="str">
        <f>'Input - Dairy'!$D$54</f>
        <v>Milking shed</v>
      </c>
      <c r="E239" s="55" t="str">
        <f>'Input - Dairy'!$D$82</f>
        <v>Solid storage</v>
      </c>
      <c r="F239" s="55" cm="1">
        <f t="array" ref="F239">MMS_Dairy_N2ODirect_Equations.VEERG_4_3_1_3__2_TotalNitrogenInEachMMS(D$169,F227)</f>
        <v>424.49626629049584</v>
      </c>
      <c r="G239" s="55" cm="1">
        <f t="array" ref="G239">MMS_Dairy_N2ODirect_Equations.VEERG_4_3_1_3__2_TotalNitrogenInEachMMS(E$169,G227)</f>
        <v>364.71580535564152</v>
      </c>
      <c r="H239" s="55" cm="1">
        <f t="array" ref="H239">MMS_Dairy_N2ODirect_Equations.VEERG_4_3_1_3__2_TotalNitrogenInEachMMS(F$206,H227)</f>
        <v>145.26244824768682</v>
      </c>
      <c r="I239" s="55" cm="1">
        <f t="array" ref="I239">MMS_Dairy_N2ODirect_Equations.VEERG_4_3_1_3__2_TotalNitrogenInEachMMS(G$169,I227)</f>
        <v>458.46219147973682</v>
      </c>
      <c r="J239" s="55" cm="1">
        <f t="array" ref="J239">MMS_Dairy_N2ODirect_Equations.VEERG_4_3_1_3__2_TotalNitrogenInEachMMS(H$206,J227)</f>
        <v>191.92571415811079</v>
      </c>
    </row>
    <row r="240" spans="4:20" x14ac:dyDescent="0.25">
      <c r="D240" s="55" t="str">
        <f>'Input - Dairy'!$D$55</f>
        <v>Feed pad</v>
      </c>
      <c r="E240" s="55" t="str">
        <f>'Input - Dairy'!$D$101</f>
        <v>Anaerobic lagoon</v>
      </c>
      <c r="F240" s="55" cm="1">
        <f t="array" ref="F240">MMS_Dairy_N2ODirect_Equations.VEERG_4_3_1_3__2_TotalNitrogenInEachMMS(D$169,F228)</f>
        <v>858.64017499668478</v>
      </c>
      <c r="G240" s="55" cm="1">
        <f t="array" ref="G240">MMS_Dairy_N2ODirect_Equations.VEERG_4_3_1_3__2_TotalNitrogenInEachMMS(E$169,G228)</f>
        <v>737.72060628754764</v>
      </c>
      <c r="H240" s="55" cm="1">
        <f t="array" ref="H240">MMS_Dairy_N2ODirect_Equations.VEERG_4_3_1_3__2_TotalNitrogenInEachMMS(F$206,H228)</f>
        <v>293.82631577373019</v>
      </c>
      <c r="I240" s="55" cm="1">
        <f t="array" ref="I240">MMS_Dairy_N2ODirect_Equations.VEERG_4_3_1_3__2_TotalNitrogenInEachMMS(G$169,I228)</f>
        <v>927.34397822037681</v>
      </c>
      <c r="J240" s="55" cm="1">
        <f t="array" ref="J240">MMS_Dairy_N2ODirect_Equations.VEERG_4_3_1_3__2_TotalNitrogenInEachMMS(H$206,J228)</f>
        <v>388.21337636526954</v>
      </c>
    </row>
    <row r="241" spans="4:10" x14ac:dyDescent="0.25">
      <c r="D241" s="55" t="str">
        <f>'Input - Dairy'!$D$55</f>
        <v>Feed pad</v>
      </c>
      <c r="E241" s="55" t="str">
        <f>'Input - Dairy'!$D$106</f>
        <v>Sump and dispersal system</v>
      </c>
      <c r="F241" s="55" cm="1">
        <f t="array" ref="F241">MMS_Dairy_N2ODirect_Equations.VEERG_4_3_1_3__2_TotalNitrogenInEachMMS(D$169,F229)</f>
        <v>686.91213999734782</v>
      </c>
      <c r="G241" s="55" cm="1">
        <f t="array" ref="G241">MMS_Dairy_N2ODirect_Equations.VEERG_4_3_1_3__2_TotalNitrogenInEachMMS(E$169,G229)</f>
        <v>590.17648503003818</v>
      </c>
      <c r="H241" s="55" cm="1">
        <f t="array" ref="H241">MMS_Dairy_N2ODirect_Equations.VEERG_4_3_1_3__2_TotalNitrogenInEachMMS(F$206,H229)</f>
        <v>235.06105261898415</v>
      </c>
      <c r="I241" s="55" cm="1">
        <f t="array" ref="I241">MMS_Dairy_N2ODirect_Equations.VEERG_4_3_1_3__2_TotalNitrogenInEachMMS(G$169,I229)</f>
        <v>741.87518257630143</v>
      </c>
      <c r="J241" s="55" cm="1">
        <f t="array" ref="J241">MMS_Dairy_N2ODirect_Equations.VEERG_4_3_1_3__2_TotalNitrogenInEachMMS(H$206,J229)</f>
        <v>310.57070109221564</v>
      </c>
    </row>
    <row r="242" spans="4:10" x14ac:dyDescent="0.25">
      <c r="D242" s="55" t="str">
        <f>'Input - Dairy'!$D$55</f>
        <v>Feed pad</v>
      </c>
      <c r="E242" s="55" t="str">
        <f>'Input - Dairy'!$D$111</f>
        <v>Drains to paddock</v>
      </c>
      <c r="F242" s="55" cm="1">
        <f t="array" ref="F242">MMS_Dairy_N2ODirect_Equations.VEERG_4_3_1_3__2_TotalNitrogenInEachMMS(D$169,F230)</f>
        <v>686.91213999734782</v>
      </c>
      <c r="G242" s="55" cm="1">
        <f t="array" ref="G242">MMS_Dairy_N2ODirect_Equations.VEERG_4_3_1_3__2_TotalNitrogenInEachMMS(E$169,G230)</f>
        <v>590.17648503003818</v>
      </c>
      <c r="H242" s="55" cm="1">
        <f t="array" ref="H242">MMS_Dairy_N2ODirect_Equations.VEERG_4_3_1_3__2_TotalNitrogenInEachMMS(F$206,H230)</f>
        <v>235.06105261898415</v>
      </c>
      <c r="I242" s="55" cm="1">
        <f t="array" ref="I242">MMS_Dairy_N2ODirect_Equations.VEERG_4_3_1_3__2_TotalNitrogenInEachMMS(G$169,I230)</f>
        <v>741.87518257630143</v>
      </c>
      <c r="J242" s="55" cm="1">
        <f t="array" ref="J242">MMS_Dairy_N2ODirect_Equations.VEERG_4_3_1_3__2_TotalNitrogenInEachMMS(H$206,J230)</f>
        <v>310.57070109221564</v>
      </c>
    </row>
    <row r="243" spans="4:10" x14ac:dyDescent="0.25">
      <c r="D243" s="55" t="str">
        <f>'Input - Dairy'!$D$55</f>
        <v>Feed pad</v>
      </c>
      <c r="E243" s="55" t="str">
        <f>'Input - Dairy'!$D$116</f>
        <v>Solid storage</v>
      </c>
      <c r="F243" s="55" cm="1">
        <f t="array" ref="F243">MMS_Dairy_N2ODirect_Equations.VEERG_4_3_1_3__2_TotalNitrogenInEachMMS(D$169,F231)</f>
        <v>1202.0962449953586</v>
      </c>
      <c r="G243" s="55" cm="1">
        <f t="array" ref="G243">MMS_Dairy_N2ODirect_Equations.VEERG_4_3_1_3__2_TotalNitrogenInEachMMS(E$169,G231)</f>
        <v>1032.8088488025667</v>
      </c>
      <c r="H243" s="55" cm="1">
        <f t="array" ref="H243">MMS_Dairy_N2ODirect_Equations.VEERG_4_3_1_3__2_TotalNitrogenInEachMMS(F$206,H231)</f>
        <v>411.35684208322226</v>
      </c>
      <c r="I243" s="55" cm="1">
        <f t="array" ref="I243">MMS_Dairy_N2ODirect_Equations.VEERG_4_3_1_3__2_TotalNitrogenInEachMMS(G$169,I231)</f>
        <v>1298.2815695085274</v>
      </c>
      <c r="J243" s="55" cm="1">
        <f t="array" ref="J243">MMS_Dairy_N2ODirect_Equations.VEERG_4_3_1_3__2_TotalNitrogenInEachMMS(H$206,J231)</f>
        <v>543.49872691137739</v>
      </c>
    </row>
  </sheetData>
  <dataValidations disablePrompts="1" count="1">
    <dataValidation operator="equal" allowBlank="1" showInputMessage="1" showErrorMessage="1" sqref="O106:T106 F78 N83:P83 D79:E79 E101:J101 E73:F73 F106:J106 E227 E224 O227 O224 E239 E236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opLeftCell="A34" workbookViewId="0">
      <selection activeCell="A14" sqref="A1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189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124</v>
      </c>
      <c r="E3" s="4"/>
      <c r="F3" s="4"/>
      <c r="G3" s="4"/>
      <c r="H3" s="4"/>
      <c r="I3" s="4"/>
      <c r="K3" s="4"/>
      <c r="L3" s="4" t="s">
        <v>125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e" cm="1">
        <f t="array" aca="1" ref="D5" ca="1">MMS_Feedlot_AtmosphericDeposition_Equations.VEERG_4_1_1_5__2_VolatilisedNitrogenFromManureManagement_Title()</f>
        <v>#NAME?</v>
      </c>
    </row>
    <row r="6" spans="1:17" ht="20.100000000000001" customHeight="1" x14ac:dyDescent="0.25">
      <c r="A6" s="20" t="s">
        <v>3</v>
      </c>
      <c r="D6" s="5" t="e" cm="1">
        <f t="array" aca="1" ref="D6" ca="1">MMS_Feedlot_AtmosphericDeposition_Equations.VEERG_4_1_1_5__2_VolatilisedNitrogenFromManureManagement_Source()</f>
        <v>#NAME?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Common_InputFunctions.Utility_DisplayFunctionName(E36)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e" cm="1">
        <f t="array" aca="1" ref="E11" ca="1">MMS_Feedlot_AtmosphericDeposition_Equations.VEERG_4_1_1_5__2_VolatilisedNitrogenFromManureManagement_Variable()</f>
        <v>#NAME?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e" cm="1">
        <f t="array" aca="1" ref="E12" ca="1">MMS_Feedlot_AtmosphericDeposition_Equations.VEERG_4_1_1_5__2_VolatilisedNitrogenFromManureManagement_Unit()</f>
        <v>#NAME?</v>
      </c>
    </row>
    <row r="13" spans="1:17" ht="20.100000000000001" customHeight="1" x14ac:dyDescent="0.25">
      <c r="A13" s="22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e" cm="1">
        <f t="array" aca="1" ref="D14" ca="1">MMS_Feedlot_AtmosphericDeposition_Equations.VEERG_4_1_1_5__2_VolatilisedNitrogenFromManureManagement_Arguments()</f>
        <v>#NAME?</v>
      </c>
      <c r="E14" s="61"/>
      <c r="F14" s="62"/>
      <c r="G14" s="60" t="str">
        <f>"See " &amp; D17</f>
        <v>See M1_Table_MN_j_m_T</v>
      </c>
    </row>
    <row r="15" spans="1:17" ht="20.100000000000001" customHeight="1" x14ac:dyDescent="0.25">
      <c r="D15" s="60"/>
      <c r="E15" s="61"/>
      <c r="F15" s="62"/>
      <c r="G15" s="60" t="str">
        <f>"See " &amp; D25</f>
        <v>See Table_FracGASM_m_T-2-3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4" t="s">
        <v>190</v>
      </c>
      <c r="L17" s="104" t="s">
        <v>193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3" t="s">
        <v>192</v>
      </c>
      <c r="L18" s="103" t="s">
        <v>194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18" t="s">
        <v>68</v>
      </c>
      <c r="E19" s="54" t="s">
        <v>114</v>
      </c>
      <c r="F19" s="54" t="s">
        <v>115</v>
      </c>
      <c r="G19" s="54" t="s">
        <v>116</v>
      </c>
      <c r="L19" s="118" t="s">
        <v>68</v>
      </c>
      <c r="M19" s="54" t="s">
        <v>114</v>
      </c>
      <c r="N19" s="54" t="s">
        <v>115</v>
      </c>
      <c r="O19" s="54" t="s">
        <v>116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 t="str">
        <f>'Input - Dairy'!$D$95</f>
        <v>Total manure sent to MMS (Must equal 100%)  (Method 2)</v>
      </c>
      <c r="E20" s="55" t="str">
        <f>'4.3.1.3-4 Direct N20'!$E$106</f>
        <v>kg/head/day</v>
      </c>
      <c r="F20" s="55">
        <f>'4.3.1.3-4 Direct N20'!$F$106</f>
        <v>0</v>
      </c>
      <c r="G20" s="55">
        <f>'4.3.1.3-4 Direct N20'!$G$106</f>
        <v>0</v>
      </c>
      <c r="H20" s="2" t="s">
        <v>137</v>
      </c>
      <c r="L20" s="55" t="str">
        <f>'Input - Dairy'!$D$95</f>
        <v>Total manure sent to MMS (Must equal 100%)  (Method 2)</v>
      </c>
      <c r="M20" s="55">
        <f>'4.3.1.3-4 Direct N20'!$O$106</f>
        <v>0</v>
      </c>
      <c r="N20" s="55">
        <f>'4.3.1.3-4 Direct N20'!$P$106</f>
        <v>0</v>
      </c>
      <c r="O20" s="55">
        <f>'4.3.1.3-4 Direct N20'!$Q$106</f>
        <v>0</v>
      </c>
      <c r="P20" s="2" t="s">
        <v>137</v>
      </c>
    </row>
    <row r="21" spans="1:16" ht="20.100000000000001" customHeight="1" x14ac:dyDescent="0.25">
      <c r="D21" s="55" t="str">
        <f>'Input - Dairy'!$D$101</f>
        <v>Anaerobic lagoon</v>
      </c>
      <c r="E21" s="55">
        <f>'4.3.1.3-4 Direct N20'!$E$173</f>
        <v>0</v>
      </c>
      <c r="F21" s="55">
        <f>'4.3.1.3-4 Direct N20'!$F$173</f>
        <v>0</v>
      </c>
      <c r="G21" s="55">
        <f>'4.3.1.3-4 Direct N20'!$G$173</f>
        <v>0</v>
      </c>
      <c r="H21" s="2" t="s">
        <v>137</v>
      </c>
      <c r="L21" s="55" t="str">
        <f>'Input - Dairy'!$D$101</f>
        <v>Anaerobic lagoon</v>
      </c>
      <c r="M21" s="55">
        <f>'4.3.1.3-4 Direct N20'!$O$173</f>
        <v>0</v>
      </c>
      <c r="N21" s="55">
        <f>'4.3.1.3-4 Direct N20'!$P$173</f>
        <v>0</v>
      </c>
      <c r="O21" s="55">
        <f>'4.3.1.3-4 Direct N20'!$Q$173</f>
        <v>0</v>
      </c>
      <c r="P21" s="2" t="s">
        <v>137</v>
      </c>
    </row>
    <row r="22" spans="1:16" ht="20.100000000000001" customHeight="1" x14ac:dyDescent="0.25">
      <c r="D22" s="55" t="str">
        <f>'Input - Dairy'!$D$102</f>
        <v>Were solids separated from Anaerobic lagoon?</v>
      </c>
      <c r="E22" s="55">
        <f>'4.3.1.3-4 Direct N20'!$E$174</f>
        <v>0</v>
      </c>
      <c r="F22" s="55">
        <f>'4.3.1.3-4 Direct N20'!$F$174</f>
        <v>0</v>
      </c>
      <c r="G22" s="55">
        <f>'4.3.1.3-4 Direct N20'!$G$174</f>
        <v>0</v>
      </c>
      <c r="H22" s="2" t="s">
        <v>137</v>
      </c>
      <c r="L22" s="55" t="str">
        <f>'Input - Dairy'!$D$102</f>
        <v>Were solids separated from Anaerobic lagoon?</v>
      </c>
      <c r="M22" s="55">
        <f>'4.3.1.3-4 Direct N20'!$O$174</f>
        <v>0</v>
      </c>
      <c r="N22" s="55">
        <f>'4.3.1.3-4 Direct N20'!$P$174</f>
        <v>0</v>
      </c>
      <c r="O22" s="55">
        <f>'4.3.1.3-4 Direct N20'!$Q$174</f>
        <v>0</v>
      </c>
      <c r="P22" s="2" t="s">
        <v>137</v>
      </c>
    </row>
    <row r="23" spans="1:16" ht="20.100000000000001" customHeight="1" x14ac:dyDescent="0.25">
      <c r="D23" s="55" t="str">
        <f>'Input - Dairy'!$D$107</f>
        <v>Were solids separated from Sump and dispersal system?</v>
      </c>
      <c r="E23" s="55" t="str">
        <f>'4.3.1.3-4 Direct N20'!$E$130</f>
        <v>kg N/head/day</v>
      </c>
      <c r="F23" s="55">
        <f>'4.3.1.3-4 Direct N20'!$F$130</f>
        <v>0</v>
      </c>
      <c r="G23" s="55">
        <f>'4.3.1.3-4 Direct N20'!$G$130</f>
        <v>0</v>
      </c>
      <c r="H23" s="2" t="s">
        <v>137</v>
      </c>
      <c r="L23" s="55" t="str">
        <f>'Input - Dairy'!$D$107</f>
        <v>Were solids separated from Sump and dispersal system?</v>
      </c>
      <c r="M23" s="55">
        <f>'4.3.1.3-4 Direct N20'!$O$129</f>
        <v>0</v>
      </c>
      <c r="N23" s="55">
        <f>'4.3.1.3-4 Direct N20'!$P$129</f>
        <v>0</v>
      </c>
      <c r="O23" s="55">
        <f>'4.3.1.3-4 Direct N20'!$Q$129</f>
        <v>0</v>
      </c>
      <c r="P23" s="2" t="s">
        <v>137</v>
      </c>
    </row>
    <row r="24" spans="1:16" ht="20.100000000000001" customHeight="1" x14ac:dyDescent="0.25"/>
    <row r="25" spans="1:16" ht="20.100000000000001" customHeight="1" x14ac:dyDescent="0.25">
      <c r="D25" s="104" t="s">
        <v>139</v>
      </c>
    </row>
    <row r="26" spans="1:16" ht="20.100000000000001" customHeight="1" x14ac:dyDescent="0.25">
      <c r="D26" s="103" t="s">
        <v>141</v>
      </c>
    </row>
    <row r="27" spans="1:16" ht="20.100000000000001" customHeight="1" x14ac:dyDescent="0.25">
      <c r="D27" s="118" t="s">
        <v>68</v>
      </c>
      <c r="E27" s="118" t="s">
        <v>128</v>
      </c>
    </row>
    <row r="28" spans="1:16" ht="20.100000000000001" customHeight="1" x14ac:dyDescent="0.25">
      <c r="D28" s="55" t="str">
        <f>'Input - Dairy'!$D$95</f>
        <v>Total manure sent to MMS (Must equal 100%)  (Method 2)</v>
      </c>
      <c r="E28" s="55" t="e">
        <f xml:space="preserve"> _xlfn.XLOOKUP(D28,#REF!,#REF!)</f>
        <v>#REF!</v>
      </c>
      <c r="F28" s="2" t="s">
        <v>145</v>
      </c>
    </row>
    <row r="29" spans="1:16" ht="20.100000000000001" customHeight="1" x14ac:dyDescent="0.25">
      <c r="D29" s="55" t="str">
        <f>'Input - Dairy'!$D$101</f>
        <v>Anaerobic lagoon</v>
      </c>
      <c r="E29" s="55" t="e">
        <f xml:space="preserve"> _xlfn.XLOOKUP(D29,#REF!,#REF!)</f>
        <v>#REF!</v>
      </c>
      <c r="F29" s="2" t="s">
        <v>145</v>
      </c>
    </row>
    <row r="30" spans="1:16" ht="20.100000000000001" customHeight="1" x14ac:dyDescent="0.25">
      <c r="D30" s="55" t="str">
        <f>'Input - Dairy'!$D$102</f>
        <v>Were solids separated from Anaerobic lagoon?</v>
      </c>
      <c r="E30" s="55" t="e">
        <f xml:space="preserve"> _xlfn.XLOOKUP(D30,#REF!,#REF!)</f>
        <v>#REF!</v>
      </c>
      <c r="F30" s="2" t="s">
        <v>145</v>
      </c>
    </row>
    <row r="31" spans="1:16" ht="20.100000000000001" customHeight="1" x14ac:dyDescent="0.25">
      <c r="D31" s="55" t="str">
        <f>'Input - Dairy'!$D$107</f>
        <v>Were solids separated from Sump and dispersal system?</v>
      </c>
      <c r="E31" s="55" t="e">
        <f xml:space="preserve"> _xlfn.XLOOKUP(D31,#REF!,#REF!)</f>
        <v>#REF!</v>
      </c>
      <c r="F31" s="2" t="s">
        <v>145</v>
      </c>
    </row>
    <row r="32" spans="1:16" ht="20.100000000000001" customHeight="1" x14ac:dyDescent="0.25"/>
    <row r="33" spans="3:17" ht="20.100000000000001" customHeight="1" x14ac:dyDescent="0.25">
      <c r="D33" s="104" t="s">
        <v>191</v>
      </c>
      <c r="L33" s="104" t="s">
        <v>191</v>
      </c>
    </row>
    <row r="34" spans="3:17" ht="20.100000000000001" customHeight="1" x14ac:dyDescent="0.25">
      <c r="D34" s="103" t="s">
        <v>192</v>
      </c>
      <c r="L34" s="103" t="s">
        <v>192</v>
      </c>
    </row>
    <row r="35" spans="3:17" ht="20.100000000000001" customHeight="1" x14ac:dyDescent="0.25">
      <c r="D35" s="118" t="s">
        <v>68</v>
      </c>
      <c r="E35" s="54" t="s">
        <v>114</v>
      </c>
      <c r="F35" s="54" t="s">
        <v>115</v>
      </c>
      <c r="G35" s="54" t="s">
        <v>116</v>
      </c>
      <c r="L35" s="118" t="s">
        <v>68</v>
      </c>
      <c r="M35" s="54" t="s">
        <v>114</v>
      </c>
      <c r="N35" s="54" t="s">
        <v>115</v>
      </c>
      <c r="O35" s="54" t="s">
        <v>116</v>
      </c>
    </row>
    <row r="36" spans="3:17" ht="20.100000000000001" customHeight="1" x14ac:dyDescent="0.25">
      <c r="D36" s="55" t="str">
        <f>'Input - Dairy'!$D$95</f>
        <v>Total manure sent to MMS (Must equal 100%)  (Method 2)</v>
      </c>
      <c r="E36" s="55" t="e" cm="1">
        <f t="array" aca="1" ref="E36" ca="1">MMS_Feedlot_AtmosphericDeposition_Equations.VEERG_4_1_1_5__2_VolatilisedNitrogenFromManureManagement(E20,$E28)</f>
        <v>#NAME?</v>
      </c>
      <c r="F36" s="55" t="e" cm="1">
        <f t="array" aca="1" ref="F36" ca="1">MMS_Feedlot_AtmosphericDeposition_Equations.VEERG_4_1_1_5__2_VolatilisedNitrogenFromManureManagement(F20,$E28)</f>
        <v>#NAME?</v>
      </c>
      <c r="G36" s="55" t="e" cm="1">
        <f t="array" aca="1" ref="G36" ca="1">MMS_Feedlot_AtmosphericDeposition_Equations.VEERG_4_1_1_5__2_VolatilisedNitrogenFromManureManagement(G20,$E28)</f>
        <v>#NAME?</v>
      </c>
      <c r="H36" s="2" t="e">
        <f ca="1">$E$12</f>
        <v>#NAME?</v>
      </c>
      <c r="L36" s="55" t="str">
        <f>'Input - Dairy'!$D$95</f>
        <v>Total manure sent to MMS (Must equal 100%)  (Method 2)</v>
      </c>
      <c r="M36" s="55" t="e" cm="1">
        <f t="array" aca="1" ref="M36" ca="1">MMS_Feedlot_AtmosphericDeposition_Equations.VEERG_4_1_1_5__2_VolatilisedNitrogenFromManureManagement(M20,$E28)</f>
        <v>#NAME?</v>
      </c>
      <c r="N36" s="55" t="e" cm="1">
        <f t="array" aca="1" ref="N36" ca="1">MMS_Feedlot_AtmosphericDeposition_Equations.VEERG_4_1_1_5__2_VolatilisedNitrogenFromManureManagement(N20,$E28)</f>
        <v>#NAME?</v>
      </c>
      <c r="O36" s="55" t="e" cm="1">
        <f t="array" aca="1" ref="O36" ca="1">MMS_Feedlot_AtmosphericDeposition_Equations.VEERG_4_1_1_5__2_VolatilisedNitrogenFromManureManagement(O20,$E28)</f>
        <v>#NAME?</v>
      </c>
      <c r="P36" s="2" t="s">
        <v>137</v>
      </c>
    </row>
    <row r="37" spans="3:17" ht="20.100000000000001" customHeight="1" x14ac:dyDescent="0.25">
      <c r="D37" s="55" t="str">
        <f>'Input - Dairy'!$D$101</f>
        <v>Anaerobic lagoon</v>
      </c>
      <c r="E37" s="55" t="e" cm="1">
        <f t="array" aca="1" ref="E37" ca="1">MMS_Feedlot_AtmosphericDeposition_Equations.VEERG_4_1_1_5__2_VolatilisedNitrogenFromManureManagement(E21,$E29)</f>
        <v>#NAME?</v>
      </c>
      <c r="F37" s="55" t="e" cm="1">
        <f t="array" aca="1" ref="F37" ca="1">MMS_Feedlot_AtmosphericDeposition_Equations.VEERG_4_1_1_5__2_VolatilisedNitrogenFromManureManagement(F21,$E29)</f>
        <v>#NAME?</v>
      </c>
      <c r="G37" s="55" t="e" cm="1">
        <f t="array" aca="1" ref="G37" ca="1">MMS_Feedlot_AtmosphericDeposition_Equations.VEERG_4_1_1_5__2_VolatilisedNitrogenFromManureManagement(G21,$E29)</f>
        <v>#NAME?</v>
      </c>
      <c r="H37" s="2" t="e">
        <f t="shared" ref="H37:H39" ca="1" si="0">$E$12</f>
        <v>#NAME?</v>
      </c>
      <c r="L37" s="55" t="str">
        <f>'Input - Dairy'!$D$101</f>
        <v>Anaerobic lagoon</v>
      </c>
      <c r="M37" s="55" t="e" cm="1">
        <f t="array" aca="1" ref="M37" ca="1">MMS_Feedlot_AtmosphericDeposition_Equations.VEERG_4_1_1_5__2_VolatilisedNitrogenFromManureManagement(M21,$E29)</f>
        <v>#NAME?</v>
      </c>
      <c r="N37" s="55" t="e" cm="1">
        <f t="array" aca="1" ref="N37" ca="1">MMS_Feedlot_AtmosphericDeposition_Equations.VEERG_4_1_1_5__2_VolatilisedNitrogenFromManureManagement(N21,$E29)</f>
        <v>#NAME?</v>
      </c>
      <c r="O37" s="55" t="e" cm="1">
        <f t="array" aca="1" ref="O37" ca="1">MMS_Feedlot_AtmosphericDeposition_Equations.VEERG_4_1_1_5__2_VolatilisedNitrogenFromManureManagement(O21,$E29)</f>
        <v>#NAME?</v>
      </c>
      <c r="P37" s="2" t="s">
        <v>137</v>
      </c>
    </row>
    <row r="38" spans="3:17" ht="20.100000000000001" customHeight="1" x14ac:dyDescent="0.25">
      <c r="D38" s="55" t="str">
        <f>'Input - Dairy'!$D$102</f>
        <v>Were solids separated from Anaerobic lagoon?</v>
      </c>
      <c r="E38" s="55" t="e" cm="1">
        <f t="array" aca="1" ref="E38" ca="1">MMS_Feedlot_AtmosphericDeposition_Equations.VEERG_4_1_1_5__2_VolatilisedNitrogenFromManureManagement(E22,$E30)</f>
        <v>#NAME?</v>
      </c>
      <c r="F38" s="55" t="e" cm="1">
        <f t="array" aca="1" ref="F38" ca="1">MMS_Feedlot_AtmosphericDeposition_Equations.VEERG_4_1_1_5__2_VolatilisedNitrogenFromManureManagement(F22,$E30)</f>
        <v>#NAME?</v>
      </c>
      <c r="G38" s="55" t="e" cm="1">
        <f t="array" aca="1" ref="G38" ca="1">MMS_Feedlot_AtmosphericDeposition_Equations.VEERG_4_1_1_5__2_VolatilisedNitrogenFromManureManagement(G22,$E30)</f>
        <v>#NAME?</v>
      </c>
      <c r="H38" s="2" t="e">
        <f t="shared" ca="1" si="0"/>
        <v>#NAME?</v>
      </c>
      <c r="L38" s="55" t="str">
        <f>'Input - Dairy'!$D$102</f>
        <v>Were solids separated from Anaerobic lagoon?</v>
      </c>
      <c r="M38" s="55" t="e" cm="1">
        <f t="array" aca="1" ref="M38" ca="1">MMS_Feedlot_AtmosphericDeposition_Equations.VEERG_4_1_1_5__2_VolatilisedNitrogenFromManureManagement(M22,$E30)</f>
        <v>#NAME?</v>
      </c>
      <c r="N38" s="55" t="e" cm="1">
        <f t="array" aca="1" ref="N38" ca="1">MMS_Feedlot_AtmosphericDeposition_Equations.VEERG_4_1_1_5__2_VolatilisedNitrogenFromManureManagement(N22,$E30)</f>
        <v>#NAME?</v>
      </c>
      <c r="O38" s="55" t="e" cm="1">
        <f t="array" aca="1" ref="O38" ca="1">MMS_Feedlot_AtmosphericDeposition_Equations.VEERG_4_1_1_5__2_VolatilisedNitrogenFromManureManagement(O22,$E30)</f>
        <v>#NAME?</v>
      </c>
      <c r="P38" s="2" t="s">
        <v>137</v>
      </c>
    </row>
    <row r="39" spans="3:17" ht="20.100000000000001" customHeight="1" x14ac:dyDescent="0.25">
      <c r="D39" s="55" t="str">
        <f>'Input - Dairy'!$D$107</f>
        <v>Were solids separated from Sump and dispersal system?</v>
      </c>
      <c r="E39" s="55" t="e" cm="1">
        <f t="array" aca="1" ref="E39" ca="1">MMS_Feedlot_AtmosphericDeposition_Equations.VEERG_4_1_1_5__2_VolatilisedNitrogenFromManureManagement(E23,$E31)</f>
        <v>#NAME?</v>
      </c>
      <c r="F39" s="55" t="e" cm="1">
        <f t="array" aca="1" ref="F39" ca="1">MMS_Feedlot_AtmosphericDeposition_Equations.VEERG_4_1_1_5__2_VolatilisedNitrogenFromManureManagement(F23,$E31)</f>
        <v>#NAME?</v>
      </c>
      <c r="G39" s="55" t="e" cm="1">
        <f t="array" aca="1" ref="G39" ca="1">MMS_Feedlot_AtmosphericDeposition_Equations.VEERG_4_1_1_5__2_VolatilisedNitrogenFromManureManagement(G23,$E31)</f>
        <v>#NAME?</v>
      </c>
      <c r="H39" s="2" t="e">
        <f t="shared" ca="1" si="0"/>
        <v>#NAME?</v>
      </c>
      <c r="L39" s="55" t="str">
        <f>'Input - Dairy'!$D$107</f>
        <v>Were solids separated from Sump and dispersal system?</v>
      </c>
      <c r="M39" s="55" t="e" cm="1">
        <f t="array" aca="1" ref="M39" ca="1">MMS_Feedlot_AtmosphericDeposition_Equations.VEERG_4_1_1_5__2_VolatilisedNitrogenFromManureManagement(M23,$E31)</f>
        <v>#NAME?</v>
      </c>
      <c r="N39" s="55" t="e" cm="1">
        <f t="array" aca="1" ref="N39" ca="1">MMS_Feedlot_AtmosphericDeposition_Equations.VEERG_4_1_1_5__2_VolatilisedNitrogenFromManureManagement(N23,$E31)</f>
        <v>#NAME?</v>
      </c>
      <c r="O39" s="55" t="e" cm="1">
        <f t="array" aca="1" ref="O39" ca="1">MMS_Feedlot_AtmosphericDeposition_Equations.VEERG_4_1_1_5__2_VolatilisedNitrogenFromManureManagement(O23,$E31)</f>
        <v>#NAME?</v>
      </c>
      <c r="P39" s="2" t="s">
        <v>137</v>
      </c>
    </row>
    <row r="40" spans="3:17" ht="20.100000000000001" customHeight="1" x14ac:dyDescent="0.25"/>
    <row r="41" spans="3:17" ht="20.100000000000001" customHeight="1" x14ac:dyDescent="0.25">
      <c r="D41" s="128" t="s">
        <v>195</v>
      </c>
      <c r="E41" s="48" t="e">
        <f ca="1">SUM(E36:G39)</f>
        <v>#NAME?</v>
      </c>
      <c r="F41" s="126" t="e">
        <f ca="1">$E$12</f>
        <v>#NAME?</v>
      </c>
      <c r="L41" s="128" t="s">
        <v>195</v>
      </c>
      <c r="M41" s="48" t="e">
        <f ca="1">SUM(M36:O39)</f>
        <v>#NAME?</v>
      </c>
      <c r="N41" s="126" t="e">
        <f ca="1">$E$12</f>
        <v>#NAME?</v>
      </c>
    </row>
    <row r="42" spans="3:17" ht="20.100000000000001" customHeight="1" x14ac:dyDescent="0.25"/>
    <row r="43" spans="3:17" ht="20.100000000000001" customHeight="1" x14ac:dyDescent="0.25">
      <c r="C43" s="127"/>
      <c r="D43" s="127"/>
      <c r="E43" s="127"/>
      <c r="F43" s="127"/>
      <c r="G43" s="127"/>
      <c r="H43" s="127"/>
      <c r="I43" s="127"/>
      <c r="K43" s="127"/>
      <c r="L43" s="127"/>
      <c r="M43" s="127"/>
      <c r="N43" s="127"/>
      <c r="O43" s="127"/>
      <c r="P43" s="127"/>
      <c r="Q43" s="127"/>
    </row>
    <row r="44" spans="3:17" ht="20.100000000000001" customHeight="1" x14ac:dyDescent="0.25"/>
    <row r="45" spans="3:17" ht="20.100000000000001" customHeight="1" x14ac:dyDescent="0.25">
      <c r="D45" s="6" t="e" cm="1">
        <f t="array" aca="1" ref="D45" ca="1">MMS_Feedlot_AtmosphericDeposition_Equations.VEERG_4_1_1_5__1_TotalAnnualAtmosphericDepositionEmissions_Title()</f>
        <v>#NAME?</v>
      </c>
    </row>
    <row r="46" spans="3:17" ht="20.100000000000001" customHeight="1" x14ac:dyDescent="0.25">
      <c r="D46" s="5" t="e" cm="1">
        <f t="array" aca="1" ref="D46" ca="1">MMS_Feedlot_AtmosphericDeposition_Equations.VEERG_4_1_1_5__1_TotalAnnualAtmosphericDepositionEmissions_Source()</f>
        <v>#NAME?</v>
      </c>
    </row>
    <row r="47" spans="3:17" ht="20.100000000000001" customHeight="1" x14ac:dyDescent="0.25">
      <c r="D47" s="13" t="s">
        <v>27</v>
      </c>
      <c r="E47" s="13" t="str" cm="1">
        <f t="array" aca="1" ref="E47" ca="1">Common_InputFunctions.Utility_DisplayFunctionName(E60)</f>
        <v>=MMS_Feedlot_AtmosphericDeposition_Equations.VEERG_4_1_1_5__1_TotalAnnualAtmosphericDepositionEmissions</v>
      </c>
    </row>
    <row r="48" spans="3:17" ht="20.100000000000001" customHeight="1" x14ac:dyDescent="0.25"/>
    <row r="49" spans="4:15" ht="20.100000000000001" customHeight="1" x14ac:dyDescent="0.25">
      <c r="D49" s="6"/>
    </row>
    <row r="50" spans="4:15" ht="20.100000000000001" customHeight="1" x14ac:dyDescent="0.25">
      <c r="D50" s="56" t="s">
        <v>30</v>
      </c>
      <c r="E50" s="1" t="e" cm="1">
        <f t="array" aca="1" ref="E50" ca="1">MMS_Feedlot_AtmosphericDeposition_Equations.VEERG_4_1_1_5__1_TotalAnnualAtmosphericDepositionEmissions_Variable()</f>
        <v>#NAME?</v>
      </c>
    </row>
    <row r="51" spans="4:15" ht="20.100000000000001" customHeight="1" x14ac:dyDescent="0.25">
      <c r="D51" s="56" t="s">
        <v>20</v>
      </c>
      <c r="E51" s="57" t="e" cm="1">
        <f t="array" aca="1" ref="E51" ca="1">MMS_Feedlot_AtmosphericDeposition_Equations.VEERG_4_1_1_5__1_TotalAnnualAtmosphericDepositionEmissions_Unit()</f>
        <v>#NAME?</v>
      </c>
    </row>
    <row r="52" spans="4:15" ht="20.100000000000001" customHeight="1" x14ac:dyDescent="0.25"/>
    <row r="53" spans="4:15" ht="20.100000000000001" customHeight="1" x14ac:dyDescent="0.25">
      <c r="D53" s="60" t="e" cm="1">
        <f t="array" aca="1" ref="D53" ca="1">MMS_Feedlot_AtmosphericDeposition_Equations.VEERG_4_1_1_5__1_TotalAnnualAtmosphericDepositionEmissions_Arguments()</f>
        <v>#NAME?</v>
      </c>
      <c r="E53" s="61"/>
      <c r="F53" s="62"/>
      <c r="G53" s="60" t="e">
        <f ca="1">$E$41</f>
        <v>#NAME?</v>
      </c>
      <c r="L53" s="60" t="e" cm="1">
        <f t="array" aca="1" ref="L53" ca="1">MMS_Feedlot_AtmosphericDeposition_Equations.VEERG_4_1_1_5__1_TotalAnnualAtmosphericDepositionEmissions_Arguments()</f>
        <v>#NAME?</v>
      </c>
      <c r="M53" s="61"/>
      <c r="N53" s="62"/>
      <c r="O53" s="60" t="e">
        <f ca="1">$M$41</f>
        <v>#NAME?</v>
      </c>
    </row>
    <row r="54" spans="4:15" ht="20.100000000000001" customHeight="1" x14ac:dyDescent="0.25">
      <c r="D54" s="60"/>
      <c r="E54" s="61"/>
      <c r="F54" s="62"/>
      <c r="G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  <c r="H54" s="114" t="s">
        <v>197</v>
      </c>
      <c r="L54" s="60"/>
      <c r="M54" s="61"/>
      <c r="N54" s="62"/>
      <c r="O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</row>
    <row r="55" spans="4:15" ht="20.100000000000001" customHeight="1" x14ac:dyDescent="0.25">
      <c r="D55" s="60"/>
      <c r="E55" s="61"/>
      <c r="F55" s="62"/>
      <c r="G55" s="60">
        <f>Common_InputFunctions.Utility_LookupValueInTableNumber("N2O",Table_GasToMolecularConversionFactor[Gas],Table_GasToMolecularConversionFactor[Conversion factor combined])</f>
        <v>1.5714285714285714</v>
      </c>
      <c r="L55" s="60"/>
      <c r="M55" s="61"/>
      <c r="N55" s="62"/>
      <c r="O55" s="60">
        <f>Common_InputFunctions.Utility_LookupValueInTableNumber("N2O",Table_GasToMolecularConversionFactor[Gas],Table_GasToMolecularConversionFactor[Conversion factor combined])</f>
        <v>1.5714285714285714</v>
      </c>
    </row>
    <row r="56" spans="4:15" ht="20.100000000000001" customHeight="1" x14ac:dyDescent="0.25">
      <c r="D56" s="60"/>
      <c r="E56" s="61"/>
      <c r="F56" s="62"/>
      <c r="G56" s="60" t="str">
        <f>'Input - Dairy'!$E$183</f>
        <v>Pasture</v>
      </c>
      <c r="L56" s="60"/>
      <c r="M56" s="61"/>
      <c r="N56" s="62"/>
      <c r="O56" s="60" t="str">
        <f>'Input - Dairy'!$E$183</f>
        <v>Pasture</v>
      </c>
    </row>
    <row r="57" spans="4:15" ht="20.100000000000001" customHeight="1" x14ac:dyDescent="0.25">
      <c r="D57" s="60"/>
      <c r="E57" s="61"/>
      <c r="F57" s="62"/>
      <c r="G57" s="60" t="str">
        <f>'Input - Dairy'!$E$184</f>
        <v>Not irrigated</v>
      </c>
      <c r="L57" s="60"/>
      <c r="M57" s="61"/>
      <c r="N57" s="62"/>
      <c r="O57" s="60" t="str">
        <f>'Input - Dairy'!$E$184</f>
        <v>Not irrigated</v>
      </c>
    </row>
    <row r="58" spans="4:15" ht="20.100000000000001" customHeight="1" x14ac:dyDescent="0.25">
      <c r="D58" s="61"/>
      <c r="E58" s="61"/>
      <c r="F58" s="105"/>
      <c r="G58" s="60" t="str">
        <f>'Input - Site'!$E$30</f>
        <v>High rainfall</v>
      </c>
      <c r="L58" s="61"/>
      <c r="M58" s="61"/>
      <c r="N58" s="105"/>
      <c r="O58" s="60" t="str">
        <f>'Input - Site'!$E$30</f>
        <v>High rainfall</v>
      </c>
    </row>
    <row r="59" spans="4:15" ht="20.100000000000001" customHeight="1" x14ac:dyDescent="0.25"/>
    <row r="60" spans="4:15" ht="20.100000000000001" customHeight="1" x14ac:dyDescent="0.25">
      <c r="D60" s="108" t="s">
        <v>210</v>
      </c>
      <c r="E60" s="109" t="e" cm="1">
        <f t="array" aca="1" ref="E60" ca="1">MMS_Feedlot_AtmosphericDeposition_Equations.VEERG_4_1_1_5__1_TotalAnnualAtmosphericDepositionEmissions(G53,G54,G55)</f>
        <v>#NAME?</v>
      </c>
      <c r="F60" s="110" t="e">
        <f ca="1">$E$51</f>
        <v>#NAME?</v>
      </c>
      <c r="L60" s="108" t="s">
        <v>210</v>
      </c>
      <c r="M60" s="109" t="e" cm="1">
        <f t="array" aca="1" ref="M60" ca="1">MMS_Feedlot_AtmosphericDeposition_Equations.VEERG_4_1_1_5__1_TotalAnnualAtmosphericDepositionEmissions(O53,O54,O55)</f>
        <v>#NAME?</v>
      </c>
      <c r="N60" s="110" t="e">
        <f ca="1">$E$51</f>
        <v>#NAME?</v>
      </c>
    </row>
    <row r="61" spans="4:15" ht="20.100000000000001" customHeight="1" x14ac:dyDescent="0.25"/>
    <row r="62" spans="4:15" ht="20.100000000000001" customHeight="1" x14ac:dyDescent="0.25">
      <c r="D62" s="60" t="str" cm="1">
        <f t="array" ref="D62:E63">Common_Equations.Common_ConvertN2OToCO2e_Arguments()</f>
        <v>EN2O</v>
      </c>
      <c r="E62" s="61" t="str">
        <v>Nitrous oxide emissions (t N2O)</v>
      </c>
      <c r="F62" s="111"/>
      <c r="G62" s="55" t="e">
        <f ca="1">E60</f>
        <v>#NAME?</v>
      </c>
      <c r="L62" s="60" t="str" cm="1">
        <f t="array" ref="L62:M63">Common_Equations.Common_ConvertN2OToCO2e_Arguments()</f>
        <v>EN2O</v>
      </c>
      <c r="M62" s="61" t="str">
        <v>Nitrous oxide emissions (t N2O)</v>
      </c>
      <c r="N62" s="111"/>
      <c r="O62" s="55" t="e">
        <f ca="1">M60</f>
        <v>#NAME?</v>
      </c>
    </row>
    <row r="63" spans="4:15" ht="20.100000000000001" customHeight="1" x14ac:dyDescent="0.25">
      <c r="D63" s="60" t="str">
        <v>GWPN2O</v>
      </c>
      <c r="E63" s="61" t="str">
        <v>Global warming potential for nitrous oxide (t CO2-e / t N2O)</v>
      </c>
      <c r="F63" s="111"/>
      <c r="G63" s="55">
        <f>Common_InputFunctions.Utility_LookupValueInTableNumber("N2O",Table_GWPData[Gas],Table_GWPData[CO2-e factor])</f>
        <v>265</v>
      </c>
      <c r="L63" s="60" t="str">
        <v>GWPN2O</v>
      </c>
      <c r="M63" s="61" t="str">
        <v>Global warming potential for nitrous oxide (t CO2-e / t N2O)</v>
      </c>
      <c r="N63" s="111"/>
      <c r="O63" s="55">
        <f>Common_InputFunctions.Utility_LookupValueInTableNumber("N2O",Table_GWPData[Gas],Table_GWPData[CO2-e factor])</f>
        <v>265</v>
      </c>
    </row>
    <row r="64" spans="4:15" ht="20.100000000000001" customHeight="1" x14ac:dyDescent="0.25"/>
    <row r="65" spans="4:14" ht="20.100000000000001" customHeight="1" x14ac:dyDescent="0.25">
      <c r="D65" s="48" t="s">
        <v>110</v>
      </c>
      <c r="E65" s="48" t="e" cm="1">
        <f t="array" aca="1" ref="E65" ca="1">Common_Equations.Common_ConvertN2OToCO2e(G62,G63)</f>
        <v>#NAME?</v>
      </c>
      <c r="F65" s="112" t="str" cm="1">
        <f t="array" ref="F65">Common_Equations.Common_ConvertN2OToCO2e_Unit()</f>
        <v>t CO2e</v>
      </c>
      <c r="L65" s="48" t="s">
        <v>110</v>
      </c>
      <c r="M65" s="48" t="e" cm="1">
        <f t="array" aca="1" ref="M65" ca="1">Common_Equations.Common_ConvertN2OToCO2e(O62,O63)</f>
        <v>#NAME?</v>
      </c>
      <c r="N65" s="112" t="str" cm="1">
        <f t="array" ref="N65">Common_Equations.Common_ConvertN2OToCO2e_Unit()</f>
        <v>t CO2e</v>
      </c>
    </row>
    <row r="66" spans="4:14" ht="20.100000000000001" customHeight="1" x14ac:dyDescent="0.25"/>
    <row r="67" spans="4:14" ht="20.100000000000001" customHeight="1" x14ac:dyDescent="0.25"/>
    <row r="68" spans="4:14" ht="20.100000000000001" customHeight="1" x14ac:dyDescent="0.25"/>
    <row r="69" spans="4:14" ht="20.100000000000001" customHeight="1" x14ac:dyDescent="0.25"/>
    <row r="70" spans="4:14" ht="20.100000000000001" customHeight="1" x14ac:dyDescent="0.25"/>
    <row r="71" spans="4:14" ht="20.100000000000001" customHeight="1" x14ac:dyDescent="0.25"/>
    <row r="72" spans="4:14" ht="20.100000000000001" customHeight="1" x14ac:dyDescent="0.25"/>
    <row r="73" spans="4:14" ht="20.100000000000001" customHeight="1" x14ac:dyDescent="0.25"/>
    <row r="74" spans="4:14" ht="20.100000000000001" customHeight="1" x14ac:dyDescent="0.25"/>
    <row r="75" spans="4:14" ht="20.100000000000001" customHeight="1" x14ac:dyDescent="0.25"/>
    <row r="76" spans="4:14" ht="20.100000000000001" customHeight="1" x14ac:dyDescent="0.25"/>
    <row r="77" spans="4:14" ht="20.100000000000001" customHeight="1" x14ac:dyDescent="0.25"/>
    <row r="78" spans="4:14" ht="20.100000000000001" customHeight="1" x14ac:dyDescent="0.25"/>
    <row r="79" spans="4:14" ht="20.100000000000001" customHeight="1" x14ac:dyDescent="0.25"/>
    <row r="80" spans="4:14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opLeftCell="A94" workbookViewId="0">
      <selection activeCell="A8" sqref="A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136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124</v>
      </c>
      <c r="E3" s="4"/>
      <c r="F3" s="4"/>
      <c r="G3" s="4"/>
      <c r="H3" s="4"/>
      <c r="I3" s="4"/>
      <c r="K3" s="4"/>
      <c r="L3" s="4" t="s">
        <v>125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e" cm="1">
        <f t="array" aca="1" ref="D5" ca="1">MMS_Feedlot_ManureAppliedToSoils_Equations.VEERG_4_1_1_9__1_MassOfNitrogenAppliedToSoilsScope1_Title()</f>
        <v>#NAME?</v>
      </c>
    </row>
    <row r="6" spans="1:17" ht="20.100000000000001" customHeight="1" x14ac:dyDescent="0.25">
      <c r="A6" s="20" t="s">
        <v>3</v>
      </c>
      <c r="D6" s="5" t="e" cm="1">
        <f t="array" aca="1" ref="D6" ca="1">MMS_Feedlot_ManureAppliedToSoils_Equations.VEERG_4_1_1_9__1_MassOfNitrogenAppliedToSoilsScope1_Source()</f>
        <v>#NAME?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Common_InputFunctions.Utility_DisplayFunctionName(E52)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  <c r="D9" s="6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e" cm="1">
        <f t="array" aca="1" ref="E11" ca="1">MMS_Feedlot_ManureAppliedToSoils_Equations.VEERG_4_1_1_9__1_MassOfNitrogenAppliedToSoilsScope1_Variable()</f>
        <v>#NAME?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e" cm="1">
        <f t="array" aca="1" ref="E12" ca="1">MMS_Feedlot_ManureAppliedToSoils_Equations.VEERG_4_1_1_9__1_MassOfNitrogenAppliedToSoilsScope1_Unit()</f>
        <v>#NAME?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22" t="str">
        <f>HYPERLINK("#'4.1.1.9 Manure applied to soils'!A1", "4.1.1.9 Manure applied to soils")</f>
        <v>4.1.1.9 Manure applied to soils</v>
      </c>
      <c r="D14" s="60" t="e" cm="1">
        <f t="array" aca="1" ref="D14" ca="1">MMS_Feedlot_ManureAppliedToSoils_Equations.VEERG_4_1_1_9__1_MassOfNitrogenAppliedToSoilsScope1_Arguments()</f>
        <v>#NAME?</v>
      </c>
      <c r="E14" s="61"/>
      <c r="F14" s="105"/>
      <c r="G14" s="62"/>
      <c r="H14" s="60" t="str">
        <f>"See " &amp; $D$19</f>
        <v>See M1_Table_MN_j_m_T-2-3</v>
      </c>
    </row>
    <row r="15" spans="1:17" ht="20.100000000000001" customHeight="1" x14ac:dyDescent="0.25">
      <c r="D15" s="60"/>
      <c r="E15" s="61"/>
      <c r="F15" s="105"/>
      <c r="G15" s="62"/>
      <c r="H15" s="60" t="str">
        <f>"See " &amp; $D$26</f>
        <v>See Table_EF_j_m_T-2-3</v>
      </c>
    </row>
    <row r="16" spans="1:17" ht="20.100000000000001" customHeight="1" x14ac:dyDescent="0.25">
      <c r="A16" s="18" t="s">
        <v>4</v>
      </c>
      <c r="D16" s="60"/>
      <c r="E16" s="61"/>
      <c r="F16" s="105"/>
      <c r="G16" s="62"/>
      <c r="H16" s="60" t="str">
        <f>"See " &amp; $D$34</f>
        <v>See Table_FracGASM_m_T-2-3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60"/>
      <c r="E17" s="61"/>
      <c r="F17" s="105"/>
      <c r="G17" s="62"/>
      <c r="H17" s="60" t="str">
        <f>"See " &amp; $D$42</f>
        <v>See Table_PF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04" t="s">
        <v>138</v>
      </c>
      <c r="L19" s="104" t="s">
        <v>146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3" t="s">
        <v>148</v>
      </c>
      <c r="L20" s="103" t="s">
        <v>147</v>
      </c>
    </row>
    <row r="21" spans="1:16" ht="20.100000000000001" customHeight="1" x14ac:dyDescent="0.25">
      <c r="D21" s="54" t="s">
        <v>68</v>
      </c>
      <c r="E21" s="54" t="s">
        <v>114</v>
      </c>
      <c r="F21" s="54" t="s">
        <v>115</v>
      </c>
      <c r="G21" s="54" t="s">
        <v>116</v>
      </c>
      <c r="L21" s="54" t="s">
        <v>68</v>
      </c>
      <c r="M21" s="54" t="s">
        <v>114</v>
      </c>
      <c r="N21" s="54" t="s">
        <v>115</v>
      </c>
      <c r="O21" s="54" t="s">
        <v>116</v>
      </c>
    </row>
    <row r="22" spans="1:16" ht="20.100000000000001" customHeight="1" x14ac:dyDescent="0.25">
      <c r="D22" s="55" t="str">
        <f>'Input - Dairy'!$D$101</f>
        <v>Anaerobic lagoon</v>
      </c>
      <c r="E22" s="55">
        <f>'4.3.1.3-4 Direct N20'!$E$173</f>
        <v>0</v>
      </c>
      <c r="F22" s="55">
        <f>'4.3.1.3-4 Direct N20'!$F$173</f>
        <v>0</v>
      </c>
      <c r="G22" s="55">
        <f>'4.3.1.3-4 Direct N20'!$G$173</f>
        <v>0</v>
      </c>
      <c r="H22" s="2" t="s">
        <v>137</v>
      </c>
      <c r="L22" s="55" t="str">
        <f>'Input - Dairy'!$D$101</f>
        <v>Anaerobic lagoon</v>
      </c>
      <c r="M22" s="55">
        <f>'4.3.1.3-4 Direct N20'!$O$173</f>
        <v>0</v>
      </c>
      <c r="N22" s="55">
        <f>'4.3.1.3-4 Direct N20'!$P$173</f>
        <v>0</v>
      </c>
      <c r="O22" s="55">
        <f>'4.3.1.3-4 Direct N20'!$Q$173</f>
        <v>0</v>
      </c>
      <c r="P22" s="2" t="s">
        <v>137</v>
      </c>
    </row>
    <row r="23" spans="1:16" ht="20.100000000000001" customHeight="1" x14ac:dyDescent="0.25">
      <c r="D23" s="55" t="str">
        <f>'Input - Dairy'!$D$102</f>
        <v>Were solids separated from Anaerobic lagoon?</v>
      </c>
      <c r="E23" s="55">
        <f>'4.3.1.3-4 Direct N20'!$E$174</f>
        <v>0</v>
      </c>
      <c r="F23" s="55">
        <f>'4.3.1.3-4 Direct N20'!$F$174</f>
        <v>0</v>
      </c>
      <c r="G23" s="55">
        <f>'4.3.1.3-4 Direct N20'!$G$174</f>
        <v>0</v>
      </c>
      <c r="H23" s="2" t="s">
        <v>137</v>
      </c>
      <c r="L23" s="55" t="str">
        <f>'Input - Dairy'!$D$102</f>
        <v>Were solids separated from Anaerobic lagoon?</v>
      </c>
      <c r="M23" s="55">
        <f>'4.3.1.3-4 Direct N20'!$O$174</f>
        <v>0</v>
      </c>
      <c r="N23" s="55">
        <f>'4.3.1.3-4 Direct N20'!$P$174</f>
        <v>0</v>
      </c>
      <c r="O23" s="55">
        <f>'4.3.1.3-4 Direct N20'!$Q$174</f>
        <v>0</v>
      </c>
      <c r="P23" s="2" t="s">
        <v>137</v>
      </c>
    </row>
    <row r="24" spans="1:16" ht="20.100000000000001" customHeight="1" x14ac:dyDescent="0.25">
      <c r="D24" s="55" t="str">
        <f>'Input - Dairy'!$D$107</f>
        <v>Were solids separated from Sump and dispersal system?</v>
      </c>
      <c r="E24" s="55" t="str">
        <f>'4.3.1.3-4 Direct N20'!$E$130</f>
        <v>kg N/head/day</v>
      </c>
      <c r="F24" s="55">
        <f>'4.3.1.3-4 Direct N20'!$F$130</f>
        <v>0</v>
      </c>
      <c r="G24" s="55">
        <f>'4.3.1.3-4 Direct N20'!$G$130</f>
        <v>0</v>
      </c>
      <c r="H24" s="2" t="s">
        <v>137</v>
      </c>
      <c r="L24" s="55" t="str">
        <f>'Input - Dairy'!$D$107</f>
        <v>Were solids separated from Sump and dispersal system?</v>
      </c>
      <c r="M24" s="55">
        <f>'4.3.1.3-4 Direct N20'!$O$129</f>
        <v>0</v>
      </c>
      <c r="N24" s="55">
        <f>'4.3.1.3-4 Direct N20'!$P$129</f>
        <v>0</v>
      </c>
      <c r="O24" s="55">
        <f>'4.3.1.3-4 Direct N20'!$Q$129</f>
        <v>0</v>
      </c>
      <c r="P24" s="2" t="s">
        <v>137</v>
      </c>
    </row>
    <row r="25" spans="1:16" ht="20.100000000000001" customHeight="1" x14ac:dyDescent="0.25"/>
    <row r="26" spans="1:16" ht="20.100000000000001" customHeight="1" x14ac:dyDescent="0.25">
      <c r="D26" s="104" t="s">
        <v>140</v>
      </c>
    </row>
    <row r="27" spans="1:16" ht="20.100000000000001" customHeight="1" x14ac:dyDescent="0.25">
      <c r="D27" s="103" t="s">
        <v>127</v>
      </c>
    </row>
    <row r="28" spans="1:16" ht="20.100000000000001" customHeight="1" x14ac:dyDescent="0.25">
      <c r="D28" s="118" t="s">
        <v>68</v>
      </c>
      <c r="E28" s="118" t="s">
        <v>128</v>
      </c>
    </row>
    <row r="29" spans="1:16" ht="20.100000000000001" customHeight="1" x14ac:dyDescent="0.25">
      <c r="D29" s="55" t="str">
        <f>'Input - Dairy'!$D$95</f>
        <v>Total manure sent to MMS (Must equal 100%)  (Method 2)</v>
      </c>
      <c r="E29" s="55" t="e">
        <f xml:space="preserve"> _xlfn.XLOOKUP(D29,#REF!,#REF!)</f>
        <v>#REF!</v>
      </c>
      <c r="F29" s="2" t="s">
        <v>144</v>
      </c>
    </row>
    <row r="30" spans="1:16" ht="20.100000000000001" customHeight="1" x14ac:dyDescent="0.25">
      <c r="D30" s="55" t="str">
        <f>'Input - Dairy'!$D$101</f>
        <v>Anaerobic lagoon</v>
      </c>
      <c r="E30" s="55" t="e">
        <f xml:space="preserve"> _xlfn.XLOOKUP($D$30,#REF!,#REF!)</f>
        <v>#REF!</v>
      </c>
      <c r="F30" s="2" t="s">
        <v>144</v>
      </c>
    </row>
    <row r="31" spans="1:16" ht="20.100000000000001" customHeight="1" x14ac:dyDescent="0.25">
      <c r="D31" s="55" t="str">
        <f>'Input - Dairy'!$D$102</f>
        <v>Were solids separated from Anaerobic lagoon?</v>
      </c>
      <c r="E31" s="55" t="e">
        <f xml:space="preserve"> _xlfn.XLOOKUP($D$31,#REF!,#REF!)</f>
        <v>#REF!</v>
      </c>
      <c r="F31" s="2" t="s">
        <v>144</v>
      </c>
    </row>
    <row r="32" spans="1:16" ht="20.100000000000001" customHeight="1" x14ac:dyDescent="0.25">
      <c r="D32" s="55" t="str">
        <f>'Input - Dairy'!$D$107</f>
        <v>Were solids separated from Sump and dispersal system?</v>
      </c>
      <c r="E32" s="55" t="e">
        <f xml:space="preserve"> _xlfn.XLOOKUP($D$32,#REF!,#REF!)</f>
        <v>#REF!</v>
      </c>
      <c r="F32" s="2" t="s">
        <v>144</v>
      </c>
    </row>
    <row r="33" spans="4:8" ht="20.100000000000001" customHeight="1" x14ac:dyDescent="0.25"/>
    <row r="34" spans="4:8" ht="20.100000000000001" customHeight="1" x14ac:dyDescent="0.25">
      <c r="D34" s="104" t="s">
        <v>139</v>
      </c>
    </row>
    <row r="35" spans="4:8" ht="20.100000000000001" customHeight="1" x14ac:dyDescent="0.25">
      <c r="D35" s="103" t="s">
        <v>141</v>
      </c>
    </row>
    <row r="36" spans="4:8" ht="20.100000000000001" customHeight="1" x14ac:dyDescent="0.25">
      <c r="D36" s="118" t="s">
        <v>68</v>
      </c>
      <c r="E36" s="118" t="s">
        <v>128</v>
      </c>
    </row>
    <row r="37" spans="4:8" ht="20.100000000000001" customHeight="1" x14ac:dyDescent="0.25">
      <c r="D37" s="55" t="str">
        <f>'Input - Dairy'!$D$95</f>
        <v>Total manure sent to MMS (Must equal 100%)  (Method 2)</v>
      </c>
      <c r="E37" s="55" t="e">
        <f xml:space="preserve"> _xlfn.XLOOKUP(D37,#REF!,#REF!)</f>
        <v>#REF!</v>
      </c>
      <c r="F37" s="2" t="s">
        <v>145</v>
      </c>
    </row>
    <row r="38" spans="4:8" ht="20.100000000000001" customHeight="1" x14ac:dyDescent="0.25">
      <c r="D38" s="55" t="str">
        <f>'Input - Dairy'!$D$101</f>
        <v>Anaerobic lagoon</v>
      </c>
      <c r="E38" s="55" t="e">
        <f xml:space="preserve"> _xlfn.XLOOKUP(D38,#REF!,#REF!)</f>
        <v>#REF!</v>
      </c>
      <c r="F38" s="2" t="s">
        <v>145</v>
      </c>
    </row>
    <row r="39" spans="4:8" ht="20.100000000000001" customHeight="1" x14ac:dyDescent="0.25">
      <c r="D39" s="55" t="str">
        <f>'Input - Dairy'!$D$102</f>
        <v>Were solids separated from Anaerobic lagoon?</v>
      </c>
      <c r="E39" s="55" t="e">
        <f xml:space="preserve"> _xlfn.XLOOKUP(D39,#REF!,#REF!)</f>
        <v>#REF!</v>
      </c>
      <c r="F39" s="2" t="s">
        <v>145</v>
      </c>
    </row>
    <row r="40" spans="4:8" ht="20.100000000000001" customHeight="1" x14ac:dyDescent="0.25">
      <c r="D40" s="55" t="str">
        <f>'Input - Dairy'!$D$107</f>
        <v>Were solids separated from Sump and dispersal system?</v>
      </c>
      <c r="E40" s="55" t="e">
        <f xml:space="preserve"> _xlfn.XLOOKUP(D40,#REF!,#REF!)</f>
        <v>#REF!</v>
      </c>
      <c r="F40" s="2" t="s">
        <v>145</v>
      </c>
    </row>
    <row r="41" spans="4:8" ht="20.100000000000001" customHeight="1" x14ac:dyDescent="0.25"/>
    <row r="42" spans="4:8" ht="20.100000000000001" customHeight="1" x14ac:dyDescent="0.25">
      <c r="D42" s="104" t="s">
        <v>142</v>
      </c>
    </row>
    <row r="43" spans="4:8" ht="20.100000000000001" customHeight="1" x14ac:dyDescent="0.25">
      <c r="D43" s="103" t="s">
        <v>143</v>
      </c>
    </row>
    <row r="44" spans="4:8" ht="20.100000000000001" customHeight="1" x14ac:dyDescent="0.25">
      <c r="D44" s="54" t="s">
        <v>68</v>
      </c>
      <c r="E44" s="54" t="s">
        <v>114</v>
      </c>
      <c r="F44" s="54" t="s">
        <v>115</v>
      </c>
      <c r="G44" s="54" t="s">
        <v>116</v>
      </c>
    </row>
    <row r="45" spans="4:8" ht="20.100000000000001" customHeight="1" x14ac:dyDescent="0.25">
      <c r="D45" s="55" t="str">
        <f>'Input - Dairy'!$D$101</f>
        <v>Anaerobic lagoon</v>
      </c>
      <c r="E45" s="55">
        <f>'Input - Dairy'!E139</f>
        <v>0.5</v>
      </c>
      <c r="F45" s="55">
        <f>'Input - Dairy'!F139</f>
        <v>0.5</v>
      </c>
      <c r="G45" s="55">
        <f>'Input - Dairy'!G139</f>
        <v>0.5</v>
      </c>
      <c r="H45" s="2" t="s">
        <v>100</v>
      </c>
    </row>
    <row r="46" spans="4:8" ht="20.100000000000001" customHeight="1" x14ac:dyDescent="0.25">
      <c r="D46" s="55" t="str">
        <f>'Input - Dairy'!$D$102</f>
        <v>Were solids separated from Anaerobic lagoon?</v>
      </c>
      <c r="E46" s="55">
        <f>'Input - Dairy'!E144</f>
        <v>0.5</v>
      </c>
      <c r="F46" s="55">
        <f>'Input - Dairy'!F144</f>
        <v>0.5</v>
      </c>
      <c r="G46" s="55">
        <f>'Input - Dairy'!G144</f>
        <v>0.5</v>
      </c>
      <c r="H46" s="2" t="s">
        <v>100</v>
      </c>
    </row>
    <row r="47" spans="4:8" ht="20.100000000000001" customHeight="1" x14ac:dyDescent="0.25">
      <c r="D47" s="55" t="str">
        <f>'Input - Dairy'!$D$107</f>
        <v>Were solids separated from Sump and dispersal system?</v>
      </c>
      <c r="E47" s="55">
        <f>'Input - Dairy'!E149</f>
        <v>0.5</v>
      </c>
      <c r="F47" s="55">
        <f>'Input - Dairy'!F149</f>
        <v>0.5</v>
      </c>
      <c r="G47" s="55">
        <f>'Input - Dairy'!G149</f>
        <v>0.5</v>
      </c>
      <c r="H47" s="2" t="s">
        <v>100</v>
      </c>
    </row>
    <row r="48" spans="4:8" ht="20.100000000000001" customHeight="1" x14ac:dyDescent="0.25"/>
    <row r="49" spans="3:17" ht="20.100000000000001" customHeight="1" x14ac:dyDescent="0.25">
      <c r="D49" s="104" t="s">
        <v>149</v>
      </c>
      <c r="L49" s="104" t="s">
        <v>163</v>
      </c>
    </row>
    <row r="50" spans="3:17" ht="20.100000000000001" customHeight="1" x14ac:dyDescent="0.25">
      <c r="D50" s="103" t="s">
        <v>165</v>
      </c>
      <c r="L50" s="103" t="s">
        <v>164</v>
      </c>
    </row>
    <row r="51" spans="3:17" ht="20.100000000000001" customHeight="1" x14ac:dyDescent="0.25">
      <c r="D51" s="54" t="s">
        <v>68</v>
      </c>
      <c r="E51" s="54" t="s">
        <v>114</v>
      </c>
      <c r="F51" s="54" t="s">
        <v>115</v>
      </c>
      <c r="G51" s="54" t="s">
        <v>116</v>
      </c>
      <c r="L51" s="54" t="s">
        <v>68</v>
      </c>
      <c r="M51" s="54" t="s">
        <v>114</v>
      </c>
      <c r="N51" s="54" t="s">
        <v>115</v>
      </c>
      <c r="O51" s="54" t="s">
        <v>116</v>
      </c>
    </row>
    <row r="52" spans="3:17" ht="20.100000000000001" customHeight="1" x14ac:dyDescent="0.25">
      <c r="D52" s="55" t="str">
        <f>'Input - Dairy'!$D$101</f>
        <v>Anaerobic lagoon</v>
      </c>
      <c r="E52" s="55" t="e" cm="1">
        <f t="array" aca="1" ref="E52" ca="1">MMS_Feedlot_ManureAppliedToSoils_Equations.VEERG_4_1_1_9__1_MassOfNitrogenAppliedToSoilsScope1(E22,$E$30,$E$38,E45)</f>
        <v>#NAME?</v>
      </c>
      <c r="F52" s="55" t="e" cm="1">
        <f t="array" aca="1" ref="F52" ca="1">MMS_Feedlot_ManureAppliedToSoils_Equations.VEERG_4_1_1_9__1_MassOfNitrogenAppliedToSoilsScope1(F22,$E$30,$E$38,F45)</f>
        <v>#NAME?</v>
      </c>
      <c r="G52" s="55" t="e" cm="1">
        <f t="array" aca="1" ref="G52" ca="1">MMS_Feedlot_ManureAppliedToSoils_Equations.VEERG_4_1_1_9__1_MassOfNitrogenAppliedToSoilsScope1(G22,$E$30,$E$38,G45)</f>
        <v>#NAME?</v>
      </c>
      <c r="H52" s="2" t="e">
        <f ca="1">$E$12</f>
        <v>#NAME?</v>
      </c>
      <c r="L52" s="55" t="str">
        <f>'Input - Dairy'!$D$101</f>
        <v>Anaerobic lagoon</v>
      </c>
      <c r="M52" s="55" t="e" cm="1">
        <f t="array" aca="1" ref="M52" ca="1">MMS_Feedlot_ManureAppliedToSoils_Equations.VEERG_4_1_1_9__1_MassOfNitrogenAppliedToSoilsScope1(M22,$E$30,$E$38,E45)</f>
        <v>#NAME?</v>
      </c>
      <c r="N52" s="55" t="e" cm="1">
        <f t="array" aca="1" ref="N52" ca="1">MMS_Feedlot_ManureAppliedToSoils_Equations.VEERG_4_1_1_9__1_MassOfNitrogenAppliedToSoilsScope1(N22,$E$30,$E$38,F45)</f>
        <v>#NAME?</v>
      </c>
      <c r="O52" s="55" t="e" cm="1">
        <f t="array" aca="1" ref="O52" ca="1">MMS_Feedlot_ManureAppliedToSoils_Equations.VEERG_4_1_1_9__1_MassOfNitrogenAppliedToSoilsScope1(O22,$E$30,$E$38,G45)</f>
        <v>#NAME?</v>
      </c>
      <c r="P52" s="2" t="e">
        <f ca="1">$E$12</f>
        <v>#NAME?</v>
      </c>
    </row>
    <row r="53" spans="3:17" ht="20.100000000000001" customHeight="1" x14ac:dyDescent="0.25">
      <c r="D53" s="55" t="str">
        <f>'Input - Dairy'!$D$102</f>
        <v>Were solids separated from Anaerobic lagoon?</v>
      </c>
      <c r="E53" s="55" t="e" cm="1">
        <f t="array" aca="1" ref="E53" ca="1">MMS_Feedlot_ManureAppliedToSoils_Equations.VEERG_4_1_1_9__1_MassOfNitrogenAppliedToSoilsScope1(E23,$E$31,$E$39,E46)</f>
        <v>#NAME?</v>
      </c>
      <c r="F53" s="55" t="e" cm="1">
        <f t="array" aca="1" ref="F53" ca="1">MMS_Feedlot_ManureAppliedToSoils_Equations.VEERG_4_1_1_9__1_MassOfNitrogenAppliedToSoilsScope1(F23,$E$31,$E$39,F46)</f>
        <v>#NAME?</v>
      </c>
      <c r="G53" s="55" t="e" cm="1">
        <f t="array" aca="1" ref="G53" ca="1">MMS_Feedlot_ManureAppliedToSoils_Equations.VEERG_4_1_1_9__1_MassOfNitrogenAppliedToSoilsScope1(G23,$E$31,$E$39,G46)</f>
        <v>#NAME?</v>
      </c>
      <c r="H53" s="2" t="e">
        <f ca="1">$E$12</f>
        <v>#NAME?</v>
      </c>
      <c r="L53" s="55" t="str">
        <f>'Input - Dairy'!$D$102</f>
        <v>Were solids separated from Anaerobic lagoon?</v>
      </c>
      <c r="M53" s="55" t="e" cm="1">
        <f t="array" aca="1" ref="M53" ca="1">MMS_Feedlot_ManureAppliedToSoils_Equations.VEERG_4_1_1_9__1_MassOfNitrogenAppliedToSoilsScope1(M23,$E$31,$E$39,E46)</f>
        <v>#NAME?</v>
      </c>
      <c r="N53" s="55" t="e" cm="1">
        <f t="array" aca="1" ref="N53" ca="1">MMS_Feedlot_ManureAppliedToSoils_Equations.VEERG_4_1_1_9__1_MassOfNitrogenAppliedToSoilsScope1(N23,$E$31,$E$39,F46)</f>
        <v>#NAME?</v>
      </c>
      <c r="O53" s="55" t="e" cm="1">
        <f t="array" aca="1" ref="O53" ca="1">MMS_Feedlot_ManureAppliedToSoils_Equations.VEERG_4_1_1_9__1_MassOfNitrogenAppliedToSoilsScope1(O23,$E$31,$E$39,G46)</f>
        <v>#NAME?</v>
      </c>
      <c r="P53" s="2" t="e">
        <f ca="1">$E$12</f>
        <v>#NAME?</v>
      </c>
    </row>
    <row r="54" spans="3:17" ht="20.100000000000001" customHeight="1" x14ac:dyDescent="0.25">
      <c r="D54" s="55" t="str">
        <f>'Input - Dairy'!$D$107</f>
        <v>Were solids separated from Sump and dispersal system?</v>
      </c>
      <c r="E54" s="55" t="e" cm="1">
        <f t="array" aca="1" ref="E54" ca="1">MMS_Feedlot_ManureAppliedToSoils_Equations.VEERG_4_1_1_9__1_MassOfNitrogenAppliedToSoilsScope1(E24,$E$32,$E$40,E47)</f>
        <v>#NAME?</v>
      </c>
      <c r="F54" s="55" t="e" cm="1">
        <f t="array" aca="1" ref="F54" ca="1">MMS_Feedlot_ManureAppliedToSoils_Equations.VEERG_4_1_1_9__1_MassOfNitrogenAppliedToSoilsScope1(F24,$E$32,$E$40,F47)</f>
        <v>#NAME?</v>
      </c>
      <c r="G54" s="55" t="e" cm="1">
        <f t="array" aca="1" ref="G54" ca="1">MMS_Feedlot_ManureAppliedToSoils_Equations.VEERG_4_1_1_9__1_MassOfNitrogenAppliedToSoilsScope1(G24,$E$32,$E$40,G47)</f>
        <v>#NAME?</v>
      </c>
      <c r="H54" s="2" t="e">
        <f ca="1">$E$12</f>
        <v>#NAME?</v>
      </c>
      <c r="L54" s="55" t="str">
        <f>'Input - Dairy'!$D$107</f>
        <v>Were solids separated from Sump and dispersal system?</v>
      </c>
      <c r="M54" s="55" t="e" cm="1">
        <f t="array" aca="1" ref="M54" ca="1">MMS_Feedlot_ManureAppliedToSoils_Equations.VEERG_4_1_1_9__1_MassOfNitrogenAppliedToSoilsScope1(M24,$E$32,$E$40,E47)</f>
        <v>#NAME?</v>
      </c>
      <c r="N54" s="55" t="e" cm="1">
        <f t="array" aca="1" ref="N54" ca="1">MMS_Feedlot_ManureAppliedToSoils_Equations.VEERG_4_1_1_9__1_MassOfNitrogenAppliedToSoilsScope1(N24,$E$32,$E$40,F47)</f>
        <v>#NAME?</v>
      </c>
      <c r="O54" s="55" t="e" cm="1">
        <f t="array" aca="1" ref="O54" ca="1">MMS_Feedlot_ManureAppliedToSoils_Equations.VEERG_4_1_1_9__1_MassOfNitrogenAppliedToSoilsScope1(O24,$E$32,$E$40,G47)</f>
        <v>#NAME?</v>
      </c>
      <c r="P54" s="2" t="e">
        <f ca="1">$E$12</f>
        <v>#NAME?</v>
      </c>
    </row>
    <row r="55" spans="3:17" ht="20.100000000000001" customHeight="1" x14ac:dyDescent="0.25"/>
    <row r="56" spans="3:17" ht="20.100000000000001" customHeight="1" x14ac:dyDescent="0.25">
      <c r="D56" s="108" t="s">
        <v>150</v>
      </c>
      <c r="E56" s="109" t="e">
        <f ca="1">SUM(E52:G54)</f>
        <v>#NAME?</v>
      </c>
      <c r="F56" s="110" t="e">
        <f ca="1">$E$12</f>
        <v>#NAME?</v>
      </c>
      <c r="L56" s="108" t="s">
        <v>150</v>
      </c>
      <c r="M56" s="109" t="e">
        <f ca="1">SUM(M52:O54)</f>
        <v>#NAME?</v>
      </c>
      <c r="N56" s="110" t="e">
        <f ca="1">$E$12</f>
        <v>#NAME?</v>
      </c>
    </row>
    <row r="57" spans="3:17" ht="20.100000000000001" customHeight="1" x14ac:dyDescent="0.25"/>
    <row r="58" spans="3:17" ht="20.100000000000001" customHeight="1" x14ac:dyDescent="0.25"/>
    <row r="59" spans="3:17" ht="20.100000000000001" customHeight="1" x14ac:dyDescent="0.25">
      <c r="C59" s="48"/>
      <c r="D59" s="48"/>
      <c r="E59" s="48"/>
      <c r="F59" s="48"/>
      <c r="G59" s="48"/>
      <c r="H59" s="48"/>
      <c r="I59" s="48"/>
      <c r="K59" s="48"/>
      <c r="L59" s="48"/>
      <c r="M59" s="48"/>
      <c r="N59" s="48"/>
      <c r="O59" s="48"/>
      <c r="P59" s="48"/>
      <c r="Q59" s="48"/>
    </row>
    <row r="60" spans="3:17" ht="20.100000000000001" customHeight="1" x14ac:dyDescent="0.25">
      <c r="D60" s="6" t="e" cm="1">
        <f t="array" aca="1" ref="D60" ca="1">MMS_Feedlot_ManureAppliedToSoils_Equations.VEERG_4_1_1_9__2_MassOfNitrogenAppliedToSoilsScope3_Title()</f>
        <v>#NAME?</v>
      </c>
    </row>
    <row r="61" spans="3:17" ht="20.100000000000001" customHeight="1" x14ac:dyDescent="0.25">
      <c r="D61" s="5" t="e" cm="1">
        <f t="array" aca="1" ref="D61" ca="1">MMS_Feedlot_ManureAppliedToSoils_Equations.VEERG_4_1_1_9__2_MassOfNitrogenAppliedToSoilsScope3_Source()</f>
        <v>#NAME?</v>
      </c>
    </row>
    <row r="62" spans="3:17" ht="20.100000000000001" customHeight="1" x14ac:dyDescent="0.25">
      <c r="D62" s="13" t="s">
        <v>27</v>
      </c>
      <c r="E62" s="13" t="str" cm="1">
        <f t="array" aca="1" ref="E62" ca="1">Common_InputFunctions.Utility_DisplayFunctionName(E77)</f>
        <v>=MMS_Feedlot_ManureAppliedToSoils_Equations.VEERG_4_1_1_9__2_MassOfNitrogenAppliedToSoilsScope3</v>
      </c>
    </row>
    <row r="63" spans="3:17" ht="20.100000000000001" customHeight="1" x14ac:dyDescent="0.25"/>
    <row r="64" spans="3:17" ht="20.100000000000001" customHeight="1" x14ac:dyDescent="0.25">
      <c r="D64" s="6"/>
    </row>
    <row r="65" spans="4:16" ht="20.100000000000001" customHeight="1" x14ac:dyDescent="0.25"/>
    <row r="66" spans="4:16" ht="20.100000000000001" customHeight="1" x14ac:dyDescent="0.25">
      <c r="D66" s="56" t="s">
        <v>30</v>
      </c>
      <c r="E66" s="1" t="e" cm="1">
        <f t="array" aca="1" ref="E66" ca="1">MMS_Feedlot_ManureAppliedToSoils_Equations.VEERG_4_1_1_9__2_MassOfNitrogenAppliedToSoilsScope3_Variable()</f>
        <v>#NAME?</v>
      </c>
    </row>
    <row r="67" spans="4:16" ht="20.100000000000001" customHeight="1" x14ac:dyDescent="0.25">
      <c r="D67" s="56" t="s">
        <v>20</v>
      </c>
      <c r="E67" s="57" t="e" cm="1">
        <f t="array" aca="1" ref="E67" ca="1">MMS_Feedlot_ManureAppliedToSoils_Equations.VEERG_4_1_1_9__2_MassOfNitrogenAppliedToSoilsScope3_Unit()</f>
        <v>#NAME?</v>
      </c>
    </row>
    <row r="68" spans="4:16" ht="20.100000000000001" customHeight="1" x14ac:dyDescent="0.25"/>
    <row r="69" spans="4:16" ht="20.100000000000001" customHeight="1" x14ac:dyDescent="0.25">
      <c r="D69" s="60" t="e" cm="1">
        <f t="array" aca="1" ref="D69" ca="1">MMS_Feedlot_ManureAppliedToSoils_Equations.VEERG_4_1_1_9__2_MassOfNitrogenAppliedToSoilsScope3_Arguments()</f>
        <v>#NAME?</v>
      </c>
      <c r="E69" s="61"/>
      <c r="F69" s="105"/>
      <c r="G69" s="62"/>
      <c r="H69" s="60" t="str">
        <f>"See " &amp; $D$19</f>
        <v>See M1_Table_MN_j_m_T-2-3</v>
      </c>
    </row>
    <row r="70" spans="4:16" ht="20.100000000000001" customHeight="1" x14ac:dyDescent="0.25">
      <c r="D70" s="60"/>
      <c r="E70" s="61"/>
      <c r="F70" s="105"/>
      <c r="G70" s="62"/>
      <c r="H70" s="60" t="str">
        <f>"See " &amp; $D$26</f>
        <v>See Table_EF_j_m_T-2-3</v>
      </c>
    </row>
    <row r="71" spans="4:16" ht="20.100000000000001" customHeight="1" x14ac:dyDescent="0.25">
      <c r="D71" s="60"/>
      <c r="E71" s="61"/>
      <c r="F71" s="105"/>
      <c r="G71" s="62"/>
      <c r="H71" s="60" t="str">
        <f>"See " &amp; $D$34</f>
        <v>See Table_FracGASM_m_T-2-3</v>
      </c>
    </row>
    <row r="72" spans="4:16" ht="20.100000000000001" customHeight="1" x14ac:dyDescent="0.25">
      <c r="D72" s="60"/>
      <c r="E72" s="61"/>
      <c r="F72" s="105"/>
      <c r="G72" s="62"/>
      <c r="H72" s="60" t="str">
        <f>"See " &amp; $D$42</f>
        <v>See Table_PF</v>
      </c>
    </row>
    <row r="73" spans="4:16" ht="20.100000000000001" customHeight="1" x14ac:dyDescent="0.25"/>
    <row r="74" spans="4:16" ht="20.100000000000001" customHeight="1" x14ac:dyDescent="0.25">
      <c r="D74" s="104" t="s">
        <v>154</v>
      </c>
      <c r="L74" s="104" t="s">
        <v>159</v>
      </c>
    </row>
    <row r="75" spans="4:16" ht="20.100000000000001" customHeight="1" x14ac:dyDescent="0.25">
      <c r="D75" s="103" t="s">
        <v>162</v>
      </c>
      <c r="L75" s="103" t="s">
        <v>160</v>
      </c>
    </row>
    <row r="76" spans="4:16" ht="20.100000000000001" customHeight="1" x14ac:dyDescent="0.25">
      <c r="D76" s="54" t="s">
        <v>68</v>
      </c>
      <c r="E76" s="54" t="s">
        <v>114</v>
      </c>
      <c r="F76" s="54" t="s">
        <v>115</v>
      </c>
      <c r="G76" s="54" t="s">
        <v>116</v>
      </c>
      <c r="L76" s="54" t="s">
        <v>68</v>
      </c>
      <c r="M76" s="54" t="s">
        <v>114</v>
      </c>
      <c r="N76" s="54" t="s">
        <v>115</v>
      </c>
      <c r="O76" s="54" t="s">
        <v>116</v>
      </c>
    </row>
    <row r="77" spans="4:16" ht="20.100000000000001" customHeight="1" x14ac:dyDescent="0.25">
      <c r="D77" s="55" t="str">
        <f>'Input - Dairy'!$D$101</f>
        <v>Anaerobic lagoon</v>
      </c>
      <c r="E77" s="55" t="e" cm="1">
        <f t="array" aca="1" ref="E77" ca="1">MMS_Feedlot_ManureAppliedToSoils_Equations.VEERG_4_1_1_9__2_MassOfNitrogenAppliedToSoilsScope3(E22,$E30,$E38,E45)</f>
        <v>#NAME?</v>
      </c>
      <c r="F77" s="55" t="e" cm="1">
        <f t="array" aca="1" ref="F77" ca="1">MMS_Feedlot_ManureAppliedToSoils_Equations.VEERG_4_1_1_9__2_MassOfNitrogenAppliedToSoilsScope3(F22,$E30,$E38,F45)</f>
        <v>#NAME?</v>
      </c>
      <c r="G77" s="55" t="e" cm="1">
        <f t="array" aca="1" ref="G77" ca="1">MMS_Feedlot_ManureAppliedToSoils_Equations.VEERG_4_1_1_9__2_MassOfNitrogenAppliedToSoilsScope3(G22,$E30,$E38,G45)</f>
        <v>#NAME?</v>
      </c>
      <c r="H77" s="2" t="e">
        <f ca="1">$E$12</f>
        <v>#NAME?</v>
      </c>
      <c r="L77" s="55" t="str">
        <f>'Input - Dairy'!$D$101</f>
        <v>Anaerobic lagoon</v>
      </c>
      <c r="M77" s="55" t="e" cm="1">
        <f t="array" aca="1" ref="M77" ca="1">MMS_Feedlot_ManureAppliedToSoils_Equations.VEERG_4_1_1_9__2_MassOfNitrogenAppliedToSoilsScope3(M22,$E30,$E38,E45)</f>
        <v>#NAME?</v>
      </c>
      <c r="N77" s="55" t="e" cm="1">
        <f t="array" aca="1" ref="N77" ca="1">MMS_Feedlot_ManureAppliedToSoils_Equations.VEERG_4_1_1_9__2_MassOfNitrogenAppliedToSoilsScope3(N22,$E30,$E38,F45)</f>
        <v>#NAME?</v>
      </c>
      <c r="O77" s="55" t="e" cm="1">
        <f t="array" aca="1" ref="O77" ca="1">MMS_Feedlot_ManureAppliedToSoils_Equations.VEERG_4_1_1_9__2_MassOfNitrogenAppliedToSoilsScope3(O22,$E30,$E38,G45)</f>
        <v>#NAME?</v>
      </c>
      <c r="P77" s="2" t="e">
        <f ca="1">$E$12</f>
        <v>#NAME?</v>
      </c>
    </row>
    <row r="78" spans="4:16" ht="20.100000000000001" customHeight="1" x14ac:dyDescent="0.25">
      <c r="D78" s="55" t="str">
        <f>'Input - Dairy'!$D$102</f>
        <v>Were solids separated from Anaerobic lagoon?</v>
      </c>
      <c r="E78" s="55" t="e" cm="1">
        <f t="array" aca="1" ref="E78" ca="1">MMS_Feedlot_ManureAppliedToSoils_Equations.VEERG_4_1_1_9__2_MassOfNitrogenAppliedToSoilsScope3(E23,$E31,$E39,E46)</f>
        <v>#NAME?</v>
      </c>
      <c r="F78" s="55" t="e" cm="1">
        <f t="array" aca="1" ref="F78" ca="1">MMS_Feedlot_ManureAppliedToSoils_Equations.VEERG_4_1_1_9__2_MassOfNitrogenAppliedToSoilsScope3(F23,$E31,$E39,F46)</f>
        <v>#NAME?</v>
      </c>
      <c r="G78" s="55" t="e" cm="1">
        <f t="array" aca="1" ref="G78" ca="1">MMS_Feedlot_ManureAppliedToSoils_Equations.VEERG_4_1_1_9__2_MassOfNitrogenAppliedToSoilsScope3(G23,$E31,$E39,G46)</f>
        <v>#NAME?</v>
      </c>
      <c r="H78" s="2" t="e">
        <f ca="1">$E$12</f>
        <v>#NAME?</v>
      </c>
      <c r="L78" s="55" t="str">
        <f>'Input - Dairy'!$D$102</f>
        <v>Were solids separated from Anaerobic lagoon?</v>
      </c>
      <c r="M78" s="55" t="e" cm="1">
        <f t="array" aca="1" ref="M78" ca="1">MMS_Feedlot_ManureAppliedToSoils_Equations.VEERG_4_1_1_9__2_MassOfNitrogenAppliedToSoilsScope3(M23,$E31,$E39,E46)</f>
        <v>#NAME?</v>
      </c>
      <c r="N78" s="55" t="e" cm="1">
        <f t="array" aca="1" ref="N78" ca="1">MMS_Feedlot_ManureAppliedToSoils_Equations.VEERG_4_1_1_9__2_MassOfNitrogenAppliedToSoilsScope3(N23,$E31,$E39,F46)</f>
        <v>#NAME?</v>
      </c>
      <c r="O78" s="55" t="e" cm="1">
        <f t="array" aca="1" ref="O78" ca="1">MMS_Feedlot_ManureAppliedToSoils_Equations.VEERG_4_1_1_9__2_MassOfNitrogenAppliedToSoilsScope3(O23,$E31,$E39,G46)</f>
        <v>#NAME?</v>
      </c>
      <c r="P78" s="2" t="e">
        <f ca="1">$E$12</f>
        <v>#NAME?</v>
      </c>
    </row>
    <row r="79" spans="4:16" ht="20.100000000000001" customHeight="1" x14ac:dyDescent="0.25">
      <c r="D79" s="55" t="str">
        <f>'Input - Dairy'!$D$107</f>
        <v>Were solids separated from Sump and dispersal system?</v>
      </c>
      <c r="E79" s="55" t="e" cm="1">
        <f t="array" aca="1" ref="E79" ca="1">MMS_Feedlot_ManureAppliedToSoils_Equations.VEERG_4_1_1_9__2_MassOfNitrogenAppliedToSoilsScope3(E24,$E32,$E40,E47)</f>
        <v>#NAME?</v>
      </c>
      <c r="F79" s="55" t="e" cm="1">
        <f t="array" aca="1" ref="F79" ca="1">MMS_Feedlot_ManureAppliedToSoils_Equations.VEERG_4_1_1_9__2_MassOfNitrogenAppliedToSoilsScope3(F24,$E32,$E40,F47)</f>
        <v>#NAME?</v>
      </c>
      <c r="G79" s="55" t="e" cm="1">
        <f t="array" aca="1" ref="G79" ca="1">MMS_Feedlot_ManureAppliedToSoils_Equations.VEERG_4_1_1_9__2_MassOfNitrogenAppliedToSoilsScope3(G24,$E32,$E40,G47)</f>
        <v>#NAME?</v>
      </c>
      <c r="H79" s="2" t="e">
        <f ca="1">$E$12</f>
        <v>#NAME?</v>
      </c>
      <c r="L79" s="55" t="str">
        <f>'Input - Dairy'!$D$107</f>
        <v>Were solids separated from Sump and dispersal system?</v>
      </c>
      <c r="M79" s="55" t="e" cm="1">
        <f t="array" aca="1" ref="M79" ca="1">MMS_Feedlot_ManureAppliedToSoils_Equations.VEERG_4_1_1_9__2_MassOfNitrogenAppliedToSoilsScope3(M24,$E32,$E40,E47)</f>
        <v>#NAME?</v>
      </c>
      <c r="N79" s="55" t="e" cm="1">
        <f t="array" aca="1" ref="N79" ca="1">MMS_Feedlot_ManureAppliedToSoils_Equations.VEERG_4_1_1_9__2_MassOfNitrogenAppliedToSoilsScope3(N24,$E32,$E40,F47)</f>
        <v>#NAME?</v>
      </c>
      <c r="O79" s="55" t="e" cm="1">
        <f t="array" aca="1" ref="O79" ca="1">MMS_Feedlot_ManureAppliedToSoils_Equations.VEERG_4_1_1_9__2_MassOfNitrogenAppliedToSoilsScope3(O24,$E32,$E40,G47)</f>
        <v>#NAME?</v>
      </c>
      <c r="P79" s="2" t="e">
        <f ca="1">$E$12</f>
        <v>#NAME?</v>
      </c>
    </row>
    <row r="80" spans="4:16" ht="20.100000000000001" customHeight="1" x14ac:dyDescent="0.25"/>
    <row r="81" spans="3:17" ht="20.100000000000001" customHeight="1" x14ac:dyDescent="0.25">
      <c r="D81" s="108" t="s">
        <v>156</v>
      </c>
      <c r="E81" s="109" t="e">
        <f ca="1">SUM(E77:G79)</f>
        <v>#NAME?</v>
      </c>
      <c r="F81" s="110" t="e">
        <f ca="1">$E$12</f>
        <v>#NAME?</v>
      </c>
      <c r="L81" s="108" t="s">
        <v>156</v>
      </c>
      <c r="M81" s="109" t="e">
        <f ca="1">SUM(M77:O79)</f>
        <v>#NAME?</v>
      </c>
      <c r="N81" s="110" t="e">
        <f ca="1">$E$12</f>
        <v>#NAME?</v>
      </c>
    </row>
    <row r="82" spans="3:17" ht="20.100000000000001" customHeight="1" x14ac:dyDescent="0.25"/>
    <row r="83" spans="3:17" ht="20.100000000000001" customHeight="1" x14ac:dyDescent="0.25"/>
    <row r="84" spans="3:17" ht="20.100000000000001" customHeight="1" x14ac:dyDescent="0.25">
      <c r="C84" s="48"/>
      <c r="D84" s="48"/>
      <c r="E84" s="48"/>
      <c r="F84" s="48"/>
      <c r="G84" s="48"/>
      <c r="H84" s="48"/>
      <c r="I84" s="48"/>
      <c r="J84" s="123"/>
      <c r="K84" s="48"/>
      <c r="L84" s="48"/>
      <c r="M84" s="48"/>
      <c r="N84" s="48"/>
      <c r="O84" s="48"/>
      <c r="P84" s="48"/>
      <c r="Q84" s="48"/>
    </row>
    <row r="85" spans="3:17" ht="20.100000000000001" customHeight="1" x14ac:dyDescent="0.25">
      <c r="D85" s="120" t="e">
        <f ca="1">"Below are applications of " &amp; D61 &amp; " that are applied to the following contexts:"</f>
        <v>#NAME?</v>
      </c>
      <c r="E85" s="95"/>
      <c r="F85" s="95"/>
      <c r="G85" s="95"/>
      <c r="H85" s="91"/>
    </row>
    <row r="86" spans="3:17" ht="20.100000000000001" customHeight="1" x14ac:dyDescent="0.25">
      <c r="D86" s="121" t="s">
        <v>175</v>
      </c>
      <c r="E86" s="119"/>
      <c r="F86" s="119"/>
      <c r="G86" s="119"/>
      <c r="H86" s="122"/>
    </row>
    <row r="87" spans="3:17" ht="20.100000000000001" customHeight="1" x14ac:dyDescent="0.25">
      <c r="D87" s="97" t="s">
        <v>176</v>
      </c>
      <c r="E87" s="94"/>
      <c r="F87" s="94"/>
      <c r="G87" s="94"/>
      <c r="H87" s="92"/>
    </row>
    <row r="88" spans="3:17" ht="20.100000000000001" customHeight="1" x14ac:dyDescent="0.25"/>
    <row r="89" spans="3:17" ht="20.100000000000001" customHeight="1" x14ac:dyDescent="0.25">
      <c r="D89" s="6" t="s">
        <v>172</v>
      </c>
    </row>
    <row r="90" spans="3:17" ht="20.100000000000001" customHeight="1" x14ac:dyDescent="0.25">
      <c r="D90" s="104" t="s">
        <v>152</v>
      </c>
    </row>
    <row r="91" spans="3:17" ht="20.100000000000001" customHeight="1" x14ac:dyDescent="0.25">
      <c r="D91" s="103" t="s">
        <v>153</v>
      </c>
    </row>
    <row r="92" spans="3:17" ht="20.100000000000001" customHeight="1" x14ac:dyDescent="0.25">
      <c r="D92" s="54" t="s">
        <v>68</v>
      </c>
      <c r="E92" s="54" t="s">
        <v>114</v>
      </c>
      <c r="F92" s="54" t="s">
        <v>115</v>
      </c>
      <c r="G92" s="54" t="s">
        <v>116</v>
      </c>
      <c r="H92" s="48"/>
    </row>
    <row r="93" spans="3:17" ht="20.100000000000001" customHeight="1" x14ac:dyDescent="0.25">
      <c r="D93" s="55" t="str">
        <f>'Input - Dairy'!$D$101</f>
        <v>Anaerobic lagoon</v>
      </c>
      <c r="E93" s="55">
        <f>'Input - Dairy'!E138</f>
        <v>0.25</v>
      </c>
      <c r="F93" s="55">
        <f>'Input - Dairy'!F138</f>
        <v>0.25</v>
      </c>
      <c r="G93" s="55">
        <f>'Input - Dairy'!G138</f>
        <v>0.25</v>
      </c>
      <c r="H93" s="2" t="s">
        <v>100</v>
      </c>
    </row>
    <row r="94" spans="3:17" ht="20.100000000000001" customHeight="1" x14ac:dyDescent="0.25">
      <c r="D94" s="55" t="str">
        <f>'Input - Dairy'!$D$102</f>
        <v>Were solids separated from Anaerobic lagoon?</v>
      </c>
      <c r="E94" s="55">
        <f>'Input - Dairy'!E143</f>
        <v>0.25</v>
      </c>
      <c r="F94" s="55">
        <f>'Input - Dairy'!F143</f>
        <v>0.25</v>
      </c>
      <c r="G94" s="55">
        <f>'Input - Dairy'!G143</f>
        <v>0.25</v>
      </c>
      <c r="H94" s="2" t="s">
        <v>100</v>
      </c>
    </row>
    <row r="95" spans="3:17" ht="20.100000000000001" customHeight="1" x14ac:dyDescent="0.25">
      <c r="D95" s="55" t="str">
        <f>'Input - Dairy'!$D$107</f>
        <v>Were solids separated from Sump and dispersal system?</v>
      </c>
      <c r="E95" s="55">
        <f>'Input - Dairy'!E148</f>
        <v>0.25</v>
      </c>
      <c r="F95" s="55">
        <f>'Input - Dairy'!F148</f>
        <v>0.25</v>
      </c>
      <c r="G95" s="55">
        <f>'Input - Dairy'!G148</f>
        <v>0.25</v>
      </c>
      <c r="H95" s="2" t="s">
        <v>100</v>
      </c>
    </row>
    <row r="96" spans="3:17" ht="20.100000000000001" customHeight="1" x14ac:dyDescent="0.25"/>
    <row r="97" spans="3:17" ht="20.100000000000001" customHeight="1" x14ac:dyDescent="0.25">
      <c r="D97" s="104" t="s">
        <v>155</v>
      </c>
      <c r="L97" s="104" t="s">
        <v>157</v>
      </c>
    </row>
    <row r="98" spans="3:17" ht="20.100000000000001" customHeight="1" x14ac:dyDescent="0.25">
      <c r="D98" s="103" t="s">
        <v>161</v>
      </c>
      <c r="L98" s="103" t="s">
        <v>158</v>
      </c>
    </row>
    <row r="99" spans="3:17" ht="20.100000000000001" customHeight="1" x14ac:dyDescent="0.25">
      <c r="D99" s="54" t="s">
        <v>68</v>
      </c>
      <c r="E99" s="54" t="s">
        <v>114</v>
      </c>
      <c r="F99" s="54" t="s">
        <v>115</v>
      </c>
      <c r="G99" s="54" t="s">
        <v>116</v>
      </c>
      <c r="L99" s="54" t="s">
        <v>68</v>
      </c>
      <c r="M99" s="54" t="s">
        <v>114</v>
      </c>
      <c r="N99" s="54" t="s">
        <v>115</v>
      </c>
      <c r="O99" s="54" t="s">
        <v>116</v>
      </c>
    </row>
    <row r="100" spans="3:17" ht="20.100000000000001" customHeight="1" x14ac:dyDescent="0.25">
      <c r="D100" s="55" t="str">
        <f>'Input - Dairy'!$D$101</f>
        <v>Anaerobic lagoon</v>
      </c>
      <c r="E100" s="55" t="e" cm="1">
        <f t="array" aca="1" ref="E100" ca="1">MMS_Feedlot_ManureAppliedToSoils_Equations.VEERG_4_1_1_9__1_MassOfNitrogenAppliedToSoilsScope1(E22,$E$30,$E$38,E93)</f>
        <v>#NAME?</v>
      </c>
      <c r="F100" s="55" t="e" cm="1">
        <f t="array" aca="1" ref="F100" ca="1">MMS_Feedlot_ManureAppliedToSoils_Equations.VEERG_4_1_1_9__1_MassOfNitrogenAppliedToSoilsScope1(F22,$E$30,$E$38,F93)</f>
        <v>#NAME?</v>
      </c>
      <c r="G100" s="55" t="e" cm="1">
        <f t="array" aca="1" ref="G100" ca="1">MMS_Feedlot_ManureAppliedToSoils_Equations.VEERG_4_1_1_9__1_MassOfNitrogenAppliedToSoilsScope1(G22,$E$30,$E$38,G93)</f>
        <v>#NAME?</v>
      </c>
      <c r="H100" s="2" t="e">
        <f ca="1">$E$12</f>
        <v>#NAME?</v>
      </c>
      <c r="L100" s="55" t="str">
        <f>'Input - Dairy'!$D$101</f>
        <v>Anaerobic lagoon</v>
      </c>
      <c r="M100" s="55" t="e" cm="1">
        <f t="array" aca="1" ref="M100" ca="1">MMS_Feedlot_ManureAppliedToSoils_Equations.VEERG_4_1_1_9__1_MassOfNitrogenAppliedToSoilsScope1(M22,$E$30,$E$38,E93)</f>
        <v>#NAME?</v>
      </c>
      <c r="N100" s="55" t="e" cm="1">
        <f t="array" aca="1" ref="N100" ca="1">MMS_Feedlot_ManureAppliedToSoils_Equations.VEERG_4_1_1_9__1_MassOfNitrogenAppliedToSoilsScope1(N22,$E$30,$E$38,F93)</f>
        <v>#NAME?</v>
      </c>
      <c r="O100" s="55" t="e" cm="1">
        <f t="array" aca="1" ref="O100" ca="1">MMS_Feedlot_ManureAppliedToSoils_Equations.VEERG_4_1_1_9__1_MassOfNitrogenAppliedToSoilsScope1(O22,$E$30,$E$38,G93)</f>
        <v>#NAME?</v>
      </c>
      <c r="P100" s="2" t="e">
        <f ca="1">$E$12</f>
        <v>#NAME?</v>
      </c>
    </row>
    <row r="101" spans="3:17" ht="20.100000000000001" customHeight="1" x14ac:dyDescent="0.25">
      <c r="D101" s="55" t="str">
        <f>'Input - Dairy'!$D$102</f>
        <v>Were solids separated from Anaerobic lagoon?</v>
      </c>
      <c r="E101" s="55" t="e" cm="1">
        <f t="array" aca="1" ref="E101" ca="1">MMS_Feedlot_ManureAppliedToSoils_Equations.VEERG_4_1_1_9__1_MassOfNitrogenAppliedToSoilsScope1(E23,$E$31,$E$39,E94)</f>
        <v>#NAME?</v>
      </c>
      <c r="F101" s="55" t="e" cm="1">
        <f t="array" aca="1" ref="F101" ca="1">MMS_Feedlot_ManureAppliedToSoils_Equations.VEERG_4_1_1_9__1_MassOfNitrogenAppliedToSoilsScope1(F23,$E$31,$E$39,F94)</f>
        <v>#NAME?</v>
      </c>
      <c r="G101" s="55" t="e" cm="1">
        <f t="array" aca="1" ref="G101" ca="1">MMS_Feedlot_ManureAppliedToSoils_Equations.VEERG_4_1_1_9__1_MassOfNitrogenAppliedToSoilsScope1(G23,$E$31,$E$39,G94)</f>
        <v>#NAME?</v>
      </c>
      <c r="H101" s="2" t="e">
        <f ca="1">$E$12</f>
        <v>#NAME?</v>
      </c>
      <c r="L101" s="55" t="str">
        <f>'Input - Dairy'!$D$102</f>
        <v>Were solids separated from Anaerobic lagoon?</v>
      </c>
      <c r="M101" s="55" t="e" cm="1">
        <f t="array" aca="1" ref="M101" ca="1">MMS_Feedlot_ManureAppliedToSoils_Equations.VEERG_4_1_1_9__1_MassOfNitrogenAppliedToSoilsScope1(M23,$E$31,$E$39,E94)</f>
        <v>#NAME?</v>
      </c>
      <c r="N101" s="55" t="e" cm="1">
        <f t="array" aca="1" ref="N101" ca="1">MMS_Feedlot_ManureAppliedToSoils_Equations.VEERG_4_1_1_9__1_MassOfNitrogenAppliedToSoilsScope1(N23,$E$31,$E$39,F94)</f>
        <v>#NAME?</v>
      </c>
      <c r="O101" s="55" t="e" cm="1">
        <f t="array" aca="1" ref="O101" ca="1">MMS_Feedlot_ManureAppliedToSoils_Equations.VEERG_4_1_1_9__1_MassOfNitrogenAppliedToSoilsScope1(O23,$E$31,$E$39,G94)</f>
        <v>#NAME?</v>
      </c>
      <c r="P101" s="2" t="e">
        <f ca="1">$E$12</f>
        <v>#NAME?</v>
      </c>
    </row>
    <row r="102" spans="3:17" ht="20.100000000000001" customHeight="1" x14ac:dyDescent="0.25">
      <c r="D102" s="55" t="str">
        <f>'Input - Dairy'!$D$107</f>
        <v>Were solids separated from Sump and dispersal system?</v>
      </c>
      <c r="E102" s="55" t="e" cm="1">
        <f t="array" aca="1" ref="E102" ca="1">MMS_Feedlot_ManureAppliedToSoils_Equations.VEERG_4_1_1_9__1_MassOfNitrogenAppliedToSoilsScope1(E24,$E$32,$E$40,E95)</f>
        <v>#NAME?</v>
      </c>
      <c r="F102" s="55" t="e" cm="1">
        <f t="array" aca="1" ref="F102" ca="1">MMS_Feedlot_ManureAppliedToSoils_Equations.VEERG_4_1_1_9__1_MassOfNitrogenAppliedToSoilsScope1(F24,$E$32,$E$40,F95)</f>
        <v>#NAME?</v>
      </c>
      <c r="G102" s="55" t="e" cm="1">
        <f t="array" aca="1" ref="G102" ca="1">MMS_Feedlot_ManureAppliedToSoils_Equations.VEERG_4_1_1_9__1_MassOfNitrogenAppliedToSoilsScope1(G24,$E$32,$E$40,G95)</f>
        <v>#NAME?</v>
      </c>
      <c r="H102" s="2" t="e">
        <f ca="1">$E$12</f>
        <v>#NAME?</v>
      </c>
      <c r="L102" s="55" t="str">
        <f>'Input - Dairy'!$D$107</f>
        <v>Were solids separated from Sump and dispersal system?</v>
      </c>
      <c r="M102" s="55" t="e" cm="1">
        <f t="array" aca="1" ref="M102" ca="1">MMS_Feedlot_ManureAppliedToSoils_Equations.VEERG_4_1_1_9__1_MassOfNitrogenAppliedToSoilsScope1(M24,$E$32,$E$40,E95)</f>
        <v>#NAME?</v>
      </c>
      <c r="N102" s="55" t="e" cm="1">
        <f t="array" aca="1" ref="N102" ca="1">MMS_Feedlot_ManureAppliedToSoils_Equations.VEERG_4_1_1_9__1_MassOfNitrogenAppliedToSoilsScope1(N24,$E$32,$E$40,F95)</f>
        <v>#NAME?</v>
      </c>
      <c r="O102" s="55" t="e" cm="1">
        <f t="array" aca="1" ref="O102" ca="1">MMS_Feedlot_ManureAppliedToSoils_Equations.VEERG_4_1_1_9__1_MassOfNitrogenAppliedToSoilsScope1(O24,$E$32,$E$40,G95)</f>
        <v>#NAME?</v>
      </c>
      <c r="P102" s="2" t="e">
        <f ca="1">$E$12</f>
        <v>#NAME?</v>
      </c>
    </row>
    <row r="103" spans="3:17" ht="20.100000000000001" customHeight="1" x14ac:dyDescent="0.25"/>
    <row r="104" spans="3:17" ht="20.100000000000001" customHeight="1" x14ac:dyDescent="0.25">
      <c r="D104" s="108" t="s">
        <v>177</v>
      </c>
      <c r="E104" s="109" t="e">
        <f ca="1">SUM(E100:G102)</f>
        <v>#NAME?</v>
      </c>
      <c r="F104" s="110" t="e">
        <f ca="1">$E$12</f>
        <v>#NAME?</v>
      </c>
      <c r="L104" s="108" t="s">
        <v>177</v>
      </c>
      <c r="M104" s="109" t="e">
        <f ca="1">SUM(M100:O102)</f>
        <v>#NAME?</v>
      </c>
      <c r="N104" s="110" t="e">
        <f ca="1">$E$12</f>
        <v>#NAME?</v>
      </c>
    </row>
    <row r="105" spans="3:17" ht="20.100000000000001" customHeight="1" x14ac:dyDescent="0.25"/>
    <row r="106" spans="3:17" ht="20.100000000000001" customHeight="1" x14ac:dyDescent="0.25"/>
    <row r="107" spans="3:17" ht="20.100000000000001" customHeight="1" x14ac:dyDescent="0.25">
      <c r="C107" s="48"/>
      <c r="D107" s="48"/>
      <c r="E107" s="48"/>
      <c r="F107" s="48"/>
      <c r="G107" s="48"/>
      <c r="H107" s="48"/>
      <c r="I107" s="48"/>
      <c r="K107" s="48"/>
      <c r="L107" s="48"/>
      <c r="M107" s="48"/>
      <c r="N107" s="48"/>
      <c r="O107" s="48"/>
      <c r="P107" s="48"/>
      <c r="Q107" s="48"/>
    </row>
    <row r="108" spans="3:17" ht="20.100000000000001" customHeight="1" x14ac:dyDescent="0.25">
      <c r="D108" s="6" t="s">
        <v>173</v>
      </c>
    </row>
    <row r="109" spans="3:17" ht="20.100000000000001" customHeight="1" x14ac:dyDescent="0.25">
      <c r="D109" s="104" t="s">
        <v>166</v>
      </c>
    </row>
    <row r="110" spans="3:17" ht="20.100000000000001" customHeight="1" x14ac:dyDescent="0.25">
      <c r="D110" s="103" t="s">
        <v>167</v>
      </c>
    </row>
    <row r="111" spans="3:17" ht="20.100000000000001" customHeight="1" x14ac:dyDescent="0.25">
      <c r="D111" s="54" t="s">
        <v>68</v>
      </c>
      <c r="E111" s="54" t="s">
        <v>114</v>
      </c>
      <c r="F111" s="54" t="s">
        <v>115</v>
      </c>
      <c r="G111" s="54" t="s">
        <v>116</v>
      </c>
    </row>
    <row r="112" spans="3:17" ht="20.100000000000001" customHeight="1" x14ac:dyDescent="0.25">
      <c r="D112" s="55" t="str">
        <f>'Input - Dairy'!$D$101</f>
        <v>Anaerobic lagoon</v>
      </c>
      <c r="E112" s="55">
        <f>'Input - Dairy'!E137</f>
        <v>0.25</v>
      </c>
      <c r="F112" s="55">
        <f>'Input - Dairy'!F137</f>
        <v>0.25</v>
      </c>
      <c r="G112" s="55">
        <f>'Input - Dairy'!G137</f>
        <v>0.25</v>
      </c>
      <c r="H112" s="2" t="s">
        <v>100</v>
      </c>
    </row>
    <row r="113" spans="4:16" ht="20.100000000000001" customHeight="1" x14ac:dyDescent="0.25">
      <c r="D113" s="55" t="str">
        <f>'Input - Dairy'!$D$102</f>
        <v>Were solids separated from Anaerobic lagoon?</v>
      </c>
      <c r="E113" s="55">
        <f>'Input - Dairy'!E142</f>
        <v>0.25</v>
      </c>
      <c r="F113" s="55">
        <f>'Input - Dairy'!F142</f>
        <v>0.25</v>
      </c>
      <c r="G113" s="55">
        <f>'Input - Dairy'!G142</f>
        <v>0.25</v>
      </c>
      <c r="H113" s="2" t="s">
        <v>100</v>
      </c>
    </row>
    <row r="114" spans="4:16" ht="20.100000000000001" customHeight="1" x14ac:dyDescent="0.25">
      <c r="D114" s="55" t="str">
        <f>'Input - Dairy'!$D$107</f>
        <v>Were solids separated from Sump and dispersal system?</v>
      </c>
      <c r="E114" s="55">
        <f>'Input - Dairy'!E147</f>
        <v>0.25</v>
      </c>
      <c r="F114" s="55">
        <f>'Input - Dairy'!F147</f>
        <v>0.25</v>
      </c>
      <c r="G114" s="55">
        <f>'Input - Dairy'!G147</f>
        <v>0.25</v>
      </c>
      <c r="H114" s="2" t="s">
        <v>100</v>
      </c>
    </row>
    <row r="115" spans="4:16" ht="20.100000000000001" customHeight="1" x14ac:dyDescent="0.25"/>
    <row r="116" spans="4:16" ht="20.100000000000001" customHeight="1" x14ac:dyDescent="0.25">
      <c r="D116" s="104" t="s">
        <v>168</v>
      </c>
      <c r="L116" s="104" t="s">
        <v>169</v>
      </c>
    </row>
    <row r="117" spans="4:16" ht="20.100000000000001" customHeight="1" x14ac:dyDescent="0.25">
      <c r="D117" s="103" t="s">
        <v>171</v>
      </c>
      <c r="L117" s="103" t="s">
        <v>170</v>
      </c>
    </row>
    <row r="118" spans="4:16" ht="20.100000000000001" customHeight="1" x14ac:dyDescent="0.25">
      <c r="D118" s="54" t="s">
        <v>68</v>
      </c>
      <c r="E118" s="54" t="s">
        <v>114</v>
      </c>
      <c r="F118" s="54" t="s">
        <v>115</v>
      </c>
      <c r="G118" s="54" t="s">
        <v>116</v>
      </c>
      <c r="L118" s="54" t="s">
        <v>68</v>
      </c>
      <c r="M118" s="54" t="s">
        <v>114</v>
      </c>
      <c r="N118" s="54" t="s">
        <v>115</v>
      </c>
      <c r="O118" s="54" t="s">
        <v>116</v>
      </c>
    </row>
    <row r="119" spans="4:16" ht="20.100000000000001" customHeight="1" x14ac:dyDescent="0.25">
      <c r="D119" s="55" t="str">
        <f>'Input - Dairy'!$D$101</f>
        <v>Anaerobic lagoon</v>
      </c>
      <c r="E119" s="55" t="e" cm="1">
        <f t="array" aca="1" ref="E119" ca="1">MMS_Feedlot_ManureAppliedToSoils_Equations.VEERG_4_1_1_9__1_MassOfNitrogenAppliedToSoilsScope1(E22,$E$30,$E$38,E112)</f>
        <v>#NAME?</v>
      </c>
      <c r="F119" s="55" t="e" cm="1">
        <f t="array" aca="1" ref="F119" ca="1">MMS_Feedlot_ManureAppliedToSoils_Equations.VEERG_4_1_1_9__1_MassOfNitrogenAppliedToSoilsScope1(F22,$E$30,$E$38,F112)</f>
        <v>#NAME?</v>
      </c>
      <c r="G119" s="55" t="e" cm="1">
        <f t="array" aca="1" ref="G119" ca="1">MMS_Feedlot_ManureAppliedToSoils_Equations.VEERG_4_1_1_9__1_MassOfNitrogenAppliedToSoilsScope1(G22,$E$30,$E$38,G112)</f>
        <v>#NAME?</v>
      </c>
      <c r="H119" s="2" t="e">
        <f ca="1">$E$12</f>
        <v>#NAME?</v>
      </c>
      <c r="L119" s="55" t="str">
        <f>'Input - Dairy'!$D$101</f>
        <v>Anaerobic lagoon</v>
      </c>
      <c r="M119" s="55" t="e" cm="1">
        <f t="array" aca="1" ref="M119" ca="1">MMS_Feedlot_ManureAppliedToSoils_Equations.VEERG_4_1_1_9__1_MassOfNitrogenAppliedToSoilsScope1(M22,$E$30,$E$38,E112)</f>
        <v>#NAME?</v>
      </c>
      <c r="N119" s="55" t="e" cm="1">
        <f t="array" aca="1" ref="N119" ca="1">MMS_Feedlot_ManureAppliedToSoils_Equations.VEERG_4_1_1_9__1_MassOfNitrogenAppliedToSoilsScope1(N22,$E$30,$E$38,F112)</f>
        <v>#NAME?</v>
      </c>
      <c r="O119" s="55" t="e" cm="1">
        <f t="array" aca="1" ref="O119" ca="1">MMS_Feedlot_ManureAppliedToSoils_Equations.VEERG_4_1_1_9__1_MassOfNitrogenAppliedToSoilsScope1(O22,$E$30,$E$38,G112)</f>
        <v>#NAME?</v>
      </c>
      <c r="P119" s="2" t="e">
        <f ca="1">$E$12</f>
        <v>#NAME?</v>
      </c>
    </row>
    <row r="120" spans="4:16" ht="20.100000000000001" customHeight="1" x14ac:dyDescent="0.25">
      <c r="D120" s="55" t="str">
        <f>'Input - Dairy'!$D$102</f>
        <v>Were solids separated from Anaerobic lagoon?</v>
      </c>
      <c r="E120" s="55" t="e" cm="1">
        <f t="array" aca="1" ref="E120" ca="1">MMS_Feedlot_ManureAppliedToSoils_Equations.VEERG_4_1_1_9__1_MassOfNitrogenAppliedToSoilsScope1(E23,$E$31,$E$39,E113)</f>
        <v>#NAME?</v>
      </c>
      <c r="F120" s="55" t="e" cm="1">
        <f t="array" aca="1" ref="F120" ca="1">MMS_Feedlot_ManureAppliedToSoils_Equations.VEERG_4_1_1_9__1_MassOfNitrogenAppliedToSoilsScope1(F23,$E$31,$E$39,F113)</f>
        <v>#NAME?</v>
      </c>
      <c r="G120" s="55" t="e" cm="1">
        <f t="array" aca="1" ref="G120" ca="1">MMS_Feedlot_ManureAppliedToSoils_Equations.VEERG_4_1_1_9__1_MassOfNitrogenAppliedToSoilsScope1(G23,$E$31,$E$39,G113)</f>
        <v>#NAME?</v>
      </c>
      <c r="H120" s="2" t="e">
        <f ca="1">$E$12</f>
        <v>#NAME?</v>
      </c>
      <c r="L120" s="55" t="str">
        <f>'Input - Dairy'!$D$102</f>
        <v>Were solids separated from Anaerobic lagoon?</v>
      </c>
      <c r="M120" s="55" t="e" cm="1">
        <f t="array" aca="1" ref="M120" ca="1">MMS_Feedlot_ManureAppliedToSoils_Equations.VEERG_4_1_1_9__1_MassOfNitrogenAppliedToSoilsScope1(M23,$E$31,$E$39,E113)</f>
        <v>#NAME?</v>
      </c>
      <c r="N120" s="55" t="e" cm="1">
        <f t="array" aca="1" ref="N120" ca="1">MMS_Feedlot_ManureAppliedToSoils_Equations.VEERG_4_1_1_9__1_MassOfNitrogenAppliedToSoilsScope1(N23,$E$31,$E$39,F113)</f>
        <v>#NAME?</v>
      </c>
      <c r="O120" s="55" t="e" cm="1">
        <f t="array" aca="1" ref="O120" ca="1">MMS_Feedlot_ManureAppliedToSoils_Equations.VEERG_4_1_1_9__1_MassOfNitrogenAppliedToSoilsScope1(O23,$E$31,$E$39,G113)</f>
        <v>#NAME?</v>
      </c>
      <c r="P120" s="2" t="e">
        <f ca="1">$E$12</f>
        <v>#NAME?</v>
      </c>
    </row>
    <row r="121" spans="4:16" ht="20.100000000000001" customHeight="1" x14ac:dyDescent="0.25">
      <c r="D121" s="55" t="str">
        <f>'Input - Dairy'!$D$107</f>
        <v>Were solids separated from Sump and dispersal system?</v>
      </c>
      <c r="E121" s="55" t="e" cm="1">
        <f t="array" aca="1" ref="E121" ca="1">MMS_Feedlot_ManureAppliedToSoils_Equations.VEERG_4_1_1_9__1_MassOfNitrogenAppliedToSoilsScope1(E24,$E$32,$E$40,E114)</f>
        <v>#NAME?</v>
      </c>
      <c r="F121" s="55" t="e" cm="1">
        <f t="array" aca="1" ref="F121" ca="1">MMS_Feedlot_ManureAppliedToSoils_Equations.VEERG_4_1_1_9__1_MassOfNitrogenAppliedToSoilsScope1(F24,$E$32,$E$40,F114)</f>
        <v>#NAME?</v>
      </c>
      <c r="G121" s="55" t="e" cm="1">
        <f t="array" aca="1" ref="G121" ca="1">MMS_Feedlot_ManureAppliedToSoils_Equations.VEERG_4_1_1_9__1_MassOfNitrogenAppliedToSoilsScope1(G24,$E$32,$E$40,G114)</f>
        <v>#NAME?</v>
      </c>
      <c r="H121" s="2" t="e">
        <f ca="1">$E$12</f>
        <v>#NAME?</v>
      </c>
      <c r="L121" s="55" t="str">
        <f>'Input - Dairy'!$D$107</f>
        <v>Were solids separated from Sump and dispersal system?</v>
      </c>
      <c r="M121" s="55" t="e" cm="1">
        <f t="array" aca="1" ref="M121" ca="1">MMS_Feedlot_ManureAppliedToSoils_Equations.VEERG_4_1_1_9__1_MassOfNitrogenAppliedToSoilsScope1(M24,$E$32,$E$40,E114)</f>
        <v>#NAME?</v>
      </c>
      <c r="N121" s="55" t="e" cm="1">
        <f t="array" aca="1" ref="N121" ca="1">MMS_Feedlot_ManureAppliedToSoils_Equations.VEERG_4_1_1_9__1_MassOfNitrogenAppliedToSoilsScope1(N24,$E$32,$E$40,F114)</f>
        <v>#NAME?</v>
      </c>
      <c r="O121" s="55" t="e" cm="1">
        <f t="array" aca="1" ref="O121" ca="1">MMS_Feedlot_ManureAppliedToSoils_Equations.VEERG_4_1_1_9__1_MassOfNitrogenAppliedToSoilsScope1(O24,$E$32,$E$40,G114)</f>
        <v>#NAME?</v>
      </c>
      <c r="P121" s="2" t="e">
        <f ca="1">$E$12</f>
        <v>#NAME?</v>
      </c>
    </row>
    <row r="122" spans="4:16" ht="20.100000000000001" customHeight="1" x14ac:dyDescent="0.25"/>
    <row r="123" spans="4:16" ht="20.100000000000001" customHeight="1" x14ac:dyDescent="0.25">
      <c r="D123" s="108" t="s">
        <v>174</v>
      </c>
      <c r="E123" s="109" t="e">
        <f ca="1">SUM(E119:G121)</f>
        <v>#NAME?</v>
      </c>
      <c r="F123" s="110" t="e">
        <f ca="1">$E$12</f>
        <v>#NAME?</v>
      </c>
      <c r="L123" s="108" t="s">
        <v>174</v>
      </c>
      <c r="M123" s="109" t="e">
        <f ca="1">SUM(M119:O121)</f>
        <v>#NAME?</v>
      </c>
      <c r="N123" s="110" t="e">
        <f ca="1">$E$12</f>
        <v>#NAME?</v>
      </c>
    </row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topLeftCell="A47" zoomScale="85" zoomScaleNormal="85" workbookViewId="0">
      <selection activeCell="D196" sqref="D19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6" width="30.710937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113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4"/>
    </row>
    <row r="5" spans="1:21" ht="20.100000000000001" customHeight="1" x14ac:dyDescent="0.25">
      <c r="A5" s="16"/>
      <c r="D5" s="6" t="s">
        <v>231</v>
      </c>
      <c r="G5" s="6" t="s">
        <v>232</v>
      </c>
      <c r="J5" s="6" t="s">
        <v>204</v>
      </c>
      <c r="M5" s="1"/>
    </row>
    <row r="6" spans="1:21" ht="20.100000000000001" customHeight="1" x14ac:dyDescent="0.25">
      <c r="A6" s="20" t="s">
        <v>3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102" t="s">
        <v>68</v>
      </c>
      <c r="E7" s="39" t="s">
        <v>82</v>
      </c>
      <c r="G7" s="39" t="s">
        <v>203</v>
      </c>
      <c r="J7" s="39" t="s">
        <v>201</v>
      </c>
      <c r="M7" s="1"/>
    </row>
    <row r="8" spans="1:21" ht="20.100000000000001" customHeight="1" x14ac:dyDescent="0.25">
      <c r="A8" s="17" t="str">
        <f>HYPERLINK("#'Input - Feedlot'!A1", "Feedlot")</f>
        <v>Feedlot</v>
      </c>
      <c r="D8" s="39" t="str">
        <f>'Constants - Livestock'!$E$10</f>
        <v>Anaerobic lagoon</v>
      </c>
      <c r="E8" s="39" t="str">
        <f>'Constants - Livestock'!$F$10</f>
        <v>Anaerobic lagoon (m=1)</v>
      </c>
      <c r="G8" s="39" t="str">
        <f>'Constants - Common'!$F$176</f>
        <v>Pasture</v>
      </c>
      <c r="J8" s="39" t="s">
        <v>205</v>
      </c>
      <c r="M8" s="1"/>
    </row>
    <row r="9" spans="1:21" ht="20.100000000000001" customHeight="1" x14ac:dyDescent="0.25">
      <c r="A9" s="17"/>
      <c r="D9" s="39" t="str">
        <f>'Constants - Livestock'!$E$13</f>
        <v>Sump and dispersal system</v>
      </c>
      <c r="E9" s="39" t="str">
        <f>'Constants - Livestock'!$F$13</f>
        <v>Sump and dispersal system (m=3a)</v>
      </c>
      <c r="G9" s="1" t="str">
        <f>'Constants - Common'!$F$177</f>
        <v>Crop</v>
      </c>
      <c r="J9" s="39" t="s">
        <v>206</v>
      </c>
      <c r="M9" s="1"/>
    </row>
    <row r="10" spans="1:21" ht="20.100000000000001" customHeight="1" x14ac:dyDescent="0.25">
      <c r="A10" s="19" t="s">
        <v>77</v>
      </c>
      <c r="D10" s="39" t="str">
        <f>'Constants - Livestock'!$E$14</f>
        <v>Drains to paddock</v>
      </c>
      <c r="E10" s="39" t="str">
        <f>'Constants - Livestock'!$F$14</f>
        <v>Drains to paddock (m=3b)</v>
      </c>
      <c r="J10" s="1" t="s">
        <v>207</v>
      </c>
      <c r="M10" s="1"/>
    </row>
    <row r="11" spans="1:21" ht="20.100000000000001" customHeight="1" x14ac:dyDescent="0.25">
      <c r="A11" s="17" t="str">
        <f>HYPERLINK("#'4.1.1.1-2 Methane'!A1", "4.1.1.1-2 Methane")</f>
        <v>4.1.1.1-2 Methane</v>
      </c>
      <c r="D11" s="39" t="str">
        <f>'Constants - Livestock'!$E$15</f>
        <v>Solid storage</v>
      </c>
      <c r="E11" s="39" t="str">
        <f>'Constants - Livestock'!$F$15</f>
        <v>Solid storage (m=4)</v>
      </c>
      <c r="J11" s="1" t="s">
        <v>208</v>
      </c>
      <c r="M11" s="1"/>
    </row>
    <row r="12" spans="1:21" ht="20.100000000000001" customHeight="1" x14ac:dyDescent="0.25">
      <c r="A12" s="17" t="str">
        <f>HYPERLINK("#'4.1.1.3-4 Direct N20'!A1", "4.1.1.3-4 Direct N2O")</f>
        <v>4.1.1.3-4 Direct N2O</v>
      </c>
      <c r="J12" s="1" t="s">
        <v>209</v>
      </c>
      <c r="M12" s="1"/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M13" s="1"/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M14" s="1"/>
    </row>
    <row r="15" spans="1:21" ht="20.100000000000001" customHeight="1" x14ac:dyDescent="0.25">
      <c r="M15" s="1"/>
    </row>
    <row r="16" spans="1:21" ht="20.100000000000001" customHeight="1" x14ac:dyDescent="0.25">
      <c r="A16" s="18" t="s">
        <v>4</v>
      </c>
      <c r="D16" s="6" t="str" cm="1">
        <f t="array" ref="D16">SourceData_Dairy.SourceData_Dairy_LiveweightCowsAndHeifers_Title()</f>
        <v>Table A.1.3.1: Dairy cattle - Liveweight (kg) - Cows and Heifers (Wj)</v>
      </c>
      <c r="M16" s="1"/>
    </row>
    <row r="17" spans="1:13" ht="20.100000000000001" customHeight="1" x14ac:dyDescent="0.25">
      <c r="A17" s="72" t="str">
        <f>HYPERLINK("#'Constants - Feedlot'!A1", "Constants - Feedlot")</f>
        <v>Constants - Feedlot</v>
      </c>
      <c r="D17" s="5" t="str" cm="1">
        <f t="array" ref="D17">SourceData_Dairy.SourceData_Dairy_LiveweightCowsAndHeifers_Source()</f>
        <v>VEERG 2026: Table A.1.3.1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D18" s="1" t="str" cm="1">
        <f t="array" ref="D18">SourceData_Dairy.SourceData_Dairy_LiveweightCowsAndHeifers_Variable()</f>
        <v>Wj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D19" s="57" t="str" cm="1">
        <f t="array" ref="D19">SourceData_Dairy.SourceData_Dairy_LiveweightCowsAndHeifers_Unit()</f>
        <v>kg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58" t="str" cm="1">
        <f t="array" ref="D20">SourceData_Dairy.SourceData_Dairy_LiveweightCowsAndHeifers_Variation()</f>
        <v>VARIATION OF SOURCE: Excluded 'Reference', as the value is consistently 'Dairy Australia [1]' and is not used in calculation.</v>
      </c>
      <c r="M20" s="1"/>
    </row>
    <row r="21" spans="1:13" ht="20.100000000000001" customHeight="1" x14ac:dyDescent="0.25">
      <c r="D21" s="39" t="s">
        <v>233</v>
      </c>
      <c r="E21" s="39" t="s">
        <v>234</v>
      </c>
      <c r="F21" s="39" t="s">
        <v>235</v>
      </c>
      <c r="G21" s="39" t="s">
        <v>236</v>
      </c>
      <c r="M21" s="1"/>
    </row>
    <row r="22" spans="1:13" ht="20.100000000000001" customHeight="1" x14ac:dyDescent="0.25">
      <c r="D22" s="39" t="str" cm="1">
        <f t="array" ref="D22">Common_InputFunctions.Utility_DisplayArrayInTable(SourceData_Dairy.SourceData_Dairy_LiveweightCowsAndHeifers_Data(), Table_SourceData_Dairy_WjCowsHeifers[[#Headers],[Breed]], 0)</f>
        <v>Medium Friesian</v>
      </c>
      <c r="E22" s="39" cm="1">
        <f t="array" ref="E22">Common_InputFunctions.Utility_DisplayArrayInTable(SourceData_Dairy.SourceData_Dairy_LiveweightCowsAndHeifers_Data(), Table_SourceData_Dairy_WjCowsHeifers[[#Headers],[Breed]], 0)</f>
        <v>550</v>
      </c>
      <c r="F22" s="39" cm="1">
        <f t="array" ref="F22">Common_InputFunctions.Utility_DisplayArrayInTable(SourceData_Dairy.SourceData_Dairy_LiveweightCowsAndHeifers_Data(), Table_SourceData_Dairy_WjCowsHeifers[[#Headers],[Breed]], 0)</f>
        <v>380</v>
      </c>
      <c r="G22" s="39" cm="1">
        <f t="array" ref="G22">Common_InputFunctions.Utility_DisplayArrayInTable(SourceData_Dairy.SourceData_Dairy_LiveweightCowsAndHeifers_Data(), Table_SourceData_Dairy_WjCowsHeifers[[#Headers],[Breed]], 0)</f>
        <v>155</v>
      </c>
      <c r="M22" s="1"/>
    </row>
    <row r="23" spans="1:13" ht="20.100000000000001" customHeight="1" x14ac:dyDescent="0.25">
      <c r="D23" s="39" t="str" cm="1">
        <f t="array" ref="D23">Common_InputFunctions.Utility_DisplayArrayInTable(SourceData_Dairy.SourceData_Dairy_LiveweightCowsAndHeifers_Data(), Table_SourceData_Dairy_WjCowsHeifers[[#Headers],[Breed]], 0)</f>
        <v>Large Friesian</v>
      </c>
      <c r="E23" s="39" cm="1">
        <f t="array" ref="E23">Common_InputFunctions.Utility_DisplayArrayInTable(SourceData_Dairy.SourceData_Dairy_LiveweightCowsAndHeifers_Data(), Table_SourceData_Dairy_WjCowsHeifers[[#Headers],[Breed]], 0)</f>
        <v>600</v>
      </c>
      <c r="F23" s="39" cm="1">
        <f t="array" ref="F23">Common_InputFunctions.Utility_DisplayArrayInTable(SourceData_Dairy.SourceData_Dairy_LiveweightCowsAndHeifers_Data(), Table_SourceData_Dairy_WjCowsHeifers[[#Headers],[Breed]], 0)</f>
        <v>415</v>
      </c>
      <c r="G23" s="39" cm="1">
        <f t="array" ref="G23">Common_InputFunctions.Utility_DisplayArrayInTable(SourceData_Dairy.SourceData_Dairy_LiveweightCowsAndHeifers_Data(), Table_SourceData_Dairy_WjCowsHeifers[[#Headers],[Breed]], 0)</f>
        <v>170</v>
      </c>
      <c r="M23" s="1"/>
    </row>
    <row r="24" spans="1:13" ht="20.100000000000001" customHeight="1" x14ac:dyDescent="0.25">
      <c r="D24" s="39" t="str" cm="1">
        <f t="array" ref="D24">Common_InputFunctions.Utility_DisplayArrayInTable(SourceData_Dairy.SourceData_Dairy_LiveweightCowsAndHeifers_Data(), Table_SourceData_Dairy_WjCowsHeifers[[#Headers],[Breed]], 0)</f>
        <v>Holstein-Friesian</v>
      </c>
      <c r="E24" s="39" cm="1">
        <f t="array" ref="E24">Common_InputFunctions.Utility_DisplayArrayInTable(SourceData_Dairy.SourceData_Dairy_LiveweightCowsAndHeifers_Data(), Table_SourceData_Dairy_WjCowsHeifers[[#Headers],[Breed]], 0)</f>
        <v>650</v>
      </c>
      <c r="F24" s="39" cm="1">
        <f t="array" ref="F24">Common_InputFunctions.Utility_DisplayArrayInTable(SourceData_Dairy.SourceData_Dairy_LiveweightCowsAndHeifers_Data(), Table_SourceData_Dairy_WjCowsHeifers[[#Headers],[Breed]], 0)</f>
        <v>450</v>
      </c>
      <c r="G24" s="39" cm="1">
        <f t="array" ref="G24">Common_InputFunctions.Utility_DisplayArrayInTable(SourceData_Dairy.SourceData_Dairy_LiveweightCowsAndHeifers_Data(), Table_SourceData_Dairy_WjCowsHeifers[[#Headers],[Breed]], 0)</f>
        <v>185</v>
      </c>
      <c r="M24" s="1"/>
    </row>
    <row r="25" spans="1:13" ht="20.100000000000001" customHeight="1" x14ac:dyDescent="0.25">
      <c r="D25" s="39" t="str" cm="1">
        <f t="array" ref="D25">Common_InputFunctions.Utility_DisplayArrayInTable(SourceData_Dairy.SourceData_Dairy_LiveweightCowsAndHeifers_Data(), Table_SourceData_Dairy_WjCowsHeifers[[#Headers],[Breed]], 0)</f>
        <v>Friesian crossbred</v>
      </c>
      <c r="E25" s="39" cm="1">
        <f t="array" ref="E25">Common_InputFunctions.Utility_DisplayArrayInTable(SourceData_Dairy.SourceData_Dairy_LiveweightCowsAndHeifers_Data(), Table_SourceData_Dairy_WjCowsHeifers[[#Headers],[Breed]], 0)</f>
        <v>500</v>
      </c>
      <c r="F25" s="39" cm="1">
        <f t="array" ref="F25">Common_InputFunctions.Utility_DisplayArrayInTable(SourceData_Dairy.SourceData_Dairy_LiveweightCowsAndHeifers_Data(), Table_SourceData_Dairy_WjCowsHeifers[[#Headers],[Breed]], 0)</f>
        <v>350</v>
      </c>
      <c r="G25" s="39" cm="1">
        <f t="array" ref="G25">Common_InputFunctions.Utility_DisplayArrayInTable(SourceData_Dairy.SourceData_Dairy_LiveweightCowsAndHeifers_Data(), Table_SourceData_Dairy_WjCowsHeifers[[#Headers],[Breed]], 0)</f>
        <v>145</v>
      </c>
      <c r="M25" s="1"/>
    </row>
    <row r="26" spans="1:13" ht="20.100000000000001" customHeight="1" x14ac:dyDescent="0.25">
      <c r="D26" s="39" t="str" cm="1">
        <f t="array" ref="D26">Common_InputFunctions.Utility_DisplayArrayInTable(SourceData_Dairy.SourceData_Dairy_LiveweightCowsAndHeifers_Data(), Table_SourceData_Dairy_WjCowsHeifers[[#Headers],[Breed]], 0)</f>
        <v>Jersey</v>
      </c>
      <c r="E26" s="39" cm="1">
        <f t="array" ref="E26">Common_InputFunctions.Utility_DisplayArrayInTable(SourceData_Dairy.SourceData_Dairy_LiveweightCowsAndHeifers_Data(), Table_SourceData_Dairy_WjCowsHeifers[[#Headers],[Breed]], 0)</f>
        <v>400</v>
      </c>
      <c r="F26" s="39" cm="1">
        <f t="array" ref="F26">Common_InputFunctions.Utility_DisplayArrayInTable(SourceData_Dairy.SourceData_Dairy_LiveweightCowsAndHeifers_Data(), Table_SourceData_Dairy_WjCowsHeifers[[#Headers],[Breed]], 0)</f>
        <v>275</v>
      </c>
      <c r="G26" s="39" cm="1">
        <f t="array" ref="G26">Common_InputFunctions.Utility_DisplayArrayInTable(SourceData_Dairy.SourceData_Dairy_LiveweightCowsAndHeifers_Data(), Table_SourceData_Dairy_WjCowsHeifers[[#Headers],[Breed]], 0)</f>
        <v>115</v>
      </c>
      <c r="M26" s="1"/>
    </row>
    <row r="27" spans="1:13" ht="20.100000000000001" customHeight="1" x14ac:dyDescent="0.25">
      <c r="D27" s="39" t="str" cm="1">
        <f t="array" ref="D27">Common_InputFunctions.Utility_DisplayArrayInTable(SourceData_Dairy.SourceData_Dairy_LiveweightCowsAndHeifers_Data(), Table_SourceData_Dairy_WjCowsHeifers[[#Headers],[Breed]], 0)</f>
        <v>Jersey crossbred</v>
      </c>
      <c r="E27" s="39" cm="1">
        <f t="array" ref="E27">Common_InputFunctions.Utility_DisplayArrayInTable(SourceData_Dairy.SourceData_Dairy_LiveweightCowsAndHeifers_Data(), Table_SourceData_Dairy_WjCowsHeifers[[#Headers],[Breed]], 0)</f>
        <v>450</v>
      </c>
      <c r="F27" s="39" cm="1">
        <f t="array" ref="F27">Common_InputFunctions.Utility_DisplayArrayInTable(SourceData_Dairy.SourceData_Dairy_LiveweightCowsAndHeifers_Data(), Table_SourceData_Dairy_WjCowsHeifers[[#Headers],[Breed]], 0)</f>
        <v>315</v>
      </c>
      <c r="G27" s="39" cm="1">
        <f t="array" ref="G27">Common_InputFunctions.Utility_DisplayArrayInTable(SourceData_Dairy.SourceData_Dairy_LiveweightCowsAndHeifers_Data(), Table_SourceData_Dairy_WjCowsHeifers[[#Headers],[Breed]], 0)</f>
        <v>130</v>
      </c>
      <c r="M27" s="1"/>
    </row>
    <row r="28" spans="1:13" ht="20.100000000000001" customHeight="1" x14ac:dyDescent="0.25">
      <c r="D28" s="39" t="str" cm="1">
        <f t="array" ref="D28">Common_InputFunctions.Utility_DisplayArrayInTable(SourceData_Dairy.SourceData_Dairy_LiveweightCowsAndHeifers_Data(), Table_SourceData_Dairy_WjCowsHeifers[[#Headers],[Breed]], 0)</f>
        <v>Ayrshire</v>
      </c>
      <c r="E28" s="39" cm="1">
        <f t="array" ref="E28">Common_InputFunctions.Utility_DisplayArrayInTable(SourceData_Dairy.SourceData_Dairy_LiveweightCowsAndHeifers_Data(), Table_SourceData_Dairy_WjCowsHeifers[[#Headers],[Breed]], 0)</f>
        <v>540</v>
      </c>
      <c r="F28" s="39" cm="1">
        <f t="array" ref="F28">Common_InputFunctions.Utility_DisplayArrayInTable(SourceData_Dairy.SourceData_Dairy_LiveweightCowsAndHeifers_Data(), Table_SourceData_Dairy_WjCowsHeifers[[#Headers],[Breed]], 0)</f>
        <v>375</v>
      </c>
      <c r="G28" s="39" cm="1">
        <f t="array" ref="G28">Common_InputFunctions.Utility_DisplayArrayInTable(SourceData_Dairy.SourceData_Dairy_LiveweightCowsAndHeifers_Data(), Table_SourceData_Dairy_WjCowsHeifers[[#Headers],[Breed]], 0)</f>
        <v>150</v>
      </c>
      <c r="M28" s="1"/>
    </row>
    <row r="29" spans="1:13" ht="20.100000000000001" customHeight="1" x14ac:dyDescent="0.25">
      <c r="D29" s="39" t="str" cm="1">
        <f t="array" ref="D29">Common_InputFunctions.Utility_DisplayArrayInTable(SourceData_Dairy.SourceData_Dairy_LiveweightCowsAndHeifers_Data(), Table_SourceData_Dairy_WjCowsHeifers[[#Headers],[Breed]], 0)</f>
        <v>Guernsey</v>
      </c>
      <c r="E29" s="39" cm="1">
        <f t="array" ref="E29">Common_InputFunctions.Utility_DisplayArrayInTable(SourceData_Dairy.SourceData_Dairy_LiveweightCowsAndHeifers_Data(), Table_SourceData_Dairy_WjCowsHeifers[[#Headers],[Breed]], 0)</f>
        <v>480</v>
      </c>
      <c r="F29" s="39" cm="1">
        <f t="array" ref="F29">Common_InputFunctions.Utility_DisplayArrayInTable(SourceData_Dairy.SourceData_Dairy_LiveweightCowsAndHeifers_Data(), Table_SourceData_Dairy_WjCowsHeifers[[#Headers],[Breed]], 0)</f>
        <v>335</v>
      </c>
      <c r="G29" s="39" cm="1">
        <f t="array" ref="G29">Common_InputFunctions.Utility_DisplayArrayInTable(SourceData_Dairy.SourceData_Dairy_LiveweightCowsAndHeifers_Data(), Table_SourceData_Dairy_WjCowsHeifers[[#Headers],[Breed]], 0)</f>
        <v>140</v>
      </c>
      <c r="M29" s="1"/>
    </row>
    <row r="30" spans="1:13" ht="20.100000000000001" customHeight="1" x14ac:dyDescent="0.25">
      <c r="D30" s="39" t="str" cm="1">
        <f t="array" ref="D30">Common_InputFunctions.Utility_DisplayArrayInTable(SourceData_Dairy.SourceData_Dairy_LiveweightCowsAndHeifers_Data(), Table_SourceData_Dairy_WjCowsHeifers[[#Headers],[Breed]], 0)</f>
        <v>Brown Swiss</v>
      </c>
      <c r="E30" s="39" cm="1">
        <f t="array" ref="E30">Common_InputFunctions.Utility_DisplayArrayInTable(SourceData_Dairy.SourceData_Dairy_LiveweightCowsAndHeifers_Data(), Table_SourceData_Dairy_WjCowsHeifers[[#Headers],[Breed]], 0)</f>
        <v>600</v>
      </c>
      <c r="F30" s="39" cm="1">
        <f t="array" ref="F30">Common_InputFunctions.Utility_DisplayArrayInTable(SourceData_Dairy.SourceData_Dairy_LiveweightCowsAndHeifers_Data(), Table_SourceData_Dairy_WjCowsHeifers[[#Headers],[Breed]], 0)</f>
        <v>415</v>
      </c>
      <c r="G30" s="39" cm="1">
        <f t="array" ref="G30">Common_InputFunctions.Utility_DisplayArrayInTable(SourceData_Dairy.SourceData_Dairy_LiveweightCowsAndHeifers_Data(), Table_SourceData_Dairy_WjCowsHeifers[[#Headers],[Breed]], 0)</f>
        <v>170</v>
      </c>
      <c r="M30" s="1"/>
    </row>
    <row r="31" spans="1:13" ht="20.100000000000001" customHeight="1" x14ac:dyDescent="0.25">
      <c r="D31" s="39" t="str" cm="1">
        <f t="array" ref="D31">Common_InputFunctions.Utility_DisplayArrayInTable(SourceData_Dairy.SourceData_Dairy_LiveweightCowsAndHeifers_Data(), Table_SourceData_Dairy_WjCowsHeifers[[#Headers],[Breed]], 0)</f>
        <v>Illawarra/Aussie Red</v>
      </c>
      <c r="E31" s="39" cm="1">
        <f t="array" ref="E31">Common_InputFunctions.Utility_DisplayArrayInTable(SourceData_Dairy.SourceData_Dairy_LiveweightCowsAndHeifers_Data(), Table_SourceData_Dairy_WjCowsHeifers[[#Headers],[Breed]], 0)</f>
        <v>550</v>
      </c>
      <c r="F31" s="39" cm="1">
        <f t="array" ref="F31">Common_InputFunctions.Utility_DisplayArrayInTable(SourceData_Dairy.SourceData_Dairy_LiveweightCowsAndHeifers_Data(), Table_SourceData_Dairy_WjCowsHeifers[[#Headers],[Breed]], 0)</f>
        <v>375</v>
      </c>
      <c r="G31" s="39" cm="1">
        <f t="array" ref="G31">Common_InputFunctions.Utility_DisplayArrayInTable(SourceData_Dairy.SourceData_Dairy_LiveweightCowsAndHeifers_Data(), Table_SourceData_Dairy_WjCowsHeifers[[#Headers],[Breed]], 0)</f>
        <v>150</v>
      </c>
      <c r="M31" s="1"/>
    </row>
    <row r="32" spans="1:13" ht="20.100000000000001" customHeight="1" x14ac:dyDescent="0.25">
      <c r="M32" s="1"/>
    </row>
    <row r="33" spans="4:13" ht="20.100000000000001" customHeight="1" x14ac:dyDescent="0.25">
      <c r="M33" s="1"/>
    </row>
    <row r="34" spans="4:13" ht="20.100000000000001" customHeight="1" x14ac:dyDescent="0.25">
      <c r="D34" s="6" t="str" cm="1">
        <f t="array" ref="D34">SourceData_Dairy.SourceData_Dairy_LiveweightBulls_Title()</f>
        <v>Table A.1.3.2: Dairy cattle - Liveweight (kg) - Bulls (Wj)</v>
      </c>
      <c r="M34" s="1"/>
    </row>
    <row r="35" spans="4:13" ht="20.100000000000001" customHeight="1" x14ac:dyDescent="0.25">
      <c r="D35" s="5" t="str" cm="1">
        <f t="array" ref="D35">SourceData_Dairy.SourceData_Dairy_LiveweightBulls_Source()</f>
        <v>VEERG 2026: Table A.1.3.2</v>
      </c>
      <c r="M35" s="1"/>
    </row>
    <row r="36" spans="4:13" ht="20.100000000000001" customHeight="1" x14ac:dyDescent="0.25">
      <c r="D36" s="1" t="str" cm="1">
        <f t="array" ref="D36">SourceData_Dairy.SourceData_Dairy_LiveweightBulls_Variable()</f>
        <v>Wj</v>
      </c>
      <c r="M36" s="1"/>
    </row>
    <row r="37" spans="4:13" ht="20.100000000000001" customHeight="1" x14ac:dyDescent="0.25">
      <c r="D37" s="57" t="str" cm="1">
        <f t="array" ref="D37">SourceData_Dairy.SourceData_Dairy_LiveweightBulls_Unit()</f>
        <v>kg</v>
      </c>
      <c r="M37" s="1"/>
    </row>
    <row r="38" spans="4:13" ht="20.100000000000001" customHeight="1" x14ac:dyDescent="0.25">
      <c r="D38" s="39" t="s">
        <v>233</v>
      </c>
      <c r="E38" s="39" t="s">
        <v>238</v>
      </c>
      <c r="F38" s="39" t="s">
        <v>237</v>
      </c>
      <c r="M38" s="1"/>
    </row>
    <row r="39" spans="4:13" ht="20.100000000000001" customHeight="1" x14ac:dyDescent="0.25">
      <c r="D39" s="39" t="str" cm="1">
        <f t="array" ref="D39">Common_InputFunctions.Utility_DisplayArrayInTable(SourceData_Dairy.SourceData_Dairy_LiveweightBulls_Data(), Table_SourceData_Dairy_WjBulls[[#Headers],[Breed]], 0)</f>
        <v>All breeds</v>
      </c>
      <c r="E39" s="39" cm="1">
        <f t="array" ref="E39">Common_InputFunctions.Utility_DisplayArrayInTable(SourceData_Dairy.SourceData_Dairy_LiveweightBulls_Data(), Table_SourceData_Dairy_WjBulls[[#Headers],[Breed]], 0)</f>
        <v>600</v>
      </c>
      <c r="F39" s="39" cm="1">
        <f t="array" ref="F39">Common_InputFunctions.Utility_DisplayArrayInTable(SourceData_Dairy.SourceData_Dairy_LiveweightBulls_Data(), Table_SourceData_Dairy_WjBulls[[#Headers],[Breed]], 0)</f>
        <v>225</v>
      </c>
      <c r="M39" s="1"/>
    </row>
    <row r="40" spans="4:13" ht="20.100000000000001" customHeight="1" x14ac:dyDescent="0.25">
      <c r="M40" s="1"/>
    </row>
    <row r="41" spans="4:13" ht="20.100000000000001" customHeight="1" x14ac:dyDescent="0.25">
      <c r="M41" s="1"/>
    </row>
    <row r="42" spans="4:13" ht="20.100000000000001" customHeight="1" x14ac:dyDescent="0.25">
      <c r="D42" s="6" t="str" cm="1">
        <f t="array" ref="D42">SourceData_Dairy.SourceData_Dairy_LiveweightGain_Title()</f>
        <v>Table A.1.3.3: Dairy cattle - Liveweight gain (kg) (LWGj)</v>
      </c>
      <c r="M42" s="1"/>
    </row>
    <row r="43" spans="4:13" ht="20.100000000000001" customHeight="1" x14ac:dyDescent="0.25">
      <c r="D43" s="5" t="str" cm="1">
        <f t="array" ref="D43">SourceData_Dairy.SourceData_Dairy_LiveweightGain_Source()</f>
        <v>VEERG 2026: Table A.1.3.3</v>
      </c>
      <c r="M43" s="1"/>
    </row>
    <row r="44" spans="4:13" ht="20.100000000000001" customHeight="1" x14ac:dyDescent="0.25">
      <c r="D44" s="1" t="str" cm="1">
        <f t="array" ref="D44">SourceData_Dairy.SourceData_Dairy_LiveweightGain_Variable()</f>
        <v>LWGj</v>
      </c>
      <c r="M44" s="1"/>
    </row>
    <row r="45" spans="4:13" ht="20.100000000000001" customHeight="1" x14ac:dyDescent="0.25">
      <c r="D45" s="57" t="str" cm="1">
        <f t="array" ref="D45">SourceData_Dairy.SourceData_Dairy_LiveweightGain_Unit()</f>
        <v>kg</v>
      </c>
      <c r="M45" s="1"/>
    </row>
    <row r="46" spans="4:13" ht="20.100000000000001" customHeight="1" x14ac:dyDescent="0.25">
      <c r="D46" s="39" t="s">
        <v>234</v>
      </c>
      <c r="E46" s="39" t="s">
        <v>235</v>
      </c>
      <c r="F46" s="39" t="s">
        <v>236</v>
      </c>
      <c r="G46" s="39" t="s">
        <v>238</v>
      </c>
      <c r="H46" s="39" t="s">
        <v>237</v>
      </c>
      <c r="M46" s="1"/>
    </row>
    <row r="47" spans="4:13" ht="20.100000000000001" customHeight="1" x14ac:dyDescent="0.25">
      <c r="D47" s="39" cm="1">
        <f t="array" ref="D47">Common_InputFunctions.Utility_DisplayArrayInTable(SourceData_Dairy.SourceData_Dairy_LiveweightGain_Data(), Table_SourceData_Dairy_LWGj[[#Headers],[Milking cows]], 0)</f>
        <v>1.6E-2</v>
      </c>
      <c r="E47" s="39" cm="1">
        <f t="array" ref="E47">Common_InputFunctions.Utility_DisplayArrayInTable(SourceData_Dairy.SourceData_Dairy_LiveweightGain_Data(), Table_SourceData_Dairy_LWGj[[#Headers],[Milking cows]], 0)</f>
        <v>0.6</v>
      </c>
      <c r="F47" s="39" cm="1">
        <f t="array" ref="F47">Common_InputFunctions.Utility_DisplayArrayInTable(SourceData_Dairy.SourceData_Dairy_LiveweightGain_Data(), Table_SourceData_Dairy_LWGj[[#Headers],[Milking cows]], 0)</f>
        <v>0.56999999999999995</v>
      </c>
      <c r="G47" s="39" cm="1">
        <f t="array" ref="G47">Common_InputFunctions.Utility_DisplayArrayInTable(SourceData_Dairy.SourceData_Dairy_LiveweightGain_Data(), Table_SourceData_Dairy_LWGj[[#Headers],[Milking cows]], 0)</f>
        <v>0.1</v>
      </c>
      <c r="H47" s="39" cm="1">
        <f t="array" ref="H47">Common_InputFunctions.Utility_DisplayArrayInTable(SourceData_Dairy.SourceData_Dairy_LiveweightGain_Data(), Table_SourceData_Dairy_LWGj[[#Headers],[Milking cows]], 0)</f>
        <v>0.8</v>
      </c>
      <c r="M47" s="1"/>
    </row>
    <row r="48" spans="4:13" ht="20.100000000000001" customHeight="1" x14ac:dyDescent="0.25">
      <c r="M48" s="1"/>
    </row>
    <row r="49" spans="4:13" ht="20.100000000000001" customHeight="1" x14ac:dyDescent="0.25">
      <c r="M49" s="1"/>
    </row>
    <row r="50" spans="4:13" ht="20.100000000000001" customHeight="1" x14ac:dyDescent="0.25">
      <c r="D50" s="6" t="str" cm="1">
        <f t="array" ref="D50">SourceData_Dairy.SourceData_Dairy_ReferenceWeights_Title()</f>
        <v>Table A.1.3.4: Dairy cattle - Reference weights (kg) (WRj)</v>
      </c>
      <c r="M50" s="1"/>
    </row>
    <row r="51" spans="4:13" ht="20.100000000000001" customHeight="1" x14ac:dyDescent="0.25">
      <c r="D51" s="5" t="str" cm="1">
        <f t="array" ref="D51">SourceData_Dairy.SourceData_Dairy_ReferenceWeights_Source()</f>
        <v>VEERG 2026: Table A.1.3.4</v>
      </c>
      <c r="M51" s="1"/>
    </row>
    <row r="52" spans="4:13" ht="20.100000000000001" customHeight="1" x14ac:dyDescent="0.25">
      <c r="D52" s="1" t="str" cm="1">
        <f t="array" ref="D52">SourceData_Dairy.SourceData_Dairy_ReferenceWeights_Variable()</f>
        <v>WRj</v>
      </c>
      <c r="M52" s="1"/>
    </row>
    <row r="53" spans="4:13" ht="20.100000000000001" customHeight="1" x14ac:dyDescent="0.25">
      <c r="D53" s="57" t="str" cm="1">
        <f t="array" ref="D53">SourceData_Dairy.SourceData_Dairy_ReferenceWeights_Unit()</f>
        <v>kg</v>
      </c>
      <c r="M53" s="1"/>
    </row>
    <row r="54" spans="4:13" ht="20.100000000000001" customHeight="1" x14ac:dyDescent="0.25">
      <c r="D54" s="136" t="s">
        <v>234</v>
      </c>
      <c r="E54" s="136" t="s">
        <v>235</v>
      </c>
      <c r="F54" s="136" t="s">
        <v>236</v>
      </c>
      <c r="G54" s="136" t="s">
        <v>238</v>
      </c>
      <c r="H54" s="136" t="s">
        <v>237</v>
      </c>
      <c r="M54" s="1"/>
    </row>
    <row r="55" spans="4:13" ht="20.100000000000001" customHeight="1" x14ac:dyDescent="0.25">
      <c r="D55" s="1" cm="1">
        <f t="array" ref="D55">Common_InputFunctions.Utility_DisplayArrayInTable(SourceData_Dairy.SourceData_Dairy_ReferenceWeights_Data(), Table_SourceData_Dairy_WRj[[#Headers],[Milking cows]], 0)</f>
        <v>590</v>
      </c>
      <c r="E55" s="1" cm="1">
        <f t="array" ref="E55">Common_InputFunctions.Utility_DisplayArrayInTable(SourceData_Dairy.SourceData_Dairy_ReferenceWeights_Data(), Table_SourceData_Dairy_WRj[[#Headers],[Milking cows]], 0)</f>
        <v>590</v>
      </c>
      <c r="F55" s="1" cm="1">
        <f t="array" ref="F55">Common_InputFunctions.Utility_DisplayArrayInTable(SourceData_Dairy.SourceData_Dairy_ReferenceWeights_Data(), Table_SourceData_Dairy_WRj[[#Headers],[Milking cows]], 0)</f>
        <v>590</v>
      </c>
      <c r="G55" s="1" cm="1">
        <f t="array" ref="G55">Common_InputFunctions.Utility_DisplayArrayInTable(SourceData_Dairy.SourceData_Dairy_ReferenceWeights_Data(), Table_SourceData_Dairy_WRj[[#Headers],[Milking cows]], 0)</f>
        <v>770</v>
      </c>
      <c r="H55" s="1" cm="1">
        <f t="array" ref="H55">Common_InputFunctions.Utility_DisplayArrayInTable(SourceData_Dairy.SourceData_Dairy_ReferenceWeights_Data(), Table_SourceData_Dairy_WRj[[#Headers],[Milking cows]], 0)</f>
        <v>770</v>
      </c>
      <c r="M55" s="1"/>
    </row>
    <row r="56" spans="4:13" ht="20.100000000000001" customHeight="1" x14ac:dyDescent="0.25">
      <c r="M56" s="1"/>
    </row>
    <row r="57" spans="4:13" ht="20.100000000000001" customHeight="1" x14ac:dyDescent="0.25">
      <c r="M57" s="1"/>
    </row>
    <row r="58" spans="4:13" ht="20.100000000000001" customHeight="1" x14ac:dyDescent="0.25">
      <c r="D58" s="6" t="str" cm="1">
        <f t="array" ref="D58">SourceData_Dairy.SourceData_Dairy_PreWeanedCalves_Title()</f>
        <v>Table A.1.3.5: Dairy cattle - Data for pre - weaned calves</v>
      </c>
      <c r="M58" s="1"/>
    </row>
    <row r="59" spans="4:13" ht="20.100000000000001" customHeight="1" x14ac:dyDescent="0.25">
      <c r="D59" s="5" t="str" cm="1">
        <f t="array" ref="D59">SourceData_Dairy.SourceData_Dairy_PreWeanedCalves_Source()</f>
        <v>VEERG 2026: Table A.1.3.5</v>
      </c>
      <c r="M59" s="1"/>
    </row>
    <row r="60" spans="4:13" ht="20.100000000000001" customHeight="1" x14ac:dyDescent="0.25">
      <c r="D60" s="1" t="str" cm="1">
        <f t="array" ref="D60">SourceData_Dairy.SourceData_Dairy_PreWeanedCalves_Variable()</f>
        <v>VSj=3,5; NPWj=3,5</v>
      </c>
      <c r="M60" s="1"/>
    </row>
    <row r="61" spans="4:13" ht="20.100000000000001" customHeight="1" x14ac:dyDescent="0.25">
      <c r="D61" s="57" t="str" cm="1">
        <f t="array" ref="D61">SourceData_Dairy.SourceData_Dairy_PreWeanedCalves_Unit()</f>
        <v>kg/day</v>
      </c>
      <c r="M61" s="1"/>
    </row>
    <row r="62" spans="4:13" ht="20.100000000000001" customHeight="1" x14ac:dyDescent="0.25">
      <c r="D62" s="39" t="s">
        <v>239</v>
      </c>
      <c r="E62" s="39" t="s">
        <v>240</v>
      </c>
      <c r="F62" s="39" t="s">
        <v>241</v>
      </c>
      <c r="G62" s="39" t="s">
        <v>242</v>
      </c>
      <c r="M62" s="1"/>
    </row>
    <row r="63" spans="4:13" ht="20.100000000000001" customHeight="1" x14ac:dyDescent="0.25">
      <c r="D63" s="39" t="str" cm="1">
        <f t="array" ref="D63">Common_InputFunctions.Utility_DisplayArrayInTable(SourceData_Dairy.SourceData_Dairy_PreWeanedCalves_Data(), Table_SourceData_Dairy_DataPreWeaned[[#Headers],[Animal class j]], -1)</f>
        <v>Heifers&lt;1</v>
      </c>
      <c r="E63" s="39" cm="1">
        <f t="array" ref="E63">Common_InputFunctions.Utility_DisplayArrayInTable(SourceData_Dairy.SourceData_Dairy_PreWeanedCalves_Data(), Table_SourceData_Dairy_DataPreWeaned[[#Headers],[Animal class j]], -1)</f>
        <v>1.7600000000000001E-2</v>
      </c>
      <c r="F63" s="39" cm="1">
        <f t="array" ref="F63">Common_InputFunctions.Utility_DisplayArrayInTable(SourceData_Dairy.SourceData_Dairy_PreWeanedCalves_Data(), Table_SourceData_Dairy_DataPreWeaned[[#Headers],[Animal class j]], -1)</f>
        <v>0.26850000000000002</v>
      </c>
      <c r="G63" s="39" cm="1">
        <f t="array" ref="G63">Common_InputFunctions.Utility_DisplayArrayInTable(SourceData_Dairy.SourceData_Dairy_PreWeanedCalves_Data(), Table_SourceData_Dairy_DataPreWeaned[[#Headers],[Animal class j]], -1)</f>
        <v>1.37E-2</v>
      </c>
      <c r="M63" s="1"/>
    </row>
    <row r="64" spans="4:13" ht="20.100000000000001" customHeight="1" x14ac:dyDescent="0.25">
      <c r="D64" s="39" t="str" cm="1">
        <f t="array" ref="D64">Common_InputFunctions.Utility_DisplayArrayInTable(SourceData_Dairy.SourceData_Dairy_PreWeanedCalves_Data(), Table_SourceData_Dairy_DataPreWeaned[[#Headers],[Animal class j]], -1)</f>
        <v>Bulls&lt;1</v>
      </c>
      <c r="E64" s="39" cm="1">
        <f t="array" ref="E64">Common_InputFunctions.Utility_DisplayArrayInTable(SourceData_Dairy.SourceData_Dairy_PreWeanedCalves_Data(), Table_SourceData_Dairy_DataPreWeaned[[#Headers],[Animal class j]], -1)</f>
        <v>2.0400000000000001E-2</v>
      </c>
      <c r="F64" s="39" cm="1">
        <f t="array" ref="F64">Common_InputFunctions.Utility_DisplayArrayInTable(SourceData_Dairy.SourceData_Dairy_PreWeanedCalves_Data(), Table_SourceData_Dairy_DataPreWeaned[[#Headers],[Animal class j]], -1)</f>
        <v>0.30030000000000001</v>
      </c>
      <c r="G64" s="39" cm="1">
        <f t="array" ref="G64">Common_InputFunctions.Utility_DisplayArrayInTable(SourceData_Dairy.SourceData_Dairy_PreWeanedCalves_Data(), Table_SourceData_Dairy_DataPreWeaned[[#Headers],[Animal class j]], -1)</f>
        <v>9.1999999999999998E-3</v>
      </c>
      <c r="M64" s="1"/>
    </row>
    <row r="65" spans="4:22" ht="20.100000000000001" customHeight="1" x14ac:dyDescent="0.25">
      <c r="M65" s="1"/>
    </row>
    <row r="66" spans="4:22" ht="20.100000000000001" customHeight="1" x14ac:dyDescent="0.25">
      <c r="M66" s="1"/>
    </row>
    <row r="67" spans="4:22" ht="20.100000000000001" customHeight="1" x14ac:dyDescent="0.25">
      <c r="D67" s="6" t="str" cm="1">
        <f t="array" ref="D67">SourceData_Dairy.SourceData_Dairy_MCF_Title()</f>
        <v>Table A.1.3.6: Dairy cattle - Dairy cattle - MCFs (fraction) (MCFjm)</v>
      </c>
      <c r="M67" s="1"/>
    </row>
    <row r="68" spans="4:22" ht="20.100000000000001" customHeight="1" x14ac:dyDescent="0.25">
      <c r="D68" s="5" t="str" cm="1">
        <f t="array" ref="D68">SourceData_Dairy.SourceData_Dairy_MCF_Source()</f>
        <v>VEERG 2026: Table A.1.3.6</v>
      </c>
      <c r="M68" s="1"/>
    </row>
    <row r="69" spans="4:22" ht="20.100000000000001" customHeight="1" x14ac:dyDescent="0.25">
      <c r="D69" s="1" t="str" cm="1">
        <f t="array" ref="D69">SourceData_Dairy.SourceData_Dairy_MCF_Variable()</f>
        <v>MCFjm</v>
      </c>
      <c r="M69" s="1"/>
    </row>
    <row r="70" spans="4:22" ht="20.100000000000001" customHeight="1" x14ac:dyDescent="0.25">
      <c r="D70" s="57" t="str" cm="1">
        <f t="array" ref="D70">SourceData_Dairy.SourceData_Dairy_MCF_Unit()</f>
        <v>fraction</v>
      </c>
      <c r="M70" s="1"/>
    </row>
    <row r="71" spans="4:22" ht="20.100000000000001" customHeight="1" x14ac:dyDescent="0.25">
      <c r="D71" s="58" t="str" cm="1">
        <f t="array" ref="D71">SourceData_Dairy.SourceData_Dairy_MCF_Variation()</f>
        <v>VARIATION OF SOURCE: Added 'NIR reference' column to aid lookup</v>
      </c>
      <c r="M71" s="1"/>
      <c r="V71" s="1"/>
    </row>
    <row r="72" spans="4:22" ht="20.100000000000001" customHeight="1" x14ac:dyDescent="0.25">
      <c r="D72" s="39" t="s">
        <v>101</v>
      </c>
      <c r="E72" s="39" t="s">
        <v>83</v>
      </c>
      <c r="F72" s="39" t="s">
        <v>84</v>
      </c>
      <c r="G72" s="39" t="s">
        <v>85</v>
      </c>
      <c r="H72" s="39" t="s">
        <v>86</v>
      </c>
      <c r="I72" s="39" t="s">
        <v>87</v>
      </c>
      <c r="J72" s="39" t="s">
        <v>88</v>
      </c>
      <c r="K72" s="39" t="s">
        <v>89</v>
      </c>
      <c r="L72" s="39" t="s">
        <v>90</v>
      </c>
      <c r="M72" s="39" t="s">
        <v>250</v>
      </c>
      <c r="V72" s="1"/>
    </row>
    <row r="73" spans="4:22" ht="20.100000000000001" customHeight="1" x14ac:dyDescent="0.25">
      <c r="D73" s="39" t="str" cm="1">
        <f t="array" ref="D73">Common_InputFunctions.Utility_DisplayArrayInTable(SourceData_Dairy.SourceData_Dairy_MCF_Data(), Table_SourceData_Dairy_MCFjm[[#Headers],[MMS m]], 0)</f>
        <v>Pasture</v>
      </c>
      <c r="E73" s="39" cm="1">
        <f t="array" ref="E73">Common_InputFunctions.Utility_DisplayArrayInTable(SourceData_Dairy.SourceData_Dairy_MCF_Data(), Table_SourceData_Dairy_MCFjm[[#Headers],[MMS m]], 0)</f>
        <v>0.01</v>
      </c>
      <c r="F73" s="39" cm="1">
        <f t="array" ref="F73">Common_InputFunctions.Utility_DisplayArrayInTable(SourceData_Dairy.SourceData_Dairy_MCF_Data(), Table_SourceData_Dairy_MCFjm[[#Headers],[MMS m]], 0)</f>
        <v>0.01</v>
      </c>
      <c r="G73" s="39" cm="1">
        <f t="array" ref="G73">Common_InputFunctions.Utility_DisplayArrayInTable(SourceData_Dairy.SourceData_Dairy_MCF_Data(), Table_SourceData_Dairy_MCFjm[[#Headers],[MMS m]], 0)</f>
        <v>0.02</v>
      </c>
      <c r="H73" s="39" cm="1">
        <f t="array" ref="H73">Common_InputFunctions.Utility_DisplayArrayInTable(SourceData_Dairy.SourceData_Dairy_MCF_Data(), Table_SourceData_Dairy_MCFjm[[#Headers],[MMS m]], 0)</f>
        <v>0.01</v>
      </c>
      <c r="I73" s="39" cm="1">
        <f t="array" ref="I73">Common_InputFunctions.Utility_DisplayArrayInTable(SourceData_Dairy.SourceData_Dairy_MCF_Data(), Table_SourceData_Dairy_MCFjm[[#Headers],[MMS m]], 0)</f>
        <v>0.01</v>
      </c>
      <c r="J73" s="39" cm="1">
        <f t="array" ref="J73">Common_InputFunctions.Utility_DisplayArrayInTable(SourceData_Dairy.SourceData_Dairy_MCF_Data(), Table_SourceData_Dairy_MCFjm[[#Headers],[MMS m]], 0)</f>
        <v>0.01</v>
      </c>
      <c r="K73" s="39" cm="1">
        <f t="array" ref="K73">Common_InputFunctions.Utility_DisplayArrayInTable(SourceData_Dairy.SourceData_Dairy_MCF_Data(), Table_SourceData_Dairy_MCFjm[[#Headers],[MMS m]], 0)</f>
        <v>0.01</v>
      </c>
      <c r="L73" s="39" cm="1">
        <f t="array" ref="L73">Common_InputFunctions.Utility_DisplayArrayInTable(SourceData_Dairy.SourceData_Dairy_MCF_Data(), Table_SourceData_Dairy_MCFjm[[#Headers],[MMS m]], 0)</f>
        <v>0.01</v>
      </c>
      <c r="M73" s="39" t="str" cm="1">
        <f t="array" ref="M73">Common_InputFunctions.Utility_DisplayArrayInTable(SourceData_Dairy.SourceData_Dairy_MCF_Data(), Table_SourceData_Dairy_MCFjm[[#Headers],[MMS m]], 0)</f>
        <v>Pasture range and paddock</v>
      </c>
      <c r="V73" s="1"/>
    </row>
    <row r="74" spans="4:22" ht="20.100000000000001" customHeight="1" x14ac:dyDescent="0.25">
      <c r="D74" s="1" t="str" cm="1">
        <f t="array" ref="D74">Common_InputFunctions.Utility_DisplayArrayInTable(SourceData_Dairy.SourceData_Dairy_MCF_Data(), Table_SourceData_Dairy_MCFjm[[#Headers],[MMS m]], 0)</f>
        <v>Anaerobic lagoon</v>
      </c>
      <c r="E74" s="39" cm="1">
        <f t="array" ref="E74">Common_InputFunctions.Utility_DisplayArrayInTable(SourceData_Dairy.SourceData_Dairy_MCF_Data(), Table_SourceData_Dairy_MCFjm[[#Headers],[MMS m]], 0)</f>
        <v>0.72</v>
      </c>
      <c r="F74" s="39" cm="1">
        <f t="array" ref="F74">Common_InputFunctions.Utility_DisplayArrayInTable(SourceData_Dairy.SourceData_Dairy_MCF_Data(), Table_SourceData_Dairy_MCFjm[[#Headers],[MMS m]], 0)</f>
        <v>0.76</v>
      </c>
      <c r="G74" s="39" cm="1">
        <f t="array" ref="G74">Common_InputFunctions.Utility_DisplayArrayInTable(SourceData_Dairy.SourceData_Dairy_MCF_Data(), Table_SourceData_Dairy_MCFjm[[#Headers],[MMS m]], 0)</f>
        <v>0.8</v>
      </c>
      <c r="H74" s="39" cm="1">
        <f t="array" ref="H74">Common_InputFunctions.Utility_DisplayArrayInTable(SourceData_Dairy.SourceData_Dairy_MCF_Data(), Table_SourceData_Dairy_MCFjm[[#Headers],[MMS m]], 0)</f>
        <v>0.78</v>
      </c>
      <c r="I74" s="39" cm="1">
        <f t="array" ref="I74">Common_InputFunctions.Utility_DisplayArrayInTable(SourceData_Dairy.SourceData_Dairy_MCF_Data(), Table_SourceData_Dairy_MCFjm[[#Headers],[MMS m]], 0)</f>
        <v>0.74</v>
      </c>
      <c r="J74" s="39" cm="1">
        <f t="array" ref="J74">Common_InputFunctions.Utility_DisplayArrayInTable(SourceData_Dairy.SourceData_Dairy_MCF_Data(), Table_SourceData_Dairy_MCFjm[[#Headers],[MMS m]], 0)</f>
        <v>0.69</v>
      </c>
      <c r="K74" s="39" cm="1">
        <f t="array" ref="K74">Common_InputFunctions.Utility_DisplayArrayInTable(SourceData_Dairy.SourceData_Dairy_MCF_Data(), Table_SourceData_Dairy_MCFjm[[#Headers],[MMS m]], 0)</f>
        <v>0.73</v>
      </c>
      <c r="L74" s="39" cm="1">
        <f t="array" ref="L74">Common_InputFunctions.Utility_DisplayArrayInTable(SourceData_Dairy.SourceData_Dairy_MCF_Data(), Table_SourceData_Dairy_MCFjm[[#Headers],[MMS m]], 0)</f>
        <v>0.76</v>
      </c>
      <c r="M74" s="39" t="str" cm="1">
        <f t="array" ref="M74">Common_InputFunctions.Utility_DisplayArrayInTable(SourceData_Dairy.SourceData_Dairy_MCF_Data(), Table_SourceData_Dairy_MCFjm[[#Headers],[MMS m]], 0)</f>
        <v>Anaerobic lagoon</v>
      </c>
      <c r="V74" s="1"/>
    </row>
    <row r="75" spans="4:22" ht="20.100000000000001" customHeight="1" x14ac:dyDescent="0.25">
      <c r="D75" s="1" t="str" cm="1">
        <f t="array" ref="D75">Common_InputFunctions.Utility_DisplayArrayInTable(SourceData_Dairy.SourceData_Dairy_MCF_Data(), Table_SourceData_Dairy_MCFjm[[#Headers],[MMS m]], 0)</f>
        <v>Daily spread - Sump and dispersal systems</v>
      </c>
      <c r="E75" s="39" cm="1">
        <f t="array" ref="E75">Common_InputFunctions.Utility_DisplayArrayInTable(SourceData_Dairy.SourceData_Dairy_MCF_Data(), Table_SourceData_Dairy_MCFjm[[#Headers],[MMS m]], 0)</f>
        <v>5.0000000000000001E-3</v>
      </c>
      <c r="F75" s="39" cm="1">
        <f t="array" ref="F75">Common_InputFunctions.Utility_DisplayArrayInTable(SourceData_Dairy.SourceData_Dairy_MCF_Data(), Table_SourceData_Dairy_MCFjm[[#Headers],[MMS m]], 0)</f>
        <v>5.0000000000000001E-3</v>
      </c>
      <c r="G75" s="39" cm="1">
        <f t="array" ref="G75">Common_InputFunctions.Utility_DisplayArrayInTable(SourceData_Dairy.SourceData_Dairy_MCF_Data(), Table_SourceData_Dairy_MCFjm[[#Headers],[MMS m]], 0)</f>
        <v>0.01</v>
      </c>
      <c r="H75" s="39" cm="1">
        <f t="array" ref="H75">Common_InputFunctions.Utility_DisplayArrayInTable(SourceData_Dairy.SourceData_Dairy_MCF_Data(), Table_SourceData_Dairy_MCFjm[[#Headers],[MMS m]], 0)</f>
        <v>5.0000000000000001E-3</v>
      </c>
      <c r="I75" s="39" cm="1">
        <f t="array" ref="I75">Common_InputFunctions.Utility_DisplayArrayInTable(SourceData_Dairy.SourceData_Dairy_MCF_Data(), Table_SourceData_Dairy_MCFjm[[#Headers],[MMS m]], 0)</f>
        <v>5.0000000000000001E-3</v>
      </c>
      <c r="J75" s="39" cm="1">
        <f t="array" ref="J75">Common_InputFunctions.Utility_DisplayArrayInTable(SourceData_Dairy.SourceData_Dairy_MCF_Data(), Table_SourceData_Dairy_MCFjm[[#Headers],[MMS m]], 0)</f>
        <v>1E-3</v>
      </c>
      <c r="K75" s="39" cm="1">
        <f t="array" ref="K75">Common_InputFunctions.Utility_DisplayArrayInTable(SourceData_Dairy.SourceData_Dairy_MCF_Data(), Table_SourceData_Dairy_MCFjm[[#Headers],[MMS m]], 0)</f>
        <v>5.0000000000000001E-3</v>
      </c>
      <c r="L75" s="39" cm="1">
        <f t="array" ref="L75">Common_InputFunctions.Utility_DisplayArrayInTable(SourceData_Dairy.SourceData_Dairy_MCF_Data(), Table_SourceData_Dairy_MCFjm[[#Headers],[MMS m]], 0)</f>
        <v>5.0000000000000001E-3</v>
      </c>
      <c r="M75" s="39" t="str" cm="1">
        <f t="array" ref="M75">Common_InputFunctions.Utility_DisplayArrayInTable(SourceData_Dairy.SourceData_Dairy_MCF_Data(), Table_SourceData_Dairy_MCFjm[[#Headers],[MMS m]], 0)</f>
        <v>Sump and dispersal system</v>
      </c>
      <c r="V75" s="1"/>
    </row>
    <row r="76" spans="4:22" ht="20.100000000000001" customHeight="1" x14ac:dyDescent="0.25">
      <c r="D76" s="1" t="str" cm="1">
        <f t="array" ref="D76">Common_InputFunctions.Utility_DisplayArrayInTable(SourceData_Dairy.SourceData_Dairy_MCF_Data(), Table_SourceData_Dairy_MCFjm[[#Headers],[MMS m]], 0)</f>
        <v>Daily spread - Drains to paddocks (a)</v>
      </c>
      <c r="E76" s="39" cm="1">
        <f t="array" ref="E76">Common_InputFunctions.Utility_DisplayArrayInTable(SourceData_Dairy.SourceData_Dairy_MCF_Data(), Table_SourceData_Dairy_MCFjm[[#Headers],[MMS m]], 0)</f>
        <v>0.15</v>
      </c>
      <c r="F76" s="39" cm="1">
        <f t="array" ref="F76">Common_InputFunctions.Utility_DisplayArrayInTable(SourceData_Dairy.SourceData_Dairy_MCF_Data(), Table_SourceData_Dairy_MCFjm[[#Headers],[MMS m]], 0)</f>
        <v>0.18</v>
      </c>
      <c r="G76" s="39" cm="1">
        <f t="array" ref="G76">Common_InputFunctions.Utility_DisplayArrayInTable(SourceData_Dairy.SourceData_Dairy_MCF_Data(), Table_SourceData_Dairy_MCFjm[[#Headers],[MMS m]], 0)</f>
        <v>0.5</v>
      </c>
      <c r="H76" s="39" cm="1">
        <f t="array" ref="H76">Common_InputFunctions.Utility_DisplayArrayInTable(SourceData_Dairy.SourceData_Dairy_MCF_Data(), Table_SourceData_Dairy_MCFjm[[#Headers],[MMS m]], 0)</f>
        <v>0.24</v>
      </c>
      <c r="I76" s="39" cm="1">
        <f t="array" ref="I76">Common_InputFunctions.Utility_DisplayArrayInTable(SourceData_Dairy.SourceData_Dairy_MCF_Data(), Table_SourceData_Dairy_MCFjm[[#Headers],[MMS m]], 0)</f>
        <v>0.17</v>
      </c>
      <c r="J76" s="39" cm="1">
        <f t="array" ref="J76">Common_InputFunctions.Utility_DisplayArrayInTable(SourceData_Dairy.SourceData_Dairy_MCF_Data(), Table_SourceData_Dairy_MCFjm[[#Headers],[MMS m]], 0)</f>
        <v>0.13</v>
      </c>
      <c r="K76" s="39" cm="1">
        <f t="array" ref="K76">Common_InputFunctions.Utility_DisplayArrayInTable(SourceData_Dairy.SourceData_Dairy_MCF_Data(), Table_SourceData_Dairy_MCFjm[[#Headers],[MMS m]], 0)</f>
        <v>0.17</v>
      </c>
      <c r="L76" s="39" cm="1">
        <f t="array" ref="L76">Common_InputFunctions.Utility_DisplayArrayInTable(SourceData_Dairy.SourceData_Dairy_MCF_Data(), Table_SourceData_Dairy_MCFjm[[#Headers],[MMS m]], 0)</f>
        <v>0.18</v>
      </c>
      <c r="M76" s="39" t="str" cm="1">
        <f t="array" ref="M76">Common_InputFunctions.Utility_DisplayArrayInTable(SourceData_Dairy.SourceData_Dairy_MCF_Data(), Table_SourceData_Dairy_MCFjm[[#Headers],[MMS m]], 0)</f>
        <v>Drains to paddock</v>
      </c>
      <c r="V76" s="1"/>
    </row>
    <row r="77" spans="4:22" ht="20.100000000000001" customHeight="1" x14ac:dyDescent="0.25">
      <c r="D77" s="1" t="str" cm="1">
        <f t="array" ref="D77">Common_InputFunctions.Utility_DisplayArrayInTable(SourceData_Dairy.SourceData_Dairy_MCF_Data(), Table_SourceData_Dairy_MCFjm[[#Headers],[MMS m]], 0)</f>
        <v>Solid Storage</v>
      </c>
      <c r="E77" s="39" cm="1">
        <f t="array" ref="E77">Common_InputFunctions.Utility_DisplayArrayInTable(SourceData_Dairy.SourceData_Dairy_MCF_Data(), Table_SourceData_Dairy_MCFjm[[#Headers],[MMS m]], 0)</f>
        <v>0.02</v>
      </c>
      <c r="F77" s="39" cm="1">
        <f t="array" ref="F77">Common_InputFunctions.Utility_DisplayArrayInTable(SourceData_Dairy.SourceData_Dairy_MCF_Data(), Table_SourceData_Dairy_MCFjm[[#Headers],[MMS m]], 0)</f>
        <v>0.02</v>
      </c>
      <c r="G77" s="39" cm="1">
        <f t="array" ref="G77">Common_InputFunctions.Utility_DisplayArrayInTable(SourceData_Dairy.SourceData_Dairy_MCF_Data(), Table_SourceData_Dairy_MCFjm[[#Headers],[MMS m]], 0)</f>
        <v>0.02</v>
      </c>
      <c r="H77" s="39" cm="1">
        <f t="array" ref="H77">Common_InputFunctions.Utility_DisplayArrayInTable(SourceData_Dairy.SourceData_Dairy_MCF_Data(), Table_SourceData_Dairy_MCFjm[[#Headers],[MMS m]], 0)</f>
        <v>0.02</v>
      </c>
      <c r="I77" s="39" cm="1">
        <f t="array" ref="I77">Common_InputFunctions.Utility_DisplayArrayInTable(SourceData_Dairy.SourceData_Dairy_MCF_Data(), Table_SourceData_Dairy_MCFjm[[#Headers],[MMS m]], 0)</f>
        <v>0.02</v>
      </c>
      <c r="J77" s="39" cm="1">
        <f t="array" ref="J77">Common_InputFunctions.Utility_DisplayArrayInTable(SourceData_Dairy.SourceData_Dairy_MCF_Data(), Table_SourceData_Dairy_MCFjm[[#Headers],[MMS m]], 0)</f>
        <v>0.02</v>
      </c>
      <c r="K77" s="39" cm="1">
        <f t="array" ref="K77">Common_InputFunctions.Utility_DisplayArrayInTable(SourceData_Dairy.SourceData_Dairy_MCF_Data(), Table_SourceData_Dairy_MCFjm[[#Headers],[MMS m]], 0)</f>
        <v>0.02</v>
      </c>
      <c r="L77" s="39" cm="1">
        <f t="array" ref="L77">Common_InputFunctions.Utility_DisplayArrayInTable(SourceData_Dairy.SourceData_Dairy_MCF_Data(), Table_SourceData_Dairy_MCFjm[[#Headers],[MMS m]], 0)</f>
        <v>0.02</v>
      </c>
      <c r="M77" s="39" t="str" cm="1">
        <f t="array" ref="M77">Common_InputFunctions.Utility_DisplayArrayInTable(SourceData_Dairy.SourceData_Dairy_MCF_Data(), Table_SourceData_Dairy_MCFjm[[#Headers],[MMS m]], 0)</f>
        <v>Solid storage</v>
      </c>
      <c r="V77" s="1"/>
    </row>
    <row r="78" spans="4:22" ht="20.100000000000001" customHeight="1" x14ac:dyDescent="0.25">
      <c r="D78" s="1" t="str" cm="1">
        <f t="array" ref="D78">Common_InputFunctions.Utility_DisplayArrayInTable(SourceData_Dairy.SourceData_Dairy_MCF_Data(), Table_SourceData_Dairy_MCFjm[[#Headers],[MMS m]], 0)</f>
        <v>Direct Application to soil</v>
      </c>
      <c r="E78" s="39" cm="1">
        <f t="array" ref="E78">Common_InputFunctions.Utility_DisplayArrayInTable(SourceData_Dairy.SourceData_Dairy_MCF_Data(), Table_SourceData_Dairy_MCFjm[[#Headers],[MMS m]], 0)</f>
        <v>0</v>
      </c>
      <c r="F78" s="39" cm="1">
        <f t="array" ref="F78">Common_InputFunctions.Utility_DisplayArrayInTable(SourceData_Dairy.SourceData_Dairy_MCF_Data(), Table_SourceData_Dairy_MCFjm[[#Headers],[MMS m]], 0)</f>
        <v>0</v>
      </c>
      <c r="G78" s="39" cm="1">
        <f t="array" ref="G78">Common_InputFunctions.Utility_DisplayArrayInTable(SourceData_Dairy.SourceData_Dairy_MCF_Data(), Table_SourceData_Dairy_MCFjm[[#Headers],[MMS m]], 0)</f>
        <v>0</v>
      </c>
      <c r="H78" s="39" cm="1">
        <f t="array" ref="H78">Common_InputFunctions.Utility_DisplayArrayInTable(SourceData_Dairy.SourceData_Dairy_MCF_Data(), Table_SourceData_Dairy_MCFjm[[#Headers],[MMS m]], 0)</f>
        <v>0</v>
      </c>
      <c r="I78" s="39" cm="1">
        <f t="array" ref="I78">Common_InputFunctions.Utility_DisplayArrayInTable(SourceData_Dairy.SourceData_Dairy_MCF_Data(), Table_SourceData_Dairy_MCFjm[[#Headers],[MMS m]], 0)</f>
        <v>0</v>
      </c>
      <c r="J78" s="39" cm="1">
        <f t="array" ref="J78">Common_InputFunctions.Utility_DisplayArrayInTable(SourceData_Dairy.SourceData_Dairy_MCF_Data(), Table_SourceData_Dairy_MCFjm[[#Headers],[MMS m]], 0)</f>
        <v>0</v>
      </c>
      <c r="K78" s="39" cm="1">
        <f t="array" ref="K78">Common_InputFunctions.Utility_DisplayArrayInTable(SourceData_Dairy.SourceData_Dairy_MCF_Data(), Table_SourceData_Dairy_MCFjm[[#Headers],[MMS m]], 0)</f>
        <v>0</v>
      </c>
      <c r="L78" s="39" cm="1">
        <f t="array" ref="L78">Common_InputFunctions.Utility_DisplayArrayInTable(SourceData_Dairy.SourceData_Dairy_MCF_Data(), Table_SourceData_Dairy_MCFjm[[#Headers],[MMS m]], 0)</f>
        <v>0</v>
      </c>
      <c r="M78" s="39" t="str" cm="1">
        <f t="array" ref="M78">Common_InputFunctions.Utility_DisplayArrayInTable(SourceData_Dairy.SourceData_Dairy_MCF_Data(), Table_SourceData_Dairy_MCFjm[[#Headers],[MMS m]], 0)</f>
        <v>Direct application</v>
      </c>
    </row>
    <row r="79" spans="4:22" ht="20.100000000000001" customHeight="1" x14ac:dyDescent="0.25">
      <c r="M79" s="1"/>
    </row>
    <row r="80" spans="4:22" ht="20.100000000000001" customHeight="1" x14ac:dyDescent="0.25">
      <c r="M80" s="1"/>
    </row>
    <row r="81" spans="4:22" ht="20.100000000000001" customHeight="1" x14ac:dyDescent="0.25">
      <c r="D81" s="6" t="str" cm="1">
        <f t="array" ref="D81">SourceData_Dairy.SourceData_Dairy_NitrousOxideEFsAndFracGASM_Title()</f>
        <v>Table A.1.3.7: Dairy cattle - Nitrous oxide EFs and fraction of N volatilised by MMS</v>
      </c>
      <c r="M81" s="1"/>
    </row>
    <row r="82" spans="4:22" ht="20.100000000000001" customHeight="1" x14ac:dyDescent="0.25">
      <c r="D82" s="5" t="str" cm="1">
        <f t="array" ref="D82">SourceData_Dairy.SourceData_Dairy_NitrousOxideEFsAndFracGASM_Source()</f>
        <v>VEERG 2026: Table A.1.3.7</v>
      </c>
      <c r="M82" s="1"/>
    </row>
    <row r="83" spans="4:22" ht="20.100000000000001" customHeight="1" x14ac:dyDescent="0.25">
      <c r="D83" s="1" t="str" cm="1">
        <f t="array" ref="D83">SourceData_Dairy.SourceData_Dairy_NitrousOxideEFsAndFracGASM_Variable()</f>
        <v>EFm; FracGASMm</v>
      </c>
      <c r="M83" s="1"/>
    </row>
    <row r="84" spans="4:22" ht="20.100000000000001" customHeight="1" x14ac:dyDescent="0.25">
      <c r="D84" s="57" t="str" cm="1">
        <f t="array" ref="D84">SourceData_Dairy.SourceData_Dairy_NitrousOxideEFsAndFracGASM_Unit()</f>
        <v>kg N2O-N/kg N excreted</v>
      </c>
      <c r="M84" s="1"/>
    </row>
    <row r="85" spans="4:22" ht="20.100000000000001" customHeight="1" x14ac:dyDescent="0.25">
      <c r="D85" s="58" t="str" cm="1">
        <f t="array" ref="D85">SourceData_Dairy.SourceData_Dairy_NitrousOxideEFsAndFracGASM_Variation()</f>
        <v>VARIATION OF SOURCE: Added 'NIR reference' column to aid lookup</v>
      </c>
      <c r="M85" s="1"/>
      <c r="V85" s="1"/>
    </row>
    <row r="86" spans="4:22" ht="20.100000000000001" customHeight="1" x14ac:dyDescent="0.25">
      <c r="D86" s="39" t="s">
        <v>101</v>
      </c>
      <c r="E86" s="39" t="s">
        <v>243</v>
      </c>
      <c r="F86" s="39" t="s">
        <v>244</v>
      </c>
      <c r="G86" s="39" t="s">
        <v>250</v>
      </c>
      <c r="M86" s="1"/>
      <c r="V86" s="1"/>
    </row>
    <row r="87" spans="4:22" ht="20.100000000000001" customHeight="1" x14ac:dyDescent="0.25">
      <c r="D87" s="39" t="str" cm="1">
        <f t="array" ref="D87">Common_InputFunctions.Utility_DisplayArrayInTable(SourceData_Dairy.SourceData_Dairy_NitrousOxideEFsAndFracGASM_Data(), Table_SourceData_Dairy_EFmFracGASM[[#Headers],[MMS m]], 0)</f>
        <v>M=14 Pasture</v>
      </c>
      <c r="E87" s="39" cm="1">
        <f t="array" ref="E87">Common_InputFunctions.Utility_DisplayArrayInTable(SourceData_Dairy.SourceData_Dairy_NitrousOxideEFsAndFracGASM_Data(), Table_SourceData_Dairy_EFmFracGASM[[#Headers],[MMS m]], 0)</f>
        <v>0</v>
      </c>
      <c r="F87" s="39" cm="1">
        <f t="array" ref="F87">Common_InputFunctions.Utility_DisplayArrayInTable(SourceData_Dairy.SourceData_Dairy_NitrousOxideEFsAndFracGASM_Data(), Table_SourceData_Dairy_EFmFracGASM[[#Headers],[MMS m]], 0)</f>
        <v>0</v>
      </c>
      <c r="G87" s="39" t="str" cm="1">
        <f t="array" ref="G87">Common_InputFunctions.Utility_DisplayArrayInTable(SourceData_Dairy.SourceData_Dairy_NitrousOxideEFsAndFracGASM_Data(), Table_SourceData_Dairy_EFmFracGASM[[#Headers],[MMS m]], 0)</f>
        <v>Pasture range and paddock</v>
      </c>
      <c r="M87" s="1"/>
      <c r="V87" s="1"/>
    </row>
    <row r="88" spans="4:22" ht="20.100000000000001" customHeight="1" x14ac:dyDescent="0.25">
      <c r="D88" s="1" t="str" cm="1">
        <f t="array" ref="D88">Common_InputFunctions.Utility_DisplayArrayInTable(SourceData_Dairy.SourceData_Dairy_NitrousOxideEFsAndFracGASM_Data(), Table_SourceData_Dairy_EFmFracGASM[[#Headers],[MMS m]], 0)</f>
        <v>M=1 Anaerobic lagoon</v>
      </c>
      <c r="E88" s="39" cm="1">
        <f t="array" ref="E88">Common_InputFunctions.Utility_DisplayArrayInTable(SourceData_Dairy.SourceData_Dairy_NitrousOxideEFsAndFracGASM_Data(), Table_SourceData_Dairy_EFmFracGASM[[#Headers],[MMS m]], 0)</f>
        <v>0</v>
      </c>
      <c r="F88" s="39" cm="1">
        <f t="array" ref="F88">Common_InputFunctions.Utility_DisplayArrayInTable(SourceData_Dairy.SourceData_Dairy_NitrousOxideEFsAndFracGASM_Data(), Table_SourceData_Dairy_EFmFracGASM[[#Headers],[MMS m]], 0)</f>
        <v>0.35</v>
      </c>
      <c r="G88" s="39" t="str" cm="1">
        <f t="array" ref="G88">Common_InputFunctions.Utility_DisplayArrayInTable(SourceData_Dairy.SourceData_Dairy_NitrousOxideEFsAndFracGASM_Data(), Table_SourceData_Dairy_EFmFracGASM[[#Headers],[MMS m]], 0)</f>
        <v>Anaerobic lagoon</v>
      </c>
      <c r="M88" s="1"/>
      <c r="V88" s="1"/>
    </row>
    <row r="89" spans="4:22" ht="20.100000000000001" customHeight="1" x14ac:dyDescent="0.25">
      <c r="D89" s="1" t="str" cm="1">
        <f t="array" ref="D89">Common_InputFunctions.Utility_DisplayArrayInTable(SourceData_Dairy.SourceData_Dairy_NitrousOxideEFsAndFracGASM_Data(), Table_SourceData_Dairy_EFmFracGASM[[#Headers],[MMS m]], 0)</f>
        <v>M=2 Daily Spread - Sump and Dispersal</v>
      </c>
      <c r="E89" s="39" cm="1">
        <f t="array" ref="E89">Common_InputFunctions.Utility_DisplayArrayInTable(SourceData_Dairy.SourceData_Dairy_NitrousOxideEFsAndFracGASM_Data(), Table_SourceData_Dairy_EFmFracGASM[[#Headers],[MMS m]], 0)</f>
        <v>0</v>
      </c>
      <c r="F89" s="39" cm="1">
        <f t="array" ref="F89">Common_InputFunctions.Utility_DisplayArrayInTable(SourceData_Dairy.SourceData_Dairy_NitrousOxideEFsAndFracGASM_Data(), Table_SourceData_Dairy_EFmFracGASM[[#Headers],[MMS m]], 0)</f>
        <v>7.0000000000000007E-2</v>
      </c>
      <c r="G89" s="39" t="str" cm="1">
        <f t="array" ref="G89">Common_InputFunctions.Utility_DisplayArrayInTable(SourceData_Dairy.SourceData_Dairy_NitrousOxideEFsAndFracGASM_Data(), Table_SourceData_Dairy_EFmFracGASM[[#Headers],[MMS m]], 0)</f>
        <v>Sump and dispersal system</v>
      </c>
      <c r="M89" s="1"/>
      <c r="V89" s="1"/>
    </row>
    <row r="90" spans="4:22" ht="20.100000000000001" customHeight="1" x14ac:dyDescent="0.25">
      <c r="D90" s="1" t="str" cm="1">
        <f t="array" ref="D90">Common_InputFunctions.Utility_DisplayArrayInTable(SourceData_Dairy.SourceData_Dairy_NitrousOxideEFsAndFracGASM_Data(), Table_SourceData_Dairy_EFmFracGASM[[#Headers],[MMS m]], 0)</f>
        <v>M=3 Daily Spread - Drains to Paddock</v>
      </c>
      <c r="E90" s="39" cm="1">
        <f t="array" ref="E90">Common_InputFunctions.Utility_DisplayArrayInTable(SourceData_Dairy.SourceData_Dairy_NitrousOxideEFsAndFracGASM_Data(), Table_SourceData_Dairy_EFmFracGASM[[#Headers],[MMS m]], 0)</f>
        <v>0</v>
      </c>
      <c r="F90" s="39" cm="1">
        <f t="array" ref="F90">Common_InputFunctions.Utility_DisplayArrayInTable(SourceData_Dairy.SourceData_Dairy_NitrousOxideEFsAndFracGASM_Data(), Table_SourceData_Dairy_EFmFracGASM[[#Headers],[MMS m]], 0)</f>
        <v>0.2</v>
      </c>
      <c r="G90" s="39" t="str" cm="1">
        <f t="array" ref="G90">Common_InputFunctions.Utility_DisplayArrayInTable(SourceData_Dairy.SourceData_Dairy_NitrousOxideEFsAndFracGASM_Data(), Table_SourceData_Dairy_EFmFracGASM[[#Headers],[MMS m]], 0)</f>
        <v>Drains to paddock</v>
      </c>
      <c r="M90" s="1"/>
      <c r="V90" s="1"/>
    </row>
    <row r="91" spans="4:22" ht="20.100000000000001" customHeight="1" x14ac:dyDescent="0.25">
      <c r="D91" s="1" t="str" cm="1">
        <f t="array" ref="D91">Common_InputFunctions.Utility_DisplayArrayInTable(SourceData_Dairy.SourceData_Dairy_NitrousOxideEFsAndFracGASM_Data(), Table_SourceData_Dairy_EFmFracGASM[[#Headers],[MMS m]], 0)</f>
        <v>M=3 Solid Storage</v>
      </c>
      <c r="E91" s="39" cm="1">
        <f t="array" ref="E91">Common_InputFunctions.Utility_DisplayArrayInTable(SourceData_Dairy.SourceData_Dairy_NitrousOxideEFsAndFracGASM_Data(), Table_SourceData_Dairy_EFmFracGASM[[#Headers],[MMS m]], 0)</f>
        <v>5.0000000000000001E-3</v>
      </c>
      <c r="F91" s="39" cm="1">
        <f t="array" ref="F91">Common_InputFunctions.Utility_DisplayArrayInTable(SourceData_Dairy.SourceData_Dairy_NitrousOxideEFsAndFracGASM_Data(), Table_SourceData_Dairy_EFmFracGASM[[#Headers],[MMS m]], 0)</f>
        <v>0.3</v>
      </c>
      <c r="G91" s="39" t="str" cm="1">
        <f t="array" ref="G91">Common_InputFunctions.Utility_DisplayArrayInTable(SourceData_Dairy.SourceData_Dairy_NitrousOxideEFsAndFracGASM_Data(), Table_SourceData_Dairy_EFmFracGASM[[#Headers],[MMS m]], 0)</f>
        <v>Solid storage</v>
      </c>
      <c r="M91" s="1"/>
    </row>
    <row r="92" spans="4:22" ht="20.100000000000001" customHeight="1" x14ac:dyDescent="0.25">
      <c r="M92" s="1"/>
    </row>
    <row r="93" spans="4:22" ht="20.100000000000001" customHeight="1" x14ac:dyDescent="0.25">
      <c r="M93" s="1"/>
    </row>
    <row r="94" spans="4:22" ht="20.100000000000001" customHeight="1" x14ac:dyDescent="0.25">
      <c r="D94" s="6" t="str" cm="1">
        <f t="array" ref="D94">SourceData_Dairy.SourceData_Dairy_MethaneProductionPreWeanedCalves_Title()</f>
        <v>Table A.1.3.8: Dairy cattle - Methane production for pre-weaned heifer and bull calves (kg CH4/head/day) (MPWENTERIC,j=3,5)</v>
      </c>
      <c r="M94" s="1"/>
    </row>
    <row r="95" spans="4:22" ht="20.100000000000001" customHeight="1" x14ac:dyDescent="0.25">
      <c r="D95" s="5" t="str" cm="1">
        <f t="array" ref="D95">SourceData_Dairy.SourceData_Dairy_MethaneProductionPreWeanedCalves_Source()</f>
        <v>VEERG 2026: Table A.1.3.8</v>
      </c>
      <c r="M95" s="1"/>
    </row>
    <row r="96" spans="4:22" ht="20.100000000000001" customHeight="1" x14ac:dyDescent="0.25">
      <c r="D96" s="1" t="str" cm="1">
        <f t="array" ref="D96">SourceData_Dairy.SourceData_Dairy_MethaneProductionPreWeanedCalves_Variable()</f>
        <v>MPWENTERIC,j=3,5</v>
      </c>
      <c r="M96" s="1"/>
    </row>
    <row r="97" spans="4:13" ht="20.100000000000001" customHeight="1" x14ac:dyDescent="0.25">
      <c r="D97" s="57" t="str" cm="1">
        <f t="array" ref="D97">SourceData_Dairy.SourceData_Dairy_MethaneProductionPreWeanedCalves_Unit()</f>
        <v>kg CH4/head/day</v>
      </c>
      <c r="M97" s="1"/>
    </row>
    <row r="98" spans="4:13" ht="20.100000000000001" customHeight="1" x14ac:dyDescent="0.25">
      <c r="D98" s="39" t="s">
        <v>239</v>
      </c>
      <c r="E98" s="39" t="s">
        <v>245</v>
      </c>
      <c r="M98" s="1"/>
    </row>
    <row r="99" spans="4:13" ht="20.100000000000001" customHeight="1" x14ac:dyDescent="0.25">
      <c r="D99" s="39" t="str" cm="1">
        <f t="array" ref="D99">Common_InputFunctions.Utility_DisplayArrayInTable(SourceData_Dairy.SourceData_Dairy_MethaneProductionPreWeanedCalves_Data(), Table_SourceData_Dairy_MPWENTERIC[[#Headers],[Animal class j]], 0)</f>
        <v>Heifers &lt; 1 year</v>
      </c>
      <c r="E99" s="39" cm="1">
        <f t="array" ref="E99">Common_InputFunctions.Utility_DisplayArrayInTable(SourceData_Dairy.SourceData_Dairy_MethaneProductionPreWeanedCalves_Data(), Table_SourceData_Dairy_MPWENTERIC[[#Headers],[Animal class j]], 0)</f>
        <v>1.7600000000000001E-2</v>
      </c>
      <c r="M99" s="1"/>
    </row>
    <row r="100" spans="4:13" ht="20.100000000000001" customHeight="1" x14ac:dyDescent="0.25">
      <c r="D100" s="1" t="str" cm="1">
        <f t="array" ref="D100">Common_InputFunctions.Utility_DisplayArrayInTable(SourceData_Dairy.SourceData_Dairy_MethaneProductionPreWeanedCalves_Data(), Table_SourceData_Dairy_MPWENTERIC[[#Headers],[Animal class j]], 0)</f>
        <v>Bulls &lt; 1 year</v>
      </c>
      <c r="E100" s="39" cm="1">
        <f t="array" ref="E100">Common_InputFunctions.Utility_DisplayArrayInTable(SourceData_Dairy.SourceData_Dairy_MethaneProductionPreWeanedCalves_Data(), Table_SourceData_Dairy_MPWENTERIC[[#Headers],[Animal class j]], 0)</f>
        <v>2.0400000000000001E-2</v>
      </c>
      <c r="M100" s="1"/>
    </row>
    <row r="101" spans="4:13" ht="20.100000000000001" customHeight="1" x14ac:dyDescent="0.25">
      <c r="M101" s="1"/>
    </row>
    <row r="102" spans="4:13" ht="20.100000000000001" customHeight="1" x14ac:dyDescent="0.25">
      <c r="M102" s="1"/>
    </row>
    <row r="103" spans="4:13" ht="20.100000000000001" customHeight="1" x14ac:dyDescent="0.25">
      <c r="D103" s="6" t="str" cm="1">
        <f t="array" ref="D103">SourceData_Dairy.SourceData_Dairy_IncreasedMetabolicRateMilk_Title()</f>
        <v>Table A.1.3.9: Dairy cattle - Increased metabolic rate when producing milk (kg DM/head/day) (MRj)</v>
      </c>
      <c r="M103" s="1"/>
    </row>
    <row r="104" spans="4:13" ht="20.100000000000001" customHeight="1" x14ac:dyDescent="0.25">
      <c r="D104" s="5" t="str" cm="1">
        <f t="array" ref="D104">SourceData_Dairy.SourceData_Dairy_IncreasedMetabolicRateMilk_Source()</f>
        <v>VEERG 2026: Table A.1.3.9</v>
      </c>
      <c r="M104" s="1"/>
    </row>
    <row r="105" spans="4:13" ht="20.100000000000001" customHeight="1" x14ac:dyDescent="0.25">
      <c r="D105" s="1" t="str" cm="1">
        <f t="array" ref="D105">SourceData_Dairy.SourceData_Dairy_IncreasedMetabolicRateMilk_Variable()</f>
        <v>MRj</v>
      </c>
      <c r="M105" s="1"/>
    </row>
    <row r="106" spans="4:13" ht="20.100000000000001" customHeight="1" x14ac:dyDescent="0.25">
      <c r="D106" s="57" t="str" cm="1">
        <f t="array" ref="D106">SourceData_Dairy.SourceData_Dairy_IncreasedMetabolicRateMilk_Unit()</f>
        <v>kg DM/head/day</v>
      </c>
      <c r="M106" s="1"/>
    </row>
    <row r="107" spans="4:13" ht="20.100000000000001" customHeight="1" x14ac:dyDescent="0.25">
      <c r="D107" s="39" t="s">
        <v>239</v>
      </c>
      <c r="E107" s="39" t="s">
        <v>246</v>
      </c>
      <c r="M107" s="1"/>
    </row>
    <row r="108" spans="4:13" ht="20.100000000000001" customHeight="1" x14ac:dyDescent="0.25">
      <c r="D108" s="39" t="str" cm="1">
        <f t="array" ref="D108">Common_InputFunctions.Utility_DisplayArrayInTable(SourceData_Dairy.SourceData_Dairy_IncreasedMetabolicRateMilk_Data(), Table_SourceData_Dairy_MRj[[#Headers],[Animal class j]], 0)</f>
        <v>Milking cows, and house cows</v>
      </c>
      <c r="E108" s="39" cm="1">
        <f t="array" ref="E108">Common_InputFunctions.Utility_DisplayArrayInTable(SourceData_Dairy.SourceData_Dairy_IncreasedMetabolicRateMilk_Data(), Table_SourceData_Dairy_MRj[[#Headers],[Animal class j]], 0)</f>
        <v>1.1000000000000001</v>
      </c>
      <c r="M108" s="1"/>
    </row>
    <row r="109" spans="4:13" ht="20.100000000000001" customHeight="1" x14ac:dyDescent="0.25">
      <c r="D109" s="1" t="str" cm="1">
        <f t="array" ref="D109">Common_InputFunctions.Utility_DisplayArrayInTable(SourceData_Dairy.SourceData_Dairy_IncreasedMetabolicRateMilk_Data(), Table_SourceData_Dairy_MRj[[#Headers],[Animal class j]], 0)</f>
        <v>All other cattle classes</v>
      </c>
      <c r="E109" s="39" cm="1">
        <f t="array" ref="E109">Common_InputFunctions.Utility_DisplayArrayInTable(SourceData_Dairy.SourceData_Dairy_IncreasedMetabolicRateMilk_Data(), Table_SourceData_Dairy_MRj[[#Headers],[Animal class j]], 0)</f>
        <v>1</v>
      </c>
      <c r="M109" s="1"/>
    </row>
    <row r="110" spans="4:13" ht="20.100000000000001" customHeight="1" x14ac:dyDescent="0.25">
      <c r="M110" s="1"/>
    </row>
    <row r="111" spans="4:13" ht="20.100000000000001" customHeight="1" x14ac:dyDescent="0.25">
      <c r="M111" s="1"/>
    </row>
    <row r="112" spans="4:13" ht="20.100000000000001" customHeight="1" x14ac:dyDescent="0.25">
      <c r="D112" s="6" t="str" cm="1">
        <f t="array" ref="D112">SourceData_Dairy.SourceData_Dairy_FractionVolatileSolidsVoidedMMS_Title()</f>
        <v>Table A.1.3.10: Dairy cattle - Fraction of volatile solids voided to each manure management system (fraction) (MMSjm)</v>
      </c>
      <c r="M112" s="1"/>
    </row>
    <row r="113" spans="4:22" ht="20.100000000000001" customHeight="1" x14ac:dyDescent="0.25">
      <c r="D113" s="5" t="str" cm="1">
        <f t="array" ref="D113">SourceData_Dairy.SourceData_Dairy_FractionVolatileSolidsVoidedMMS_Source()</f>
        <v>VEERG 2026: Table A.1.3.10</v>
      </c>
      <c r="M113" s="1"/>
    </row>
    <row r="114" spans="4:22" ht="20.100000000000001" customHeight="1" x14ac:dyDescent="0.25">
      <c r="D114" s="1" t="str" cm="1">
        <f t="array" ref="D114">SourceData_Dairy.SourceData_Dairy_FractionVolatileSolidsVoidedMMS_Variable()</f>
        <v>MMSjm</v>
      </c>
      <c r="M114" s="1"/>
    </row>
    <row r="115" spans="4:22" ht="20.100000000000001" customHeight="1" x14ac:dyDescent="0.25">
      <c r="D115" s="57" t="str" cm="1">
        <f t="array" ref="D115">SourceData_Dairy.SourceData_Dairy_FractionVolatileSolidsVoidedMMS_Unit()</f>
        <v>fraction</v>
      </c>
      <c r="M115" s="1"/>
      <c r="V115" s="1"/>
    </row>
    <row r="116" spans="4:22" ht="20.100000000000001" customHeight="1" x14ac:dyDescent="0.25">
      <c r="D116" s="39" t="s">
        <v>247</v>
      </c>
      <c r="E116" s="39" t="s">
        <v>202</v>
      </c>
      <c r="F116" s="39" t="s">
        <v>248</v>
      </c>
      <c r="G116" s="39" t="s">
        <v>249</v>
      </c>
      <c r="M116" s="1"/>
      <c r="V116" s="1"/>
    </row>
    <row r="117" spans="4:22" ht="20.100000000000001" customHeight="1" x14ac:dyDescent="0.25">
      <c r="D117" s="39" t="str" cm="1">
        <f t="array" ref="D117">Common_InputFunctions.Utility_DisplayArrayInTable(SourceData_Dairy.SourceData_Dairy_FractionVolatileSolidsVoidedMMS_Data(), Table_SourceData_Dairy_ProductionSystemTemplates[[#Headers],[Area]], 0)</f>
        <v>System 1: Grazed Only</v>
      </c>
      <c r="E117" s="39" cm="1">
        <f t="array" ref="E117">Common_InputFunctions.Utility_DisplayArrayInTable(SourceData_Dairy.SourceData_Dairy_FractionVolatileSolidsVoidedMMS_Data(), Table_SourceData_Dairy_ProductionSystemTemplates[[#Headers],[Area]], 0)</f>
        <v>0.89</v>
      </c>
      <c r="F117" s="39" cm="1">
        <f t="array" ref="F117">Common_InputFunctions.Utility_DisplayArrayInTable(SourceData_Dairy.SourceData_Dairy_FractionVolatileSolidsVoidedMMS_Data(), Table_SourceData_Dairy_ProductionSystemTemplates[[#Headers],[Area]], 0)</f>
        <v>0.11</v>
      </c>
      <c r="G117" s="39" cm="1">
        <f t="array" ref="G117">Common_InputFunctions.Utility_DisplayArrayInTable(SourceData_Dairy.SourceData_Dairy_FractionVolatileSolidsVoidedMMS_Data(), Table_SourceData_Dairy_ProductionSystemTemplates[[#Headers],[Area]], 0)</f>
        <v>0</v>
      </c>
      <c r="M117" s="1"/>
      <c r="V117" s="1"/>
    </row>
    <row r="118" spans="4:22" ht="20.100000000000001" customHeight="1" x14ac:dyDescent="0.25">
      <c r="D118" s="1" t="str" cm="1">
        <f t="array" ref="D118">Common_InputFunctions.Utility_DisplayArrayInTable(SourceData_Dairy.SourceData_Dairy_FractionVolatileSolidsVoidedMMS_Data(), Table_SourceData_Dairy_ProductionSystemTemplates[[#Headers],[Area]], 0)</f>
        <v>System 2: On feedpad for &lt;10 hr/day for &lt;3 months/year</v>
      </c>
      <c r="E118" s="39" cm="1">
        <f t="array" ref="E118">Common_InputFunctions.Utility_DisplayArrayInTable(SourceData_Dairy.SourceData_Dairy_FractionVolatileSolidsVoidedMMS_Data(), Table_SourceData_Dairy_ProductionSystemTemplates[[#Headers],[Area]], 0)</f>
        <v>0.79</v>
      </c>
      <c r="F118" s="39" cm="1">
        <f t="array" ref="F118">Common_InputFunctions.Utility_DisplayArrayInTable(SourceData_Dairy.SourceData_Dairy_FractionVolatileSolidsVoidedMMS_Data(), Table_SourceData_Dairy_ProductionSystemTemplates[[#Headers],[Area]], 0)</f>
        <v>0.11</v>
      </c>
      <c r="G118" s="39" cm="1">
        <f t="array" ref="G118">Common_InputFunctions.Utility_DisplayArrayInTable(SourceData_Dairy.SourceData_Dairy_FractionVolatileSolidsVoidedMMS_Data(), Table_SourceData_Dairy_ProductionSystemTemplates[[#Headers],[Area]], 0)</f>
        <v>0.1</v>
      </c>
      <c r="M118" s="1"/>
    </row>
    <row r="119" spans="4:22" ht="20.100000000000001" customHeight="1" x14ac:dyDescent="0.25">
      <c r="D119" s="1" t="str" cm="1">
        <f t="array" ref="D119">Common_InputFunctions.Utility_DisplayArrayInTable(SourceData_Dairy.SourceData_Dairy_FractionVolatileSolidsVoidedMMS_Data(), Table_SourceData_Dairy_ProductionSystemTemplates[[#Headers],[Area]], 0)</f>
        <v>System 3: Pasture-grazed 3-9 months/year</v>
      </c>
      <c r="E119" s="39" cm="1">
        <f t="array" ref="E119">Common_InputFunctions.Utility_DisplayArrayInTable(SourceData_Dairy.SourceData_Dairy_FractionVolatileSolidsVoidedMMS_Data(), Table_SourceData_Dairy_ProductionSystemTemplates[[#Headers],[Area]], 0)</f>
        <v>0.53400000000000003</v>
      </c>
      <c r="F119" s="39" cm="1">
        <f t="array" ref="F119">Common_InputFunctions.Utility_DisplayArrayInTable(SourceData_Dairy.SourceData_Dairy_FractionVolatileSolidsVoidedMMS_Data(), Table_SourceData_Dairy_ProductionSystemTemplates[[#Headers],[Area]], 0)</f>
        <v>0.11</v>
      </c>
      <c r="G119" s="39" cm="1">
        <f t="array" ref="G119">Common_InputFunctions.Utility_DisplayArrayInTable(SourceData_Dairy.SourceData_Dairy_FractionVolatileSolidsVoidedMMS_Data(), Table_SourceData_Dairy_ProductionSystemTemplates[[#Headers],[Area]], 0)</f>
        <v>0.35599999999999998</v>
      </c>
      <c r="M119" s="1"/>
    </row>
    <row r="120" spans="4:22" ht="20.100000000000001" customHeight="1" x14ac:dyDescent="0.25">
      <c r="D120" s="1" t="str" cm="1">
        <f t="array" ref="D120">Common_InputFunctions.Utility_DisplayArrayInTable(SourceData_Dairy.SourceData_Dairy_FractionVolatileSolidsVoidedMMS_Data(), Table_SourceData_Dairy_ProductionSystemTemplates[[#Headers],[Area]], 0)</f>
        <v>System 4: Zero grazing</v>
      </c>
      <c r="E120" s="39" cm="1">
        <f t="array" ref="E120">Common_InputFunctions.Utility_DisplayArrayInTable(SourceData_Dairy.SourceData_Dairy_FractionVolatileSolidsVoidedMMS_Data(), Table_SourceData_Dairy_ProductionSystemTemplates[[#Headers],[Area]], 0)</f>
        <v>0</v>
      </c>
      <c r="F120" s="39" cm="1">
        <f t="array" ref="F120">Common_InputFunctions.Utility_DisplayArrayInTable(SourceData_Dairy.SourceData_Dairy_FractionVolatileSolidsVoidedMMS_Data(), Table_SourceData_Dairy_ProductionSystemTemplates[[#Headers],[Area]], 0)</f>
        <v>0.11</v>
      </c>
      <c r="G120" s="39" cm="1">
        <f t="array" ref="G120">Common_InputFunctions.Utility_DisplayArrayInTable(SourceData_Dairy.SourceData_Dairy_FractionVolatileSolidsVoidedMMS_Data(), Table_SourceData_Dairy_ProductionSystemTemplates[[#Headers],[Area]], 0)</f>
        <v>0.89</v>
      </c>
      <c r="M120" s="1"/>
    </row>
    <row r="121" spans="4:22" ht="20.100000000000001" customHeight="1" x14ac:dyDescent="0.25">
      <c r="M121" s="1"/>
    </row>
    <row r="122" spans="4:22" ht="20.100000000000001" customHeight="1" x14ac:dyDescent="0.25">
      <c r="M122" s="1"/>
    </row>
    <row r="123" spans="4:22" ht="20.100000000000001" customHeight="1" x14ac:dyDescent="0.25">
      <c r="D123" s="6" t="str" cm="1">
        <f t="array" ref="D123">SourceData_Dairy.SourceData_Dairy_EFNitrousOxidePerMMS_Title()</f>
        <v>Table A.1.3.11: Dairy cattle - EF for nitrous oxide per MMS (kg N2O-N/kg N) (EFm)</v>
      </c>
      <c r="M123" s="1"/>
    </row>
    <row r="124" spans="4:22" ht="20.100000000000001" customHeight="1" x14ac:dyDescent="0.25">
      <c r="D124" s="5" t="str" cm="1">
        <f t="array" ref="D124">SourceData_Dairy.SourceData_Dairy_EFNitrousOxidePerMMS_Source()</f>
        <v>VEERG 2026: Table A.1.3.11</v>
      </c>
      <c r="M124" s="1"/>
    </row>
    <row r="125" spans="4:22" ht="20.100000000000001" customHeight="1" x14ac:dyDescent="0.25">
      <c r="D125" s="1" t="str" cm="1">
        <f t="array" ref="D125">SourceData_Dairy.SourceData_Dairy_EFNitrousOxidePerMMS_Variable()</f>
        <v>EFm</v>
      </c>
      <c r="M125" s="1"/>
      <c r="V125" s="1"/>
    </row>
    <row r="126" spans="4:22" ht="20.100000000000001" customHeight="1" x14ac:dyDescent="0.25">
      <c r="D126" s="57" t="str" cm="1">
        <f t="array" ref="D126">SourceData_Dairy.SourceData_Dairy_EFNitrousOxidePerMMS_Unit()</f>
        <v>kg N2O-N/kg N</v>
      </c>
      <c r="M126" s="1"/>
      <c r="V126" s="1"/>
    </row>
    <row r="127" spans="4:22" ht="20.100000000000001" customHeight="1" x14ac:dyDescent="0.25">
      <c r="D127" s="58" t="str" cm="1">
        <f t="array" ref="D127">SourceData_Dairy.SourceData_Dairy_EFNitrousOxidePerMMS_Variation()</f>
        <v>VARIATION OF SOURCE: Added 'NIR reference' column to aid lookup</v>
      </c>
      <c r="M127" s="1"/>
      <c r="V127" s="1"/>
    </row>
    <row r="128" spans="4:22" ht="20.100000000000001" customHeight="1" x14ac:dyDescent="0.25">
      <c r="D128" s="39" t="s">
        <v>101</v>
      </c>
      <c r="E128" s="39" t="s">
        <v>243</v>
      </c>
      <c r="F128" s="39" t="s">
        <v>250</v>
      </c>
      <c r="G128" s="114" t="s">
        <v>266</v>
      </c>
      <c r="M128" s="1"/>
      <c r="N128" s="24"/>
      <c r="V128" s="1"/>
    </row>
    <row r="129" spans="4:22" ht="20.100000000000001" customHeight="1" x14ac:dyDescent="0.25">
      <c r="D129" s="39" t="str" cm="1">
        <f t="array" ref="D129">Common_InputFunctions.Utility_DisplayArrayInTable(SourceData_Dairy.SourceData_Dairy_EFNitrousOxidePerMMS_Data(), Table_SourceData_Dairy_EFm[[#Headers],[MMS m]], 0)</f>
        <v>m=14 Pasture</v>
      </c>
      <c r="E129" s="39" cm="1">
        <f t="array" ref="E129">Common_InputFunctions.Utility_DisplayArrayInTable(SourceData_Dairy.SourceData_Dairy_EFNitrousOxidePerMMS_Data(), Table_SourceData_Dairy_EFm[[#Headers],[MMS m]], 0)</f>
        <v>0</v>
      </c>
      <c r="F129" s="39" t="str" cm="1">
        <f t="array" ref="F129">Common_InputFunctions.Utility_DisplayArrayInTable(SourceData_Dairy.SourceData_Dairy_EFNitrousOxidePerMMS_Data(), Table_SourceData_Dairy_EFm[[#Headers],[MMS m]], 0)</f>
        <v>Pasture range and paddock</v>
      </c>
      <c r="M129" s="1"/>
      <c r="N129" s="24"/>
      <c r="V129" s="1"/>
    </row>
    <row r="130" spans="4:22" ht="20.100000000000001" customHeight="1" x14ac:dyDescent="0.25">
      <c r="D130" s="1" t="str" cm="1">
        <f t="array" ref="D130">Common_InputFunctions.Utility_DisplayArrayInTable(SourceData_Dairy.SourceData_Dairy_EFNitrousOxidePerMMS_Data(), Table_SourceData_Dairy_EFm[[#Headers],[MMS m]], 0)</f>
        <v>m=1 Anerobic Lagoon</v>
      </c>
      <c r="E130" s="39" cm="1">
        <f t="array" ref="E130">Common_InputFunctions.Utility_DisplayArrayInTable(SourceData_Dairy.SourceData_Dairy_EFNitrousOxidePerMMS_Data(), Table_SourceData_Dairy_EFm[[#Headers],[MMS m]], 0)</f>
        <v>0</v>
      </c>
      <c r="F130" s="39" t="str" cm="1">
        <f t="array" ref="F130">Common_InputFunctions.Utility_DisplayArrayInTable(SourceData_Dairy.SourceData_Dairy_EFNitrousOxidePerMMS_Data(), Table_SourceData_Dairy_EFm[[#Headers],[MMS m]], 0)</f>
        <v>Anaerobic lagoon</v>
      </c>
      <c r="M130" s="1"/>
      <c r="N130" s="24"/>
      <c r="V130" s="1"/>
    </row>
    <row r="131" spans="4:22" ht="20.100000000000001" customHeight="1" x14ac:dyDescent="0.25">
      <c r="D131" s="1" t="str" cm="1">
        <f t="array" ref="D131">Common_InputFunctions.Utility_DisplayArrayInTable(SourceData_Dairy.SourceData_Dairy_EFNitrousOxidePerMMS_Data(), Table_SourceData_Dairy_EFm[[#Headers],[MMS m]], 0)</f>
        <v>m=2 Daily Spread: Sump and dispersal</v>
      </c>
      <c r="E131" s="39" cm="1">
        <f t="array" ref="E131">Common_InputFunctions.Utility_DisplayArrayInTable(SourceData_Dairy.SourceData_Dairy_EFNitrousOxidePerMMS_Data(), Table_SourceData_Dairy_EFm[[#Headers],[MMS m]], 0)</f>
        <v>0</v>
      </c>
      <c r="F131" s="39" t="str" cm="1">
        <f t="array" ref="F131">Common_InputFunctions.Utility_DisplayArrayInTable(SourceData_Dairy.SourceData_Dairy_EFNitrousOxidePerMMS_Data(), Table_SourceData_Dairy_EFm[[#Headers],[MMS m]], 0)</f>
        <v>Sump and dispersal system</v>
      </c>
      <c r="M131" s="1"/>
      <c r="N131" s="24"/>
    </row>
    <row r="132" spans="4:22" ht="20.100000000000001" customHeight="1" x14ac:dyDescent="0.25">
      <c r="D132" s="1" t="str" cm="1">
        <f t="array" ref="D132">Common_InputFunctions.Utility_DisplayArrayInTable(SourceData_Dairy.SourceData_Dairy_EFNitrousOxidePerMMS_Data(), Table_SourceData_Dairy_EFm[[#Headers],[MMS m]], 0)</f>
        <v>m=3 Daily Spread: Drains to paddocks</v>
      </c>
      <c r="E132" s="39" cm="1">
        <f t="array" ref="E132">Common_InputFunctions.Utility_DisplayArrayInTable(SourceData_Dairy.SourceData_Dairy_EFNitrousOxidePerMMS_Data(), Table_SourceData_Dairy_EFm[[#Headers],[MMS m]], 0)</f>
        <v>0</v>
      </c>
      <c r="F132" s="39" t="str" cm="1">
        <f t="array" ref="F132">Common_InputFunctions.Utility_DisplayArrayInTable(SourceData_Dairy.SourceData_Dairy_EFNitrousOxidePerMMS_Data(), Table_SourceData_Dairy_EFm[[#Headers],[MMS m]], 0)</f>
        <v>Drains to paddock</v>
      </c>
      <c r="M132" s="24"/>
    </row>
    <row r="133" spans="4:22" ht="20.100000000000001" customHeight="1" x14ac:dyDescent="0.25">
      <c r="D133" s="1" t="str" cm="1">
        <f t="array" ref="D133">Common_InputFunctions.Utility_DisplayArrayInTable(SourceData_Dairy.SourceData_Dairy_EFNitrousOxidePerMMS_Data(), Table_SourceData_Dairy_EFm[[#Headers],[MMS m]], 0)</f>
        <v>m=4 Solid Storage</v>
      </c>
      <c r="E133" s="39" cm="1">
        <f t="array" ref="E133">Common_InputFunctions.Utility_DisplayArrayInTable(SourceData_Dairy.SourceData_Dairy_EFNitrousOxidePerMMS_Data(), Table_SourceData_Dairy_EFm[[#Headers],[MMS m]], 0)</f>
        <v>5.0000000000000001E-3</v>
      </c>
      <c r="F133" s="39" t="str" cm="1">
        <f t="array" ref="F133">Common_InputFunctions.Utility_DisplayArrayInTable(SourceData_Dairy.SourceData_Dairy_EFNitrousOxidePerMMS_Data(), Table_SourceData_Dairy_EFm[[#Headers],[MMS m]], 0)</f>
        <v>Solid storage</v>
      </c>
      <c r="M133" s="24"/>
    </row>
    <row r="134" spans="4:22" ht="20.100000000000001" customHeight="1" x14ac:dyDescent="0.25">
      <c r="M134" s="24"/>
    </row>
    <row r="135" spans="4:22" ht="20.100000000000001" customHeight="1" x14ac:dyDescent="0.25">
      <c r="M135" s="24"/>
    </row>
    <row r="136" spans="4:22" ht="20.100000000000001" customHeight="1" x14ac:dyDescent="0.25">
      <c r="D136" s="6" t="str" cm="1">
        <f t="array" ref="D136">SourceData_Dairy.SourceData_Dairy_DurationOfStay_Title()</f>
        <v>Duration of stay for each dairy cattle input class</v>
      </c>
      <c r="M136" s="24"/>
    </row>
    <row r="137" spans="4:22" ht="20.100000000000001" customHeight="1" x14ac:dyDescent="0.25">
      <c r="D137" s="5" t="str" cm="1">
        <f t="array" ref="D137">SourceData_Dairy.SourceData_Dairy_DurationOfStay_Source()</f>
        <v>VEERG 2026: 4.3.2.2	DATA (METHOD 1 AND 2 OPTIONS)</v>
      </c>
      <c r="M137" s="24"/>
    </row>
    <row r="138" spans="4:22" ht="20.100000000000001" customHeight="1" x14ac:dyDescent="0.25">
      <c r="D138" s="1" t="str" cm="1">
        <f t="array" ref="D138">SourceData_Dairy.SourceData_Dairy_DurationOfStay_Variable()</f>
        <v>D</v>
      </c>
      <c r="M138" s="24"/>
    </row>
    <row r="139" spans="4:22" ht="20.100000000000001" customHeight="1" x14ac:dyDescent="0.25">
      <c r="D139" s="57" t="str" cm="1">
        <f t="array" ref="D139">SourceData_Dairy.SourceData_Dairy_DurationOfStay_Unit()</f>
        <v>days</v>
      </c>
      <c r="M139" s="24"/>
    </row>
    <row r="140" spans="4:22" ht="20.100000000000001" customHeight="1" x14ac:dyDescent="0.25">
      <c r="D140" s="58" t="str" cm="1">
        <f t="array" ref="D140">SourceData_Dairy.SourceData_Dairy_DurationOfStay_Variation()</f>
        <v>VARIATION OF SOURCE: Converted free text in document to table, matching livestock class names.</v>
      </c>
      <c r="M140" s="24"/>
    </row>
    <row r="141" spans="4:22" ht="20.100000000000001" customHeight="1" x14ac:dyDescent="0.25">
      <c r="D141" s="39" t="s">
        <v>239</v>
      </c>
      <c r="E141" s="39" t="s">
        <v>261</v>
      </c>
      <c r="F141" s="39" t="s">
        <v>262</v>
      </c>
      <c r="M141" s="24"/>
    </row>
    <row r="142" spans="4:22" ht="20.100000000000001" customHeight="1" x14ac:dyDescent="0.25">
      <c r="D142" s="39" t="str" cm="1">
        <f t="array" ref="D142">Common_InputFunctions.Utility_DisplayArrayInTable(SourceData_Dairy.SourceData_Dairy_DurationOfStay_Data(), Table_SourceData_Dairy_Duration[[#Headers],[Animal class j]], 0)</f>
        <v>Milking cows</v>
      </c>
      <c r="E142" s="39" cm="1">
        <f t="array" ref="E142">Common_InputFunctions.Utility_DisplayArrayInTable(SourceData_Dairy.SourceData_Dairy_DurationOfStay_Data(), Table_SourceData_Dairy_Duration[[#Headers],[Animal class j]], 0)</f>
        <v>365</v>
      </c>
      <c r="F142" s="39" cm="1">
        <f t="array" ref="F142">Common_InputFunctions.Utility_DisplayArrayInTable(SourceData_Dairy.SourceData_Dairy_DurationOfStay_Data(), Table_SourceData_Dairy_Duration[[#Headers],[Animal class j]], 0)</f>
        <v>0</v>
      </c>
      <c r="M142" s="24"/>
    </row>
    <row r="143" spans="4:22" ht="20.100000000000001" customHeight="1" x14ac:dyDescent="0.25">
      <c r="D143" s="1" t="str" cm="1">
        <f t="array" ref="D143">Common_InputFunctions.Utility_DisplayArrayInTable(SourceData_Dairy.SourceData_Dairy_DurationOfStay_Data(), Table_SourceData_Dairy_Duration[[#Headers],[Animal class j]], 0)</f>
        <v>Heifers &gt; 1 year</v>
      </c>
      <c r="E143" s="39" cm="1">
        <f t="array" ref="E143">Common_InputFunctions.Utility_DisplayArrayInTable(SourceData_Dairy.SourceData_Dairy_DurationOfStay_Data(), Table_SourceData_Dairy_Duration[[#Headers],[Animal class j]], 0)</f>
        <v>365</v>
      </c>
      <c r="F143" s="39" cm="1">
        <f t="array" ref="F143">Common_InputFunctions.Utility_DisplayArrayInTable(SourceData_Dairy.SourceData_Dairy_DurationOfStay_Data(), Table_SourceData_Dairy_Duration[[#Headers],[Animal class j]], 0)</f>
        <v>0</v>
      </c>
      <c r="M143" s="24"/>
    </row>
    <row r="144" spans="4:22" ht="20.100000000000001" customHeight="1" x14ac:dyDescent="0.25">
      <c r="D144" s="1" t="str" cm="1">
        <f t="array" ref="D144">Common_InputFunctions.Utility_DisplayArrayInTable(SourceData_Dairy.SourceData_Dairy_DurationOfStay_Data(), Table_SourceData_Dairy_Duration[[#Headers],[Animal class j]], 0)</f>
        <v>Heifers &lt; 1 year</v>
      </c>
      <c r="E144" s="39" cm="1">
        <f t="array" ref="E144">Common_InputFunctions.Utility_DisplayArrayInTable(SourceData_Dairy.SourceData_Dairy_DurationOfStay_Data(), Table_SourceData_Dairy_Duration[[#Headers],[Animal class j]], 0)</f>
        <v>281</v>
      </c>
      <c r="F144" s="39" cm="1">
        <f t="array" ref="F144">Common_InputFunctions.Utility_DisplayArrayInTable(SourceData_Dairy.SourceData_Dairy_DurationOfStay_Data(), Table_SourceData_Dairy_Duration[[#Headers],[Animal class j]], 0)</f>
        <v>84</v>
      </c>
      <c r="M144" s="24"/>
    </row>
    <row r="145" spans="4:13" ht="20.100000000000001" customHeight="1" x14ac:dyDescent="0.25">
      <c r="D145" s="1" t="str" cm="1">
        <f t="array" ref="D145">Common_InputFunctions.Utility_DisplayArrayInTable(SourceData_Dairy.SourceData_Dairy_DurationOfStay_Data(), Table_SourceData_Dairy_Duration[[#Headers],[Animal class j]], 0)</f>
        <v>Bulls &gt; 1 year</v>
      </c>
      <c r="E145" s="39" cm="1">
        <f t="array" ref="E145">Common_InputFunctions.Utility_DisplayArrayInTable(SourceData_Dairy.SourceData_Dairy_DurationOfStay_Data(), Table_SourceData_Dairy_Duration[[#Headers],[Animal class j]], 0)</f>
        <v>365</v>
      </c>
      <c r="F145" s="39" cm="1">
        <f t="array" ref="F145">Common_InputFunctions.Utility_DisplayArrayInTable(SourceData_Dairy.SourceData_Dairy_DurationOfStay_Data(), Table_SourceData_Dairy_Duration[[#Headers],[Animal class j]], 0)</f>
        <v>0</v>
      </c>
      <c r="M145" s="24"/>
    </row>
    <row r="146" spans="4:13" ht="20.100000000000001" customHeight="1" x14ac:dyDescent="0.25">
      <c r="D146" s="1" t="str" cm="1">
        <f t="array" ref="D146">Common_InputFunctions.Utility_DisplayArrayInTable(SourceData_Dairy.SourceData_Dairy_DurationOfStay_Data(), Table_SourceData_Dairy_Duration[[#Headers],[Animal class j]], 0)</f>
        <v>Bulls &lt; 1 year</v>
      </c>
      <c r="E146" s="39" cm="1">
        <f t="array" ref="E146">Common_InputFunctions.Utility_DisplayArrayInTable(SourceData_Dairy.SourceData_Dairy_DurationOfStay_Data(), Table_SourceData_Dairy_Duration[[#Headers],[Animal class j]], 0)</f>
        <v>281</v>
      </c>
      <c r="F146" s="39" cm="1">
        <f t="array" ref="F146">Common_InputFunctions.Utility_DisplayArrayInTable(SourceData_Dairy.SourceData_Dairy_DurationOfStay_Data(), Table_SourceData_Dairy_Duration[[#Headers],[Animal class j]], 0)</f>
        <v>84</v>
      </c>
      <c r="M146" s="24"/>
    </row>
    <row r="147" spans="4:13" ht="20.100000000000001" customHeight="1" x14ac:dyDescent="0.25">
      <c r="M147" s="24"/>
    </row>
    <row r="148" spans="4:13" ht="20.100000000000001" customHeight="1" x14ac:dyDescent="0.25">
      <c r="M148" s="24"/>
    </row>
    <row r="149" spans="4:13" ht="20.100000000000001" customHeight="1" x14ac:dyDescent="0.25">
      <c r="D149" s="6" t="str" cm="1">
        <f t="array" ref="D149">SourceData_Dairy.SourceData_Dairy_CrudeProtein_Title()</f>
        <v>Crude protein content of feed intake</v>
      </c>
      <c r="M149" s="24"/>
    </row>
    <row r="150" spans="4:13" ht="20.100000000000001" customHeight="1" x14ac:dyDescent="0.25">
      <c r="D150" s="5" t="str" cm="1">
        <f t="array" ref="D150">SourceData_Dairy.SourceData_Dairy_CrudeProtein_Source()</f>
        <v>VEERG 2026: 4.3.2.2	DATA (METHOD 1 AND 2 OPTIONS)</v>
      </c>
      <c r="M150" s="24"/>
    </row>
    <row r="151" spans="4:13" ht="20.100000000000001" customHeight="1" x14ac:dyDescent="0.25">
      <c r="D151" s="1" t="str" cm="1">
        <f t="array" ref="D151">SourceData_Dairy.SourceData_Dairy_CrudeProtein_Variable()</f>
        <v>CP</v>
      </c>
      <c r="M151" s="24"/>
    </row>
    <row r="152" spans="4:13" ht="20.100000000000001" customHeight="1" x14ac:dyDescent="0.25">
      <c r="D152" s="57" t="str" cm="1">
        <f t="array" ref="D152">SourceData_Dairy.SourceData_Dairy_CrudeProtein_Unit()</f>
        <v>fraction</v>
      </c>
      <c r="M152" s="24"/>
    </row>
    <row r="153" spans="4:13" ht="20.100000000000001" customHeight="1" x14ac:dyDescent="0.25">
      <c r="D153" s="56" cm="1">
        <f t="array" ref="D153">SourceData_Dairy.SourceData_Dairy_CrudeProtein_Data()</f>
        <v>0.2</v>
      </c>
      <c r="M153" s="24"/>
    </row>
    <row r="154" spans="4:13" ht="20.100000000000001" customHeight="1" x14ac:dyDescent="0.25">
      <c r="M154" s="24"/>
    </row>
    <row r="155" spans="4:13" ht="20.100000000000001" customHeight="1" x14ac:dyDescent="0.25">
      <c r="M155" s="24"/>
    </row>
    <row r="156" spans="4:13" ht="20.100000000000001" customHeight="1" x14ac:dyDescent="0.25">
      <c r="D156" s="6" t="str" cm="1">
        <f t="array" ref="D156">SourceData_Dairy.SourceData_Dairy_DryMatterDigestibility_Title()</f>
        <v>Dry matter digestibility</v>
      </c>
      <c r="M156" s="24"/>
    </row>
    <row r="157" spans="4:13" ht="20.100000000000001" customHeight="1" x14ac:dyDescent="0.25">
      <c r="D157" s="5" t="str" cm="1">
        <f t="array" ref="D157">SourceData_Dairy.SourceData_Dairy_DryMatterDigestibility_Source()</f>
        <v>VEERG 2026: 3.3.2.2	DATA (METHOD 1 AND 2 OPTIONS)</v>
      </c>
      <c r="M157" s="24"/>
    </row>
    <row r="158" spans="4:13" ht="20.100000000000001" customHeight="1" x14ac:dyDescent="0.25">
      <c r="D158" s="1" t="str" cm="1">
        <f t="array" ref="D158">SourceData_Dairy.SourceData_Dairy_DryMatterDigestibility_Variable()</f>
        <v>DMD</v>
      </c>
      <c r="M158" s="24"/>
    </row>
    <row r="159" spans="4:13" ht="20.100000000000001" customHeight="1" x14ac:dyDescent="0.25">
      <c r="D159" s="57" t="str" cm="1">
        <f t="array" ref="D159">SourceData_Dairy.SourceData_Dairy_DryMatterDigestibility_Unit()</f>
        <v>fraction</v>
      </c>
      <c r="M159" s="24"/>
    </row>
    <row r="160" spans="4:13" ht="20.100000000000001" customHeight="1" x14ac:dyDescent="0.25">
      <c r="D160" s="56" cm="1">
        <f t="array" ref="D160">SourceData_Dairy.SourceData_Dairy_DryMatterDigestibility_Data()</f>
        <v>0.75</v>
      </c>
      <c r="M160" s="24"/>
    </row>
    <row r="161" spans="4:13" ht="20.100000000000001" customHeight="1" x14ac:dyDescent="0.25">
      <c r="M161" s="24"/>
    </row>
    <row r="162" spans="4:13" ht="20.100000000000001" customHeight="1" x14ac:dyDescent="0.25">
      <c r="M162" s="24"/>
    </row>
    <row r="163" spans="4:13" ht="20.100000000000001" customHeight="1" x14ac:dyDescent="0.25">
      <c r="D163" s="6" t="str" cm="1">
        <f t="array" ref="D163">SourceData_Dairy.SourceData_Dairy_NetEnergy_Title()</f>
        <v>Net energy required for milk production</v>
      </c>
      <c r="M163" s="24"/>
    </row>
    <row r="164" spans="4:13" ht="20.100000000000001" customHeight="1" x14ac:dyDescent="0.25">
      <c r="D164" s="5" t="str" cm="1">
        <f t="array" ref="D164">SourceData_Dairy.SourceData_Dairy_NetEnergy_Source()</f>
        <v>VEERG 2026: 3.3.2.3 CONSTANTS</v>
      </c>
      <c r="M164" s="24"/>
    </row>
    <row r="165" spans="4:13" ht="20.100000000000001" customHeight="1" x14ac:dyDescent="0.25">
      <c r="D165" s="1" t="str" cm="1">
        <f t="array" ref="D165">SourceData_Dairy.SourceData_Dairy_NetEnergy_Variable()</f>
        <v>NE</v>
      </c>
      <c r="M165" s="24"/>
    </row>
    <row r="166" spans="4:13" x14ac:dyDescent="0.25">
      <c r="D166" s="57" t="str" cm="1">
        <f t="array" ref="D166">SourceData_Dairy.SourceData_Dairy_NetEnergy_Unit()</f>
        <v>MJ net energy / kg milk</v>
      </c>
      <c r="M166" s="24"/>
    </row>
    <row r="167" spans="4:13" x14ac:dyDescent="0.25">
      <c r="D167" s="56" cm="1">
        <f t="array" ref="D167">SourceData_Dairy.SourceData_Dairy_NetEnergy_Data()</f>
        <v>3.0539999999999998</v>
      </c>
      <c r="M167" s="24"/>
    </row>
    <row r="168" spans="4:13" x14ac:dyDescent="0.25">
      <c r="M168" s="24"/>
    </row>
    <row r="169" spans="4:13" x14ac:dyDescent="0.25">
      <c r="M169" s="24"/>
    </row>
    <row r="170" spans="4:13" ht="23.25" x14ac:dyDescent="0.25">
      <c r="D170" s="6" t="str" cm="1">
        <f t="array" ref="D170">SourceData_Dairy.SourceData_Dairy_GrossEnergyContent_Title()</f>
        <v>Gross energy content of feed dry matter</v>
      </c>
      <c r="M170" s="24"/>
    </row>
    <row r="171" spans="4:13" x14ac:dyDescent="0.25">
      <c r="D171" s="5" t="str" cm="1">
        <f t="array" ref="D171">SourceData_Dairy.SourceData_Dairy_GrossEnergyContent_Source()</f>
        <v>VEERG 2026: 3.3.2.3 CONSTANTS</v>
      </c>
      <c r="M171" s="24"/>
    </row>
    <row r="172" spans="4:13" x14ac:dyDescent="0.25">
      <c r="D172" s="1" t="str" cm="1">
        <f t="array" ref="D172">SourceData_Dairy.SourceData_Dairy_GrossEnergyContent_Variable()</f>
        <v>GEC</v>
      </c>
      <c r="M172" s="24"/>
    </row>
    <row r="173" spans="4:13" x14ac:dyDescent="0.25">
      <c r="D173" s="57" t="str" cm="1">
        <f t="array" ref="D173">SourceData_Dairy.SourceData_Dairy_GrossEnergyContent_Unit()</f>
        <v>MJ / kgDM</v>
      </c>
      <c r="M173" s="24"/>
    </row>
    <row r="174" spans="4:13" x14ac:dyDescent="0.25">
      <c r="D174" s="56" cm="1">
        <f t="array" ref="D174">SourceData_Dairy.SourceData_Dairy_GrossEnergyContent_Data()</f>
        <v>18.399999999999999</v>
      </c>
      <c r="M174" s="24"/>
    </row>
    <row r="175" spans="4:13" x14ac:dyDescent="0.25">
      <c r="M175" s="24"/>
    </row>
    <row r="176" spans="4:13" x14ac:dyDescent="0.25">
      <c r="M176" s="24"/>
    </row>
    <row r="177" spans="4:13" ht="23.25" x14ac:dyDescent="0.25">
      <c r="D177" s="6" t="str" cm="1">
        <f t="array" ref="D177">SourceData_Dairy.SourceData_Dairy_EfficiencyOfUseOfMetabolizableEnergy_Title()</f>
        <v>Efficiency of use of metabolizable energy for milk production</v>
      </c>
      <c r="M177" s="24"/>
    </row>
    <row r="178" spans="4:13" x14ac:dyDescent="0.25">
      <c r="D178" s="5" t="str" cm="1">
        <f t="array" ref="D178">SourceData_Dairy.SourceData_Dairy_EfficiencyOfUseOfMetabolizableEnergy_Source()</f>
        <v>VEERG 2026: 3.3.2.3 CONSTANTS</v>
      </c>
      <c r="M178" s="24"/>
    </row>
    <row r="179" spans="4:13" x14ac:dyDescent="0.25">
      <c r="D179" s="1" t="str" cm="1">
        <f t="array" ref="D179">SourceData_Dairy.SourceData_Dairy_EfficiencyOfUseOfMetabolizableEnergy_Variable()</f>
        <v>k</v>
      </c>
      <c r="M179" s="24"/>
    </row>
    <row r="180" spans="4:13" x14ac:dyDescent="0.25">
      <c r="D180" s="57" t="str" cm="1">
        <f t="array" ref="D180">SourceData_Dairy.SourceData_Dairy_EfficiencyOfUseOfMetabolizableEnergy_Unit()</f>
        <v>fraction</v>
      </c>
      <c r="M180" s="24"/>
    </row>
    <row r="181" spans="4:13" x14ac:dyDescent="0.25">
      <c r="D181" s="56" cm="1">
        <f t="array" ref="D181">SourceData_Dairy.SourceData_Dairy_EfficiencyOfUseOfMetabolizableEnergy_Data()</f>
        <v>0.6</v>
      </c>
      <c r="M181" s="24"/>
    </row>
    <row r="182" spans="4:13" x14ac:dyDescent="0.25">
      <c r="M182" s="24"/>
    </row>
    <row r="183" spans="4:13" x14ac:dyDescent="0.25">
      <c r="M183" s="24"/>
    </row>
    <row r="184" spans="4:13" ht="23.25" x14ac:dyDescent="0.25">
      <c r="D184" s="6" t="str" cm="1">
        <f t="array" ref="D184">SourceData_Dairy.SourceData_Dairy_AshContent_Title()</f>
        <v>Ash content of manure</v>
      </c>
      <c r="M184" s="24"/>
    </row>
    <row r="185" spans="4:13" x14ac:dyDescent="0.25">
      <c r="D185" s="5" t="str" cm="1">
        <f t="array" ref="D185">SourceData_Dairy.SourceData_Dairy_AshContent_Source()</f>
        <v>VEERG 2026: 4.3.2.3 CONSTANTS</v>
      </c>
      <c r="M185" s="24"/>
    </row>
    <row r="186" spans="4:13" x14ac:dyDescent="0.25">
      <c r="D186" s="1" t="str" cm="1">
        <f t="array" ref="D186">SourceData_Dairy.SourceData_Dairy_AshContent_Variable()</f>
        <v>A</v>
      </c>
      <c r="M186" s="24"/>
    </row>
    <row r="187" spans="4:13" x14ac:dyDescent="0.25">
      <c r="D187" s="57" t="str" cm="1">
        <f t="array" ref="D187">SourceData_Dairy.SourceData_Dairy_AshContent_Unit()</f>
        <v>fraction</v>
      </c>
      <c r="M187" s="24"/>
    </row>
    <row r="188" spans="4:13" x14ac:dyDescent="0.25">
      <c r="D188" s="56" cm="1">
        <f t="array" ref="D188">SourceData_Dairy.SourceData_Dairy_AshContent_Data()</f>
        <v>0.08</v>
      </c>
      <c r="M188" s="24"/>
    </row>
    <row r="189" spans="4:13" x14ac:dyDescent="0.25">
      <c r="M189" s="24"/>
    </row>
    <row r="190" spans="4:13" x14ac:dyDescent="0.25">
      <c r="M190" s="24"/>
    </row>
    <row r="191" spans="4:13" ht="23.25" x14ac:dyDescent="0.25">
      <c r="D191" s="6" t="str" cm="1">
        <f t="array" ref="D191">SourceData_Dairy.SourceData_Dairy_MethaneEmissionsPotential_Title()</f>
        <v>Methane emissions potential</v>
      </c>
      <c r="M191" s="24"/>
    </row>
    <row r="192" spans="4:13" x14ac:dyDescent="0.25">
      <c r="D192" s="5" t="str" cm="1">
        <f t="array" ref="D192">SourceData_Dairy.SourceData_Dairy_MethaneEmissionsPotential_Source()</f>
        <v>VEERG 2026: 4.3.2.3 CONSTANTS</v>
      </c>
      <c r="M192" s="24"/>
    </row>
    <row r="193" spans="4:13" x14ac:dyDescent="0.25">
      <c r="D193" s="1" t="str" cm="1">
        <f t="array" ref="D193">SourceData_Dairy.SourceData_Dairy_MethaneEmissionsPotential_Variable()</f>
        <v>B_o</v>
      </c>
      <c r="M193" s="24"/>
    </row>
    <row r="194" spans="4:13" x14ac:dyDescent="0.25">
      <c r="D194" s="57" t="str" cm="1">
        <f t="array" ref="D194">SourceData_Dairy.SourceData_Dairy_MethaneEmissionsPotential_Unit()</f>
        <v>m3 CH4/kgVS</v>
      </c>
      <c r="M194" s="24"/>
    </row>
    <row r="195" spans="4:13" x14ac:dyDescent="0.25">
      <c r="D195" s="56" cm="1">
        <f t="array" ref="D195">SourceData_Dairy.SourceData_Dairy_MethaneEmissionsPotential_Data()</f>
        <v>0.24</v>
      </c>
      <c r="M195" s="24"/>
    </row>
    <row r="196" spans="4:13" x14ac:dyDescent="0.25">
      <c r="M196" s="24"/>
    </row>
    <row r="197" spans="4:13" x14ac:dyDescent="0.25">
      <c r="M197" s="24"/>
    </row>
    <row r="198" spans="4:13" x14ac:dyDescent="0.25">
      <c r="M198" s="24"/>
    </row>
    <row r="199" spans="4:13" x14ac:dyDescent="0.25">
      <c r="M199" s="24"/>
    </row>
    <row r="200" spans="4:13" x14ac:dyDescent="0.25">
      <c r="M200" s="24"/>
    </row>
    <row r="201" spans="4:13" x14ac:dyDescent="0.25">
      <c r="M201" s="24"/>
    </row>
    <row r="202" spans="4:13" x14ac:dyDescent="0.25">
      <c r="M202" s="24"/>
    </row>
    <row r="203" spans="4:13" x14ac:dyDescent="0.25">
      <c r="M203" s="24"/>
    </row>
    <row r="204" spans="4:13" x14ac:dyDescent="0.25">
      <c r="M204" s="24"/>
    </row>
    <row r="205" spans="4:13" x14ac:dyDescent="0.25">
      <c r="M205" s="24"/>
    </row>
    <row r="206" spans="4:13" x14ac:dyDescent="0.25">
      <c r="M206" s="24"/>
    </row>
    <row r="207" spans="4:13" x14ac:dyDescent="0.25">
      <c r="M207" s="24"/>
    </row>
    <row r="208" spans="4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AFC1-139E-4954-A675-3CA3351E49B6}">
  <dimension ref="A1:BX196"/>
  <sheetViews>
    <sheetView showGridLines="0" tabSelected="1" topLeftCell="A158" zoomScale="85" zoomScaleNormal="85" workbookViewId="0">
      <selection activeCell="J178" sqref="J178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9" t="s">
        <v>22</v>
      </c>
      <c r="E6" s="39" t="s">
        <v>23</v>
      </c>
      <c r="F6" s="39" t="s">
        <v>24</v>
      </c>
    </row>
    <row r="7" spans="1:64" ht="20.100000000000001" customHeight="1" x14ac:dyDescent="0.25">
      <c r="A7"/>
      <c r="D7" s="39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9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9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9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9" t="str" cm="1">
        <f t="array" ref="E8">Common_InputFunctions.Utility_DisplayArrayInTable(Common_SourceData.Common_SourceData_AustralianStatesTerritories_Data(),Table_AustralianStates[[#Headers],[State/Territory]],0)</f>
        <v>ACT</v>
      </c>
      <c r="F8" s="39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9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9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9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9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9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9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9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9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9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9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9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9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9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9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9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9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9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9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9" t="s">
        <v>25</v>
      </c>
    </row>
    <row r="21" spans="1:4" ht="20.100000000000001" customHeight="1" x14ac:dyDescent="0.25">
      <c r="A21"/>
      <c r="D21" s="39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9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9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9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9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9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9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9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9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9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9" t="s">
        <v>28</v>
      </c>
      <c r="E36" s="39" t="s">
        <v>29</v>
      </c>
    </row>
    <row r="37" spans="1:8" ht="20.100000000000001" customHeight="1" x14ac:dyDescent="0.25">
      <c r="A37"/>
      <c r="D37" s="39" t="str" cm="1">
        <f t="array" ref="D37">Common_InputFunctions.Utility_DisplayArrayInTable(Common_SourceData.Common_SourceData_GWP_Data(), Table_GWPData[[#Headers],[Gas]], 0)</f>
        <v>CO2</v>
      </c>
      <c r="E37" s="39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9" t="str" cm="1">
        <f t="array" ref="D38">Common_InputFunctions.Utility_DisplayArrayInTable(Common_SourceData.Common_SourceData_GWP_Data(), Table_GWPData[[#Headers],[Gas]], 0)</f>
        <v>CH4</v>
      </c>
      <c r="E38" s="39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9" t="str" cm="1">
        <f t="array" ref="D39">Common_InputFunctions.Utility_DisplayArrayInTable(Common_SourceData.Common_SourceData_GWP_Data(), Table_GWPData[[#Headers],[Gas]], 0)</f>
        <v>N2O</v>
      </c>
      <c r="E39" s="39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9" t="str" cm="1">
        <f t="array" ref="D40">Common_InputFunctions.Utility_DisplayArrayInTable(Common_SourceData.Common_SourceData_GWP_Data(), Table_GWPData[[#Headers],[Gas]], 0)</f>
        <v>CF4</v>
      </c>
      <c r="E40" s="39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9" t="str" cm="1">
        <f t="array" ref="D41">Common_InputFunctions.Utility_DisplayArrayInTable(Common_SourceData.Common_SourceData_GWP_Data(), Table_GWPData[[#Headers],[Gas]], 0)</f>
        <v>C2F6</v>
      </c>
      <c r="E41" s="39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9" t="str" cm="1">
        <f t="array" ref="D42">Common_InputFunctions.Utility_DisplayArrayInTable(Common_SourceData.Common_SourceData_GWP_Data(), Table_GWPData[[#Headers],[Gas]], 0)</f>
        <v>SF6</v>
      </c>
      <c r="E42" s="39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9" t="str" cm="1">
        <f t="array" ref="D43">Common_InputFunctions.Utility_DisplayArrayInTable(Common_SourceData.Common_SourceData_GWP_Data(), Table_GWPData[[#Headers],[Gas]], 0)</f>
        <v>NF3</v>
      </c>
      <c r="E43" s="39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9" t="s">
        <v>28</v>
      </c>
      <c r="E47" s="39" t="s">
        <v>31</v>
      </c>
      <c r="F47" s="39" t="s">
        <v>32</v>
      </c>
      <c r="G47" s="39" t="s">
        <v>33</v>
      </c>
      <c r="H47" s="39" t="s">
        <v>34</v>
      </c>
    </row>
    <row r="48" spans="1:8" ht="20.100000000000001" customHeight="1" x14ac:dyDescent="0.25">
      <c r="D48" s="39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9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9" cm="1">
        <f t="array" ref="F48">Common_InputFunctions.Utility_DisplayArrayInTable(Common_SourceData.Common_SourceData_ConvertGasElementalToMolecular_Data(),Table_GasToMolecularConversionFactor[[#Headers],[Gas]], 0)</f>
        <v>44</v>
      </c>
      <c r="G48" s="39" cm="1">
        <f t="array" ref="G48">Common_InputFunctions.Utility_DisplayArrayInTable(Common_SourceData.Common_SourceData_ConvertGasElementalToMolecular_Data(),Table_GasToMolecularConversionFactor[[#Headers],[Gas]], 0)</f>
        <v>12</v>
      </c>
      <c r="H48" s="39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9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9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9" cm="1">
        <f t="array" ref="F49">Common_InputFunctions.Utility_DisplayArrayInTable(Common_SourceData.Common_SourceData_ConvertGasElementalToMolecular_Data(),Table_GasToMolecularConversionFactor[[#Headers],[Gas]], 0)</f>
        <v>16</v>
      </c>
      <c r="G49" s="39" cm="1">
        <f t="array" ref="G49">Common_InputFunctions.Utility_DisplayArrayInTable(Common_SourceData.Common_SourceData_ConvertGasElementalToMolecular_Data(),Table_GasToMolecularConversionFactor[[#Headers],[Gas]], 0)</f>
        <v>12</v>
      </c>
      <c r="H49" s="39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9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9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9" cm="1">
        <f t="array" ref="F50">Common_InputFunctions.Utility_DisplayArrayInTable(Common_SourceData.Common_SourceData_ConvertGasElementalToMolecular_Data(),Table_GasToMolecularConversionFactor[[#Headers],[Gas]], 0)</f>
        <v>44</v>
      </c>
      <c r="G50" s="39" cm="1">
        <f t="array" ref="G50">Common_InputFunctions.Utility_DisplayArrayInTable(Common_SourceData.Common_SourceData_ConvertGasElementalToMolecular_Data(),Table_GasToMolecularConversionFactor[[#Headers],[Gas]], 0)</f>
        <v>28</v>
      </c>
      <c r="H50" s="39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9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9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9" cm="1">
        <f t="array" ref="F51">Common_InputFunctions.Utility_DisplayArrayInTable(Common_SourceData.Common_SourceData_ConvertGasElementalToMolecular_Data(),Table_GasToMolecularConversionFactor[[#Headers],[Gas]], 0)</f>
        <v>46</v>
      </c>
      <c r="G51" s="39" cm="1">
        <f t="array" ref="G51">Common_InputFunctions.Utility_DisplayArrayInTable(Common_SourceData.Common_SourceData_ConvertGasElementalToMolecular_Data(),Table_GasToMolecularConversionFactor[[#Headers],[Gas]], 0)</f>
        <v>14</v>
      </c>
      <c r="H51" s="39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9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9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9" cm="1">
        <f t="array" ref="F52">Common_InputFunctions.Utility_DisplayArrayInTable(Common_SourceData.Common_SourceData_ConvertGasElementalToMolecular_Data(),Table_GasToMolecularConversionFactor[[#Headers],[Gas]], 0)</f>
        <v>28</v>
      </c>
      <c r="G52" s="39" cm="1">
        <f t="array" ref="G52">Common_InputFunctions.Utility_DisplayArrayInTable(Common_SourceData.Common_SourceData_ConvertGasElementalToMolecular_Data(),Table_GasToMolecularConversionFactor[[#Headers],[Gas]], 0)</f>
        <v>12</v>
      </c>
      <c r="H52" s="39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9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9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9" cm="1">
        <f t="array" ref="F53">Common_InputFunctions.Utility_DisplayArrayInTable(Common_SourceData.Common_SourceData_ConvertGasElementalToMolecular_Data(),Table_GasToMolecularConversionFactor[[#Headers],[Gas]], 0)</f>
        <v>44</v>
      </c>
      <c r="G53" s="39" cm="1">
        <f t="array" ref="G53">Common_InputFunctions.Utility_DisplayArrayInTable(Common_SourceData.Common_SourceData_ConvertGasElementalToMolecular_Data(),Table_GasToMolecularConversionFactor[[#Headers],[Gas]], 0)</f>
        <v>12</v>
      </c>
      <c r="H53" s="39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9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9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9" cm="1">
        <f t="array" ref="F54">Common_InputFunctions.Utility_DisplayArrayInTable(Common_SourceData.Common_SourceData_ConvertGasElementalToMolecular_Data(),Table_GasToMolecularConversionFactor[[#Headers],[Gas]], 0)</f>
        <v>14</v>
      </c>
      <c r="G54" s="39" cm="1">
        <f t="array" ref="G54">Common_InputFunctions.Utility_DisplayArrayInTable(Common_SourceData.Common_SourceData_ConvertGasElementalToMolecular_Data(),Table_GasToMolecularConversionFactor[[#Headers],[Gas]], 0)</f>
        <v>12</v>
      </c>
      <c r="H54" s="39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8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8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8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9" t="s">
        <v>10</v>
      </c>
      <c r="E63" s="39" t="s">
        <v>49</v>
      </c>
    </row>
    <row r="64" spans="4:8" ht="20.100000000000001" customHeight="1" x14ac:dyDescent="0.25">
      <c r="D64" s="39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9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9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9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9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9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9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9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9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9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9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9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9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9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9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9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9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9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9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9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9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9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9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9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9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9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9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9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8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8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8" t="str">
        <v>⚠️Fixed typo in MAT value for warm temperate dry - changed 10 to 11.</v>
      </c>
    </row>
    <row r="86" spans="4:19" ht="20.100000000000001" customHeight="1" x14ac:dyDescent="0.25">
      <c r="D86" s="58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8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9" t="s">
        <v>10</v>
      </c>
      <c r="E89" s="39" t="s">
        <v>37</v>
      </c>
      <c r="F89" s="39" t="s">
        <v>38</v>
      </c>
      <c r="G89" s="39" t="s">
        <v>39</v>
      </c>
      <c r="H89" s="39" t="s">
        <v>40</v>
      </c>
      <c r="I89" s="39" t="s">
        <v>41</v>
      </c>
      <c r="J89" s="39" t="s">
        <v>42</v>
      </c>
      <c r="K89" s="39" t="s">
        <v>43</v>
      </c>
      <c r="L89" s="39" t="s">
        <v>44</v>
      </c>
      <c r="M89" s="39" t="s">
        <v>45</v>
      </c>
      <c r="N89" s="39" t="s">
        <v>46</v>
      </c>
      <c r="O89" s="39" t="s">
        <v>50</v>
      </c>
      <c r="P89" s="39" t="s">
        <v>47</v>
      </c>
      <c r="Q89" s="39" t="s">
        <v>51</v>
      </c>
      <c r="R89" s="39" t="s">
        <v>48</v>
      </c>
      <c r="S89" s="39" t="s">
        <v>52</v>
      </c>
    </row>
    <row r="90" spans="4:19" ht="20.100000000000001" customHeight="1" x14ac:dyDescent="0.25">
      <c r="D90" s="39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9" t="str" cm="1">
        <f t="array" ref="E90">Common_InputFunctions.Utility_DisplayArrayInTable(Common_SourceData.Common_SourceData_ClimateZones_Data(), Table_SourceData_ClimateZones[[#Headers],[Climate zone]], 0)</f>
        <v>&gt; 18 C</v>
      </c>
      <c r="F90" s="39" t="str" cm="1">
        <f t="array" ref="F90">Common_InputFunctions.Utility_DisplayArrayInTable(Common_SourceData.Common_SourceData_ClimateZones_Data(), Table_SourceData_ClimateZones[[#Headers],[Climate zone]], 0)</f>
        <v>Any</v>
      </c>
      <c r="G90" s="39" t="str" cm="1">
        <f t="array" ref="G90">Common_InputFunctions.Utility_DisplayArrayInTable(Common_SourceData.Common_SourceData_ClimateZones_Data(), Table_SourceData_ClimateZones[[#Headers],[Climate zone]], 0)</f>
        <v>≤ 7</v>
      </c>
      <c r="H90" s="39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9" t="str" cm="1">
        <f t="array" ref="I90">Common_InputFunctions.Utility_DisplayArrayInTable(Common_SourceData.Common_SourceData_ClimateZones_Data(), Table_SourceData_ClimateZones[[#Headers],[Climate zone]], 0)</f>
        <v>Any</v>
      </c>
      <c r="J90" s="39" cm="1">
        <f t="array" ref="J90">Common_InputFunctions.Utility_DisplayArrayInTable(Common_SourceData.Common_SourceData_ClimateZones_Data(), Table_SourceData_ClimateZones[[#Headers],[Climate zone]], 0)</f>
        <v>18.001000000000001</v>
      </c>
      <c r="K90" s="39" cm="1">
        <f t="array" ref="K90">Common_InputFunctions.Utility_DisplayArrayInTable(Common_SourceData.Common_SourceData_ClimateZones_Data(), Table_SourceData_ClimateZones[[#Headers],[Climate zone]], 0)</f>
        <v>999999</v>
      </c>
      <c r="L90" s="39" cm="1">
        <f t="array" ref="L90">Common_InputFunctions.Utility_DisplayArrayInTable(Common_SourceData.Common_SourceData_ClimateZones_Data(), Table_SourceData_ClimateZones[[#Headers],[Climate zone]], 0)</f>
        <v>-999999</v>
      </c>
      <c r="M90" s="39" cm="1">
        <f t="array" ref="M90">Common_InputFunctions.Utility_DisplayArrayInTable(Common_SourceData.Common_SourceData_ClimateZones_Data(), Table_SourceData_ClimateZones[[#Headers],[Climate zone]], 0)</f>
        <v>999999</v>
      </c>
      <c r="N90" s="39" cm="1">
        <f t="array" ref="N90">Common_InputFunctions.Utility_DisplayArrayInTable(Common_SourceData.Common_SourceData_ClimateZones_Data(), Table_SourceData_ClimateZones[[#Headers],[Climate zone]], 0)</f>
        <v>-999999</v>
      </c>
      <c r="O90" s="39" cm="1">
        <f t="array" ref="O90">Common_InputFunctions.Utility_DisplayArrayInTable(Common_SourceData.Common_SourceData_ClimateZones_Data(), Table_SourceData_ClimateZones[[#Headers],[Climate zone]], 0)</f>
        <v>7</v>
      </c>
      <c r="P90" s="39" cm="1">
        <f t="array" ref="P90">Common_InputFunctions.Utility_DisplayArrayInTable(Common_SourceData.Common_SourceData_ClimateZones_Data(), Table_SourceData_ClimateZones[[#Headers],[Climate zone]], 0)</f>
        <v>1000</v>
      </c>
      <c r="Q90" s="39" cm="1">
        <f t="array" ref="Q90">Common_InputFunctions.Utility_DisplayArrayInTable(Common_SourceData.Common_SourceData_ClimateZones_Data(), Table_SourceData_ClimateZones[[#Headers],[Climate zone]], 0)</f>
        <v>999999</v>
      </c>
      <c r="R90" s="39" cm="1">
        <f t="array" ref="R90">Common_InputFunctions.Utility_DisplayArrayInTable(Common_SourceData.Common_SourceData_ClimateZones_Data(), Table_SourceData_ClimateZones[[#Headers],[Climate zone]], 0)</f>
        <v>-999999</v>
      </c>
      <c r="S90" s="39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9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9" t="str" cm="1">
        <f t="array" ref="E91">Common_InputFunctions.Utility_DisplayArrayInTable(Common_SourceData.Common_SourceData_ClimateZones_Data(), Table_SourceData_ClimateZones[[#Headers],[Climate zone]], 0)</f>
        <v>&gt; 18 C</v>
      </c>
      <c r="F91" s="39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9" t="str" cm="1">
        <f t="array" ref="G91">Common_InputFunctions.Utility_DisplayArrayInTable(Common_SourceData.Common_SourceData_ClimateZones_Data(), Table_SourceData_ClimateZones[[#Headers],[Climate zone]], 0)</f>
        <v>≤ 7</v>
      </c>
      <c r="H91" s="39" t="str" cm="1">
        <f t="array" ref="H91">Common_InputFunctions.Utility_DisplayArrayInTable(Common_SourceData.Common_SourceData_ClimateZones_Data(), Table_SourceData_ClimateZones[[#Headers],[Climate zone]], 0)</f>
        <v>≤ 1000 m</v>
      </c>
      <c r="I91" s="39" t="str" cm="1">
        <f t="array" ref="I91">Common_InputFunctions.Utility_DisplayArrayInTable(Common_SourceData.Common_SourceData_ClimateZones_Data(), Table_SourceData_ClimateZones[[#Headers],[Climate zone]], 0)</f>
        <v>Any</v>
      </c>
      <c r="J91" s="39" cm="1">
        <f t="array" ref="J91">Common_InputFunctions.Utility_DisplayArrayInTable(Common_SourceData.Common_SourceData_ClimateZones_Data(), Table_SourceData_ClimateZones[[#Headers],[Climate zone]], 0)</f>
        <v>18.001000000000001</v>
      </c>
      <c r="K91" s="39" cm="1">
        <f t="array" ref="K91">Common_InputFunctions.Utility_DisplayArrayInTable(Common_SourceData.Common_SourceData_ClimateZones_Data(), Table_SourceData_ClimateZones[[#Headers],[Climate zone]], 0)</f>
        <v>999999</v>
      </c>
      <c r="L91" s="39" cm="1">
        <f t="array" ref="L91">Common_InputFunctions.Utility_DisplayArrayInTable(Common_SourceData.Common_SourceData_ClimateZones_Data(), Table_SourceData_ClimateZones[[#Headers],[Climate zone]], 0)</f>
        <v>2000.001</v>
      </c>
      <c r="M91" s="39" cm="1">
        <f t="array" ref="M91">Common_InputFunctions.Utility_DisplayArrayInTable(Common_SourceData.Common_SourceData_ClimateZones_Data(), Table_SourceData_ClimateZones[[#Headers],[Climate zone]], 0)</f>
        <v>999999</v>
      </c>
      <c r="N91" s="39" cm="1">
        <f t="array" ref="N91">Common_InputFunctions.Utility_DisplayArrayInTable(Common_SourceData.Common_SourceData_ClimateZones_Data(), Table_SourceData_ClimateZones[[#Headers],[Climate zone]], 0)</f>
        <v>-999999</v>
      </c>
      <c r="O91" s="39" cm="1">
        <f t="array" ref="O91">Common_InputFunctions.Utility_DisplayArrayInTable(Common_SourceData.Common_SourceData_ClimateZones_Data(), Table_SourceData_ClimateZones[[#Headers],[Climate zone]], 0)</f>
        <v>7</v>
      </c>
      <c r="P91" s="39" cm="1">
        <f t="array" ref="P91">Common_InputFunctions.Utility_DisplayArrayInTable(Common_SourceData.Common_SourceData_ClimateZones_Data(), Table_SourceData_ClimateZones[[#Headers],[Climate zone]], 0)</f>
        <v>-999999</v>
      </c>
      <c r="Q91" s="39" cm="1">
        <f t="array" ref="Q91">Common_InputFunctions.Utility_DisplayArrayInTable(Common_SourceData.Common_SourceData_ClimateZones_Data(), Table_SourceData_ClimateZones[[#Headers],[Climate zone]], 0)</f>
        <v>999.99900000000002</v>
      </c>
      <c r="R91" s="39" cm="1">
        <f t="array" ref="R91">Common_InputFunctions.Utility_DisplayArrayInTable(Common_SourceData.Common_SourceData_ClimateZones_Data(), Table_SourceData_ClimateZones[[#Headers],[Climate zone]], 0)</f>
        <v>-999999</v>
      </c>
      <c r="S91" s="39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9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9" t="str" cm="1">
        <f t="array" ref="E92">Common_InputFunctions.Utility_DisplayArrayInTable(Common_SourceData.Common_SourceData_ClimateZones_Data(), Table_SourceData_ClimateZones[[#Headers],[Climate zone]], 0)</f>
        <v>&gt; 18 C</v>
      </c>
      <c r="F92" s="39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9" t="str" cm="1">
        <f t="array" ref="G92">Common_InputFunctions.Utility_DisplayArrayInTable(Common_SourceData.Common_SourceData_ClimateZones_Data(), Table_SourceData_ClimateZones[[#Headers],[Climate zone]], 0)</f>
        <v>≤ 7</v>
      </c>
      <c r="H92" s="39" t="str" cm="1">
        <f t="array" ref="H92">Common_InputFunctions.Utility_DisplayArrayInTable(Common_SourceData.Common_SourceData_ClimateZones_Data(), Table_SourceData_ClimateZones[[#Headers],[Climate zone]], 0)</f>
        <v>≤ 1000 m</v>
      </c>
      <c r="I92" s="39" t="str" cm="1">
        <f t="array" ref="I92">Common_InputFunctions.Utility_DisplayArrayInTable(Common_SourceData.Common_SourceData_ClimateZones_Data(), Table_SourceData_ClimateZones[[#Headers],[Climate zone]], 0)</f>
        <v>Any</v>
      </c>
      <c r="J92" s="39" cm="1">
        <f t="array" ref="J92">Common_InputFunctions.Utility_DisplayArrayInTable(Common_SourceData.Common_SourceData_ClimateZones_Data(), Table_SourceData_ClimateZones[[#Headers],[Climate zone]], 0)</f>
        <v>18.001000000000001</v>
      </c>
      <c r="K92" s="39" cm="1">
        <f t="array" ref="K92">Common_InputFunctions.Utility_DisplayArrayInTable(Common_SourceData.Common_SourceData_ClimateZones_Data(), Table_SourceData_ClimateZones[[#Headers],[Climate zone]], 0)</f>
        <v>999999</v>
      </c>
      <c r="L92" s="39" cm="1">
        <f t="array" ref="L92">Common_InputFunctions.Utility_DisplayArrayInTable(Common_SourceData.Common_SourceData_ClimateZones_Data(), Table_SourceData_ClimateZones[[#Headers],[Climate zone]], 0)</f>
        <v>1000.001</v>
      </c>
      <c r="M92" s="39" cm="1">
        <f t="array" ref="M92">Common_InputFunctions.Utility_DisplayArrayInTable(Common_SourceData.Common_SourceData_ClimateZones_Data(), Table_SourceData_ClimateZones[[#Headers],[Climate zone]], 0)</f>
        <v>2000</v>
      </c>
      <c r="N92" s="39" cm="1">
        <f t="array" ref="N92">Common_InputFunctions.Utility_DisplayArrayInTable(Common_SourceData.Common_SourceData_ClimateZones_Data(), Table_SourceData_ClimateZones[[#Headers],[Climate zone]], 0)</f>
        <v>-999999</v>
      </c>
      <c r="O92" s="39" cm="1">
        <f t="array" ref="O92">Common_InputFunctions.Utility_DisplayArrayInTable(Common_SourceData.Common_SourceData_ClimateZones_Data(), Table_SourceData_ClimateZones[[#Headers],[Climate zone]], 0)</f>
        <v>7</v>
      </c>
      <c r="P92" s="39" cm="1">
        <f t="array" ref="P92">Common_InputFunctions.Utility_DisplayArrayInTable(Common_SourceData.Common_SourceData_ClimateZones_Data(), Table_SourceData_ClimateZones[[#Headers],[Climate zone]], 0)</f>
        <v>-999999</v>
      </c>
      <c r="Q92" s="39" cm="1">
        <f t="array" ref="Q92">Common_InputFunctions.Utility_DisplayArrayInTable(Common_SourceData.Common_SourceData_ClimateZones_Data(), Table_SourceData_ClimateZones[[#Headers],[Climate zone]], 0)</f>
        <v>999.99900000000002</v>
      </c>
      <c r="R92" s="39" cm="1">
        <f t="array" ref="R92">Common_InputFunctions.Utility_DisplayArrayInTable(Common_SourceData.Common_SourceData_ClimateZones_Data(), Table_SourceData_ClimateZones[[#Headers],[Climate zone]], 0)</f>
        <v>-999999</v>
      </c>
      <c r="S92" s="39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9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9" t="str" cm="1">
        <f t="array" ref="E93">Common_InputFunctions.Utility_DisplayArrayInTable(Common_SourceData.Common_SourceData_ClimateZones_Data(), Table_SourceData_ClimateZones[[#Headers],[Climate zone]], 0)</f>
        <v>&gt; 18 C</v>
      </c>
      <c r="F93" s="39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9" t="str" cm="1">
        <f t="array" ref="G93">Common_InputFunctions.Utility_DisplayArrayInTable(Common_SourceData.Common_SourceData_ClimateZones_Data(), Table_SourceData_ClimateZones[[#Headers],[Climate zone]], 0)</f>
        <v>≤ 7</v>
      </c>
      <c r="H93" s="39" t="str" cm="1">
        <f t="array" ref="H93">Common_InputFunctions.Utility_DisplayArrayInTable(Common_SourceData.Common_SourceData_ClimateZones_Data(), Table_SourceData_ClimateZones[[#Headers],[Climate zone]], 0)</f>
        <v>≤ 1000 m</v>
      </c>
      <c r="I93" s="39" t="str" cm="1">
        <f t="array" ref="I93">Common_InputFunctions.Utility_DisplayArrayInTable(Common_SourceData.Common_SourceData_ClimateZones_Data(), Table_SourceData_ClimateZones[[#Headers],[Climate zone]], 0)</f>
        <v>Any</v>
      </c>
      <c r="J93" s="39" cm="1">
        <f t="array" ref="J93">Common_InputFunctions.Utility_DisplayArrayInTable(Common_SourceData.Common_SourceData_ClimateZones_Data(), Table_SourceData_ClimateZones[[#Headers],[Climate zone]], 0)</f>
        <v>18.001000000000001</v>
      </c>
      <c r="K93" s="39" cm="1">
        <f t="array" ref="K93">Common_InputFunctions.Utility_DisplayArrayInTable(Common_SourceData.Common_SourceData_ClimateZones_Data(), Table_SourceData_ClimateZones[[#Headers],[Climate zone]], 0)</f>
        <v>999999</v>
      </c>
      <c r="L93" s="39" cm="1">
        <f t="array" ref="L93">Common_InputFunctions.Utility_DisplayArrayInTable(Common_SourceData.Common_SourceData_ClimateZones_Data(), Table_SourceData_ClimateZones[[#Headers],[Climate zone]], 0)</f>
        <v>-999999</v>
      </c>
      <c r="M93" s="39" cm="1">
        <f t="array" ref="M93">Common_InputFunctions.Utility_DisplayArrayInTable(Common_SourceData.Common_SourceData_ClimateZones_Data(), Table_SourceData_ClimateZones[[#Headers],[Climate zone]], 0)</f>
        <v>1000</v>
      </c>
      <c r="N93" s="39" cm="1">
        <f t="array" ref="N93">Common_InputFunctions.Utility_DisplayArrayInTable(Common_SourceData.Common_SourceData_ClimateZones_Data(), Table_SourceData_ClimateZones[[#Headers],[Climate zone]], 0)</f>
        <v>-999999</v>
      </c>
      <c r="O93" s="39" cm="1">
        <f t="array" ref="O93">Common_InputFunctions.Utility_DisplayArrayInTable(Common_SourceData.Common_SourceData_ClimateZones_Data(), Table_SourceData_ClimateZones[[#Headers],[Climate zone]], 0)</f>
        <v>7</v>
      </c>
      <c r="P93" s="39" cm="1">
        <f t="array" ref="P93">Common_InputFunctions.Utility_DisplayArrayInTable(Common_SourceData.Common_SourceData_ClimateZones_Data(), Table_SourceData_ClimateZones[[#Headers],[Climate zone]], 0)</f>
        <v>-999999</v>
      </c>
      <c r="Q93" s="39" cm="1">
        <f t="array" ref="Q93">Common_InputFunctions.Utility_DisplayArrayInTable(Common_SourceData.Common_SourceData_ClimateZones_Data(), Table_SourceData_ClimateZones[[#Headers],[Climate zone]], 0)</f>
        <v>999.99900000000002</v>
      </c>
      <c r="R93" s="39" cm="1">
        <f t="array" ref="R93">Common_InputFunctions.Utility_DisplayArrayInTable(Common_SourceData.Common_SourceData_ClimateZones_Data(), Table_SourceData_ClimateZones[[#Headers],[Climate zone]], 0)</f>
        <v>-999999</v>
      </c>
      <c r="S93" s="39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9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9" t="str" cm="1">
        <f t="array" ref="E94">Common_InputFunctions.Utility_DisplayArrayInTable(Common_SourceData.Common_SourceData_ClimateZones_Data(), Table_SourceData_ClimateZones[[#Headers],[Climate zone]], 0)</f>
        <v>&gt; 10 C</v>
      </c>
      <c r="F94" s="39" t="str" cm="1">
        <f t="array" ref="F94">Common_InputFunctions.Utility_DisplayArrayInTable(Common_SourceData.Common_SourceData_ClimateZones_Data(), Table_SourceData_ClimateZones[[#Headers],[Climate zone]], 0)</f>
        <v>Any</v>
      </c>
      <c r="G94" s="39" t="str" cm="1">
        <f t="array" ref="G94">Common_InputFunctions.Utility_DisplayArrayInTable(Common_SourceData.Common_SourceData_ClimateZones_Data(), Table_SourceData_ClimateZones[[#Headers],[Climate zone]], 0)</f>
        <v>Any</v>
      </c>
      <c r="H94" s="39" t="str" cm="1">
        <f t="array" ref="H94">Common_InputFunctions.Utility_DisplayArrayInTable(Common_SourceData.Common_SourceData_ClimateZones_Data(), Table_SourceData_ClimateZones[[#Headers],[Climate zone]], 0)</f>
        <v>Any</v>
      </c>
      <c r="I94" s="39" t="str" cm="1">
        <f t="array" ref="I94">Common_InputFunctions.Utility_DisplayArrayInTable(Common_SourceData.Common_SourceData_ClimateZones_Data(), Table_SourceData_ClimateZones[[#Headers],[Climate zone]], 0)</f>
        <v>&gt; 1</v>
      </c>
      <c r="J94" s="39" cm="1">
        <f t="array" ref="J94">Common_InputFunctions.Utility_DisplayArrayInTable(Common_SourceData.Common_SourceData_ClimateZones_Data(), Table_SourceData_ClimateZones[[#Headers],[Climate zone]], 0)</f>
        <v>10.000999999999999</v>
      </c>
      <c r="K94" s="39" cm="1">
        <f t="array" ref="K94">Common_InputFunctions.Utility_DisplayArrayInTable(Common_SourceData.Common_SourceData_ClimateZones_Data(), Table_SourceData_ClimateZones[[#Headers],[Climate zone]], 0)</f>
        <v>999999</v>
      </c>
      <c r="L94" s="39" cm="1">
        <f t="array" ref="L94">Common_InputFunctions.Utility_DisplayArrayInTable(Common_SourceData.Common_SourceData_ClimateZones_Data(), Table_SourceData_ClimateZones[[#Headers],[Climate zone]], 0)</f>
        <v>-999999</v>
      </c>
      <c r="M94" s="39" cm="1">
        <f t="array" ref="M94">Common_InputFunctions.Utility_DisplayArrayInTable(Common_SourceData.Common_SourceData_ClimateZones_Data(), Table_SourceData_ClimateZones[[#Headers],[Climate zone]], 0)</f>
        <v>999999</v>
      </c>
      <c r="N94" s="39" cm="1">
        <f t="array" ref="N94">Common_InputFunctions.Utility_DisplayArrayInTable(Common_SourceData.Common_SourceData_ClimateZones_Data(), Table_SourceData_ClimateZones[[#Headers],[Climate zone]], 0)</f>
        <v>-999999</v>
      </c>
      <c r="O94" s="39" cm="1">
        <f t="array" ref="O94">Common_InputFunctions.Utility_DisplayArrayInTable(Common_SourceData.Common_SourceData_ClimateZones_Data(), Table_SourceData_ClimateZones[[#Headers],[Climate zone]], 0)</f>
        <v>999999</v>
      </c>
      <c r="P94" s="39" cm="1">
        <f t="array" ref="P94">Common_InputFunctions.Utility_DisplayArrayInTable(Common_SourceData.Common_SourceData_ClimateZones_Data(), Table_SourceData_ClimateZones[[#Headers],[Climate zone]], 0)</f>
        <v>-999999</v>
      </c>
      <c r="Q94" s="39" cm="1">
        <f t="array" ref="Q94">Common_InputFunctions.Utility_DisplayArrayInTable(Common_SourceData.Common_SourceData_ClimateZones_Data(), Table_SourceData_ClimateZones[[#Headers],[Climate zone]], 0)</f>
        <v>999999</v>
      </c>
      <c r="R94" s="39" cm="1">
        <f t="array" ref="R94">Common_InputFunctions.Utility_DisplayArrayInTable(Common_SourceData.Common_SourceData_ClimateZones_Data(), Table_SourceData_ClimateZones[[#Headers],[Climate zone]], 0)</f>
        <v>1.0009999999999999</v>
      </c>
      <c r="S94" s="39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9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9" t="str" cm="1">
        <f t="array" ref="E95">Common_InputFunctions.Utility_DisplayArrayInTable(Common_SourceData.Common_SourceData_ClimateZones_Data(), Table_SourceData_ClimateZones[[#Headers],[Climate zone]], 0)</f>
        <v>&gt; 10 C</v>
      </c>
      <c r="F95" s="39" t="str" cm="1">
        <f t="array" ref="F95">Common_InputFunctions.Utility_DisplayArrayInTable(Common_SourceData.Common_SourceData_ClimateZones_Data(), Table_SourceData_ClimateZones[[#Headers],[Climate zone]], 0)</f>
        <v>Any</v>
      </c>
      <c r="G95" s="39" t="str" cm="1">
        <f t="array" ref="G95">Common_InputFunctions.Utility_DisplayArrayInTable(Common_SourceData.Common_SourceData_ClimateZones_Data(), Table_SourceData_ClimateZones[[#Headers],[Climate zone]], 0)</f>
        <v>Any</v>
      </c>
      <c r="H95" s="39" t="str" cm="1">
        <f t="array" ref="H95">Common_InputFunctions.Utility_DisplayArrayInTable(Common_SourceData.Common_SourceData_ClimateZones_Data(), Table_SourceData_ClimateZones[[#Headers],[Climate zone]], 0)</f>
        <v>Any</v>
      </c>
      <c r="I95" s="39" t="str" cm="1">
        <f t="array" ref="I95">Common_InputFunctions.Utility_DisplayArrayInTable(Common_SourceData.Common_SourceData_ClimateZones_Data(), Table_SourceData_ClimateZones[[#Headers],[Climate zone]], 0)</f>
        <v>≤ 1</v>
      </c>
      <c r="J95" s="39" cm="1">
        <f t="array" ref="J95">Common_InputFunctions.Utility_DisplayArrayInTable(Common_SourceData.Common_SourceData_ClimateZones_Data(), Table_SourceData_ClimateZones[[#Headers],[Climate zone]], 0)</f>
        <v>10.000999999999999</v>
      </c>
      <c r="K95" s="39" cm="1">
        <f t="array" ref="K95">Common_InputFunctions.Utility_DisplayArrayInTable(Common_SourceData.Common_SourceData_ClimateZones_Data(), Table_SourceData_ClimateZones[[#Headers],[Climate zone]], 0)</f>
        <v>999999</v>
      </c>
      <c r="L95" s="39" cm="1">
        <f t="array" ref="L95">Common_InputFunctions.Utility_DisplayArrayInTable(Common_SourceData.Common_SourceData_ClimateZones_Data(), Table_SourceData_ClimateZones[[#Headers],[Climate zone]], 0)</f>
        <v>-999999</v>
      </c>
      <c r="M95" s="39" cm="1">
        <f t="array" ref="M95">Common_InputFunctions.Utility_DisplayArrayInTable(Common_SourceData.Common_SourceData_ClimateZones_Data(), Table_SourceData_ClimateZones[[#Headers],[Climate zone]], 0)</f>
        <v>999999</v>
      </c>
      <c r="N95" s="39" cm="1">
        <f t="array" ref="N95">Common_InputFunctions.Utility_DisplayArrayInTable(Common_SourceData.Common_SourceData_ClimateZones_Data(), Table_SourceData_ClimateZones[[#Headers],[Climate zone]], 0)</f>
        <v>-999999</v>
      </c>
      <c r="O95" s="39" cm="1">
        <f t="array" ref="O95">Common_InputFunctions.Utility_DisplayArrayInTable(Common_SourceData.Common_SourceData_ClimateZones_Data(), Table_SourceData_ClimateZones[[#Headers],[Climate zone]], 0)</f>
        <v>999999</v>
      </c>
      <c r="P95" s="39" cm="1">
        <f t="array" ref="P95">Common_InputFunctions.Utility_DisplayArrayInTable(Common_SourceData.Common_SourceData_ClimateZones_Data(), Table_SourceData_ClimateZones[[#Headers],[Climate zone]], 0)</f>
        <v>-999999</v>
      </c>
      <c r="Q95" s="39" cm="1">
        <f t="array" ref="Q95">Common_InputFunctions.Utility_DisplayArrayInTable(Common_SourceData.Common_SourceData_ClimateZones_Data(), Table_SourceData_ClimateZones[[#Headers],[Climate zone]], 0)</f>
        <v>999999</v>
      </c>
      <c r="R95" s="39" cm="1">
        <f t="array" ref="R95">Common_InputFunctions.Utility_DisplayArrayInTable(Common_SourceData.Common_SourceData_ClimateZones_Data(), Table_SourceData_ClimateZones[[#Headers],[Climate zone]], 0)</f>
        <v>-999999</v>
      </c>
      <c r="S95" s="39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9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9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9" t="str" cm="1">
        <f t="array" ref="F96">Common_InputFunctions.Utility_DisplayArrayInTable(Common_SourceData.Common_SourceData_ClimateZones_Data(), Table_SourceData_ClimateZones[[#Headers],[Climate zone]], 0)</f>
        <v>Any</v>
      </c>
      <c r="G96" s="39" t="str" cm="1">
        <f t="array" ref="G96">Common_InputFunctions.Utility_DisplayArrayInTable(Common_SourceData.Common_SourceData_ClimateZones_Data(), Table_SourceData_ClimateZones[[#Headers],[Climate zone]], 0)</f>
        <v>Any</v>
      </c>
      <c r="H96" s="39" t="str" cm="1">
        <f t="array" ref="H96">Common_InputFunctions.Utility_DisplayArrayInTable(Common_SourceData.Common_SourceData_ClimateZones_Data(), Table_SourceData_ClimateZones[[#Headers],[Climate zone]], 0)</f>
        <v>Any</v>
      </c>
      <c r="I96" s="39" t="str" cm="1">
        <f t="array" ref="I96">Common_InputFunctions.Utility_DisplayArrayInTable(Common_SourceData.Common_SourceData_ClimateZones_Data(), Table_SourceData_ClimateZones[[#Headers],[Climate zone]], 0)</f>
        <v>&gt; 1</v>
      </c>
      <c r="J96" s="39" cm="1">
        <f t="array" ref="J96">Common_InputFunctions.Utility_DisplayArrayInTable(Common_SourceData.Common_SourceData_ClimateZones_Data(), Table_SourceData_ClimateZones[[#Headers],[Climate zone]], 0)</f>
        <v>-999999</v>
      </c>
      <c r="K96" s="39" cm="1">
        <f t="array" ref="K96">Common_InputFunctions.Utility_DisplayArrayInTable(Common_SourceData.Common_SourceData_ClimateZones_Data(), Table_SourceData_ClimateZones[[#Headers],[Climate zone]], 0)</f>
        <v>10</v>
      </c>
      <c r="L96" s="39" cm="1">
        <f t="array" ref="L96">Common_InputFunctions.Utility_DisplayArrayInTable(Common_SourceData.Common_SourceData_ClimateZones_Data(), Table_SourceData_ClimateZones[[#Headers],[Climate zone]], 0)</f>
        <v>-999999</v>
      </c>
      <c r="M96" s="39" cm="1">
        <f t="array" ref="M96">Common_InputFunctions.Utility_DisplayArrayInTable(Common_SourceData.Common_SourceData_ClimateZones_Data(), Table_SourceData_ClimateZones[[#Headers],[Climate zone]], 0)</f>
        <v>999999</v>
      </c>
      <c r="N96" s="39" cm="1">
        <f t="array" ref="N96">Common_InputFunctions.Utility_DisplayArrayInTable(Common_SourceData.Common_SourceData_ClimateZones_Data(), Table_SourceData_ClimateZones[[#Headers],[Climate zone]], 0)</f>
        <v>-999999</v>
      </c>
      <c r="O96" s="39" cm="1">
        <f t="array" ref="O96">Common_InputFunctions.Utility_DisplayArrayInTable(Common_SourceData.Common_SourceData_ClimateZones_Data(), Table_SourceData_ClimateZones[[#Headers],[Climate zone]], 0)</f>
        <v>999999</v>
      </c>
      <c r="P96" s="39" cm="1">
        <f t="array" ref="P96">Common_InputFunctions.Utility_DisplayArrayInTable(Common_SourceData.Common_SourceData_ClimateZones_Data(), Table_SourceData_ClimateZones[[#Headers],[Climate zone]], 0)</f>
        <v>-999999</v>
      </c>
      <c r="Q96" s="39" cm="1">
        <f t="array" ref="Q96">Common_InputFunctions.Utility_DisplayArrayInTable(Common_SourceData.Common_SourceData_ClimateZones_Data(), Table_SourceData_ClimateZones[[#Headers],[Climate zone]], 0)</f>
        <v>999999</v>
      </c>
      <c r="R96" s="39" cm="1">
        <f t="array" ref="R96">Common_InputFunctions.Utility_DisplayArrayInTable(Common_SourceData.Common_SourceData_ClimateZones_Data(), Table_SourceData_ClimateZones[[#Headers],[Climate zone]], 0)</f>
        <v>1.0009999999999999</v>
      </c>
      <c r="S96" s="39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9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9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9" t="str" cm="1">
        <f t="array" ref="F97">Common_InputFunctions.Utility_DisplayArrayInTable(Common_SourceData.Common_SourceData_ClimateZones_Data(), Table_SourceData_ClimateZones[[#Headers],[Climate zone]], 0)</f>
        <v>Any</v>
      </c>
      <c r="G97" s="39" t="str" cm="1">
        <f t="array" ref="G97">Common_InputFunctions.Utility_DisplayArrayInTable(Common_SourceData.Common_SourceData_ClimateZones_Data(), Table_SourceData_ClimateZones[[#Headers],[Climate zone]], 0)</f>
        <v>Any</v>
      </c>
      <c r="H97" s="39" t="str" cm="1">
        <f t="array" ref="H97">Common_InputFunctions.Utility_DisplayArrayInTable(Common_SourceData.Common_SourceData_ClimateZones_Data(), Table_SourceData_ClimateZones[[#Headers],[Climate zone]], 0)</f>
        <v>Any</v>
      </c>
      <c r="I97" s="39" t="str" cm="1">
        <f t="array" ref="I97">Common_InputFunctions.Utility_DisplayArrayInTable(Common_SourceData.Common_SourceData_ClimateZones_Data(), Table_SourceData_ClimateZones[[#Headers],[Climate zone]], 0)</f>
        <v>≤ 1</v>
      </c>
      <c r="J97" s="39" cm="1">
        <f t="array" ref="J97">Common_InputFunctions.Utility_DisplayArrayInTable(Common_SourceData.Common_SourceData_ClimateZones_Data(), Table_SourceData_ClimateZones[[#Headers],[Climate zone]], 0)</f>
        <v>-999999</v>
      </c>
      <c r="K97" s="39" cm="1">
        <f t="array" ref="K97">Common_InputFunctions.Utility_DisplayArrayInTable(Common_SourceData.Common_SourceData_ClimateZones_Data(), Table_SourceData_ClimateZones[[#Headers],[Climate zone]], 0)</f>
        <v>10</v>
      </c>
      <c r="L97" s="39" cm="1">
        <f t="array" ref="L97">Common_InputFunctions.Utility_DisplayArrayInTable(Common_SourceData.Common_SourceData_ClimateZones_Data(), Table_SourceData_ClimateZones[[#Headers],[Climate zone]], 0)</f>
        <v>-999999</v>
      </c>
      <c r="M97" s="39" cm="1">
        <f t="array" ref="M97">Common_InputFunctions.Utility_DisplayArrayInTable(Common_SourceData.Common_SourceData_ClimateZones_Data(), Table_SourceData_ClimateZones[[#Headers],[Climate zone]], 0)</f>
        <v>999999</v>
      </c>
      <c r="N97" s="39" cm="1">
        <f t="array" ref="N97">Common_InputFunctions.Utility_DisplayArrayInTable(Common_SourceData.Common_SourceData_ClimateZones_Data(), Table_SourceData_ClimateZones[[#Headers],[Climate zone]], 0)</f>
        <v>-999999</v>
      </c>
      <c r="O97" s="39" cm="1">
        <f t="array" ref="O97">Common_InputFunctions.Utility_DisplayArrayInTable(Common_SourceData.Common_SourceData_ClimateZones_Data(), Table_SourceData_ClimateZones[[#Headers],[Climate zone]], 0)</f>
        <v>999999</v>
      </c>
      <c r="P97" s="39" cm="1">
        <f t="array" ref="P97">Common_InputFunctions.Utility_DisplayArrayInTable(Common_SourceData.Common_SourceData_ClimateZones_Data(), Table_SourceData_ClimateZones[[#Headers],[Climate zone]], 0)</f>
        <v>-999999</v>
      </c>
      <c r="Q97" s="39" cm="1">
        <f t="array" ref="Q97">Common_InputFunctions.Utility_DisplayArrayInTable(Common_SourceData.Common_SourceData_ClimateZones_Data(), Table_SourceData_ClimateZones[[#Headers],[Climate zone]], 0)</f>
        <v>999999</v>
      </c>
      <c r="R97" s="39" cm="1">
        <f t="array" ref="R97">Common_InputFunctions.Utility_DisplayArrayInTable(Common_SourceData.Common_SourceData_ClimateZones_Data(), Table_SourceData_ClimateZones[[#Headers],[Climate zone]], 0)</f>
        <v>-999999</v>
      </c>
      <c r="S97" s="39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7" t="str" cm="1">
        <f t="array" ref="D98:D101">Common_SourceData.Common_SourceData_ClimateZones_Appendices()</f>
        <v>Note:</v>
      </c>
    </row>
    <row r="99" spans="4:19" ht="20.100000000000001" customHeight="1" x14ac:dyDescent="0.25">
      <c r="D99" s="57" t="str">
        <v>MAT = mean annual temperature</v>
      </c>
    </row>
    <row r="100" spans="4:19" ht="20.100000000000001" customHeight="1" x14ac:dyDescent="0.25">
      <c r="D100" s="57" t="str">
        <v>MAP = mean annual precipitation</v>
      </c>
    </row>
    <row r="101" spans="4:19" ht="20.100000000000001" customHeight="1" x14ac:dyDescent="0.25">
      <c r="D101" s="57" t="str">
        <v>PET = potential evapotranspiration</v>
      </c>
    </row>
    <row r="102" spans="4:19" ht="20.100000000000001" customHeight="1" x14ac:dyDescent="0.25">
      <c r="D102" s="57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8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9" t="s">
        <v>56</v>
      </c>
      <c r="E109" s="39" t="s">
        <v>37</v>
      </c>
      <c r="F109" s="39" t="s">
        <v>57</v>
      </c>
      <c r="G109" s="39" t="s">
        <v>58</v>
      </c>
    </row>
    <row r="110" spans="4:19" ht="20.100000000000001" customHeight="1" x14ac:dyDescent="0.25">
      <c r="D110" s="39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9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9" cm="1">
        <f t="array" ref="F110">Common_InputFunctions.Utility_DisplayArrayInTable(Common_SourceData.Common_SourceData_TemperatureZones_Data(),Table_SourceData_TemperatureZones[[#Headers],[Temperature Zone]],0)</f>
        <v>26</v>
      </c>
      <c r="G110" s="39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9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9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9" cm="1">
        <f t="array" ref="F111">Common_InputFunctions.Utility_DisplayArrayInTable(Common_SourceData.Common_SourceData_TemperatureZones_Data(),Table_SourceData_TemperatureZones[[#Headers],[Temperature Zone]],0)</f>
        <v>15</v>
      </c>
      <c r="G111" s="39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9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9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9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9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8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9" t="s">
        <v>59</v>
      </c>
      <c r="E119" s="39" t="s">
        <v>60</v>
      </c>
      <c r="F119" s="39" t="s">
        <v>44</v>
      </c>
      <c r="G119" s="39" t="s">
        <v>45</v>
      </c>
      <c r="BM119" s="7"/>
    </row>
    <row r="120" spans="4:65" ht="20.100000000000001" customHeight="1" x14ac:dyDescent="0.25">
      <c r="D120" s="39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9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9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9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9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9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9" cm="1">
        <f t="array" ref="F121">Common_InputFunctions.Utility_DisplayArrayInTable(Common_SourceData.Common_SourceData_RainfallZones_Data(),Table_SourceData_RainfallZones[[#Headers],[Rainfall Zone]],0)</f>
        <v>-999999</v>
      </c>
      <c r="G121" s="39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9" t="s">
        <v>66</v>
      </c>
      <c r="E127" s="39" t="s">
        <v>67</v>
      </c>
    </row>
    <row r="128" spans="4:65" ht="20.100000000000001" customHeight="1" x14ac:dyDescent="0.25">
      <c r="D128" s="39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9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9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9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9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Common_SourceData.Common_SourceData_DataScores_Scope3_Title()</f>
        <v>Australian data scores for scope 3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Common_SourceData.Common_SourceData_DataScores_Scope3_Source()</f>
        <v>VEERG 2026: XXXXXXXX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BM141" s="7"/>
    </row>
    <row r="142" spans="4:76" ht="20.100000000000001" customHeight="1" x14ac:dyDescent="0.25">
      <c r="D142" s="39" t="s">
        <v>69</v>
      </c>
      <c r="E142" s="39" t="s">
        <v>70</v>
      </c>
      <c r="BM142" s="7"/>
    </row>
    <row r="143" spans="4:76" ht="20.100000000000001" customHeight="1" x14ac:dyDescent="0.25">
      <c r="D143" s="39" t="str" cm="1">
        <f t="array" ref="D143">Common_InputFunctions.Utility_DisplayArrayInTable(Common_SourceData.Common_SourceData_DataScores_Scope3_Data(), Table_SourceData_DataScores_Scope3[[#Headers],[Data source]], 0)</f>
        <v>International scope 3 database</v>
      </c>
      <c r="E143" s="39" cm="1">
        <f t="array" ref="E143">Common_InputFunctions.Utility_DisplayArrayInTable(Common_SourceData.Common_SourceData_DataScores_Scope3_Data(), Table_SourceData_DataScores_Scope3[[#Headers],[Data source]], 0)</f>
        <v>1</v>
      </c>
      <c r="BM143" s="7"/>
    </row>
    <row r="144" spans="4:76" ht="20.100000000000001" customHeight="1" x14ac:dyDescent="0.25">
      <c r="D144" s="39" t="str" cm="1">
        <f t="array" ref="D144">Common_InputFunctions.Utility_DisplayArrayInTable(Common_SourceData.Common_SourceData_DataScores_Scope3_Data(), Table_SourceData_DataScores_Scope3[[#Headers],[Data source]], 0)</f>
        <v>Australian scope 3 database</v>
      </c>
      <c r="E144" s="39" cm="1">
        <f t="array" ref="E144">Common_InputFunctions.Utility_DisplayArrayInTable(Common_SourceData.Common_SourceData_DataScores_Scope3_Data(), Table_SourceData_DataScores_Scope3[[#Headers],[Data source]], 0)</f>
        <v>2</v>
      </c>
      <c r="BM144" s="7"/>
    </row>
    <row r="145" spans="4:65" ht="20.100000000000001" customHeight="1" x14ac:dyDescent="0.25">
      <c r="D145" s="39" t="str" cm="1">
        <f t="array" ref="D145">Common_InputFunctions.Utility_DisplayArrayInTable(Common_SourceData.Common_SourceData_DataScores_Scope3_Data(), Table_SourceData_DataScores_Scope3[[#Headers],[Data source]], 0)</f>
        <v>State or regional scope 3 database</v>
      </c>
      <c r="E145" s="39" cm="1">
        <f t="array" ref="E145">Common_InputFunctions.Utility_DisplayArrayInTable(Common_SourceData.Common_SourceData_DataScores_Scope3_Data(), Table_SourceData_DataScores_Scope3[[#Headers],[Data source]], 0)</f>
        <v>3</v>
      </c>
      <c r="BM145" s="7"/>
    </row>
    <row r="146" spans="4:65" ht="20.100000000000001" customHeight="1" x14ac:dyDescent="0.25">
      <c r="D146" s="39" t="str" cm="1">
        <f t="array" ref="D146">Common_InputFunctions.Utility_DisplayArrayInTable(Common_SourceData.Common_SourceData_DataScores_Scope3_Data(), Table_SourceData_DataScores_Scope3[[#Headers],[Data source]], 0)</f>
        <v>Emissions intensity calculated from approved method</v>
      </c>
      <c r="E146" s="39" cm="1">
        <f t="array" ref="E146">Common_InputFunctions.Utility_DisplayArrayInTable(Common_SourceData.Common_SourceData_DataScores_Scope3_Data(), Table_SourceData_DataScores_Scope3[[#Headers],[Data source]], 0)</f>
        <v>4</v>
      </c>
      <c r="BM146" s="7"/>
    </row>
    <row r="147" spans="4:65" ht="20.100000000000001" customHeight="1" x14ac:dyDescent="0.25">
      <c r="D147" s="39" t="str" cm="1">
        <f t="array" ref="D147">Common_InputFunctions.Utility_DisplayArrayInTable(Common_SourceData.Common_SourceData_DataScores_Scope3_Data(), Table_SourceData_DataScores_Scope3[[#Headers],[Data source]], 0)</f>
        <v>Verified credential matching ISO14067</v>
      </c>
      <c r="E147" s="39" cm="1">
        <f t="array" ref="E147">Common_InputFunctions.Utility_DisplayArrayInTable(Common_SourceData.Common_SourceData_DataScores_Scope3_Data(), Table_SourceData_DataScores_Scope3[[#Headers],[Data source]], 0)</f>
        <v>5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Common_SourceData.Common_SourceData_FracLEACH_Title()</f>
        <v>Fraction of N that is available for leaching and runoff</v>
      </c>
      <c r="E150" s="24"/>
      <c r="BM150" s="7"/>
    </row>
    <row r="151" spans="4:65" ht="20.100000000000001" customHeight="1" x14ac:dyDescent="0.25">
      <c r="D151" s="5" t="str" cm="1">
        <f t="array" ref="D151">Common_SourceData.Common_SourceData_FracLEACH_Source()</f>
        <v>VEERG 2026:5.5.2.3 Constant Parameters</v>
      </c>
      <c r="E151" s="24"/>
      <c r="BM151" s="7"/>
    </row>
    <row r="152" spans="4:65" ht="20.100000000000001" customHeight="1" x14ac:dyDescent="0.25">
      <c r="D152" s="5" t="str" cm="1">
        <f t="array" ref="D152">Common_SourceData.Common_SourceData_FracLEACH_NIRReference()</f>
        <v>National Inventory Report Volume 1: Leaching and runoff (3.D.b.2)</v>
      </c>
      <c r="E152" s="24"/>
      <c r="BM152" s="7"/>
    </row>
    <row r="153" spans="4:65" ht="20.100000000000001" customHeight="1" x14ac:dyDescent="0.25">
      <c r="D153" s="24" t="str" cm="1">
        <f t="array" ref="D153:E153">Common_SourceData.Common_SourceData_FracLEACH_Data()</f>
        <v>FracLEACH</v>
      </c>
      <c r="E153" s="24">
        <v>0.24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6" t="str" cm="1">
        <f t="array" ref="D156">Common_SourceData.Common_SourceData_EFleach_Title()</f>
        <v>Emission factor for nitrogen leaching and runoff</v>
      </c>
    </row>
    <row r="157" spans="4:65" ht="20.100000000000001" customHeight="1" x14ac:dyDescent="0.25">
      <c r="D157" s="5" t="str" cm="1">
        <f t="array" ref="D157">Common_SourceData.Common_SourceData_EFleach_Source()</f>
        <v>VEERG 2026:5.5.2.3 Constant Parameters</v>
      </c>
    </row>
    <row r="158" spans="4:65" ht="20.100000000000001" customHeight="1" x14ac:dyDescent="0.25">
      <c r="D158" s="5" t="str" cm="1">
        <f t="array" ref="D158">Common_SourceData.Common_SourceData_EFleach_NIRReference()</f>
        <v>National Inventory Report Volume 1: Equation 3.D.B_10</v>
      </c>
    </row>
    <row r="159" spans="4:65" ht="20.100000000000001" customHeight="1" x14ac:dyDescent="0.25">
      <c r="D159" s="1" t="str" cm="1">
        <f t="array" ref="D159:E159">Common_SourceData.Common_SourceData_EFleach_Data()</f>
        <v>EFleach</v>
      </c>
      <c r="E159" s="1">
        <v>1.0999999999999999E-2</v>
      </c>
    </row>
    <row r="160" spans="4:65" ht="20.100000000000001" customHeight="1" x14ac:dyDescent="0.25"/>
    <row r="161" spans="4:67" ht="20.100000000000001" customHeight="1" x14ac:dyDescent="0.25"/>
    <row r="162" spans="4:67" ht="20.100000000000001" customHeight="1" x14ac:dyDescent="0.25">
      <c r="D162" s="6" t="str" cm="1">
        <f t="array" ref="D162">Common_SourceData.Common_SourceData_DensityOfMethane_Title()</f>
        <v>p = density of methane</v>
      </c>
    </row>
    <row r="163" spans="4:67" ht="20.100000000000001" customHeight="1" x14ac:dyDescent="0.25">
      <c r="D163" s="5" t="str" cm="1">
        <f t="array" ref="D163">Common_SourceData.Common_SourceData_DensityOfMethane_Source()</f>
        <v>National Inventory Report 2023 Volume 1: Equations 3.B.1a_2, 3.B.1c_2, 3.B.3_1, 3.B.4g_2</v>
      </c>
    </row>
    <row r="164" spans="4:67" ht="20.100000000000001" customHeight="1" x14ac:dyDescent="0.25">
      <c r="D164" s="1" cm="1">
        <f t="array" ref="D164">Common_SourceData.Common_SourceData_DensityOfMethane_Data()</f>
        <v>0.6784</v>
      </c>
      <c r="E164" s="57" t="str" cm="1">
        <f t="array" ref="E164">Common_SourceData.Common_SourceData_DensityOfMethane_Unit()</f>
        <v>kg/m3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Common_SourceData.Common_SourceData_EFN2O_Title()</f>
        <v>Nitrous oxide emission factors for inorganic fertiliser application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Common_SourceData.Common_SourceData_EFN2O_Source()</f>
        <v>VEERG 2026: Table A.2.2.1</v>
      </c>
      <c r="BM168" s="7"/>
      <c r="BN168" s="7"/>
      <c r="BO168" s="7"/>
    </row>
    <row r="169" spans="4:67" ht="20.100000000000001" customHeight="1" x14ac:dyDescent="0.25">
      <c r="D169" s="57" t="str" cm="1">
        <f t="array" ref="D169">Common_SourceData.Common_SourceData_EFN2O_Unit()</f>
        <v>(kg N2O-N / kg N</v>
      </c>
      <c r="BM169" s="7"/>
      <c r="BN169" s="7"/>
      <c r="BO169" s="7"/>
    </row>
    <row r="170" spans="4:67" ht="20.100000000000001" customHeight="1" x14ac:dyDescent="0.25">
      <c r="D170" s="58" t="str" cm="1">
        <f t="array" ref="D170:D174">Common_SourceData.Common_SourceData_EFN2O_Variation()</f>
        <v>VARIATION OF SOURCE DATA:</v>
      </c>
      <c r="BM170" s="7"/>
      <c r="BN170" s="7"/>
      <c r="BO170" s="7"/>
    </row>
    <row r="171" spans="4:67" ht="20.100000000000001" customHeight="1" x14ac:dyDescent="0.25">
      <c r="D171" s="58" t="str">
        <v>Removed duplicate 'Aquaculture' row.</v>
      </c>
      <c r="BM171" s="7"/>
      <c r="BN171" s="7"/>
      <c r="BO171" s="7"/>
    </row>
    <row r="172" spans="4:67" ht="20.100000000000001" customHeight="1" x14ac:dyDescent="0.25">
      <c r="D172" s="58" t="str">
        <v>Removed asterisks to aid lookup.</v>
      </c>
      <c r="BM172" s="7"/>
      <c r="BN172" s="7"/>
      <c r="BO172" s="7"/>
    </row>
    <row r="173" spans="4:67" ht="20.100000000000001" customHeight="1" x14ac:dyDescent="0.25">
      <c r="D173" s="58" t="str">
        <v>Added 'production system only', 'rainfall zone' and 'irrigation method' columns to aid lookup.</v>
      </c>
      <c r="BM173" s="7"/>
      <c r="BN173" s="7"/>
      <c r="BO173" s="7"/>
    </row>
    <row r="174" spans="4:67" ht="20.100000000000001" customHeight="1" x14ac:dyDescent="0.25">
      <c r="D174" s="58" t="str">
        <v>Duplicated 'non-irrigated pasture' row with same EF for low and high rainfall zones to aid lookup.</v>
      </c>
      <c r="BM174" s="7"/>
      <c r="BN174" s="7"/>
      <c r="BO174" s="7"/>
    </row>
    <row r="175" spans="4:67" ht="20.100000000000001" customHeight="1" x14ac:dyDescent="0.25">
      <c r="D175" s="39" t="s">
        <v>198</v>
      </c>
      <c r="E175" s="39" t="s">
        <v>199</v>
      </c>
      <c r="F175" s="39" t="s">
        <v>200</v>
      </c>
      <c r="G175" s="39" t="s">
        <v>201</v>
      </c>
      <c r="H175" s="39" t="s">
        <v>36</v>
      </c>
      <c r="J175" s="1" t="s">
        <v>387</v>
      </c>
      <c r="BM175" s="7"/>
      <c r="BN175" s="7"/>
      <c r="BO175" s="7"/>
    </row>
    <row r="176" spans="4:67" ht="20.100000000000001" customHeight="1" x14ac:dyDescent="0.25">
      <c r="D176" s="39" t="str" cm="1">
        <f t="array" ref="D176">Common_InputFunctions.Utility_DisplayArrayInTable(Common_SourceData.Common_SourceData_EFN2O_Data(), Table_SourceData_Common_EFN2O[[#Headers],[Production system j]], 0)</f>
        <v>Irrigated pasture</v>
      </c>
      <c r="E176" s="39" cm="1">
        <f t="array" ref="E176">Common_InputFunctions.Utility_DisplayArrayInTable(Common_SourceData.Common_SourceData_EFN2O_Data(), Table_SourceData_Common_EFN2O[[#Headers],[Production system j]], 0)</f>
        <v>5.8999999999999999E-3</v>
      </c>
      <c r="F176" s="39" t="str" cm="1">
        <f t="array" ref="F176">Common_InputFunctions.Utility_DisplayArrayInTable(Common_SourceData.Common_SourceData_EFN2O_Data(), Table_SourceData_Common_EFN2O[[#Headers],[Production system j]], 0)</f>
        <v>Pasture</v>
      </c>
      <c r="G176" s="39" t="str" cm="1">
        <f t="array" ref="G176">Common_InputFunctions.Utility_DisplayArrayInTable(Common_SourceData.Common_SourceData_EFN2O_Data(), Table_SourceData_Common_EFN2O[[#Headers],[Production system j]], 0)</f>
        <v>Any</v>
      </c>
      <c r="H176" s="39" t="str" cm="1">
        <f t="array" ref="H176">Common_InputFunctions.Utility_DisplayArrayInTable(Common_SourceData.Common_SourceData_EFN2O_Data(), Table_SourceData_Common_EFN2O[[#Headers],[Production system j]], 0)</f>
        <v>Any</v>
      </c>
      <c r="J176" s="1" t="s">
        <v>388</v>
      </c>
      <c r="BM176" s="7"/>
      <c r="BN176" s="7"/>
      <c r="BO176" s="7"/>
    </row>
    <row r="177" spans="4:67" ht="20.100000000000001" customHeight="1" x14ac:dyDescent="0.25">
      <c r="D177" s="39" t="str" cm="1">
        <f t="array" ref="D177">Common_InputFunctions.Utility_DisplayArrayInTable(Common_SourceData.Common_SourceData_EFN2O_Data(), Table_SourceData_Common_EFN2O[[#Headers],[Production system j]], 0)</f>
        <v>Irrigated crop</v>
      </c>
      <c r="E177" s="39" cm="1">
        <f t="array" ref="E177">Common_InputFunctions.Utility_DisplayArrayInTable(Common_SourceData.Common_SourceData_EFN2O_Data(), Table_SourceData_Common_EFN2O[[#Headers],[Production system j]], 0)</f>
        <v>7.0000000000000001E-3</v>
      </c>
      <c r="F177" s="39" t="str" cm="1">
        <f t="array" ref="F177">Common_InputFunctions.Utility_DisplayArrayInTable(Common_SourceData.Common_SourceData_EFN2O_Data(), Table_SourceData_Common_EFN2O[[#Headers],[Production system j]], 0)</f>
        <v>Crop</v>
      </c>
      <c r="G177" s="39" t="str" cm="1">
        <f t="array" ref="G177">Common_InputFunctions.Utility_DisplayArrayInTable(Common_SourceData.Common_SourceData_EFN2O_Data(), Table_SourceData_Common_EFN2O[[#Headers],[Production system j]], 0)</f>
        <v>Any</v>
      </c>
      <c r="H177" s="39" t="str" cm="1">
        <f t="array" ref="H177">Common_InputFunctions.Utility_DisplayArrayInTable(Common_SourceData.Common_SourceData_EFN2O_Data(), Table_SourceData_Common_EFN2O[[#Headers],[Production system j]], 0)</f>
        <v>Any</v>
      </c>
      <c r="J177" s="1" t="s">
        <v>389</v>
      </c>
      <c r="BM177" s="7"/>
      <c r="BN177" s="7"/>
      <c r="BO177" s="7"/>
    </row>
    <row r="178" spans="4:67" ht="20.100000000000001" customHeight="1" x14ac:dyDescent="0.25">
      <c r="D178" s="39" t="str" cm="1">
        <f t="array" ref="D178">Common_InputFunctions.Utility_DisplayArrayInTable(Common_SourceData.Common_SourceData_EFN2O_Data(), Table_SourceData_Common_EFN2O[[#Headers],[Production system j]], 0)</f>
        <v>Non-irrigated pasture</v>
      </c>
      <c r="E178" s="39" cm="1">
        <f t="array" ref="E178">Common_InputFunctions.Utility_DisplayArrayInTable(Common_SourceData.Common_SourceData_EFN2O_Data(), Table_SourceData_Common_EFN2O[[#Headers],[Production system j]], 0)</f>
        <v>1.8E-3</v>
      </c>
      <c r="F178" s="39" t="str" cm="1">
        <f t="array" ref="F178">Common_InputFunctions.Utility_DisplayArrayInTable(Common_SourceData.Common_SourceData_EFN2O_Data(), Table_SourceData_Common_EFN2O[[#Headers],[Production system j]], 0)</f>
        <v>Pasture</v>
      </c>
      <c r="G178" s="39" t="str" cm="1">
        <f t="array" ref="G178">Common_InputFunctions.Utility_DisplayArrayInTable(Common_SourceData.Common_SourceData_EFN2O_Data(), Table_SourceData_Common_EFN2O[[#Headers],[Production system j]], 0)</f>
        <v>Not irrigated</v>
      </c>
      <c r="H178" s="39" t="str" cm="1">
        <f t="array" ref="H178">Common_InputFunctions.Utility_DisplayArrayInTable(Common_SourceData.Common_SourceData_EFN2O_Data(), Table_SourceData_Common_EFN2O[[#Headers],[Production system j]], 0)</f>
        <v>Low rainfall</v>
      </c>
      <c r="BM178" s="7"/>
      <c r="BN178" s="7"/>
      <c r="BO178" s="7"/>
    </row>
    <row r="179" spans="4:67" ht="20.100000000000001" customHeight="1" x14ac:dyDescent="0.25">
      <c r="D179" s="39" t="str" cm="1">
        <f t="array" ref="D179">Common_InputFunctions.Utility_DisplayArrayInTable(Common_SourceData.Common_SourceData_EFN2O_Data(), Table_SourceData_Common_EFN2O[[#Headers],[Production system j]], 0)</f>
        <v>Non-irrigated pasture</v>
      </c>
      <c r="E179" s="39" cm="1">
        <f t="array" ref="E179">Common_InputFunctions.Utility_DisplayArrayInTable(Common_SourceData.Common_SourceData_EFN2O_Data(), Table_SourceData_Common_EFN2O[[#Headers],[Production system j]], 0)</f>
        <v>1.8E-3</v>
      </c>
      <c r="F179" s="39" t="str" cm="1">
        <f t="array" ref="F179">Common_InputFunctions.Utility_DisplayArrayInTable(Common_SourceData.Common_SourceData_EFN2O_Data(), Table_SourceData_Common_EFN2O[[#Headers],[Production system j]], 0)</f>
        <v>Pasture</v>
      </c>
      <c r="G179" s="39" t="str" cm="1">
        <f t="array" ref="G179">Common_InputFunctions.Utility_DisplayArrayInTable(Common_SourceData.Common_SourceData_EFN2O_Data(), Table_SourceData_Common_EFN2O[[#Headers],[Production system j]], 0)</f>
        <v>Not irrigated</v>
      </c>
      <c r="H179" s="39" t="str" cm="1">
        <f t="array" ref="H179">Common_InputFunctions.Utility_DisplayArrayInTable(Common_SourceData.Common_SourceData_EFN2O_Data(), Table_SourceData_Common_EFN2O[[#Headers],[Production system j]], 0)</f>
        <v>High rainfall</v>
      </c>
      <c r="BM179" s="7"/>
      <c r="BN179" s="7"/>
      <c r="BO179" s="7"/>
    </row>
    <row r="180" spans="4:67" ht="20.100000000000001" customHeight="1" x14ac:dyDescent="0.25">
      <c r="D180" s="39" t="str" cm="1">
        <f t="array" ref="D180">Common_InputFunctions.Utility_DisplayArrayInTable(Common_SourceData.Common_SourceData_EFN2O_Data(), Table_SourceData_Common_EFN2O[[#Headers],[Production system j]], 0)</f>
        <v>Non-irrigated crop (low rainfall)</v>
      </c>
      <c r="E180" s="39" cm="1">
        <f t="array" ref="E180">Common_InputFunctions.Utility_DisplayArrayInTable(Common_SourceData.Common_SourceData_EFN2O_Data(), Table_SourceData_Common_EFN2O[[#Headers],[Production system j]], 0)</f>
        <v>2.8999999999999998E-3</v>
      </c>
      <c r="F180" s="39" t="str" cm="1">
        <f t="array" ref="F180">Common_InputFunctions.Utility_DisplayArrayInTable(Common_SourceData.Common_SourceData_EFN2O_Data(), Table_SourceData_Common_EFN2O[[#Headers],[Production system j]], 0)</f>
        <v>Crop</v>
      </c>
      <c r="G180" s="39" t="str" cm="1">
        <f t="array" ref="G180">Common_InputFunctions.Utility_DisplayArrayInTable(Common_SourceData.Common_SourceData_EFN2O_Data(), Table_SourceData_Common_EFN2O[[#Headers],[Production system j]], 0)</f>
        <v>Not irrigated</v>
      </c>
      <c r="H180" s="39" t="str" cm="1">
        <f t="array" ref="H180">Common_InputFunctions.Utility_DisplayArrayInTable(Common_SourceData.Common_SourceData_EFN2O_Data(), Table_SourceData_Common_EFN2O[[#Headers],[Production system j]], 0)</f>
        <v>Low rainfall</v>
      </c>
    </row>
    <row r="181" spans="4:67" ht="20.100000000000001" customHeight="1" x14ac:dyDescent="0.25">
      <c r="D181" s="39" t="str" cm="1">
        <f t="array" ref="D181">Common_InputFunctions.Utility_DisplayArrayInTable(Common_SourceData.Common_SourceData_EFN2O_Data(), Table_SourceData_Common_EFN2O[[#Headers],[Production system j]], 0)</f>
        <v>Non-irrigated crop (high rainfall)</v>
      </c>
      <c r="E181" s="39" cm="1">
        <f t="array" ref="E181">Common_InputFunctions.Utility_DisplayArrayInTable(Common_SourceData.Common_SourceData_EFN2O_Data(), Table_SourceData_Common_EFN2O[[#Headers],[Production system j]], 0)</f>
        <v>8.0000000000000002E-3</v>
      </c>
      <c r="F181" s="39" t="str" cm="1">
        <f t="array" ref="F181">Common_InputFunctions.Utility_DisplayArrayInTable(Common_SourceData.Common_SourceData_EFN2O_Data(), Table_SourceData_Common_EFN2O[[#Headers],[Production system j]], 0)</f>
        <v>Crop</v>
      </c>
      <c r="G181" s="39" t="str" cm="1">
        <f t="array" ref="G181">Common_InputFunctions.Utility_DisplayArrayInTable(Common_SourceData.Common_SourceData_EFN2O_Data(), Table_SourceData_Common_EFN2O[[#Headers],[Production system j]], 0)</f>
        <v>Not irrigated</v>
      </c>
      <c r="H181" s="39" t="str" cm="1">
        <f t="array" ref="H181">Common_InputFunctions.Utility_DisplayArrayInTable(Common_SourceData.Common_SourceData_EFN2O_Data(), Table_SourceData_Common_EFN2O[[#Headers],[Production system j]], 0)</f>
        <v>High rainfall</v>
      </c>
    </row>
    <row r="182" spans="4:67" ht="20.100000000000001" customHeight="1" x14ac:dyDescent="0.25">
      <c r="D182" s="39" t="str" cm="1">
        <f t="array" ref="D182">Common_InputFunctions.Utility_DisplayArrayInTable(Common_SourceData.Common_SourceData_EFN2O_Data(), Table_SourceData_Common_EFN2O[[#Headers],[Production system j]], 0)</f>
        <v>Sugar</v>
      </c>
      <c r="E182" s="39" cm="1">
        <f t="array" ref="E182">Common_InputFunctions.Utility_DisplayArrayInTable(Common_SourceData.Common_SourceData_EFN2O_Data(), Table_SourceData_Common_EFN2O[[#Headers],[Production system j]], 0)</f>
        <v>1.9900000000000001E-2</v>
      </c>
      <c r="F182" s="39" t="str" cm="1">
        <f t="array" ref="F182">Common_InputFunctions.Utility_DisplayArrayInTable(Common_SourceData.Common_SourceData_EFN2O_Data(), Table_SourceData_Common_EFN2O[[#Headers],[Production system j]], 0)</f>
        <v>Sugar</v>
      </c>
      <c r="G182" s="39" t="str" cm="1">
        <f t="array" ref="G182">Common_InputFunctions.Utility_DisplayArrayInTable(Common_SourceData.Common_SourceData_EFN2O_Data(), Table_SourceData_Common_EFN2O[[#Headers],[Production system j]], 0)</f>
        <v>Any</v>
      </c>
      <c r="H182" s="39" t="str" cm="1">
        <f t="array" ref="H182">Common_InputFunctions.Utility_DisplayArrayInTable(Common_SourceData.Common_SourceData_EFN2O_Data(), Table_SourceData_Common_EFN2O[[#Headers],[Production system j]], 0)</f>
        <v>Any</v>
      </c>
    </row>
    <row r="183" spans="4:67" ht="20.100000000000001" customHeight="1" x14ac:dyDescent="0.25">
      <c r="D183" s="39" t="str" cm="1">
        <f t="array" ref="D183">Common_InputFunctions.Utility_DisplayArrayInTable(Common_SourceData.Common_SourceData_EFN2O_Data(), Table_SourceData_Common_EFN2O[[#Headers],[Production system j]], 0)</f>
        <v>Cotton</v>
      </c>
      <c r="E183" s="39" cm="1">
        <f t="array" ref="E183">Common_InputFunctions.Utility_DisplayArrayInTable(Common_SourceData.Common_SourceData_EFN2O_Data(), Table_SourceData_Common_EFN2O[[#Headers],[Production system j]], 0)</f>
        <v>5.3E-3</v>
      </c>
      <c r="F183" s="39" t="str" cm="1">
        <f t="array" ref="F183">Common_InputFunctions.Utility_DisplayArrayInTable(Common_SourceData.Common_SourceData_EFN2O_Data(), Table_SourceData_Common_EFN2O[[#Headers],[Production system j]], 0)</f>
        <v>Cotton</v>
      </c>
      <c r="G183" s="39" t="str" cm="1">
        <f t="array" ref="G183">Common_InputFunctions.Utility_DisplayArrayInTable(Common_SourceData.Common_SourceData_EFN2O_Data(), Table_SourceData_Common_EFN2O[[#Headers],[Production system j]], 0)</f>
        <v>Any</v>
      </c>
      <c r="H183" s="39" t="str" cm="1">
        <f t="array" ref="H183">Common_InputFunctions.Utility_DisplayArrayInTable(Common_SourceData.Common_SourceData_EFN2O_Data(), Table_SourceData_Common_EFN2O[[#Headers],[Production system j]], 0)</f>
        <v>Any</v>
      </c>
    </row>
    <row r="184" spans="4:67" ht="20.100000000000001" customHeight="1" x14ac:dyDescent="0.25">
      <c r="D184" s="39" t="str" cm="1">
        <f t="array" ref="D184">Common_InputFunctions.Utility_DisplayArrayInTable(Common_SourceData.Common_SourceData_EFN2O_Data(), Table_SourceData_Common_EFN2O[[#Headers],[Production system j]], 0)</f>
        <v>Horticultural crops</v>
      </c>
      <c r="E184" s="39" cm="1">
        <f t="array" ref="E184">Common_InputFunctions.Utility_DisplayArrayInTable(Common_SourceData.Common_SourceData_EFN2O_Data(), Table_SourceData_Common_EFN2O[[#Headers],[Production system j]], 0)</f>
        <v>6.4000000000000003E-3</v>
      </c>
      <c r="F184" s="39" t="str" cm="1">
        <f t="array" ref="F184">Common_InputFunctions.Utility_DisplayArrayInTable(Common_SourceData.Common_SourceData_EFN2O_Data(), Table_SourceData_Common_EFN2O[[#Headers],[Production system j]], 0)</f>
        <v>Horticultural crops</v>
      </c>
      <c r="G184" s="39" t="str" cm="1">
        <f t="array" ref="G184">Common_InputFunctions.Utility_DisplayArrayInTable(Common_SourceData.Common_SourceData_EFN2O_Data(), Table_SourceData_Common_EFN2O[[#Headers],[Production system j]], 0)</f>
        <v>Any</v>
      </c>
      <c r="H184" s="39" t="str" cm="1">
        <f t="array" ref="H184">Common_InputFunctions.Utility_DisplayArrayInTable(Common_SourceData.Common_SourceData_EFN2O_Data(), Table_SourceData_Common_EFN2O[[#Headers],[Production system j]], 0)</f>
        <v>Any</v>
      </c>
    </row>
    <row r="185" spans="4:67" ht="20.100000000000001" customHeight="1" x14ac:dyDescent="0.25">
      <c r="D185" s="39" t="str" cm="1">
        <f t="array" ref="D185">Common_InputFunctions.Utility_DisplayArrayInTable(Common_SourceData.Common_SourceData_EFN2O_Data(), Table_SourceData_Common_EFN2O[[#Headers],[Production system j]], 0)</f>
        <v>Rice (continuous flooding)</v>
      </c>
      <c r="E185" s="39" cm="1">
        <f t="array" ref="E185">Common_InputFunctions.Utility_DisplayArrayInTable(Common_SourceData.Common_SourceData_EFN2O_Data(), Table_SourceData_Common_EFN2O[[#Headers],[Production system j]], 0)</f>
        <v>3.0000000000000001E-3</v>
      </c>
      <c r="F185" s="39" t="str" cm="1">
        <f t="array" ref="F185">Common_InputFunctions.Utility_DisplayArrayInTable(Common_SourceData.Common_SourceData_EFN2O_Data(), Table_SourceData_Common_EFN2O[[#Headers],[Production system j]], 0)</f>
        <v>Rice</v>
      </c>
      <c r="G185" s="39" t="str" cm="1">
        <f t="array" ref="G185">Common_InputFunctions.Utility_DisplayArrayInTable(Common_SourceData.Common_SourceData_EFN2O_Data(), Table_SourceData_Common_EFN2O[[#Headers],[Production system j]], 0)</f>
        <v>Continuous flooding</v>
      </c>
      <c r="H185" s="39" t="str" cm="1">
        <f t="array" ref="H185">Common_InputFunctions.Utility_DisplayArrayInTable(Common_SourceData.Common_SourceData_EFN2O_Data(), Table_SourceData_Common_EFN2O[[#Headers],[Production system j]], 0)</f>
        <v>Any</v>
      </c>
    </row>
    <row r="186" spans="4:67" ht="20.100000000000001" customHeight="1" x14ac:dyDescent="0.25">
      <c r="D186" s="39" t="str" cm="1">
        <f t="array" ref="D186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86" s="39" cm="1">
        <f t="array" ref="E186">Common_InputFunctions.Utility_DisplayArrayInTable(Common_SourceData.Common_SourceData_EFN2O_Data(), Table_SourceData_Common_EFN2O[[#Headers],[Production system j]], 0)</f>
        <v>5.0000000000000001E-3</v>
      </c>
      <c r="F186" s="39" t="str" cm="1">
        <f t="array" ref="F186">Common_InputFunctions.Utility_DisplayArrayInTable(Common_SourceData.Common_SourceData_EFN2O_Data(), Table_SourceData_Common_EFN2O[[#Headers],[Production system j]], 0)</f>
        <v>Rice</v>
      </c>
      <c r="G186" s="39" t="str" cm="1">
        <f t="array" ref="G186">Common_InputFunctions.Utility_DisplayArrayInTable(Common_SourceData.Common_SourceData_EFN2O_Data(), Table_SourceData_Common_EFN2O[[#Headers],[Production system j]], 0)</f>
        <v>Single and multiple drainage, or alternate wetting and drying</v>
      </c>
      <c r="H186" s="39" t="str" cm="1">
        <f t="array" ref="H186">Common_InputFunctions.Utility_DisplayArrayInTable(Common_SourceData.Common_SourceData_EFN2O_Data(), Table_SourceData_Common_EFN2O[[#Headers],[Production system j]], 0)</f>
        <v>Any</v>
      </c>
    </row>
    <row r="187" spans="4:67" ht="20.100000000000001" customHeight="1" x14ac:dyDescent="0.25">
      <c r="D187" s="39" t="str" cm="1">
        <f t="array" ref="D187">Common_InputFunctions.Utility_DisplayArrayInTable(Common_SourceData.Common_SourceData_EFN2O_Data(), Table_SourceData_Common_EFN2O[[#Headers],[Production system j]], 0)</f>
        <v>Aquaculture</v>
      </c>
      <c r="E187" s="39" cm="1">
        <f t="array" ref="E187">Common_InputFunctions.Utility_DisplayArrayInTable(Common_SourceData.Common_SourceData_EFN2O_Data(), Table_SourceData_Common_EFN2O[[#Headers],[Production system j]], 0)</f>
        <v>2.5999999999999999E-3</v>
      </c>
      <c r="F187" s="39" t="str" cm="1">
        <f t="array" ref="F187">Common_InputFunctions.Utility_DisplayArrayInTable(Common_SourceData.Common_SourceData_EFN2O_Data(), Table_SourceData_Common_EFN2O[[#Headers],[Production system j]], 0)</f>
        <v>Aquaculture</v>
      </c>
      <c r="G187" s="39" t="str" cm="1">
        <f t="array" ref="G187">Common_InputFunctions.Utility_DisplayArrayInTable(Common_SourceData.Common_SourceData_EFN2O_Data(), Table_SourceData_Common_EFN2O[[#Headers],[Production system j]], 0)</f>
        <v>Any</v>
      </c>
      <c r="H187" s="39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9" t="str" cm="1">
        <f t="array" ref="D188">Common_InputFunctions.Utility_DisplayArrayInTable(Common_SourceData.Common_SourceData_EFN2O_Data(), Table_SourceData_Common_EFN2O[[#Headers],[Production system j]], 0)</f>
        <v>Forestry</v>
      </c>
      <c r="E188" s="39" cm="1">
        <f t="array" ref="E188">Common_InputFunctions.Utility_DisplayArrayInTable(Common_SourceData.Common_SourceData_EFN2O_Data(), Table_SourceData_Common_EFN2O[[#Headers],[Production system j]], 0)</f>
        <v>1.8E-3</v>
      </c>
      <c r="F188" s="39" t="str" cm="1">
        <f t="array" ref="F188">Common_InputFunctions.Utility_DisplayArrayInTable(Common_SourceData.Common_SourceData_EFN2O_Data(), Table_SourceData_Common_EFN2O[[#Headers],[Production system j]], 0)</f>
        <v>Forestry</v>
      </c>
      <c r="G188" s="39" t="str" cm="1">
        <f t="array" ref="G188">Common_InputFunctions.Utility_DisplayArrayInTable(Common_SourceData.Common_SourceData_EFN2O_Data(), Table_SourceData_Common_EFN2O[[#Headers],[Production system j]], 0)</f>
        <v>Any</v>
      </c>
      <c r="H188" s="39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/>
    <row r="190" spans="4:67" ht="20.100000000000001" customHeight="1" x14ac:dyDescent="0.25"/>
    <row r="191" spans="4:67" ht="20.100000000000001" customHeight="1" x14ac:dyDescent="0.25"/>
    <row r="192" spans="4:67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</sheetData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G16" sqref="G1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8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/>
    <row r="5" spans="1:13" ht="20.100000000000001" customHeight="1" x14ac:dyDescent="0.25"/>
    <row r="6" spans="1:13" ht="20.100000000000001" customHeight="1" x14ac:dyDescent="0.25"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D9" s="38" t="s">
        <v>81</v>
      </c>
      <c r="E9" s="39" t="s">
        <v>21</v>
      </c>
      <c r="F9" s="39" t="s">
        <v>82</v>
      </c>
      <c r="G9" s="3"/>
    </row>
    <row r="10" spans="1:13" ht="20.100000000000001" customHeight="1" x14ac:dyDescent="0.25">
      <c r="D10" s="38" t="str" cm="1">
        <f t="array" ref="D10">Common_InputFunctions.Utility_DisplayArrayInTable(CommonLivestock_SourceData.SourceData_Livestock_Common_SymbolsMMS_Data(), Table_Data_MMSSymbols[[#Headers],[Symbol]], 0)</f>
        <v>1</v>
      </c>
      <c r="E10" s="38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8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D11" s="38" t="str" cm="1">
        <f t="array" ref="D11">Common_InputFunctions.Utility_DisplayArrayInTable(CommonLivestock_SourceData.SourceData_Livestock_Common_SymbolsMMS_Data(), Table_Data_MMSSymbols[[#Headers],[Symbol]], 0)</f>
        <v>2</v>
      </c>
      <c r="E11" s="38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8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D12" s="39" t="str" cm="1">
        <f t="array" ref="D12">Common_InputFunctions.Utility_DisplayArrayInTable(CommonLivestock_SourceData.SourceData_Livestock_Common_SymbolsMMS_Data(), Table_Data_MMSSymbols[[#Headers],[Symbol]], 0)</f>
        <v>3</v>
      </c>
      <c r="E12" s="39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9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D13" s="39" t="str" cm="1">
        <f t="array" ref="D13">Common_InputFunctions.Utility_DisplayArrayInTable(CommonLivestock_SourceData.SourceData_Livestock_Common_SymbolsMMS_Data(), Table_Data_MMSSymbols[[#Headers],[Symbol]], 0)</f>
        <v>3a</v>
      </c>
      <c r="E13" s="39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9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D14" s="39" t="str" cm="1">
        <f t="array" ref="D14">Common_InputFunctions.Utility_DisplayArrayInTable(CommonLivestock_SourceData.SourceData_Livestock_Common_SymbolsMMS_Data(), Table_Data_MMSSymbols[[#Headers],[Symbol]], 0)</f>
        <v>3b</v>
      </c>
      <c r="E14" s="39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9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D15" s="39" t="str" cm="1">
        <f t="array" ref="D15">Common_InputFunctions.Utility_DisplayArrayInTable(CommonLivestock_SourceData.SourceData_Livestock_Common_SymbolsMMS_Data(), Table_Data_MMSSymbols[[#Headers],[Symbol]], 0)</f>
        <v>4</v>
      </c>
      <c r="E15" s="39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9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9" t="str" cm="1">
        <f t="array" ref="D16">Common_InputFunctions.Utility_DisplayArrayInTable(CommonLivestock_SourceData.SourceData_Livestock_Common_SymbolsMMS_Data(), Table_Data_MMSSymbols[[#Headers],[Symbol]], 0)</f>
        <v>5</v>
      </c>
      <c r="E16" s="39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9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4:8" ht="20.100000000000001" customHeight="1" x14ac:dyDescent="0.25">
      <c r="D17" s="39" t="str" cm="1">
        <f t="array" ref="D17">Common_InputFunctions.Utility_DisplayArrayInTable(CommonLivestock_SourceData.SourceData_Livestock_Common_SymbolsMMS_Data(), Table_Data_MMSSymbols[[#Headers],[Symbol]], 0)</f>
        <v>6</v>
      </c>
      <c r="E17" s="39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9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4:8" ht="20.100000000000001" customHeight="1" x14ac:dyDescent="0.25">
      <c r="D18" s="39" t="str" cm="1">
        <f t="array" ref="D18">Common_InputFunctions.Utility_DisplayArrayInTable(CommonLivestock_SourceData.SourceData_Livestock_Common_SymbolsMMS_Data(), Table_Data_MMSSymbols[[#Headers],[Symbol]], 0)</f>
        <v>7</v>
      </c>
      <c r="E18" s="39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9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4:8" ht="20.100000000000001" customHeight="1" x14ac:dyDescent="0.25">
      <c r="D19" s="39" t="str" cm="1">
        <f t="array" ref="D19">Common_InputFunctions.Utility_DisplayArrayInTable(CommonLivestock_SourceData.SourceData_Livestock_Common_SymbolsMMS_Data(), Table_Data_MMSSymbols[[#Headers],[Symbol]], 0)</f>
        <v>8</v>
      </c>
      <c r="E19" s="39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9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4:8" ht="20.100000000000001" customHeight="1" x14ac:dyDescent="0.25">
      <c r="D20" s="39" t="str" cm="1">
        <f t="array" ref="D20">Common_InputFunctions.Utility_DisplayArrayInTable(CommonLivestock_SourceData.SourceData_Livestock_Common_SymbolsMMS_Data(), Table_Data_MMSSymbols[[#Headers],[Symbol]], 0)</f>
        <v>9</v>
      </c>
      <c r="E20" s="39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9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4:8" ht="20.100000000000001" customHeight="1" x14ac:dyDescent="0.25">
      <c r="D21" s="39" t="str" cm="1">
        <f t="array" ref="D21">Common_InputFunctions.Utility_DisplayArrayInTable(CommonLivestock_SourceData.SourceData_Livestock_Common_SymbolsMMS_Data(), Table_Data_MMSSymbols[[#Headers],[Symbol]], 0)</f>
        <v>10</v>
      </c>
      <c r="E21" s="39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9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4:8" ht="20.100000000000001" customHeight="1" x14ac:dyDescent="0.25">
      <c r="D22" s="39" t="str" cm="1">
        <f t="array" ref="D22">Common_InputFunctions.Utility_DisplayArrayInTable(CommonLivestock_SourceData.SourceData_Livestock_Common_SymbolsMMS_Data(), Table_Data_MMSSymbols[[#Headers],[Symbol]], 0)</f>
        <v>11</v>
      </c>
      <c r="E22" s="39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9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4:8" ht="20.100000000000001" customHeight="1" x14ac:dyDescent="0.25">
      <c r="D23" s="39" t="str" cm="1">
        <f t="array" ref="D23">Common_InputFunctions.Utility_DisplayArrayInTable(CommonLivestock_SourceData.SourceData_Livestock_Common_SymbolsMMS_Data(), Table_Data_MMSSymbols[[#Headers],[Symbol]], 0)</f>
        <v>11a</v>
      </c>
      <c r="E23" s="39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9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4:8" ht="20.100000000000001" customHeight="1" x14ac:dyDescent="0.25">
      <c r="D24" s="39" t="str" cm="1">
        <f t="array" ref="D24">Common_InputFunctions.Utility_DisplayArrayInTable(CommonLivestock_SourceData.SourceData_Livestock_Common_SymbolsMMS_Data(), Table_Data_MMSSymbols[[#Headers],[Symbol]], 0)</f>
        <v>11b</v>
      </c>
      <c r="E24" s="39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9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4:8" ht="20.100000000000001" customHeight="1" x14ac:dyDescent="0.25">
      <c r="D25" s="39" t="str" cm="1">
        <f t="array" ref="D25">Common_InputFunctions.Utility_DisplayArrayInTable(CommonLivestock_SourceData.SourceData_Livestock_Common_SymbolsMMS_Data(), Table_Data_MMSSymbols[[#Headers],[Symbol]], 0)</f>
        <v>12</v>
      </c>
      <c r="E25" s="39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9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4:8" ht="20.100000000000001" customHeight="1" x14ac:dyDescent="0.25">
      <c r="D26" s="39" t="str" cm="1">
        <f t="array" ref="D26">Common_InputFunctions.Utility_DisplayArrayInTable(CommonLivestock_SourceData.SourceData_Livestock_Common_SymbolsMMS_Data(), Table_Data_MMSSymbols[[#Headers],[Symbol]], 0)</f>
        <v>13</v>
      </c>
      <c r="E26" s="39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9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4:8" ht="20.100000000000001" customHeight="1" x14ac:dyDescent="0.25">
      <c r="D27" s="39" t="str" cm="1">
        <f t="array" ref="D27">Common_InputFunctions.Utility_DisplayArrayInTable(CommonLivestock_SourceData.SourceData_Livestock_Common_SymbolsMMS_Data(), Table_Data_MMSSymbols[[#Headers],[Symbol]], 0)</f>
        <v>14</v>
      </c>
      <c r="E27" s="39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9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4:8" ht="20.100000000000001" customHeight="1" x14ac:dyDescent="0.25">
      <c r="G28" s="3"/>
      <c r="H28" s="3"/>
    </row>
    <row r="29" spans="4:8" ht="20.100000000000001" customHeight="1" x14ac:dyDescent="0.25"/>
    <row r="30" spans="4:8" ht="20.100000000000001" customHeight="1" x14ac:dyDescent="0.25"/>
    <row r="31" spans="4:8" ht="20.100000000000001" customHeight="1" x14ac:dyDescent="0.25"/>
    <row r="32" spans="4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0" t="s">
        <v>79</v>
      </c>
    </row>
    <row r="17" spans="1:1" ht="20.100000000000001" customHeight="1" x14ac:dyDescent="0.25">
      <c r="A17" s="70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70" t="s">
        <v>1</v>
      </c>
    </row>
    <row r="23" spans="1:1" ht="20.100000000000001" customHeight="1" x14ac:dyDescent="0.25">
      <c r="A23" s="70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0" t="s">
        <v>79</v>
      </c>
    </row>
    <row r="32" spans="1:1" ht="20.100000000000001" customHeight="1" x14ac:dyDescent="0.25">
      <c r="A32" s="70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0" t="s">
        <v>2</v>
      </c>
    </row>
    <row r="41" spans="1:1" ht="20.100000000000001" customHeight="1" x14ac:dyDescent="0.25">
      <c r="A41" s="47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GsAZwAgAEQATQAvAGgAZQBhAGQALwBkAGEAeQAp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GsAZwAgAEQATQAvAGgAZQBhAGQALwBkAGEAeQ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EAGkAbQBlAG4AcwBpAG8AbgBsAGUAcwBz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CIAfQAsAHsAIgBwAGEAdABoACIAOgAiAC8AcAByAG8AagBlAGMAdABzAC8ATQBNAFMAXwBEAGEAaQ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1ACAATQBlAHQAaABvAGQAIAAxACAALQAgAE0AYQBuAHUAcgBlACAAQQB0AG0AbwBzAHAAaABlAHIAaQBjACAARABlAHAAbwBzAGkAdABpAG8Abg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UAXwBfADEAXwBBAG4AbgB1AGEAbABBAHQAbQBvAHMAcABoAGUAcgBpAGMARABlAHAAbwBzAGkAdABpAG8AbgBFAG0AaQBzAHMAaQBvAG4AcwBGAHIAbwBtAE0ATQBTAFwAbgBBAG4AbgB1AGEAbAAgAGEAdABtAG8AcwBwAGgAZQByAGkAYwAgAGQAZQBwAG8AcwBpAHQAaQBvAG4AIABlAG0AaQBzAHMAaQBvAG4AcwAgAGYAcgBvAG0AIABNAE0AUwBcAG4ARQBfAE4AMgBPAE0ATQBTAGEAZABcAG4AdAAgAE4AMgBPAFwAbgBFAF8AewBOADIATwAsAE0ATQBTACwAYQBkAH0APQBNAE4AXwB7AEEAVABNAE8AUwB9AFwAXAB0AGkAbQBlAHMAIABFAEYAXwB7AE4AMgBPAH0AXABcAHQAaQBtAGUAcwAgAEMAXwB7AE4AMgBPAH0AXABcAHQAaQBtAGUAcwAgADEAMABeAHsALQAzAH0AXABuAE0ATg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UAXwBfADEAXwBBAG4AbgB1AGEAbABBAHQAbQBvAHMAcABoAGUAcgBpAGMARABlAHAAbwBzAGkAdABpAG8AbgBFAG0AaQBzAHMAaQBvAG4AcwBGAHIAbwBtAE0ATQBTAFwAbgAgACAAPQBMAEEATQBCAEQAQQAoAFwAbgAgACAAIAAgAE0ATgBfAEEAVABNAE8AUwAsACAARQBGAF8ATgAyAE8ALAAgAEMAXwBOADIATwAsAFwAbgAgACAAIAAgAE0ATgBfAEEAVABNAE8AUwAgACoAIABFAEYAXwBOADIATwAgACoAIABDAF8ATgAyAE8AIAAqACAAMQAwACAAXgAgAC0AMwBcAG4AIAAgACkAOwBcAG4AXABuAFYARQBFAFIARwBfADQAXwAzAF8AMQBfADUAXwBfADEAXwBBAG4AbgB1AGEAbABBAHQAbQBvAHMAcABoAGUAcgBpAGMARABlAHAAbwBzAGkAdABpAG8AbgBFAG0AaQBzAHMAaQBvAG4AcwBGAHIAbwBtAE0ATQBTAF8AVABpAHQAbABlAFwAbgAgACAAPQBMAEEATQBCAEQAQQAoAFwAIgBBAG4AbgB1AGEAbAAgAGEAdABtAG8AcwBwAGgAZQByAGkAYwAgAGQAZQBwAG8AcwBpAHQAaQBvAG4AIABlAG0AaQBzAHMAaQBvAG4AcwAgAGYAcgBvAG0AIABNAE0AUwBcACIAKQA7AFwAbgBcAG4AVgBFAEUAUgBHAF8ANABfADMAXwAxAF8ANQBfAF8AMQBfAEEAbgBuAHUAYQBsAEEAdABtAG8AcwBwAGgAZQByAGkAYwBEAGUAcABvAHMAaQB0AGkAbwBuAEUAbQBpAHMAcwBpAG8AbgBzAEYAcgBvAG0ATQBNAFMAXwBWAGEAcgBpAGEAYgBsAGUAXABuACAAIAA9AEwAQQBNAEIARABBACgAXAAiAEUAXwBOADIATwBNAE0AUwBhAGQAXAAiACkAOwBcAG4AXABuAFYARQBFAFIARwBfADQAXwAzAF8AMQBfADUAXwBfADEAXwBBAG4AbgB1AGEAbABBAHQAbQBvAHMAcABoAGUAcgBpAGMARABlAHAAbwBzAGkAdABpAG8AbgBFAG0AaQBzAHMAaQBvAG4AcwBGAHIAbwBtAE0ATQBTAF8AVQBuAGkAdABcAG4AIAAgAD0ATABBAE0AQgBEAEEAKABcACIAdAAgAE4AMgBPAFwAIgApADsAXABuAFwAbgBWAEUARQBSAEcAXwA0AF8AMwBfADEAXwA1AF8AXwAxAF8AQQBuAG4AdQBhAGwAQQB0AG0AbwBzAHAAaABlAHIAaQBjAEQAZQBwAG8AcwBpAHQAaQBvAG4ARQBtAGkAcwBzAGkAbwBuAHMARgByAG8AbQBNAE0AUwBfAFMAbwB1AHIAYwBlAFwAbgAgACAAPQBMAEEATQBCAEQAQQAoAFwAIgBWAEUARQBSAEcAIAAyADAAMgA2ADoAIAA0AC4AMwAuADEALgA1ACwAIABFAHEAdQBhAHQAaQBvAG4AIAAoADEAKQBcACIAKQA7AFwAbgBcAG4AVgBFAEUAUgBHAF8ANABfADMAXwAxAF8ANQBfAF8AMQBfAEEAbgBuAHUAYQBsAEEAdABtAG8AcwBwAGgAZQByAGkAYwBEAGUAcABvAHMAaQB0AGkAbwBuAEUAbQBpAHMAcwBpAG8AbgBzAEYAcgBvAG0ATQBNAFMAXwBOAEkAUgBSAGUAZgBlAHIAZQBuAGMAZQBcAG4AIAAgAD0ATABBAE0AQgBEAEEAKABcACIAXAAiACkAOwBcAG4AXABuAFYARQBFAFIARwBfADQAXwAzAF8AMQBfADUAXwBfADEAXwBBAG4AbgB1AGEAbABBAHQAbQBvAHMAcABoAGUAcgBpAGMARABlAHAAbwBzAGkAdABpAG8AbgBFAG0AaQBzAHMAaQBvAG4AcwBGAHIAbwBtAE0ATQBTAF8ATABhAHQAZQB4AEUAcQB1AGEAdABpAG8AbgBcAG4AIAAgAD0ATABBAE0AQgBEAEEAKABcACIARQBfAHsATgAyAE8ALABNAE0AUwAsAGEAZAB9AD0ATQBOAF8AewBBAFQATQBPAFMAfQBcAFwAdABpAG0AZQBzACAARQBGAF8AewBOADIATwB9AFwAXAB0AGkAbQBlAHMAIABDAF8AewBOADIATwB9AFwAXAB0AGkAbQBlAHMAIAAxADAAXgB7AC0AMwB9AFwAIgApADsAXABuAFwAbgBWAEUARQBSAEcAXwA0AF8AMwBfADEAXwA1AF8AXwAxAF8AQQBuAG4AdQBhAGwAQQB0AG0AbwBzAHAAaABlAHIAaQBjAEQAZQBwAG8AcwBpAHQAaQBvAG4ARQBtAGkAcwBzAGkAbwBuAHMARgByAG8AbQBNAE0AUwBfAEEAcgBnAHUAbQBlAG4AdABzAFwAbgAgACAAPQBMAEEATQBCAEQAQQAoAFwAbgAgACAAIAAgAE0AQQBLAEUAQQBSAFIAQQBZACgANgAsACAAMgAsAFwAbgAgACAAIAAgACAAIABMAEEATQBCAEQAQQAoAHIALABjACwAXABuACAAIAAgACAAIAAgACAAIABJAE4ARABFAFgAKAB7AFwAbgAgACAAIAAgACAAIAAgACAAIAAgAFwAIgBNAE4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gByAGEAYwBHAEEAUwBNAF8AbQBcACIALAAgAFwAIgBmAHIAYQBjAHQAaQBvAG4AIABvAGYAIABOACAAdgBvAGwAYQB0AGkAbABpAHMAZQBkACAAZgByAG8AbQAgAE0ATQBTACAAKABmAHIAYQBjAHQAaQBvAG4AKQBcACIAXABuACAAIAAgACAAIAAgACAAIAB9ACwAIAByACwAIABjACkAXABuACAAIAAgACAAIAAgACkAXABuACAAIAAgACAAKQBcAG4AIAAgACkAOwBcAG4AIgB9ACwAewAiAHAAYQB0AGgAIgA6ACIALwBwAHIAbwBqAGUAYwB0AHMALwBNAE0AUwBfAEQAYQBpAHIAe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4ACAATQBlAHQAaABvAGQAIAAxACAALQAgAE0AYQBuAHUAcgBlACAAQQBwAHAAbABpAGUAZAAgAFQAbwAgAFMAbwBpAGwAc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gAXwBfADEAXwBNAGEAcwBzAE8AZgBOAGkAdAByAG8AZwBlAG4AQQBwAHAAbABpAGUAZABUAG8AUwBvAGkAbABzAFMAYwBvAHAAZQAxAFwAbgBNAGEAcwBzACAAbwBmACAAbgBpAHQAcgBvAGcAZQBuACAAZgByAG8AbQAgAG0AYQBuAHUAcgBlACAAYQBwAHAAbABpAGUAZAAgAHQAbwAgAHMAbwBpAGwAcwAgAGYAbwByACAAcwBjAG8AcABlACAAMQAgAGUAbQBpAHMAcwBpAG8AbgBzAFwAbgBNAE4AUwBvAGkAbABfAHMAYwBvAHAAZQAxAFwAbgBrAGcAIABOAFwAbgBNAE4AUwBvAGkAbABfAHsAcwBjAG8AcABlADEAfQA9ACgATQBOAF8AewBqAG0AfQBcAFwAdABpAG0AZQBzACAAKAAxAC0ARQBGAF8AbQAtAEYAcgBhAGMARwBBAFMATQBfAG0AKQAtAE0ATgBMAGUAYQBjAGgAXwBqAG0AKQBcAFwAdABpAG0AZQBzACAAUABGAF8AcwBjAG8AcABl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BfAHMAYwBvAHAAZQ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EAXwBNAGEAcwBzAE8AZgBOAGkAdAByAG8AZwBlAG4AQQBwAHAAbABpAGUAZABUAG8AUwBvAGkAbABzAFMAYwBvAHAAZQAxAFwAbgAgACAAPQBMAEEATQBCAEQAQQAoAFwAbgAgACAAIAAgAE0ATgBfAGoAbQAsACAARQBGAF8AbQAsACAARgByAGEAYwBHAEEAUwBNAF8AbQAsACAATQBOAEwAZQBhAGMAaABfAGoAbQAsACAAUABGAF8AcwBjAG8AcABlACwAXABuACAAIAAgACAAKABNAE4AXwBqAG0AIAAqACAAKAAxACAALQAgAEUARgBfAG0AIAAtACAARgByAGEAYwBHAEEAUwBNAF8AbQApACAALQAgAE0ATgBMAGUAYQBjAGgAXwBqAG0AKQAgACoAIABQAEYAXwBzAGMAbwBwAGUAXABuACAAIAApADsAXABuAFwAbgBWAEUARQBSAEcAXwA0AF8AMwBfADEAXwA4AF8AXwAxAF8ATQBhAHMAcwBPAGYATgBpAHQAcgBvAGcAZQBuAEEAcABwAGwAaQBlAGQAVABvAFMAbwBpAGwAcwBTAGMAbwBwAGUAMQBfAFQAaQB0AGwAZQBcAG4AIAAgAD0ATABBAE0AQgBEAEEAKABcACIATQBhAHMAcwAgAG8AZgAgAG4AaQB0AHIAbwBnAGUAbgAgAGYAcgBvAG0AIABtAGEAbgB1AHIAZQAgAGEAcABwAGwAaQBlAGQAIAB0AG8AIABzAG8AaQBsAHMAIABmAG8AcgAgAHMAYwBvAHAAZQAgADEAIABlAG0AaQBzAHMAaQBvAG4AcwBcACIAKQA7AFwAbgBcAG4AVgBFAEUAUgBHAF8ANABfADMAXwAxAF8AOABfAF8AMQBfAE0AYQBzAHMATwBmAE4AaQB0AHIAbwBnAGUAbgBBAHAAcABsAGkAZQBkAFQAbwBTAG8AaQBsAHMAUwBjAG8AcABlADEAXwBWAGEAcgBpAGEAYgBsAGUAXABuACAAIAA9AEwAQQBNAEIARABBACgAXAAiAE0ATgBTAG8AaQBsAF8AcwBjAG8AcABlADEAXAAiACkAOwBcAG4AXABuAFYARQBFAFIARwBfADQAXwAzAF8AMQBfADgAXwBfADEAXwBNAGEAcwBzAE8AZgBOAGkAdAByAG8AZwBlAG4AQQBwAHAAbABpAGUAZABUAG8AUwBvAGkAbABzAFMAYwBvAHAAZQAxAF8AVQBuAGkAdABcAG4AIAAgAD0ATABBAE0AQgBEAEEAKABcACIAawBnACAATgBcACIAKQA7AFwAbgBcAG4AVgBFAEUAUgBHAF8ANABfADMAXwAxAF8AOABfAF8AMQBfAE0AYQBzAHMATwBmAE4AaQB0AHIAbwBnAGUAbgBBAHAAcABsAGkAZQBkAFQAbwBTAG8AaQBsAHMAUwBjAG8AcABlADEAXwBTAG8AdQByAGMAZQBcAG4AIAAgAD0ATABBAE0AQgBEAEEAKABcACIAVgBFAEUAUgBHACAAMgAwADIANgA6ACAANAAuADMALgAxAC4AOAAsACAARQBxAHUAYQB0AGkAbwBuACAAKAAxACkAXAAiACkAOwBcAG4AXABuAFYARQBFAFIARwBfADQAXwAzAF8AMQBfADgAXwBfADEAXwBNAGEAcwBzAE8AZgBOAGkAdAByAG8AZwBlAG4AQQBwAHAAbABpAGUAZABUAG8AUwBvAGkAbABzAFMAYwBvAHAAZQAxAF8ATgBJAFIAUgBlAGYAZQByAGUAbgBjAGUAXABuACAAIAA9AEwAQQBNAEIARABBACgAXAAiAFwAIgApADsAXABuAFwAbgBWAEUARQBSAEcAXwA0AF8AMwBfADEAXwA4AF8AXwAxAF8ATQBhAHMAcwBPAGYATgBpAHQAcgBvAGcAZQBuAEEAcABwAGwAaQBlAGQAVABvAFMAbwBpAGwAcwBTAGMAbwBwAGUAMQBfAEwAYQB0AGUAeABFAHEAdQBhAHQAaQBvAG4AXABuACAAIAA9AEwAQQBNAEIARABBACgAXAAiAE0ATgBTAG8AaQBsAF8AewBzAGMAbwBwAGUAMQ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UABGAFwAIgApADsAXABuAFwAbgBWAEUARQBSAEcAXwA0AF8AMwBfADEAXwA4AF8AXwAxAF8ATQBhAHMAcwBPAGYATgBpAHQAcgBvAGcAZQBuAEEAcABwAGwAaQBlAGQAVABvAFMAbwBpAGwAcwBTAGMAbwBwAGUAMQBfAEEAcgBnAHUAbQBlAG4AdABzAFwAbgAgACAAPQBMAEEATQBCAEQAQQAoAFwAbgAgACAAIAAgAE0AQQBLAEUAQQBSAFIAQQBZACgANQAsACAAMg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IAAoAGsAZwAgAE4AKQBcACIAOwBcAG4AIAAgACAAIAAgACAAIAAgACAAIABcACIARQBGAF8AbQBcACIALAAgAFwAIgBlAG0AaQBzAHMAaQBvAG4AIABmAGEAYwB0AG8AcgAgAGYAbwByACAAbgBpAHQAcgBvAHUAcwAgAG8AeABpAGQAZQAgAGUAbQBpAHMAcwBpAG8AbgBzACAAcABlAHIAIABNAE0AUwAgACgAawBnACAATgAyAE8ALQBOAC8AawBnACAATgApAFwAIgA7AFwAbgAgACAAIAAgACAAIAAgACAAIAAgAFwAIgBGAHIAYQBjAEcAQQBTAE0AXwBtAFwAIgAsACAAXAAiAGYAcgBhAGMAdABpAG8AbgAgAG8AZgAgAE4AIAB2AG8AbABhAHQAaQBsAGkAcwBlAGQAIABmAHIAbwBtACAATQBNAFMAXAAiADsAXABuACAAIAAgACAAIAAgACAAIAAgACAAXAAiAE0ATgBMAGUAYQBjAGgAXwBqAG0AXAAiACwAIABcACIAbQBhAHMAcwAgAG8AZgAgAE4AIABsAG8AcwB0ACAAdABoAHIAbwB1AGcAaAAgAGwAZQBhAGMAaABpAG4AZwAgAGEAbgBkACAAcgB1AG4AbwBmAGYAIABmAHIAbwBtACAAZQBhAGMAaAAgAE0ATQBTACAAKABrAGcAIABOACkAXAAiADsAXABuACAAIAAgACAAIAAgACAAIAAgACAAXAAiAFAARgBfAHMAYwBvAHAAZQBcACIALAAgAFwAIgBmAHIAYQBjAHQAaQBvAG4AIABvAGYAIABtAGEAbgB1AHIAZQAgAGEAcABwAGwAaQBlAGQAIAB0AG8AIABzAG8AaQBsACAAdwBpAHQAaABpAG4AIABmAGEAcgBtACAAYgBvAHUAbgBkAGEAcgB5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I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CAAKABrAGcAIABOACkAXAAiADsAXABuACAAIAAgACAAIAAgACAAIAAgACAAXAAiAEUARgBfAG0AXAAiACwAIABcACIAZQBtAGkAcwBzAGkAbwBuACAAZgBhAGMAdABvAHIAIABmAG8AcgAgAG4AaQB0AHIAbwB1AHMAIABvAHgAaQBkAGUAIABlAG0AaQBzAHMAaQBvAG4AcwAgAHAAZQByACAATQBNAFMAIAAoAGsAZwAgAE4AMgBPAC0ATgAvAGsAZwAgAE4AKQBcACIAOwBcAG4AIAAgACAAIAAgACAAIAAgACAAIABcACIARgByAGEAYwBHAEEAUwBNAF8AbQBcACIALAAgAFwAIgBmAHIAYQBjAHQAaQBvAG4AIABvAGYAIABOACAAdgBvAGwAYQB0AGkAbABpAHMAZQBkACAAZgByAG8AbQAgAE0ATQBTAFwAIgA7AFwAbgAgACAAIAAgACAAIAAgACAAIAAgAFwAIgBNAE4ATABlAGEAYwBoAF8AagBtAFwAIgAsACAAXAAiAG0AYQBzAHMAIABvAGYAIABOACAAbABvAHMAdAAgAHQAaAByAG8AdQBnAGgAIABsAGUAYQBjAGgAaQBuAGcAIABhAG4AZAAgAHIAdQBuAG8AZgBmACAAZgByAG8AbQAgAGUAYQBjAGgAIABNAE0AUwAgACgAawBnACAATgApAFwAIgA7AFwAbgAgACAAIAAgACAAIAAgACAAIAAgAFwAIgBQAEYAXAAiACwAIABcACIAZgByAGEAYwB0AGkAbwBuACAAbwBmACAAbQBhAG4AdQByAGUAIABhAHAAcABsAGkAZQBkACAAdABvACAAcwBvAGkAbAAgAHcAaQB0AGgAaQBuACAAZgBhAHIAbQAgAGIAbwB1AG4AZABhAHIAeQ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y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AgACgAawBnACAAQwBIADQALwBoAGUAYQBkAC8AZABhAHkAKQBcACIAOwBcAG4AIAAgACAAIAAgACAAIAAgACAAIABcACIARABfAGoAMQAyADQAXAAiACwAIABcACIAZAB1AHIAYQB0AGkAbwBuACAAbwBmACAAcwB0AGEAeQAgAG8AbgAgAGYAYQByAG0AIABmAG8AcgAgAGMAbABhAHMAcwBlAHMAIABqAD0AMQAsADIALAA0ACAAKABkAGEAeQBzACkAXAAiADsAXABuACAAIAAgACAAIAAgACAAIAAgACAAXAAiAE4AXwBqADMANQBcACIALAAgAFwAIgBuAHUAbQBiAGUAcgAgAG8AZgAgAGQAYQBpAHIAeQAgAGMAYQB0AHQAbABlACAAaQBuACAAYwBsAGEAcwBzAGUAcwAgAGoAPQAzACwANQ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AgACgAawBnACAAQwBIADQALwBoAGUAYQBkAC8AZABhAHkAKQBcACIAOwBcAG4AIAAgACAAIAAgACAAIAAgACAAIABcACIARABfAGoAMwA1AFwAIgAsACAAXAAiAGQAdQByAGEAdABpAG8AbgAgAG8AZgAgAHMAdABhAHkAIABvAG4AIABmAGEAcgBtACAAZgBvAHIAIABjAGwAYQBzAHMAZQBzACAAagA9ADMALAA1ACAAKABkAGEAeQBzACkAXAAiADsAXABuACAAIAAgACAAIAAgACAAIAAgACAAXAAiAE0AUABXAF8AbQBhAG4AdQByAGUAXwBqADMANQBcACIALAAgAFwAIgBtAGUAdABoAGEAbgBlACAAcAByAG8AZAB1AGMAdABpAG8AbgAgAGYAcgBvAG0AIABtAGEAbgB1AHIAZQAgAG8AZgAgAHAAcgBlAC0AdwBlAGEAbgBlAGQAIABoAGUAaQBmAGUAcgAgAGEAbgBkACAAYgB1AGwAbAAgAGMAYQBsAHYAZQBzACAAKABrAGcAIABDAEgANAAvAGgAZQBhAGQALwBkAGEAeQApAFwAIgA7AFwAbgAgACAAIAAgACAAIAAgACAAIAAgAFwAIgBEAFAAVwBfAGoAMwA1AFwAIgAsACAAXAAiAGQAdQByAGEAdABpAG8AbgAgAG8AZgAgAHMAdABhAHkAIABvAG4AIABmAGEAcgBtACAAZgBvAHIAIABwAHIAZQAtAHcAZQBhAG4AZQBkACAAaABlAGkAZgBlAHIAIABhAG4AZAAgAGIAdQBsAGwAIABjAGEAbAB2AGUAcwAgACgAZABhAHkAcwAp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DsAXABuACAAIAAgACAAIAAgACAAIAAgACAAXAAiAEYAVgBTAF8AagBtAFQAMQBcACIALAAgAFwAIgBmAHIAYQBjAHQAaQBvAG4AIABvAGYAIAB3AGEAcwB0AGUAIABmAHIAbwBtACAAZQBhAGMAaAAgAGMAbABhAHMAcwAgAGkAbgAgAGUAYQBjAGgAIABtAGEAbgBhAGcAZQBtAGUAbgB0ACAAcwB5AHMAdABlAG0AXAAiADsAXABuACAAIAAgACAAIAAgACAAIAAgACAAXAAiAE0AQwBGAF8AaQBtAFwAIgAsACAAXAAiAG0AZQB0AGgAYQBuAGUAIABjAG8AbgB2AGUAcgBzAGkAbwBuACAAZgBhAGMAdABvAHIAIABmAG8AcgAgAHQAZQBtAHAAZQByAGEAdAB1AHIAZQAgAHoAbwBuAGUAIABhAG4AZAAgAE0ATQBTAFwAIgA7AFwAbgAgACAAIAAgACAAIAAgACAAIAAgAFwAIgBCAF8AbwBcACIALAAgAFwAIgBlAG0AaQBzAHMAaQBvAG4AcwAgAHAAbwB0AGUAbgB0AGkAYQBsACAAKABtADMAIABDAEgANAAvAGsAZwBWAFMAKQBcACIAOwBcAG4AIAAgACAAIAAgACAAIAAgACAAIABcACIAcgBoAG8AXAAiACwAIABcACIAZABlAG4AcwBpAHQAeQAgAG8AZgAgAG0AZQB0AGgAYQBuAGUAIAAoAGsAZwAvAG0AMwAp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yACwAXABuACAAIAAgACAAIAAgAEwAQQBNAEIARABBACgAcgAsAGMALABcAG4AIAAgACAAIAAgACAAIAAgAEkATgBEAEUAWAAoAHsAXABuACAAIAAgACAAIAAgACAAIAAgACAAXAAiAEkAXwBqAFwAIgAsACAAXAAiAGQAcgB5ACAAbQBhAHQAdABlAHIAIABmAGUAZQBkACAAaQBuAHQAYQBrAGUAIAAoAGsAZwBEAE0ALwBoAGUAYQBkAC8AZABhAHkAKQBcACIAOwBcAG4AIAAgACAAIAAgACAAIAAgACAAIABcACIARABNAEQAXwBqAFwAIgAsACAAXAAiAGQAcgB5ACAAbQBhAHQAdABlAHIAIABkAGkAZwBlAHMAdABpAGIAaQBsAGkAdAB5AFwAIgA7AFwAbgAgACAAIAAgACAAIAAgACAAIAAgAFwAIgBBAFwAIgAsACAAXAAiAGEAcwBoACAAYwBvAG4AdABlAG4AdAAgAG8AZgAgAGYAZQBlAGQAIABpAG4AdABhAGsAZQ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Mg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7AFwAbgAgACAAIAAgACAAIAAgACAAIAAgAFwAIgBTAFMAXwBtAFwAIgAsACAAXAAiAGYAcgBhAGMAdABpAG8AbgAgAG8AZgAgAHYAbwBsAGEAdABpAGwAZQAgAHMAbwBsAGkAZABzACAAcwBlAHAAYQByAGEAdABlAGQAIAB0AG8AIABzAG8AbABpAGQAIABzAHQAbwByAGEAZwBlACAAZgBvAHIAIABlAGEAYwBoACAATQBNAFM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y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DsAXABuACAAIAAgACAAIAAgACAAIAAgACAAXAAiAE0ATQBTAF8AagBtADEANwA5AFwAIgAsACAAXAAiAGYAcgBhAGMAdABpAG8AbgAgAG8AZgAgAHYAbwBsAGEAdABpAGwAZQAgAHMAbwBsAGkAZABzACAAaQBuACAATQBNAFMAIABtAD0AMQAsADcALAA5ACAAYgBlAGYAbwByAGUAIAB0AHIAYQBuAHMAZgBlAHIAXAAiADsAXABuACAAIAAgACAAIAAgACAAIAAgACAAXAAiAFMAUwBfAG0AXAAiACwAIABcACIAZgByAGEAYwB0AGkAbwBuACAAbwBmACAAdgBvAGwAYQB0AGkAbABlACAAcwBvAGwAaQBkAHMAIABzAGUAcABhAHIAYQB0AGUAZAAgAHQAbwAgAHMAbwBsAGkAZAAgAHMAdABvAHIAYQBnAGUAIABmAG8AcgAgAGUAYQBjAGgAIABNAE0AUw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y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AgACgAawBnACAATgApAFwAIgA7AFwAbgAgACAAIAAgACAAIAAgACAAIAAgAFwAIgBFAEYAXwBtAFwAIgAsACAAXAAiAG4AaQB0AHIAbwB1AHMAIABvAHgAaQBkAGUAIABlAG0AaQBzAHMAaQBvAG4AIABmAGEAYwB0AG8AcgAgAGYAbwByACAAZQBhAGMAaAAgAE0ATQBTACAAKABrAGcAIABOADIATwAtAE4ALwBrAGcAIABOACAAZABlAHAAbwBzAGkAdABlAGQ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IALABcAG4AIAAgACAAIAAgACAATABBAE0AQgBEAEEAKAByACwAYwAsAFwAbgAgACAAIAAgACAAIAAgACAASQBOAEQARQBYACgAewBcAG4AIAAgACAAIAAgACAAIAAgACAAIABcACIAQQBFAF8AagBcACIALAAgAFwAIgB0AG8AdABhAGwAIABuAGkAdAByAG8AZwBlAG4AIABlAHgAYwByAGUAdABlAGQAIABiAHkAIABlAGEAYwBoACAAZABhAGkAcgB5ACAAYwBsAGEAcwBzACAAKABrAGcAIABOACkAXAAiADsAXABuACAAIAAgACAAIAAgACAAIAAgACAAXAAiAE0ATQBTAF8AagBtAFwAIgAsACAAXAAiAG0AYQBuAHUAcgBlACAAbQBhAG4AYQBnAGUAbQBlAG4AdAAgAHMAeQBzAHQAZQBtACAAZgByAGEAYwB0AGkAbwBuACAAZgBvAHIAIABjAGwAYQBzAHMAIABqACAAYQBuAGQAIABzAHkAcwB0AGUAbQAgAG0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7AFwAbgAgACAAIAAgACAAIAAgACAAIAAgAFwAIgBEAF8AagAxADIANABcACIALAAgAFwAIgBkAHUAcgBhAHQAaQBvAG4AIABvAGYAIABzAHQAYQB5ACAAbwBuACAAZgBhAHIAbQAgAGYAbwByACAAYwBsAGEAcwBzAGUAcwAgAGoAPQAxACwAMgAsADQAIAAoAGQAYQB5AHMAKQ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MgAsAFwAbgAgACAAIAAgACAAIABMAEEATQBCAEQAQQAoAHIALABjACwAXABuACAAIAAgACAAIAAgACAAIABJAE4ARABFAFgAKAB7AFwAbgAgACAAIAAgACAAIAAgACAAIAAgAFwAIgBOAF8AagAzADUAXAAiACwAIABcACIAbgB1AG0AYgBlAHIAIABvAGYAIABkAGEAaQByAHkAIABjAGEAdAB0AGwAZQAgAGkAbgAgAGMAbABhAHMAcwBlAHMAIABqAD0AMwAsADU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DsAXABuACAAIAAgACAAIAAgACAAIAAgACAAXAAiAE4AUABXAF8AagAzADUAXAAiACwAIABcACIAbgBpAHQAcgBvAGcAZQBuACAAZQB4AGMAcgBlAHQAZQBkACAAYgB5ACAAcAByAGUALQB3AGUAYQBuAGUAZAAgAGMAYQBsAHYAZQBzACAAKABrAGcAIABOAC8AaABlAGEAZAAvAGQAYQB5ACk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OwBcAG4AIAAgACAAIAAgACAAIAAgACAAIABcACIARABQAFcAXwBqADMANQBcACIALAAgAFwAIgBkAHUAcgBhAHQAaQBvAG4AIABvAGYAIABzAHQAYQB5ACAAbwBuACAAZgBhAHIAbQAgAGYAbwByACAAcAByAGUALQB3AGUAYQBuAGUAZAAgAGMAYQBsAHYAZQBzACAAKABkAGEAeQBzACk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XAB1ADAAMAAzAGU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IALABcAG4AIAAgACAAIAAgACAATABBAE0AQgBEAEEAKAByACwAYwAsAFwAbgAgACAAIAAgACAAIAAgACAASQBOAEQARQBYACgAewBcAG4AIAAgACAAIAAgACAAIAAgACAAIABcACIAQwBQAEkAXwBqAFwAIgAsACAAXAAiAGMAcgB1AGQAZQAgAHAAcgBvAHQAZQBpAG4AIABpAG4AdABhAGsAZQAgACgAawBnAC8AaABlAGEAZAAvAGQAYQB5ACkAXAAiADsAXABuACAAIAAgACAAIAAgACAAIAAgACAAXAAiAE4AUgBfAGoAXAAiACwAIABcACIAYQBtAG8AdQBuAHQAIABvAGYAIABuAGkAdAByAG8AZwBlAG4AIAByAGUAdABhAGkAbgBlAGQAIABiAHkAIAB0AGgAZQAgAGIAbwBkAHkAIAAoAGsAZwAgAE4ALwBoAGUAYQBkAC8AZABhAHkAKQBcACIAOwBcAG4AIAAgACAAIAAgACAAIAAgACAAIABcACIAVwBfAGoAXAAiACwAIABcACIAbABpAHYAZQB3AGUAaQBnAGgAdAAgACgAawBn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yACwAXABuACAAIAAgACAAIAAgAEwAQQBNAEIARABBACgAcgAsAGMALABcAG4AIAAgACAAIAAgACAAIAAgAEkATgBEAEUAWAAoAHsAXABuACAAIAAgACAAIAAgACAAIAAgACAAXAAiAEkAXwBqAFwAIgAsACAAXAAiAGQAcgB5ACAAbQBhAHQAdABlAHIAIABpAG4AdABhAGsAZQAgACgAawBnAEQATQAvAGgAZQBhAGQALwBkAGEAeQApAFwAIgA7AFwAbgAgACAAIAAgACAAIAAgACAAIAAgAFwAIgBDAFAAXwBqAFwAIgAsACAAXAAiAGMAcgB1AGQAZQAgAHAAcgBvAHQAZQBpAG4AIABjAG8AbgB0AGUAbgB0ACAAbwBmACAAZgBlAGUAZAAgAGkAbgB0AGEAawBlACAAKABmAHIAYQBjAHQAaQBvAG4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QALAAgADIALABcAG4AIAAgACAAIAAgACAATABBAE0AQgBEAEEAKAByACwAYwAsAFwAbgAgACAAIAAgACAAIAAgACAASQBOAEQARQBYACgAewBcAG4AIAAgACAAIAAgACAAIAAgACAAIABcACIATQBQAF8AagBcACIALAAgAFwAIgBtAGkAbABrACAAcAByAG8AZAB1AGMAdABpAG8AbgAgACgATAAvAGgAZQBhAGQALwBkAGEAeQApAFwAIgA7AFwAbgAgACAAIAAgACAAIAAgACAAIAAgAFwAIgBMAF8AagBcACIALAAgAFwAIgBpAG4AdABhAGsAZQAgAHIAZQBsAGEAdABpAHYAZQAgAHQAbwAgAG0AYQBpAG4AdABlAG4AYQBuAGMAZQBcACIAOwBcAG4AIAAgACAAIAAgACAAIAAgACAAIABcACIAWgBfAGoAXAAiACwAIABcACIAcgBlAGwAYQB0AGkAdgBlACAAcwBpAHoAZQBcACIAOwBcAG4AIAAgACAAIAAgACAAIAAgACAAIABcACIATABXAEcAXwBqAFwAIgAsACAAXAAiAGwAaQB2AGUAdwBlAGkAZwBoAHQAIABnAGEAaQBuACAAKABrAGc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IALABcAG4AIAAgACAAIAAgACAATABBAE0AQgBEAEEAKAByACwAYwAsAFwAbgAgACAAIAAgACAAIAAgACAASQBOAEQARQBYACgAewBcAG4AIAAgACAAIAAgACAAIAAgACAAIABcACIASQBfAGoAXAAiACwAIABcACIAZAByAHkAIABtAGEAdAB0AGUAcgAgAGkAbgB0AGEAawBlACAAKABrAGcARABNAC8AaABlAGEAZAAvAGQAYQB5ACkAXAAiADsAXABuACAAIAAgACAAIAAgACAAIAAgACAAXAAiAFcAXwBqAFwAIgAsACAAXAAiAGwAaQB2AGUAdwBlAGkAZwBoAHQAIAAoAGsAZwApAFwAIgA7AFwAbgAgACAAIAAgACAAIAAgACAAIAAgAFwAIgBNAFIAXwBqAFwAIgAsACAAXAAiAGkAbgBjAHIAZQBhAHMAZQAgAGkAbgAgAG0AZQB0AGEAYgBvAGwAaQBjACAAcgBhAHQAZQAgAHcAaABlAG4AIABwAHIAbwBkAHUAYwBpAG4AZwAgAG0AaQBsAGsAXAAiADsAXABuACAAIAAgACAAIAAgACAAIAAgACAAXAAiAE0ASQBfAGoAXAAiACwAIABcACIAYQBkAGQAaQB0AGkAbwBuAGEAbAAgAGkAbgB0AGEAawBlACAAcgBlAHEAdQBpAHIAZQBkACAAZgBvAHIAIABtAGkAbABrACAAcAByAG8AZAB1AGMAdABpAG8AbgAgACgAawBn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IALABcAG4AIAAgACAAIAAgACAATABBAE0AQgBEAEEAKAByACwAYwAsAFwAbgAgACAAIAAgACAAIAAgACAASQBOAEQARQBYACgAewBcAG4AIAAgACAAIAAgACAAIAAgACAAIABcACIAVwBfAGoAXAAiACwAIABcACIAbABpAHYAZQB3AGUAaQBnAGgAdAAgACgAawBnACkAXAAiADsAXABuACAAIAAgACAAIAAgACAAIAAgACAAXAAiAFcAUgBfAGoAXAAiACwAIABcACIAcgBlAGYAZQByAGUAbgBjAGUAIAB3AGUAaQBnAGgAdAAgACgAawBnACk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cALAAgADIALABcAG4AIAAgACAAIAAgACAATABBAE0AQgBEAEEAKAByACwAYwAsAFwAbgAgACAAIAAgACAAIAAgACAASQBOAEQARQBYACgAewBcAG4AIAAgACAAIAAgACAAIAAgACAAIABcACIATgBfAGoAMQAyADQAXAAiACwAIABcACIAbgB1AG0AYgBlAHIAIABvAGYAIABkAGEAaQByAHkAIABjAGEAdAB0AGwAZQAgAGkAbgAgAGMAbABhAHMAcwBlAHMAIABqAD0AMQAsADIALAA0ACAAKABoAGUAYQBkACkAXAAiADsAXABuACAAIAAgACAAIAAgACAAIAAgACAAXAAiAE0AXwBqADEAMgA0AFwAIgAsACAAXAAiAGQAYQBpAGwAeQAgAGUAbgB0AGUAcgBpAGMAIABtAGUAdABoAGEAbgBlACAAcAByAG8AZAB1AGMAdABpAG8AbgAgAGYAbwByACAAYwBsAGEAcwBzAGUAcwAgAGoAPQAxACwAMgAsADQAIAAoAGsAZwAgAEMASAA0AC8AaABlAGEAZAAvAGQAYQB5ACkAXAAiADsAXABuACAAIAAgACAAIAAgACAAIAAgACAAXAAiAEQAXwBqADEAMgA0AFwAIgAsACAAXAAiAGQAdQByAGEAdABpAG8AbgAgAG8AZgAgAHMAdABhAHkAIABvAG4AIAB0AGgAZQAgAGYAYQByAG0AIABmAG8AcgAgAGMAbABhAHMAcwBlAHMAIABqAD0AMQAsADIALAA0ACAAKABkAGEAeQBzACkAXAAiADsAXABuACAAIAAgACAAIAAgACAAIAAgACAAXAAiAE4AXwBqADMANQBcACIALAAgAFwAIgBuAHUAbQBiAGUAcgAgAG8AZgAgAGQAYQBpAHIAeQAgAGMAYQB0AHQAbABlACAAaQBuACAAYwBsAGEAcwBzAGUAcwAgAGoAPQAzACwANQAgACgAaABlAGEAZAApAFwAIgA7AFwAbgAgACAAIAAgACAAIAAgACAAIAAgAFwAIgBNAF8AagAzADUAXAAiACwAIABcACIAZABhAGkAbAB5ACAAZQBuAHQAZQByAGkAYwAgAG0AZQB0AGgAYQBuAGUAIABwAHIAbwBkAHUAYwB0AGkAbwBuACAAZgBvAHIAIABjAGwAYQBzAHMAZQBzACAAagA9ADMALAA1ACAAKABrAGcAIABDAEgANAAvAGgAZQBhAGQALwBkAGEAeQApAFwAIgA7AFwAbgAgACAAIAAgACAAIAAgACAAIAAgAFwAIgBEAF8AagAzADUAXAAiACwAIABcACIAZAB1AHIAYQB0AGkAbwBuACAAbwBmACAAcwB0AGEAeQAgAG8AbgAgAHQAaABlACAAZgBhAHIAbQAgAGYAbwByACAAYwBsAGEAcwBzAGUAcwAgAGoAPQAzACwANQAgACgAZABhAHkAcwApAFwAIgA7AFwAbgAgACAAIAAgACAAIAAgACAAIAAgAFwAIgBNAFAAVwBfAEUATgBUAEUAUgBJAEMAXwBqADMANQBcACIALAAgAFwAIgBkAGEAaQBsAHkAIABtAGUAdABoAGEAbgBlACAAcAByAG8AZAB1AGMAdABpAG8AbgAgAGYAbwByACAAcAByAGUALQB3AGUAYQBuAGUAZAAgAGgAZQBpAGYAZQByACAAYQBuAGQAIABiAHUAbABsACAAYwBhAGwAdgBlAHMAIAAoAGsAZwAgAEMASAA0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IALABcAG4AIAAgACAAIAAgACAATABBAE0AQgBEAEEAKAByACwAYwAsAFwAbgAgACAAIAAgACAAIAAgACAASQBOAEQARQBYACgAewBcAG4AIAAgACAAIAAgACAAIAAgACAAIABcACIASQBfAGoAXAAiACwAIABcACIAZAByAHkAIABtAGEAdAB0AGUAcgAgAGYAZQBlAGQAIABpAG4AdABhAGsAZQAgACgAawBnACAARA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AgAGIAYQBzAGUAZAAgAG8AbgAgAE0AaQBuAHMAbwBuACAAYQBuAGQAIABNAGMARABvAG4AYQBsAGQAIAAoADEAOQA4ADcAK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CAAYgBhAHMAZQBkACAAbwBuACAATQBpAG4AcwBvAG4AIABhAG4AZAAgAE0AYwBEAG8AbgBhAGwAZAAgACgAMQA5ADgANwAp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TQBpAG4AcwBvAG4AIABhAG4AZAAgAE0AYwBEAG8AbgBhAGwAZAAgACgAMQA5ADgANwAp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yACwAXABuACAAIAAgACAAIAAgAEwAQQBNAEIARABBACgAcgAsAGMALABcAG4AIAAgACAAIAAgACAAIAAgAEkATgBEAEUAWAAoAHsAXABuACAAIAAgACAAIAAgACAAIAAgACAAXAAiAFcAXwBqAFwAIgAsACAAXAAiAGwAaQB2AGUAdwBlAGkAZwBoAHQAIAAoAGsAZwApAFwAIgA7AFwAbgAgACAAIAAgACAAIAAgACAAIAAgAFwAIgBMAFcARwBfAGoAXAAiACwAIABcACIAbABpAHYAZQB3AGUAaQBnAGgAdAAgAGcAYQBpAG4AIAAoAGsAZwAvAGgAZQBhAGQALwBkAGEAeQApAFwAIgA7AFwAbgAgACAAIAAgACAAIAAgACAAIAAgAFwAIgBNAFIAXwBqAFwAIgAsACAAXAAiAGkAbgBjAHIAZQBhAHMAZQAgAGkAbgAgAG0AZQB0AGEAYgBvAGwAaQBjACAAcgBhAHQAZQAgAHcAaABlAG4AIABwAHIAbwBkAHUAYwBpAG4AZwAgAG0AaQBsAGsAIAAoAGYAcgBhAGMAdABpAG8AbgApAFwAIgA7AFwAbgAgACAAIAAgACAAIAAgACAAIAAgAFwAIgBNAEkAXwBqAFwAIgAsACAAXAAiAGEAZABkAGkAdABpAG8AbgBhAGwAIABpAG4AdABhAGsAZQAgAHIAZQBxAHUAaQByAGUAZAAgAGYAbwByACAAbQBpAGwAawAgAHAAcgBvAGQAdQBjAHQAaQBvAG4AIAAoAGsAZwAgAEQATQAvAGgAZQBhAGQALwBkAGEAeQ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1ACwAIAAyACwAXABuACAAIAAgACAAIAAgAEwAQQBNAEIARABBACgAcgAsAGMALABcAG4AIAAgACAAIAAgACAAIAAgAEkATgBEAEUAWAAoAHsAXABuACAAIAAgACAAIAAgACAAIAAgACAAXAAiAE0AUABfAGoAXAAiACwAIABcACIAbQBpAGwAawAgAHAAcgBvAGQAdQBjAHQAaQBvAG4AIAAoAEwALwBoAGUAYQBkAC8AZABhAHkAKQBcACIAOwBcAG4AIAAgACAAIAAgACAAIAAgACAAIABcACIATgBFAFwAIgAsACAAXAAiAG4AZQB0ACAAZQBuAGUAcgBnAHkAIAAoAE0ASgAgAG4AZQB0ACAAZQBuAGUAcgBnAHkALwBrAGcAIABtAGkAbABrACkAXAAiADsAXABuACAAIAAgACAAIAAgACAAIAAgACAAXAAiAEcARQBDAFwAIgAsACAAXAAiAGcAcgBvAHMAcwAgAGUAbgBlAHIAZwB5ACAAYwBvAG4AdABlAG4AdAAgACgATQBKAC8AawBnAEQATQApAFwAIgA7AFwAbgAgACAAIAAgACAAIAAgACAAIAAgAFwAIgBrAFwAIgAsACAAXAAiAGUAZgBmAGkAYwBpAGUAbgBjAHkAIABvAGYAIABtAGUAdABhAGIAbwBsAGkAegBhAGIAbABlACAAZQBuAGUAcgBnAHkAIAB1AHMAZQAgAGYAbwByACAAbQBpAGwAawAgAHAAcgBvAGQAdQBjAHQAaQBvAG4AIAAoAGYAcgBhAGMAdABpAG8AbgApAFwAIgA7AFwAbgAgACAAIAAgACAAIAAgACAAIAAgAFwAIgBxAG0AXwBqAFwAIgAsACAAXAAiAG0AZQB0AGEAYgBvAGwAaQBzAGEAYgBpAGwAaQB0AHkAIABvAGYAIAB0AGgAZQAgAGQAaQBlAHQAIAAoAGYAcgBhAGMAdABpAG8Abg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E0AUwBfAGoALwAoADAALgAwADEAXABcAHQAaQBtAGUAcwAgACgARgBDAF8AagArAFAAQwBfAGoAKQApAFwAIgApADsAXABuAFwAbgBWAEUARQBSAEcAXwAzAF8AMwBfADEAXwAxAF8AXwA1AF8ATQBpAGwAawBQAHIAbwBkAHUAYwB0AGkAbwBuAEYAcgBvAG0ATQBpAGwAawBTAG8AbABpAGQAcwBfAEEAcgBnAHUAbQBlAG4AdABzAFwAbgAgACAAPQBMAEEATQBCAEQAQQAoAFwAbgAgACAAIAAgAE0AQQBLAEUAQQBSAFIAQQBZACgAMwAsACAAMgAsAFwAbgAgACAAIAAgACAAIABMAEEATQBCAEQAQQAoAHIALABjACwAXABuACAAIAAgACAAIAAgACAAIABJAE4ARABFAFgAKAB7AFwAbgAgACAAIAAgACAAIAAgACAAIAAgAFwAIgBNAFMAXwBqAFwAIgAsACAAXAAiAGQAYQBpAGwAeQAgAHAAcgBvAGQAdQBjAHQAaQBvAG4AIABvAGYAIABtAGkAbABrACAAcwBvAGwAaQBkAHMAIAAoAGsAZwAgAE0AUwAvAGgAZQBhAGQALwBkAGEAeQApAFwAIgA7AFwAbgAgACAAIAAgACAAIAAgACAAIAAgAFwAIgBGAEMAXwBqAFwAIgAsACAAXAAiAGYAYQB0ACAAYwBvAG4AdABlAG4AdAAgAGkAbgAgAGYAYQB0ACAAYQBuAGQAIABwAHIAbwB0AGUAaQBuACAAYwBvAHIAcgBlAGMAdABlAGQAIABtAGkAbABrACAAKABwAGUAcgAgAGMAZQBuAHQAKQBcACIAOwBcAG4AIAAgACAAIAAgACAAIAAgACAAIABcACIAUABDAF8AagBcACIALAAgAFwAIgBwAHIAbwB0AGUAaQBuACAAYwBvAG4AdABlAG4AdAAgAGkAbgAgAGYAYQB0ACAAYQBuAGQAIABwAHIAbwB0AGUAaQBuACAAYwBvAHIAcgBlAGMAdABlAGQAIABtAGkAbABrACAAKABwAGUAcgAgAGMAZQBuAH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HQAaABlACAAZABpAGUAdAAgAGIAYQBzAGUAZAAgAG8AbgAgAE0AaQBuAHMAbwBuACAAYQBuAGQAIABNAGMARABvAG4AYQBsAGQAIAAoADEAOQA4ADcAKQ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fAFQAaQB0AGwAZQBcAG4AIAAgAD0ATABBAE0AQgBEAEEAKABcACIATQBlAHQAYQBiAG8AbABpAHMAYQBiAGkAbABpAHQAeQAgAG8AZgAgAHQAaABlACAAZABpAGUAdAAgAGIAYQBzAGUAZAAgAG8AbgAgAE0AaQBuAHMAbwBuACAAYQBuAGQAIABNAGMARABvAG4AYQBsAGQAIAAoADEAOQA4ADcAKQ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TQBpAG4AcwBvAG4AIABhAG4AZAAgAE0AYwBEAG8AbgBhAGwAZAAgACgAMQA5ADgANwAp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y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XABuACAAIAAgACAAIAAgACAAIAB9ACwAIAByACwAIABjACkAXABuACAAIAAgACAAIAAgACkAXABuACAAIAAgACAAKQBcAG4AIAAg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QQByAGcAdQBtAGUAbgB0AHM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Dairy</vt:lpstr>
      <vt:lpstr>4.3.1.1-2 Methane</vt:lpstr>
      <vt:lpstr>4.3.1.3-4 Direct N20</vt:lpstr>
      <vt:lpstr>4.1.1.5-6 Atmos Deposition</vt:lpstr>
      <vt:lpstr>4.1.1.9 Manure applied to soils</vt:lpstr>
      <vt:lpstr>Constants - Dairy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