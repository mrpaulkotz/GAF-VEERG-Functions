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0A6D1CC4-07D5-45AD-93FA-B7D00E0DB739}" xr6:coauthVersionLast="47" xr6:coauthVersionMax="47" xr10:uidLastSave="{00000000-0000-0000-0000-000000000000}"/>
  <bookViews>
    <workbookView xWindow="4680" yWindow="4680" windowWidth="28800" windowHeight="15345" firstSheet="7" activeTab="7"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6" r:id="rId8"/>
    <sheet name="Constants - Livestock" sheetId="43" r:id="rId9"/>
    <sheet name="Acknowledgements" sheetId="72" r:id="rId10"/>
    <sheet name="Tab template" sheetId="74" r:id="rId11"/>
  </sheets>
  <externalReferences>
    <externalReference r:id="rId12"/>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
  )</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M1_Table_E_CH4">'3.1.1.1-2 Enteric Methane'!$D$64:$F$65</definedName>
    <definedName name="M1_Table_EE_j">'3.1.1.1-2 Enteric Methane'!$D$24:$F$25</definedName>
    <definedName name="M1_Table_I_j">'3.1.1.1-2 Enteric Methane'!$D$19:$F$20</definedName>
    <definedName name="M1_Table_M_j">'3.1.1.1-2 Enteric Methane'!$D$34:$F$35</definedName>
    <definedName name="M1_Table_NDF_j">'3.1.1.1-2 Enteric Methane'!$D$29:$F$30</definedName>
    <definedName name="M2_Table_E_CH4">'3.1.1.1-2 Enteric Methane'!$M$64:$O$65</definedName>
    <definedName name="M2_Table_EE_j">'3.1.1.1-2 Enteric Methane'!$M$24:$O$25</definedName>
    <definedName name="M2_Table_I_j">'3.1.1.1-2 Enteric Methane'!$M$19:$O$20</definedName>
    <definedName name="M2_Table_M_j">'3.1.1.1-2 Enteric Methane'!$M$34:$O$35</definedName>
    <definedName name="M2_Table_NDF_j">'3.1.1.1-2 Enteric Methane'!$M$29:$O$30</definedName>
    <definedName name="Range_LivestockStartingValues">#REF!</definedName>
    <definedName name="SourceData_Feedlot.SourceData_Feedlot_AnimalCharacteristics_Data">_xlfn.LAMBDA(
    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
      )
    )
  )</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
    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
      )
    )
  )</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Table_D_j">'3.1.1.1-2 Enteric Methane'!$D$54:$F$55</definedName>
    <definedName name="Table_N_j">'3.1.1.1-2 Enteric Methane'!$D$59:$F$60</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P70" i="69"/>
  <c r="G70" i="69"/>
  <c r="E259" i="106" a="1"/>
  <c r="E259" i="106" s="1"/>
  <c r="D259" i="106" a="1"/>
  <c r="D259" i="106" s="1"/>
  <c r="E258" i="106" a="1"/>
  <c r="E258" i="106" s="1"/>
  <c r="D258" i="106" a="1"/>
  <c r="D258" i="106" s="1"/>
  <c r="D256" i="106" a="1"/>
  <c r="D256" i="106" s="1"/>
  <c r="D255" i="106" a="1"/>
  <c r="D255" i="106" s="1"/>
  <c r="D254" i="106" a="1"/>
  <c r="D254" i="106" s="1"/>
  <c r="D253" i="106" a="1"/>
  <c r="D253" i="106" s="1"/>
  <c r="S250" i="106" a="1"/>
  <c r="S250" i="106" s="1"/>
  <c r="R250" i="106" a="1"/>
  <c r="R250" i="106" s="1"/>
  <c r="Q250" i="106" a="1"/>
  <c r="Q250" i="106" s="1"/>
  <c r="P250" i="106" a="1"/>
  <c r="P250" i="106" s="1"/>
  <c r="O250" i="106" a="1"/>
  <c r="O250" i="106" s="1"/>
  <c r="N250" i="106" a="1"/>
  <c r="N250" i="106" s="1"/>
  <c r="M250" i="106" a="1"/>
  <c r="M250" i="106" s="1"/>
  <c r="L250" i="106" a="1"/>
  <c r="L250" i="106" s="1"/>
  <c r="K250" i="106" a="1"/>
  <c r="K250" i="106" s="1"/>
  <c r="J250" i="106" a="1"/>
  <c r="J250" i="106" s="1"/>
  <c r="I250" i="106" a="1"/>
  <c r="I250" i="106" s="1"/>
  <c r="H250" i="106" a="1"/>
  <c r="H250" i="106" s="1"/>
  <c r="G250" i="106" a="1"/>
  <c r="G250" i="106" s="1"/>
  <c r="F250" i="106" a="1"/>
  <c r="F250" i="106" s="1"/>
  <c r="E250" i="106" a="1"/>
  <c r="E250" i="106" s="1"/>
  <c r="D250" i="106" a="1"/>
  <c r="D250" i="106" s="1"/>
  <c r="S249" i="106" a="1"/>
  <c r="S249" i="106" s="1"/>
  <c r="R249" i="106" a="1"/>
  <c r="R249" i="106" s="1"/>
  <c r="Q249" i="106" a="1"/>
  <c r="Q249" i="106" s="1"/>
  <c r="P249" i="106" a="1"/>
  <c r="P249" i="106" s="1"/>
  <c r="O249" i="106" a="1"/>
  <c r="O249" i="106" s="1"/>
  <c r="N249" i="106" a="1"/>
  <c r="N249" i="106" s="1"/>
  <c r="M249" i="106" a="1"/>
  <c r="M249" i="106" s="1"/>
  <c r="L249" i="106" a="1"/>
  <c r="L249" i="106" s="1"/>
  <c r="K249" i="106" a="1"/>
  <c r="K249" i="106" s="1"/>
  <c r="J249" i="106" a="1"/>
  <c r="J249" i="106" s="1"/>
  <c r="I249" i="106" a="1"/>
  <c r="I249" i="106" s="1"/>
  <c r="H249" i="106" a="1"/>
  <c r="H249" i="106" s="1"/>
  <c r="G249" i="106" a="1"/>
  <c r="G249" i="106" s="1"/>
  <c r="F249" i="106" a="1"/>
  <c r="F249" i="106" s="1"/>
  <c r="E249" i="106" a="1"/>
  <c r="E249" i="106" s="1"/>
  <c r="D249" i="106" a="1"/>
  <c r="D249" i="106" s="1"/>
  <c r="S248" i="106" a="1"/>
  <c r="S248" i="106" s="1"/>
  <c r="R248" i="106" a="1"/>
  <c r="R248" i="106" s="1"/>
  <c r="Q248" i="106" a="1"/>
  <c r="Q248" i="106" s="1"/>
  <c r="P248" i="106" a="1"/>
  <c r="P248" i="106" s="1"/>
  <c r="O248" i="106" a="1"/>
  <c r="O248" i="106" s="1"/>
  <c r="N248" i="106" a="1"/>
  <c r="N248" i="106" s="1"/>
  <c r="M248" i="106" a="1"/>
  <c r="M248" i="106" s="1"/>
  <c r="L248" i="106" a="1"/>
  <c r="L248" i="106" s="1"/>
  <c r="K248" i="106" a="1"/>
  <c r="K248" i="106" s="1"/>
  <c r="J248" i="106" a="1"/>
  <c r="J248" i="106" s="1"/>
  <c r="I248" i="106" a="1"/>
  <c r="I248" i="106" s="1"/>
  <c r="H248" i="106" a="1"/>
  <c r="H248" i="106" s="1"/>
  <c r="G248" i="106" a="1"/>
  <c r="G248" i="106" s="1"/>
  <c r="F248" i="106" a="1"/>
  <c r="F248" i="106" s="1"/>
  <c r="E248" i="106" a="1"/>
  <c r="E248" i="106" s="1"/>
  <c r="D248" i="106" a="1"/>
  <c r="D248" i="106" s="1"/>
  <c r="S247" i="106" a="1"/>
  <c r="S247" i="106" s="1"/>
  <c r="R247" i="106" a="1"/>
  <c r="R247" i="106" s="1"/>
  <c r="Q247" i="106" a="1"/>
  <c r="Q247" i="106" s="1"/>
  <c r="P247" i="106" a="1"/>
  <c r="P247" i="106" s="1"/>
  <c r="O247" i="106" a="1"/>
  <c r="O247" i="106" s="1"/>
  <c r="N247" i="106" a="1"/>
  <c r="N247" i="106" s="1"/>
  <c r="M247" i="106" a="1"/>
  <c r="M247" i="106" s="1"/>
  <c r="L247" i="106" a="1"/>
  <c r="L247" i="106" s="1"/>
  <c r="K247" i="106" a="1"/>
  <c r="K247" i="106" s="1"/>
  <c r="J247" i="106" a="1"/>
  <c r="J247" i="106" s="1"/>
  <c r="I247" i="106" a="1"/>
  <c r="I247" i="106" s="1"/>
  <c r="H247" i="106" a="1"/>
  <c r="H247" i="106" s="1"/>
  <c r="G247" i="106" a="1"/>
  <c r="G247" i="106" s="1"/>
  <c r="F247" i="106" a="1"/>
  <c r="F247" i="106" s="1"/>
  <c r="E247" i="106" a="1"/>
  <c r="E247" i="106" s="1"/>
  <c r="D247" i="106" a="1"/>
  <c r="D247" i="106" s="1"/>
  <c r="S246" i="106" a="1"/>
  <c r="S246" i="106" s="1"/>
  <c r="R246" i="106" a="1"/>
  <c r="R246" i="106" s="1"/>
  <c r="Q246" i="106" a="1"/>
  <c r="Q246" i="106" s="1"/>
  <c r="P246" i="106" a="1"/>
  <c r="P246" i="106" s="1"/>
  <c r="O246" i="106" a="1"/>
  <c r="O246" i="106" s="1"/>
  <c r="N246" i="106" a="1"/>
  <c r="N246" i="106" s="1"/>
  <c r="M246" i="106" a="1"/>
  <c r="M246" i="106" s="1"/>
  <c r="L246" i="106" a="1"/>
  <c r="L246" i="106" s="1"/>
  <c r="K246" i="106" a="1"/>
  <c r="K246" i="106" s="1"/>
  <c r="J246" i="106" a="1"/>
  <c r="J246" i="106" s="1"/>
  <c r="I246" i="106" a="1"/>
  <c r="I246" i="106" s="1"/>
  <c r="H246" i="106" a="1"/>
  <c r="H246" i="106" s="1"/>
  <c r="G246" i="106" a="1"/>
  <c r="G246" i="106" s="1"/>
  <c r="F246" i="106" a="1"/>
  <c r="F246" i="106" s="1"/>
  <c r="E246" i="106" a="1"/>
  <c r="E246" i="106" s="1"/>
  <c r="D246" i="106" a="1"/>
  <c r="D246" i="106" s="1"/>
  <c r="S245" i="106" a="1"/>
  <c r="S245" i="106" s="1"/>
  <c r="R245" i="106" a="1"/>
  <c r="R245" i="106" s="1"/>
  <c r="Q245" i="106" a="1"/>
  <c r="Q245" i="106" s="1"/>
  <c r="P245" i="106" a="1"/>
  <c r="P245" i="106" s="1"/>
  <c r="O245" i="106" a="1"/>
  <c r="O245" i="106" s="1"/>
  <c r="N245" i="106" a="1"/>
  <c r="N245" i="106" s="1"/>
  <c r="M245" i="106" a="1"/>
  <c r="M245" i="106" s="1"/>
  <c r="L245" i="106" a="1"/>
  <c r="L245" i="106" s="1"/>
  <c r="K245" i="106" a="1"/>
  <c r="K245" i="106" s="1"/>
  <c r="J245" i="106" a="1"/>
  <c r="J245" i="106" s="1"/>
  <c r="I245" i="106" a="1"/>
  <c r="I245" i="106" s="1"/>
  <c r="H245" i="106" a="1"/>
  <c r="H245" i="106" s="1"/>
  <c r="G245" i="106" a="1"/>
  <c r="G245" i="106" s="1"/>
  <c r="F245" i="106" a="1"/>
  <c r="F245" i="106" s="1"/>
  <c r="E245" i="106" a="1"/>
  <c r="E245" i="106" s="1"/>
  <c r="D245" i="106" a="1"/>
  <c r="D245" i="106" s="1"/>
  <c r="S244" i="106" a="1"/>
  <c r="S244" i="106" s="1"/>
  <c r="R244" i="106" a="1"/>
  <c r="R244" i="106" s="1"/>
  <c r="Q244" i="106" a="1"/>
  <c r="Q244" i="106" s="1"/>
  <c r="P244" i="106" a="1"/>
  <c r="P244" i="106" s="1"/>
  <c r="O244" i="106" a="1"/>
  <c r="O244" i="106" s="1"/>
  <c r="N244" i="106" a="1"/>
  <c r="N244" i="106" s="1"/>
  <c r="M244" i="106" a="1"/>
  <c r="M244" i="106" s="1"/>
  <c r="L244" i="106" a="1"/>
  <c r="L244" i="106" s="1"/>
  <c r="K244" i="106" a="1"/>
  <c r="K244" i="106" s="1"/>
  <c r="J244" i="106" a="1"/>
  <c r="J244" i="106" s="1"/>
  <c r="I244" i="106" a="1"/>
  <c r="I244" i="106" s="1"/>
  <c r="H244" i="106" a="1"/>
  <c r="H244" i="106" s="1"/>
  <c r="G244" i="106" a="1"/>
  <c r="G244" i="106" s="1"/>
  <c r="F244" i="106" a="1"/>
  <c r="F244" i="106" s="1"/>
  <c r="E244" i="106" a="1"/>
  <c r="E244" i="106" s="1"/>
  <c r="D244" i="106" a="1"/>
  <c r="D244" i="106" s="1"/>
  <c r="S243" i="106" a="1"/>
  <c r="S243" i="106" s="1"/>
  <c r="R243" i="106" a="1"/>
  <c r="R243" i="106" s="1"/>
  <c r="Q243" i="106" a="1"/>
  <c r="Q243" i="106" s="1"/>
  <c r="P243" i="106" a="1"/>
  <c r="P243" i="106" s="1"/>
  <c r="O243" i="106" a="1"/>
  <c r="O243" i="106" s="1"/>
  <c r="N243" i="106" a="1"/>
  <c r="N243" i="106" s="1"/>
  <c r="M243" i="106" a="1"/>
  <c r="M243" i="106" s="1"/>
  <c r="L243" i="106" a="1"/>
  <c r="L243" i="106" s="1"/>
  <c r="K243" i="106" a="1"/>
  <c r="K243" i="106" s="1"/>
  <c r="J243" i="106" a="1"/>
  <c r="J243" i="106" s="1"/>
  <c r="I243" i="106" a="1"/>
  <c r="I243" i="106" s="1"/>
  <c r="H243" i="106" a="1"/>
  <c r="H243" i="106" s="1"/>
  <c r="G243" i="106" a="1"/>
  <c r="G243" i="106" s="1"/>
  <c r="F243" i="106" a="1"/>
  <c r="F243" i="106" s="1"/>
  <c r="E243" i="106" a="1"/>
  <c r="E243" i="106" s="1"/>
  <c r="D243" i="106" a="1"/>
  <c r="D243" i="106" s="1"/>
  <c r="S242" i="106" a="1"/>
  <c r="S242" i="106" s="1"/>
  <c r="R242" i="106" a="1"/>
  <c r="R242" i="106" s="1"/>
  <c r="Q242" i="106" a="1"/>
  <c r="Q242" i="106" s="1"/>
  <c r="P242" i="106" a="1"/>
  <c r="P242" i="106" s="1"/>
  <c r="O242" i="106" a="1"/>
  <c r="O242" i="106" s="1"/>
  <c r="N242" i="106" a="1"/>
  <c r="N242" i="106" s="1"/>
  <c r="M242" i="106" a="1"/>
  <c r="M242" i="106" s="1"/>
  <c r="L242" i="106" a="1"/>
  <c r="L242" i="106" s="1"/>
  <c r="K242" i="106" a="1"/>
  <c r="K242" i="106" s="1"/>
  <c r="J242" i="106" a="1"/>
  <c r="J242" i="106" s="1"/>
  <c r="I242" i="106" a="1"/>
  <c r="I242" i="106" s="1"/>
  <c r="H242" i="106" a="1"/>
  <c r="H242" i="106" s="1"/>
  <c r="G242" i="106" a="1"/>
  <c r="G242" i="106" s="1"/>
  <c r="F242" i="106" a="1"/>
  <c r="F242" i="106" s="1"/>
  <c r="E242" i="106" a="1"/>
  <c r="E242" i="106" s="1"/>
  <c r="D242" i="106" a="1"/>
  <c r="D242" i="106" s="1"/>
  <c r="S241" i="106" a="1"/>
  <c r="S241" i="106" s="1"/>
  <c r="R241" i="106" a="1"/>
  <c r="R241" i="106" s="1"/>
  <c r="Q241" i="106" a="1"/>
  <c r="Q241" i="106" s="1"/>
  <c r="P241" i="106" a="1"/>
  <c r="P241" i="106" s="1"/>
  <c r="O241" i="106" a="1"/>
  <c r="O241" i="106" s="1"/>
  <c r="N241" i="106" a="1"/>
  <c r="N241" i="106" s="1"/>
  <c r="M241" i="106" a="1"/>
  <c r="M241" i="106" s="1"/>
  <c r="L241" i="106" a="1"/>
  <c r="L241" i="106" s="1"/>
  <c r="K241" i="106" a="1"/>
  <c r="K241" i="106" s="1"/>
  <c r="J241" i="106" a="1"/>
  <c r="J241" i="106" s="1"/>
  <c r="I241" i="106" a="1"/>
  <c r="I241" i="106" s="1"/>
  <c r="H241" i="106" a="1"/>
  <c r="H241" i="106" s="1"/>
  <c r="G241" i="106" a="1"/>
  <c r="G241" i="106" s="1"/>
  <c r="F241" i="106" a="1"/>
  <c r="F241" i="106" s="1"/>
  <c r="E241" i="106" a="1"/>
  <c r="E241" i="106" s="1"/>
  <c r="D241" i="106" a="1"/>
  <c r="D241" i="106" s="1"/>
  <c r="S240" i="106" a="1"/>
  <c r="S240" i="106" s="1"/>
  <c r="R240" i="106" a="1"/>
  <c r="R240" i="106" s="1"/>
  <c r="Q240" i="106" a="1"/>
  <c r="Q240" i="106" s="1"/>
  <c r="P240" i="106" a="1"/>
  <c r="P240" i="106" s="1"/>
  <c r="O240" i="106" a="1"/>
  <c r="O240" i="106" s="1"/>
  <c r="N240" i="106" a="1"/>
  <c r="N240" i="106" s="1"/>
  <c r="M240" i="106" a="1"/>
  <c r="M240" i="106" s="1"/>
  <c r="L240" i="106" a="1"/>
  <c r="L240" i="106" s="1"/>
  <c r="K240" i="106" a="1"/>
  <c r="K240" i="106" s="1"/>
  <c r="J240" i="106" a="1"/>
  <c r="J240" i="106" s="1"/>
  <c r="I240" i="106" a="1"/>
  <c r="I240" i="106" s="1"/>
  <c r="H240" i="106" a="1"/>
  <c r="H240" i="106" s="1"/>
  <c r="G240" i="106" a="1"/>
  <c r="G240" i="106" s="1"/>
  <c r="F240" i="106" a="1"/>
  <c r="F240" i="106" s="1"/>
  <c r="E240" i="106" a="1"/>
  <c r="E240" i="106" s="1"/>
  <c r="D240" i="106" a="1"/>
  <c r="D240" i="106" s="1"/>
  <c r="S239" i="106" a="1"/>
  <c r="S239" i="106" s="1"/>
  <c r="R239" i="106" a="1"/>
  <c r="R239" i="106" s="1"/>
  <c r="Q239" i="106" a="1"/>
  <c r="Q239" i="106" s="1"/>
  <c r="P239" i="106" a="1"/>
  <c r="P239" i="106" s="1"/>
  <c r="O239" i="106" a="1"/>
  <c r="O239" i="106" s="1"/>
  <c r="N239" i="106" a="1"/>
  <c r="N239" i="106" s="1"/>
  <c r="M239" i="106" a="1"/>
  <c r="M239" i="106" s="1"/>
  <c r="L239" i="106" a="1"/>
  <c r="L239" i="106" s="1"/>
  <c r="K239" i="106" a="1"/>
  <c r="K239" i="106" s="1"/>
  <c r="J239" i="106" a="1"/>
  <c r="J239" i="106" s="1"/>
  <c r="I239" i="106" a="1"/>
  <c r="I239" i="106" s="1"/>
  <c r="H239" i="106" a="1"/>
  <c r="H239" i="106" s="1"/>
  <c r="G239" i="106" a="1"/>
  <c r="G239" i="106" s="1"/>
  <c r="F239" i="106" a="1"/>
  <c r="F239" i="106" s="1"/>
  <c r="E239" i="106" a="1"/>
  <c r="E239" i="106" s="1"/>
  <c r="D239" i="106" a="1"/>
  <c r="D239" i="106" s="1"/>
  <c r="S238" i="106" a="1"/>
  <c r="S238" i="106" s="1"/>
  <c r="R238" i="106" a="1"/>
  <c r="R238" i="106" s="1"/>
  <c r="Q238" i="106" a="1"/>
  <c r="Q238" i="106" s="1"/>
  <c r="P238" i="106" a="1"/>
  <c r="P238" i="106" s="1"/>
  <c r="O238" i="106" a="1"/>
  <c r="O238" i="106" s="1"/>
  <c r="N238" i="106" a="1"/>
  <c r="N238" i="106" s="1"/>
  <c r="M238" i="106" a="1"/>
  <c r="M238" i="106" s="1"/>
  <c r="L238" i="106" a="1"/>
  <c r="L238" i="106" s="1"/>
  <c r="K238" i="106" a="1"/>
  <c r="K238" i="106" s="1"/>
  <c r="J238" i="106" a="1"/>
  <c r="J238" i="106" s="1"/>
  <c r="I238" i="106" a="1"/>
  <c r="I238" i="106" s="1"/>
  <c r="H238" i="106" a="1"/>
  <c r="H238" i="106" s="1"/>
  <c r="G238" i="106" a="1"/>
  <c r="G238" i="106" s="1"/>
  <c r="F238" i="106" a="1"/>
  <c r="F238" i="106" s="1"/>
  <c r="E238" i="106" a="1"/>
  <c r="E238" i="106" s="1"/>
  <c r="D238" i="106" a="1"/>
  <c r="D238" i="106" s="1"/>
  <c r="S237" i="106" a="1"/>
  <c r="S237" i="106" s="1"/>
  <c r="R237" i="106" a="1"/>
  <c r="R237" i="106" s="1"/>
  <c r="Q237" i="106" a="1"/>
  <c r="Q237" i="106" s="1"/>
  <c r="P237" i="106" a="1"/>
  <c r="P237" i="106" s="1"/>
  <c r="O237" i="106" a="1"/>
  <c r="O237" i="106" s="1"/>
  <c r="N237" i="106" a="1"/>
  <c r="N237" i="106" s="1"/>
  <c r="M237" i="106" a="1"/>
  <c r="M237" i="106" s="1"/>
  <c r="L237" i="106" a="1"/>
  <c r="L237" i="106" s="1"/>
  <c r="K237" i="106" a="1"/>
  <c r="K237" i="106" s="1"/>
  <c r="J237" i="106" a="1"/>
  <c r="J237" i="106" s="1"/>
  <c r="I237" i="106" a="1"/>
  <c r="I237" i="106" s="1"/>
  <c r="H237" i="106" a="1"/>
  <c r="H237" i="106" s="1"/>
  <c r="G237" i="106" a="1"/>
  <c r="G237" i="106" s="1"/>
  <c r="F237" i="106" a="1"/>
  <c r="F237" i="106" s="1"/>
  <c r="E237" i="106" a="1"/>
  <c r="E237" i="106" s="1"/>
  <c r="D237" i="106" a="1"/>
  <c r="D237" i="106" s="1"/>
  <c r="S236" i="106" a="1"/>
  <c r="S236" i="106" s="1"/>
  <c r="R236" i="106" a="1"/>
  <c r="R236" i="106" s="1"/>
  <c r="Q236" i="106" a="1"/>
  <c r="Q236" i="106" s="1"/>
  <c r="P236" i="106" a="1"/>
  <c r="P236" i="106" s="1"/>
  <c r="O236" i="106" a="1"/>
  <c r="O236" i="106" s="1"/>
  <c r="N236" i="106" a="1"/>
  <c r="N236" i="106" s="1"/>
  <c r="M236" i="106" a="1"/>
  <c r="M236" i="106" s="1"/>
  <c r="L236" i="106" a="1"/>
  <c r="L236" i="106" s="1"/>
  <c r="K236" i="106" a="1"/>
  <c r="K236" i="106" s="1"/>
  <c r="J236" i="106" a="1"/>
  <c r="J236" i="106" s="1"/>
  <c r="I236" i="106" a="1"/>
  <c r="I236" i="106" s="1"/>
  <c r="H236" i="106" a="1"/>
  <c r="H236" i="106" s="1"/>
  <c r="G236" i="106" a="1"/>
  <c r="G236" i="106" s="1"/>
  <c r="F236" i="106" a="1"/>
  <c r="F236" i="106" s="1"/>
  <c r="E236" i="106" a="1"/>
  <c r="E236" i="106" s="1"/>
  <c r="D236" i="106" a="1"/>
  <c r="D236" i="106" s="1"/>
  <c r="S235" i="106" a="1"/>
  <c r="S235" i="106" s="1"/>
  <c r="R235" i="106" a="1"/>
  <c r="R235" i="106" s="1"/>
  <c r="Q235" i="106" a="1"/>
  <c r="Q235" i="106" s="1"/>
  <c r="P235" i="106" a="1"/>
  <c r="P235" i="106" s="1"/>
  <c r="O235" i="106" a="1"/>
  <c r="O235" i="106" s="1"/>
  <c r="N235" i="106" a="1"/>
  <c r="N235" i="106" s="1"/>
  <c r="M235" i="106" a="1"/>
  <c r="M235" i="106" s="1"/>
  <c r="L235" i="106" a="1"/>
  <c r="L235" i="106" s="1"/>
  <c r="K235" i="106" a="1"/>
  <c r="K235" i="106" s="1"/>
  <c r="J235" i="106" a="1"/>
  <c r="J235" i="106" s="1"/>
  <c r="I235" i="106" a="1"/>
  <c r="I235" i="106" s="1"/>
  <c r="H235" i="106" a="1"/>
  <c r="H235" i="106" s="1"/>
  <c r="G235" i="106" a="1"/>
  <c r="G235" i="106" s="1"/>
  <c r="F235" i="106" a="1"/>
  <c r="F235" i="106" s="1"/>
  <c r="E235" i="106" a="1"/>
  <c r="E235" i="106" s="1"/>
  <c r="D235" i="106" a="1"/>
  <c r="D235" i="106" s="1"/>
  <c r="S234" i="106" a="1"/>
  <c r="S234" i="106" s="1"/>
  <c r="R234" i="106" a="1"/>
  <c r="R234" i="106" s="1"/>
  <c r="Q234" i="106" a="1"/>
  <c r="Q234" i="106" s="1"/>
  <c r="P234" i="106" a="1"/>
  <c r="P234" i="106" s="1"/>
  <c r="O234" i="106" a="1"/>
  <c r="O234" i="106" s="1"/>
  <c r="N234" i="106" a="1"/>
  <c r="N234" i="106" s="1"/>
  <c r="M234" i="106" a="1"/>
  <c r="M234" i="106" s="1"/>
  <c r="L234" i="106" a="1"/>
  <c r="L234" i="106" s="1"/>
  <c r="K234" i="106" a="1"/>
  <c r="K234" i="106" s="1"/>
  <c r="J234" i="106" a="1"/>
  <c r="J234" i="106" s="1"/>
  <c r="I234" i="106" a="1"/>
  <c r="I234" i="106" s="1"/>
  <c r="H234" i="106" a="1"/>
  <c r="H234" i="106" s="1"/>
  <c r="G234" i="106" a="1"/>
  <c r="G234" i="106" s="1"/>
  <c r="F234" i="106" a="1"/>
  <c r="F234" i="106" s="1"/>
  <c r="E234" i="106" a="1"/>
  <c r="E234" i="106" s="1"/>
  <c r="D234" i="106" a="1"/>
  <c r="D234" i="106" s="1"/>
  <c r="S233" i="106" a="1"/>
  <c r="S233" i="106" s="1"/>
  <c r="R233" i="106" a="1"/>
  <c r="R233" i="106" s="1"/>
  <c r="Q233" i="106" a="1"/>
  <c r="Q233" i="106" s="1"/>
  <c r="P233" i="106" a="1"/>
  <c r="P233" i="106" s="1"/>
  <c r="O233" i="106" a="1"/>
  <c r="O233" i="106" s="1"/>
  <c r="N233" i="106" a="1"/>
  <c r="N233" i="106" s="1"/>
  <c r="M233" i="106" a="1"/>
  <c r="M233" i="106" s="1"/>
  <c r="L233" i="106" a="1"/>
  <c r="L233" i="106" s="1"/>
  <c r="K233" i="106" a="1"/>
  <c r="K233" i="106" s="1"/>
  <c r="J233" i="106" a="1"/>
  <c r="J233" i="106" s="1"/>
  <c r="I233" i="106" a="1"/>
  <c r="I233" i="106" s="1"/>
  <c r="H233" i="106" a="1"/>
  <c r="H233" i="106" s="1"/>
  <c r="G233" i="106" a="1"/>
  <c r="G233" i="106" s="1"/>
  <c r="F233" i="106" a="1"/>
  <c r="F233" i="106" s="1"/>
  <c r="E233" i="106" a="1"/>
  <c r="E233" i="106" s="1"/>
  <c r="D233" i="106" a="1"/>
  <c r="D233" i="106" s="1"/>
  <c r="S232" i="106" a="1"/>
  <c r="S232" i="106" s="1"/>
  <c r="R232" i="106" a="1"/>
  <c r="R232" i="106" s="1"/>
  <c r="Q232" i="106" a="1"/>
  <c r="Q232" i="106" s="1"/>
  <c r="P232" i="106" a="1"/>
  <c r="P232" i="106" s="1"/>
  <c r="O232" i="106" a="1"/>
  <c r="O232" i="106" s="1"/>
  <c r="N232" i="106" a="1"/>
  <c r="N232" i="106" s="1"/>
  <c r="M232" i="106" a="1"/>
  <c r="M232" i="106" s="1"/>
  <c r="L232" i="106" a="1"/>
  <c r="L232" i="106" s="1"/>
  <c r="K232" i="106" a="1"/>
  <c r="K232" i="106" s="1"/>
  <c r="J232" i="106" a="1"/>
  <c r="J232" i="106" s="1"/>
  <c r="I232" i="106" a="1"/>
  <c r="I232" i="106" s="1"/>
  <c r="H232" i="106" a="1"/>
  <c r="H232" i="106" s="1"/>
  <c r="G232" i="106" a="1"/>
  <c r="G232" i="106" s="1"/>
  <c r="F232" i="106" a="1"/>
  <c r="F232" i="106" s="1"/>
  <c r="E232" i="106" a="1"/>
  <c r="E232" i="106" s="1"/>
  <c r="D232" i="106" a="1"/>
  <c r="D232" i="106" s="1"/>
  <c r="D229" i="106" a="1"/>
  <c r="D229" i="106" s="1"/>
  <c r="D228" i="106" a="1"/>
  <c r="D228" i="106" s="1"/>
  <c r="D227" i="106" a="1"/>
  <c r="D227" i="106" s="1"/>
  <c r="E224" i="106" a="1"/>
  <c r="E224" i="106" s="1"/>
  <c r="D224" i="106" a="1"/>
  <c r="D224" i="106" s="1"/>
  <c r="E223" i="106" a="1"/>
  <c r="E223" i="106" s="1"/>
  <c r="D223" i="106" a="1"/>
  <c r="D223" i="106" s="1"/>
  <c r="E222" i="106" a="1"/>
  <c r="E222" i="106" s="1"/>
  <c r="D222" i="106" a="1"/>
  <c r="D222" i="106" s="1"/>
  <c r="E221" i="106" a="1"/>
  <c r="E221" i="106" s="1"/>
  <c r="D221" i="106" a="1"/>
  <c r="D221" i="106" s="1"/>
  <c r="E220" i="106" a="1"/>
  <c r="E220" i="106" s="1"/>
  <c r="D220" i="106" a="1"/>
  <c r="D220" i="106" s="1"/>
  <c r="E219" i="106" a="1"/>
  <c r="E219" i="106" s="1"/>
  <c r="D219" i="106" a="1"/>
  <c r="D219" i="106" s="1"/>
  <c r="E218" i="106" a="1"/>
  <c r="E218" i="106" s="1"/>
  <c r="D218" i="106" a="1"/>
  <c r="D218" i="106" s="1"/>
  <c r="E217" i="106" a="1"/>
  <c r="E217" i="106" s="1"/>
  <c r="D217" i="106" a="1"/>
  <c r="D217" i="106" s="1"/>
  <c r="E216" i="106" a="1"/>
  <c r="E216" i="106" s="1"/>
  <c r="D216" i="106" a="1"/>
  <c r="D216" i="106" s="1"/>
  <c r="E215" i="106" a="1"/>
  <c r="E215" i="106" s="1"/>
  <c r="D215" i="106" a="1"/>
  <c r="D215" i="106" s="1"/>
  <c r="E214" i="106" a="1"/>
  <c r="E214" i="106" s="1"/>
  <c r="D214" i="106" a="1"/>
  <c r="D214" i="106" s="1"/>
  <c r="E213" i="106" a="1"/>
  <c r="E213" i="106" s="1"/>
  <c r="D213" i="106" a="1"/>
  <c r="D213" i="106" s="1"/>
  <c r="D211" i="106" a="1"/>
  <c r="D211" i="106" s="1"/>
  <c r="E208" i="106" a="1"/>
  <c r="E208" i="106" s="1"/>
  <c r="D208" i="106" a="1"/>
  <c r="D208" i="106" s="1"/>
  <c r="E207" i="106" a="1"/>
  <c r="E207" i="106" s="1"/>
  <c r="D207" i="106" a="1"/>
  <c r="D207" i="106" s="1"/>
  <c r="D205" i="106" a="1"/>
  <c r="D205" i="106" s="1"/>
  <c r="D204" i="106" a="1"/>
  <c r="D204" i="106" s="1"/>
  <c r="D203" i="106" a="1"/>
  <c r="D203" i="106" s="1"/>
  <c r="D202" i="106" a="1"/>
  <c r="D202" i="106" s="1"/>
  <c r="H199" i="106" a="1"/>
  <c r="H199" i="106" s="1"/>
  <c r="G199" i="106" a="1"/>
  <c r="G199" i="106" s="1"/>
  <c r="F199" i="106" a="1"/>
  <c r="F199" i="106" s="1"/>
  <c r="E199" i="106" a="1"/>
  <c r="E199" i="106" s="1"/>
  <c r="D199" i="106" a="1"/>
  <c r="D199" i="106" s="1"/>
  <c r="H198" i="106" a="1"/>
  <c r="H198" i="106" s="1"/>
  <c r="G198" i="106" a="1"/>
  <c r="G198" i="106" s="1"/>
  <c r="F198" i="106" a="1"/>
  <c r="F198" i="106" s="1"/>
  <c r="E198" i="106" a="1"/>
  <c r="E198" i="106" s="1"/>
  <c r="D198" i="106" a="1"/>
  <c r="D198" i="106" s="1"/>
  <c r="H197" i="106" a="1"/>
  <c r="H197" i="106" s="1"/>
  <c r="G197" i="106" a="1"/>
  <c r="G197" i="106" s="1"/>
  <c r="F197" i="106" a="1"/>
  <c r="F197" i="106" s="1"/>
  <c r="E197" i="106" a="1"/>
  <c r="E197" i="106" s="1"/>
  <c r="D197" i="106" a="1"/>
  <c r="D197" i="106" s="1"/>
  <c r="H196" i="106" a="1"/>
  <c r="H196" i="106" s="1"/>
  <c r="G196" i="106" a="1"/>
  <c r="G196" i="106" s="1"/>
  <c r="F196" i="106" a="1"/>
  <c r="F196" i="106" s="1"/>
  <c r="E196" i="106" a="1"/>
  <c r="E196" i="106" s="1"/>
  <c r="D196" i="106" a="1"/>
  <c r="D196" i="106" s="1"/>
  <c r="H195" i="106" a="1"/>
  <c r="H195" i="106" s="1"/>
  <c r="G195" i="106" a="1"/>
  <c r="G195" i="106" s="1"/>
  <c r="F195" i="106" a="1"/>
  <c r="F195" i="106" s="1"/>
  <c r="E195" i="106" a="1"/>
  <c r="E195" i="106" s="1"/>
  <c r="D195" i="106" a="1"/>
  <c r="D195" i="106" s="1"/>
  <c r="H194" i="106" a="1"/>
  <c r="H194" i="106" s="1"/>
  <c r="G194" i="106" a="1"/>
  <c r="G194" i="106" s="1"/>
  <c r="F194" i="106" a="1"/>
  <c r="F194" i="106" s="1"/>
  <c r="E194" i="106" a="1"/>
  <c r="E194" i="106" s="1"/>
  <c r="D194" i="106" a="1"/>
  <c r="D194" i="106" s="1"/>
  <c r="H193" i="106" a="1"/>
  <c r="H193" i="106" s="1"/>
  <c r="G193" i="106" a="1"/>
  <c r="G193" i="106" s="1"/>
  <c r="F193" i="106" a="1"/>
  <c r="F193" i="106" s="1"/>
  <c r="E193" i="106" a="1"/>
  <c r="E193" i="106" s="1"/>
  <c r="D193" i="106" a="1"/>
  <c r="D193" i="106" s="1"/>
  <c r="H192" i="106" a="1"/>
  <c r="H192" i="106" s="1"/>
  <c r="G192" i="106" a="1"/>
  <c r="G192" i="106" s="1"/>
  <c r="F192" i="106" a="1"/>
  <c r="F192" i="106" s="1"/>
  <c r="E192" i="106" a="1"/>
  <c r="E192" i="106" s="1"/>
  <c r="D192" i="106" a="1"/>
  <c r="D192" i="106" s="1"/>
  <c r="H191" i="106" a="1"/>
  <c r="H191" i="106" s="1"/>
  <c r="G191" i="106" a="1"/>
  <c r="G191" i="106" s="1"/>
  <c r="F191" i="106" a="1"/>
  <c r="F191" i="106" s="1"/>
  <c r="E191" i="106" a="1"/>
  <c r="E191" i="106" s="1"/>
  <c r="D191" i="106" a="1"/>
  <c r="D191" i="106" s="1"/>
  <c r="H190" i="106" a="1"/>
  <c r="H190" i="106" s="1"/>
  <c r="G190" i="106" a="1"/>
  <c r="G190" i="106" s="1"/>
  <c r="F190" i="106" a="1"/>
  <c r="F190" i="106" s="1"/>
  <c r="E190" i="106" a="1"/>
  <c r="E190" i="106" s="1"/>
  <c r="D190" i="106" a="1"/>
  <c r="D190" i="106" s="1"/>
  <c r="H189" i="106" a="1"/>
  <c r="H189" i="106" s="1"/>
  <c r="G189" i="106" a="1"/>
  <c r="G189" i="106" s="1"/>
  <c r="F189" i="106" a="1"/>
  <c r="F189" i="106" s="1"/>
  <c r="E189" i="106" a="1"/>
  <c r="E189" i="106" s="1"/>
  <c r="D189" i="106" a="1"/>
  <c r="D189" i="106" s="1"/>
  <c r="H188" i="106" a="1"/>
  <c r="H188" i="106" s="1"/>
  <c r="G188" i="106" a="1"/>
  <c r="G188" i="106" s="1"/>
  <c r="F188" i="106" a="1"/>
  <c r="F188" i="106" s="1"/>
  <c r="E188" i="106" a="1"/>
  <c r="E188" i="106" s="1"/>
  <c r="D188" i="106" a="1"/>
  <c r="D188" i="106" s="1"/>
  <c r="H187" i="106" a="1"/>
  <c r="H187" i="106" s="1"/>
  <c r="G187" i="106" a="1"/>
  <c r="G187" i="106" s="1"/>
  <c r="F187" i="106" a="1"/>
  <c r="F187" i="106" s="1"/>
  <c r="E187" i="106" a="1"/>
  <c r="E187" i="106" s="1"/>
  <c r="D187" i="106" a="1"/>
  <c r="D187" i="106" s="1"/>
  <c r="D181" i="106" a="1"/>
  <c r="D181" i="106" s="1"/>
  <c r="D180" i="106" a="1"/>
  <c r="D180" i="106" s="1"/>
  <c r="D179" i="106" a="1"/>
  <c r="D179" i="106" s="1"/>
  <c r="D178" i="106" a="1"/>
  <c r="D178" i="106" s="1"/>
  <c r="E175" i="106" a="1"/>
  <c r="E175" i="106" s="1"/>
  <c r="D175" i="106" a="1"/>
  <c r="D175" i="106" s="1"/>
  <c r="D174" i="106" a="1"/>
  <c r="D174" i="106" s="1"/>
  <c r="D173" i="106" a="1"/>
  <c r="D173" i="106" s="1"/>
  <c r="D170" i="106" a="1"/>
  <c r="D170" i="106" s="1"/>
  <c r="D169" i="106" a="1"/>
  <c r="D169" i="106" s="1"/>
  <c r="D168" i="106" a="1"/>
  <c r="D168" i="106" s="1"/>
  <c r="D167" i="106" a="1"/>
  <c r="D167" i="106" s="1"/>
  <c r="D164" i="106" a="1"/>
  <c r="D164" i="106" s="1"/>
  <c r="D163" i="106" a="1"/>
  <c r="D163" i="106" s="1"/>
  <c r="D162" i="106" a="1"/>
  <c r="D162" i="106" s="1"/>
  <c r="D161" i="106" a="1"/>
  <c r="D161" i="106" s="1"/>
  <c r="E158" i="106" a="1"/>
  <c r="E158" i="106" s="1"/>
  <c r="D158" i="106" a="1"/>
  <c r="D158" i="106" s="1"/>
  <c r="E157" i="106" a="1"/>
  <c r="E157" i="106" s="1"/>
  <c r="D157" i="106" a="1"/>
  <c r="D157" i="106" s="1"/>
  <c r="E156" i="106" a="1"/>
  <c r="E156" i="106" s="1"/>
  <c r="D156" i="106" a="1"/>
  <c r="D156" i="106" s="1"/>
  <c r="E155" i="106" a="1"/>
  <c r="E155" i="106" s="1"/>
  <c r="D155" i="106" a="1"/>
  <c r="D155" i="106" s="1"/>
  <c r="E154" i="106" a="1"/>
  <c r="E154" i="106" s="1"/>
  <c r="D154" i="106" a="1"/>
  <c r="D154" i="106" s="1"/>
  <c r="D151" i="106" a="1"/>
  <c r="D151" i="106" s="1"/>
  <c r="D150" i="106" a="1"/>
  <c r="D150" i="106" s="1"/>
  <c r="E147" i="106" a="1"/>
  <c r="E147" i="106" s="1"/>
  <c r="D147" i="106" a="1"/>
  <c r="D147" i="106" s="1"/>
  <c r="E146" i="106" a="1"/>
  <c r="E146" i="106" s="1"/>
  <c r="D146" i="106" a="1"/>
  <c r="D146" i="106" s="1"/>
  <c r="E145" i="106" a="1"/>
  <c r="E145" i="106" s="1"/>
  <c r="D145" i="106" a="1"/>
  <c r="D145" i="106" s="1"/>
  <c r="E144" i="106" a="1"/>
  <c r="E144" i="106" s="1"/>
  <c r="D144" i="106" a="1"/>
  <c r="D144" i="106" s="1"/>
  <c r="E143" i="106" a="1"/>
  <c r="E143" i="106" s="1"/>
  <c r="D143" i="106" a="1"/>
  <c r="D143" i="106" s="1"/>
  <c r="D141" i="106" a="1"/>
  <c r="D141" i="106" s="1"/>
  <c r="D140" i="106" a="1"/>
  <c r="D140" i="106" s="1"/>
  <c r="D139" i="106" a="1"/>
  <c r="D139" i="106" s="1"/>
  <c r="E136" i="106" a="1"/>
  <c r="E136" i="106" s="1"/>
  <c r="D136" i="106" a="1"/>
  <c r="D136" i="106" s="1"/>
  <c r="E135" i="106" a="1"/>
  <c r="E135" i="106" s="1"/>
  <c r="D135" i="106" a="1"/>
  <c r="D135" i="106" s="1"/>
  <c r="D133" i="106" a="1"/>
  <c r="D133" i="106" s="1"/>
  <c r="D132" i="106" a="1"/>
  <c r="D132" i="106" s="1"/>
  <c r="E129" i="106" a="1"/>
  <c r="E129" i="106" s="1"/>
  <c r="D129" i="106" a="1"/>
  <c r="D129" i="106" s="1"/>
  <c r="E128" i="106" a="1"/>
  <c r="E128" i="106" s="1"/>
  <c r="D128" i="106" a="1"/>
  <c r="D128" i="106" s="1"/>
  <c r="D125" i="106" a="1"/>
  <c r="D125" i="106" s="1"/>
  <c r="D124" i="106" a="1"/>
  <c r="D124" i="106" s="1"/>
  <c r="G121" i="106" a="1"/>
  <c r="G121" i="106" s="1"/>
  <c r="F121" i="106" a="1"/>
  <c r="F121" i="106" s="1"/>
  <c r="E121" i="106" a="1"/>
  <c r="E121" i="106" s="1"/>
  <c r="D121" i="106" a="1"/>
  <c r="D121" i="106" s="1"/>
  <c r="G120" i="106" a="1"/>
  <c r="G120" i="106" s="1"/>
  <c r="F120" i="106" a="1"/>
  <c r="F120" i="106" s="1"/>
  <c r="E120" i="106" a="1"/>
  <c r="E120" i="106" s="1"/>
  <c r="D120" i="106" a="1"/>
  <c r="D120" i="106" s="1"/>
  <c r="D117" i="106" a="1"/>
  <c r="D117" i="106" s="1"/>
  <c r="D116" i="106" a="1"/>
  <c r="D116" i="106" s="1"/>
  <c r="D115" i="106" a="1"/>
  <c r="D115" i="106" s="1"/>
  <c r="G112" i="106" a="1"/>
  <c r="G112" i="106" s="1"/>
  <c r="F112" i="106" a="1"/>
  <c r="F112" i="106" s="1"/>
  <c r="E112" i="106" a="1"/>
  <c r="E112" i="106" s="1"/>
  <c r="D112" i="106" a="1"/>
  <c r="D112" i="106" s="1"/>
  <c r="G111" i="106" a="1"/>
  <c r="G111" i="106" s="1"/>
  <c r="F111" i="106" a="1"/>
  <c r="F111" i="106" s="1"/>
  <c r="E111" i="106" a="1"/>
  <c r="E111" i="106" s="1"/>
  <c r="D111" i="106" a="1"/>
  <c r="D111" i="106" s="1"/>
  <c r="G110" i="106" a="1"/>
  <c r="G110" i="106" s="1"/>
  <c r="F110" i="106" a="1"/>
  <c r="F110" i="106" s="1"/>
  <c r="E110" i="106" a="1"/>
  <c r="E110" i="106" s="1"/>
  <c r="D110" i="106" a="1"/>
  <c r="D110" i="106" s="1"/>
  <c r="D107" i="106" a="1"/>
  <c r="D107" i="106" s="1"/>
  <c r="D106" i="106" a="1"/>
  <c r="D106" i="106" s="1"/>
  <c r="D105" i="106" a="1"/>
  <c r="D105" i="106" s="1"/>
  <c r="D99" i="106" a="1"/>
  <c r="D99" i="106" s="1"/>
  <c r="S97" i="106" a="1"/>
  <c r="S97" i="106" s="1"/>
  <c r="R97" i="106" a="1"/>
  <c r="R97" i="106" s="1"/>
  <c r="Q97" i="106" a="1"/>
  <c r="Q97" i="106" s="1"/>
  <c r="P97" i="106" a="1"/>
  <c r="P97" i="106" s="1"/>
  <c r="O97" i="106" a="1"/>
  <c r="O97" i="106" s="1"/>
  <c r="N97" i="106" a="1"/>
  <c r="N97" i="106" s="1"/>
  <c r="M97" i="106" a="1"/>
  <c r="M97" i="106" s="1"/>
  <c r="L97" i="106" a="1"/>
  <c r="L97" i="106" s="1"/>
  <c r="K97" i="106" a="1"/>
  <c r="K97" i="106" s="1"/>
  <c r="J97" i="106" a="1"/>
  <c r="J97" i="106" s="1"/>
  <c r="I97" i="106" a="1"/>
  <c r="I97" i="106" s="1"/>
  <c r="H97" i="106" a="1"/>
  <c r="H97" i="106" s="1"/>
  <c r="G97" i="106" a="1"/>
  <c r="G97" i="106" s="1"/>
  <c r="F97" i="106" a="1"/>
  <c r="F97" i="106" s="1"/>
  <c r="E97" i="106" a="1"/>
  <c r="E97" i="106" s="1"/>
  <c r="D97" i="106" a="1"/>
  <c r="D97" i="106" s="1"/>
  <c r="S96" i="106" a="1"/>
  <c r="S96" i="106" s="1"/>
  <c r="R96" i="106" a="1"/>
  <c r="R96" i="106" s="1"/>
  <c r="Q96" i="106" a="1"/>
  <c r="Q96" i="106" s="1"/>
  <c r="P96" i="106" a="1"/>
  <c r="P96" i="106" s="1"/>
  <c r="O96" i="106" a="1"/>
  <c r="O96" i="106" s="1"/>
  <c r="N96" i="106" a="1"/>
  <c r="N96" i="106" s="1"/>
  <c r="M96" i="106" a="1"/>
  <c r="M96" i="106" s="1"/>
  <c r="L96" i="106" a="1"/>
  <c r="L96" i="106" s="1"/>
  <c r="K96" i="106" a="1"/>
  <c r="K96" i="106" s="1"/>
  <c r="J96" i="106" a="1"/>
  <c r="J96" i="106" s="1"/>
  <c r="I96" i="106" a="1"/>
  <c r="I96" i="106" s="1"/>
  <c r="H96" i="106" a="1"/>
  <c r="H96" i="106" s="1"/>
  <c r="G96" i="106" a="1"/>
  <c r="G96" i="106" s="1"/>
  <c r="F96" i="106" a="1"/>
  <c r="F96" i="106" s="1"/>
  <c r="E96" i="106" a="1"/>
  <c r="E96" i="106" s="1"/>
  <c r="D96" i="106" a="1"/>
  <c r="D96" i="106" s="1"/>
  <c r="S95" i="106" a="1"/>
  <c r="S95" i="106" s="1"/>
  <c r="R95" i="106" a="1"/>
  <c r="R95" i="106" s="1"/>
  <c r="Q95" i="106" a="1"/>
  <c r="Q95" i="106" s="1"/>
  <c r="P95" i="106" a="1"/>
  <c r="P95" i="106" s="1"/>
  <c r="O95" i="106" a="1"/>
  <c r="O95" i="106" s="1"/>
  <c r="N95" i="106" a="1"/>
  <c r="N95" i="106" s="1"/>
  <c r="M95" i="106" a="1"/>
  <c r="M95" i="106" s="1"/>
  <c r="L95" i="106" a="1"/>
  <c r="L95" i="106" s="1"/>
  <c r="K95" i="106" a="1"/>
  <c r="K95" i="106" s="1"/>
  <c r="J95" i="106" a="1"/>
  <c r="J95" i="106" s="1"/>
  <c r="I95" i="106" a="1"/>
  <c r="I95" i="106" s="1"/>
  <c r="H95" i="106" a="1"/>
  <c r="H95" i="106" s="1"/>
  <c r="G95" i="106" a="1"/>
  <c r="G95" i="106" s="1"/>
  <c r="F95" i="106" a="1"/>
  <c r="F95" i="106" s="1"/>
  <c r="E95" i="106" a="1"/>
  <c r="E95" i="106" s="1"/>
  <c r="D95" i="106" a="1"/>
  <c r="D95" i="106" s="1"/>
  <c r="S94" i="106" a="1"/>
  <c r="S94" i="106" s="1"/>
  <c r="R94" i="106" a="1"/>
  <c r="R94" i="106" s="1"/>
  <c r="Q94" i="106" a="1"/>
  <c r="Q94" i="106" s="1"/>
  <c r="P94" i="106" a="1"/>
  <c r="P94" i="106" s="1"/>
  <c r="O94" i="106" a="1"/>
  <c r="O94" i="106" s="1"/>
  <c r="N94" i="106" a="1"/>
  <c r="N94" i="106" s="1"/>
  <c r="M94" i="106" a="1"/>
  <c r="M94" i="106" s="1"/>
  <c r="L94" i="106" a="1"/>
  <c r="L94" i="106" s="1"/>
  <c r="K94" i="106" a="1"/>
  <c r="K94" i="106" s="1"/>
  <c r="J94" i="106" a="1"/>
  <c r="J94" i="106" s="1"/>
  <c r="I94" i="106" a="1"/>
  <c r="I94" i="106" s="1"/>
  <c r="H94" i="106" a="1"/>
  <c r="H94" i="106" s="1"/>
  <c r="G94" i="106" a="1"/>
  <c r="G94" i="106" s="1"/>
  <c r="F94" i="106" a="1"/>
  <c r="F94" i="106" s="1"/>
  <c r="E94" i="106" a="1"/>
  <c r="E94" i="106" s="1"/>
  <c r="D94" i="106" a="1"/>
  <c r="D94" i="106" s="1"/>
  <c r="S93" i="106" a="1"/>
  <c r="S93" i="106" s="1"/>
  <c r="R93" i="106" a="1"/>
  <c r="R93" i="106" s="1"/>
  <c r="Q93" i="106" a="1"/>
  <c r="Q93" i="106" s="1"/>
  <c r="P93" i="106" a="1"/>
  <c r="P93" i="106" s="1"/>
  <c r="O93" i="106" a="1"/>
  <c r="O93" i="106" s="1"/>
  <c r="N93" i="106" a="1"/>
  <c r="N93" i="106" s="1"/>
  <c r="M93" i="106" a="1"/>
  <c r="M93" i="106" s="1"/>
  <c r="L93" i="106" a="1"/>
  <c r="L93" i="106" s="1"/>
  <c r="K93" i="106" a="1"/>
  <c r="K93" i="106" s="1"/>
  <c r="J93" i="106" a="1"/>
  <c r="J93" i="106" s="1"/>
  <c r="I93" i="106" a="1"/>
  <c r="I93" i="106" s="1"/>
  <c r="H93" i="106" a="1"/>
  <c r="H93" i="106" s="1"/>
  <c r="G93" i="106" a="1"/>
  <c r="G93" i="106" s="1"/>
  <c r="F93" i="106" a="1"/>
  <c r="F93" i="106" s="1"/>
  <c r="E93" i="106" a="1"/>
  <c r="E93" i="106" s="1"/>
  <c r="D93" i="106" a="1"/>
  <c r="D93" i="106" s="1"/>
  <c r="S92" i="106" a="1"/>
  <c r="S92" i="106" s="1"/>
  <c r="R92" i="106" a="1"/>
  <c r="R92" i="106" s="1"/>
  <c r="Q92" i="106" a="1"/>
  <c r="Q92" i="106" s="1"/>
  <c r="P92" i="106" a="1"/>
  <c r="P92" i="106" s="1"/>
  <c r="O92" i="106" a="1"/>
  <c r="O92" i="106" s="1"/>
  <c r="N92" i="106" a="1"/>
  <c r="N92" i="106" s="1"/>
  <c r="M92" i="106" a="1"/>
  <c r="M92" i="106" s="1"/>
  <c r="L92" i="106" a="1"/>
  <c r="L92" i="106" s="1"/>
  <c r="K92" i="106" a="1"/>
  <c r="K92" i="106" s="1"/>
  <c r="J92" i="106" a="1"/>
  <c r="J92" i="106" s="1"/>
  <c r="I92" i="106" a="1"/>
  <c r="I92" i="106" s="1"/>
  <c r="H92" i="106" a="1"/>
  <c r="H92" i="106" s="1"/>
  <c r="G92" i="106" a="1"/>
  <c r="G92" i="106" s="1"/>
  <c r="F92" i="106" a="1"/>
  <c r="F92" i="106" s="1"/>
  <c r="E92" i="106" a="1"/>
  <c r="E92" i="106" s="1"/>
  <c r="D92" i="106" a="1"/>
  <c r="D92" i="106" s="1"/>
  <c r="S91" i="106" a="1"/>
  <c r="S91" i="106" s="1"/>
  <c r="R91" i="106" a="1"/>
  <c r="R91" i="106" s="1"/>
  <c r="Q91" i="106" a="1"/>
  <c r="Q91" i="106" s="1"/>
  <c r="P91" i="106" a="1"/>
  <c r="P91" i="106" s="1"/>
  <c r="O91" i="106" a="1"/>
  <c r="O91" i="106" s="1"/>
  <c r="N91" i="106" a="1"/>
  <c r="N91" i="106" s="1"/>
  <c r="M91" i="106" a="1"/>
  <c r="M91" i="106" s="1"/>
  <c r="L91" i="106" a="1"/>
  <c r="L91" i="106" s="1"/>
  <c r="K91" i="106" a="1"/>
  <c r="K91" i="106" s="1"/>
  <c r="J91" i="106" a="1"/>
  <c r="J91" i="106" s="1"/>
  <c r="I91" i="106" a="1"/>
  <c r="I91" i="106" s="1"/>
  <c r="H91" i="106" a="1"/>
  <c r="H91" i="106" s="1"/>
  <c r="G91" i="106" a="1"/>
  <c r="G91" i="106" s="1"/>
  <c r="F91" i="106" a="1"/>
  <c r="F91" i="106" s="1"/>
  <c r="E91" i="106" a="1"/>
  <c r="E91" i="106" s="1"/>
  <c r="D91" i="106" a="1"/>
  <c r="D91" i="106" s="1"/>
  <c r="S90" i="106" a="1"/>
  <c r="S90" i="106" s="1"/>
  <c r="R90" i="106" a="1"/>
  <c r="R90" i="106" s="1"/>
  <c r="Q90" i="106" a="1"/>
  <c r="Q90" i="106" s="1"/>
  <c r="P90" i="106" a="1"/>
  <c r="P90" i="106" s="1"/>
  <c r="O90" i="106" a="1"/>
  <c r="O90" i="106" s="1"/>
  <c r="N90" i="106" a="1"/>
  <c r="N90" i="106" s="1"/>
  <c r="M90" i="106" a="1"/>
  <c r="M90" i="106" s="1"/>
  <c r="L90" i="106" a="1"/>
  <c r="L90" i="106" s="1"/>
  <c r="K90" i="106" a="1"/>
  <c r="K90" i="106" s="1"/>
  <c r="J90" i="106" a="1"/>
  <c r="J90" i="106" s="1"/>
  <c r="I90" i="106" a="1"/>
  <c r="I90" i="106" s="1"/>
  <c r="H90" i="106" a="1"/>
  <c r="H90" i="106" s="1"/>
  <c r="G90" i="106" a="1"/>
  <c r="G90" i="106" s="1"/>
  <c r="F90" i="106" a="1"/>
  <c r="F90" i="106" s="1"/>
  <c r="E90" i="106" a="1"/>
  <c r="E90" i="106" s="1"/>
  <c r="D90" i="106" a="1"/>
  <c r="D90" i="106" s="1"/>
  <c r="D83" i="106" a="1"/>
  <c r="D83" i="106" s="1"/>
  <c r="D82" i="106" a="1"/>
  <c r="D82" i="106" s="1"/>
  <c r="D81" i="106" a="1"/>
  <c r="D81" i="106" s="1"/>
  <c r="E77" i="106" a="1"/>
  <c r="E77" i="106" s="1"/>
  <c r="D77" i="106" a="1"/>
  <c r="D77" i="106" s="1"/>
  <c r="E76" i="106" a="1"/>
  <c r="E76" i="106" s="1"/>
  <c r="D76" i="106" a="1"/>
  <c r="D76" i="106" s="1"/>
  <c r="E75" i="106" a="1"/>
  <c r="E75" i="106" s="1"/>
  <c r="D75" i="106" a="1"/>
  <c r="D75" i="106" s="1"/>
  <c r="E74" i="106" a="1"/>
  <c r="E74" i="106" s="1"/>
  <c r="D74" i="106" a="1"/>
  <c r="D74" i="106" s="1"/>
  <c r="E73" i="106" a="1"/>
  <c r="E73" i="106" s="1"/>
  <c r="D73" i="106" a="1"/>
  <c r="D73" i="106" s="1"/>
  <c r="E72" i="106" a="1"/>
  <c r="E72" i="106" s="1"/>
  <c r="D72" i="106" a="1"/>
  <c r="D72" i="106" s="1"/>
  <c r="E71" i="106" a="1"/>
  <c r="E71" i="106" s="1"/>
  <c r="D71" i="106" a="1"/>
  <c r="D71" i="106" s="1"/>
  <c r="E70" i="106" a="1"/>
  <c r="E70" i="106" s="1"/>
  <c r="D70" i="106" a="1"/>
  <c r="D70" i="106" s="1"/>
  <c r="E69" i="106" a="1"/>
  <c r="E69" i="106" s="1"/>
  <c r="D69" i="106" a="1"/>
  <c r="D69" i="106" s="1"/>
  <c r="E68" i="106" a="1"/>
  <c r="E68" i="106" s="1"/>
  <c r="D68" i="106" a="1"/>
  <c r="D68" i="106" s="1"/>
  <c r="E67" i="106" a="1"/>
  <c r="E67" i="106" s="1"/>
  <c r="D67" i="106" a="1"/>
  <c r="D67" i="106" s="1"/>
  <c r="E66" i="106" a="1"/>
  <c r="E66" i="106" s="1"/>
  <c r="D66" i="106" a="1"/>
  <c r="D66" i="106" s="1"/>
  <c r="E65" i="106" a="1"/>
  <c r="E65" i="106" s="1"/>
  <c r="D65" i="106" a="1"/>
  <c r="D65" i="106" s="1"/>
  <c r="E64" i="106" a="1"/>
  <c r="E64" i="106" s="1"/>
  <c r="D64" i="106" a="1"/>
  <c r="D64" i="106" s="1"/>
  <c r="D59" i="106" a="1"/>
  <c r="D59" i="106" s="1"/>
  <c r="D58" i="106" a="1"/>
  <c r="D58" i="106" s="1"/>
  <c r="D57" i="106" a="1"/>
  <c r="D57" i="106" s="1"/>
  <c r="G54" i="106" a="1"/>
  <c r="G54" i="106" s="1"/>
  <c r="F54" i="106" a="1"/>
  <c r="F54" i="106" s="1"/>
  <c r="E54" i="106" a="1"/>
  <c r="E54" i="106" s="1"/>
  <c r="D54" i="106" a="1"/>
  <c r="D54" i="106" s="1"/>
  <c r="G53" i="106" a="1"/>
  <c r="G53" i="106" s="1"/>
  <c r="F53" i="106" a="1"/>
  <c r="F53" i="106" s="1"/>
  <c r="E53" i="106" a="1"/>
  <c r="E53" i="106" s="1"/>
  <c r="D53" i="106" a="1"/>
  <c r="D53" i="106" s="1"/>
  <c r="G52" i="106" a="1"/>
  <c r="G52" i="106" s="1"/>
  <c r="F52" i="106" a="1"/>
  <c r="F52" i="106" s="1"/>
  <c r="E52" i="106" a="1"/>
  <c r="E52" i="106" s="1"/>
  <c r="D52" i="106" a="1"/>
  <c r="D52" i="106" s="1"/>
  <c r="G51" i="106" a="1"/>
  <c r="G51" i="106" s="1"/>
  <c r="F51" i="106" a="1"/>
  <c r="F51" i="106" s="1"/>
  <c r="E51" i="106" a="1"/>
  <c r="E51" i="106" s="1"/>
  <c r="D51" i="106" a="1"/>
  <c r="D51" i="106" s="1"/>
  <c r="G50" i="106" a="1"/>
  <c r="G50" i="106" s="1"/>
  <c r="F50" i="106" a="1"/>
  <c r="F50" i="106" s="1"/>
  <c r="E50" i="106" a="1"/>
  <c r="E50" i="106" s="1"/>
  <c r="D50" i="106" a="1"/>
  <c r="D50" i="106" s="1"/>
  <c r="G49" i="106" a="1"/>
  <c r="G49" i="106" s="1"/>
  <c r="F49" i="106" a="1"/>
  <c r="F49" i="106" s="1"/>
  <c r="E49" i="106" a="1"/>
  <c r="E49" i="106" s="1"/>
  <c r="D49" i="106" a="1"/>
  <c r="D49" i="106" s="1"/>
  <c r="G48" i="106" a="1"/>
  <c r="G48" i="106" s="1"/>
  <c r="F48" i="106" a="1"/>
  <c r="F48" i="106" s="1"/>
  <c r="E48" i="106" a="1"/>
  <c r="E48" i="106" s="1"/>
  <c r="D48" i="106" a="1"/>
  <c r="D48" i="106" s="1"/>
  <c r="D46" i="106" a="1"/>
  <c r="D46" i="106" s="1"/>
  <c r="D45" i="106"/>
  <c r="D45" i="106" a="1"/>
  <c r="E43" i="106" a="1"/>
  <c r="E43" i="106" s="1"/>
  <c r="D43" i="106" a="1"/>
  <c r="D43" i="106" s="1"/>
  <c r="E42" i="106" a="1"/>
  <c r="E42" i="106" s="1"/>
  <c r="D42" i="106" a="1"/>
  <c r="D42" i="106" s="1"/>
  <c r="E41" i="106" a="1"/>
  <c r="E41" i="106" s="1"/>
  <c r="D41" i="106" a="1"/>
  <c r="D41" i="106" s="1"/>
  <c r="E40" i="106" a="1"/>
  <c r="E40" i="106" s="1"/>
  <c r="D40" i="106" a="1"/>
  <c r="D40" i="106" s="1"/>
  <c r="E39" i="106" a="1"/>
  <c r="E39" i="106" s="1"/>
  <c r="D39" i="106" a="1"/>
  <c r="D39" i="106" s="1"/>
  <c r="E38" i="106" a="1"/>
  <c r="E38" i="106" s="1"/>
  <c r="D38" i="106" a="1"/>
  <c r="D38" i="106" s="1"/>
  <c r="E37" i="106" a="1"/>
  <c r="E37" i="106" s="1"/>
  <c r="D37" i="106" a="1"/>
  <c r="D37" i="106" s="1"/>
  <c r="D35" i="106" a="1"/>
  <c r="D35" i="106" s="1"/>
  <c r="D34" i="106" a="1"/>
  <c r="D34" i="106" s="1"/>
  <c r="D30" i="106" a="1"/>
  <c r="D30" i="106" s="1"/>
  <c r="D29" i="106" a="1"/>
  <c r="D29" i="106" s="1"/>
  <c r="D28" i="106" a="1"/>
  <c r="D28" i="106" s="1"/>
  <c r="D27" i="106" a="1"/>
  <c r="D27" i="106" s="1"/>
  <c r="D26" i="106" a="1"/>
  <c r="D26" i="106" s="1"/>
  <c r="D25" i="106" a="1"/>
  <c r="D25" i="106" s="1"/>
  <c r="D24" i="106" a="1"/>
  <c r="D24" i="106" s="1"/>
  <c r="D23" i="106" a="1"/>
  <c r="D23" i="106" s="1"/>
  <c r="D22" i="106" a="1"/>
  <c r="D22" i="106" s="1"/>
  <c r="D21" i="106" a="1"/>
  <c r="D21" i="106" s="1"/>
  <c r="D19" i="106" a="1"/>
  <c r="D19" i="106" s="1"/>
  <c r="D18" i="106"/>
  <c r="D18" i="106" a="1"/>
  <c r="F14" i="106" a="1"/>
  <c r="F14" i="106" s="1"/>
  <c r="E14" i="106" a="1"/>
  <c r="E14" i="106" s="1"/>
  <c r="D14" i="106" a="1"/>
  <c r="D14" i="106" s="1"/>
  <c r="F13" i="106" a="1"/>
  <c r="F13" i="106" s="1"/>
  <c r="E13" i="106" a="1"/>
  <c r="E13" i="106" s="1"/>
  <c r="D13" i="106" a="1"/>
  <c r="D13" i="106" s="1"/>
  <c r="F12" i="106" a="1"/>
  <c r="F12" i="106" s="1"/>
  <c r="E12" i="106" a="1"/>
  <c r="E12" i="106" s="1"/>
  <c r="D12" i="106" a="1"/>
  <c r="D12" i="106" s="1"/>
  <c r="F11" i="106" a="1"/>
  <c r="F11" i="106" s="1"/>
  <c r="E11" i="106" a="1"/>
  <c r="E11" i="106" s="1"/>
  <c r="D11" i="106" a="1"/>
  <c r="D11" i="106" s="1"/>
  <c r="F10" i="106" a="1"/>
  <c r="F10" i="106" s="1"/>
  <c r="E10" i="106" a="1"/>
  <c r="E10" i="106" s="1"/>
  <c r="D10" i="106" a="1"/>
  <c r="D10" i="106" s="1"/>
  <c r="F9" i="106" a="1"/>
  <c r="F9" i="106" s="1"/>
  <c r="E9" i="106" a="1"/>
  <c r="E9" i="106" s="1"/>
  <c r="D9" i="106" a="1"/>
  <c r="D9" i="106" s="1"/>
  <c r="F8" i="106" a="1"/>
  <c r="F8" i="106" s="1"/>
  <c r="E8" i="106" a="1"/>
  <c r="E8" i="106" s="1"/>
  <c r="D8" i="106" a="1"/>
  <c r="D8" i="106" s="1"/>
  <c r="F7" i="106" a="1"/>
  <c r="F7" i="106" s="1"/>
  <c r="E7" i="106" a="1"/>
  <c r="E7" i="106" s="1"/>
  <c r="D7" i="106" a="1"/>
  <c r="D7" i="106" s="1"/>
  <c r="D5" i="106" a="1"/>
  <c r="D5" i="106" s="1"/>
  <c r="F60" i="69"/>
  <c r="E60" i="69"/>
  <c r="D60" i="69"/>
  <c r="F55" i="69"/>
  <c r="E55" i="69"/>
  <c r="D55" i="69"/>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41" i="69" a="1"/>
  <c r="E7" i="69" a="1"/>
  <c r="H51" i="106" l="1"/>
  <c r="H48" i="106"/>
  <c r="H54" i="106"/>
  <c r="H50" i="106"/>
  <c r="H53" i="106"/>
  <c r="H52" i="106"/>
  <c r="H49" i="106"/>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E19" i="70" l="1" a="1"/>
  <c r="E19" i="70" s="1"/>
  <c r="M20" i="69" s="1"/>
  <c r="G14" i="70" a="1"/>
  <c r="G14" i="70" s="1"/>
  <c r="E15" i="70" a="1"/>
  <c r="E15" i="70" s="1"/>
  <c r="F14" i="70" a="1"/>
  <c r="F14" i="70" s="1"/>
  <c r="E14" i="70" a="1"/>
  <c r="E14" i="70" s="1"/>
  <c r="G21" i="70" a="1"/>
  <c r="G21" i="70" s="1"/>
  <c r="O30" i="69" s="1"/>
  <c r="F19" i="70" a="1"/>
  <c r="F19" i="70" s="1"/>
  <c r="N20" i="69" s="1"/>
  <c r="G19" i="70" a="1"/>
  <c r="G19" i="70" s="1"/>
  <c r="O20" i="69" s="1"/>
  <c r="G15" i="70" a="1"/>
  <c r="G15" i="70" s="1"/>
  <c r="E16" i="70" a="1"/>
  <c r="E16" i="70" s="1"/>
  <c r="D30" i="69" s="1"/>
  <c r="F16" i="70" a="1"/>
  <c r="F16" i="70" s="1"/>
  <c r="E30" i="69" s="1"/>
  <c r="G16" i="70" a="1"/>
  <c r="G16" i="70" s="1"/>
  <c r="F30" i="69" s="1"/>
  <c r="E20" i="70" a="1"/>
  <c r="E20" i="70" s="1"/>
  <c r="M25" i="69" s="1"/>
  <c r="E21" i="70" a="1"/>
  <c r="E21" i="70" s="1"/>
  <c r="M30" i="69" s="1"/>
  <c r="F21" i="70" a="1"/>
  <c r="F21" i="70" s="1"/>
  <c r="N30" i="69" s="1"/>
  <c r="F15" i="70" a="1"/>
  <c r="F15" i="70" s="1"/>
  <c r="F20" i="70" a="1"/>
  <c r="F20" i="70" s="1"/>
  <c r="N25" i="69" s="1"/>
  <c r="G20" i="70" a="1"/>
  <c r="G20" i="70" s="1"/>
  <c r="O25" i="69" s="1"/>
  <c r="D69" i="69" a="1"/>
  <c r="D69" i="69" s="1"/>
  <c r="F72" i="69" a="1"/>
  <c r="F72" i="69" s="1"/>
  <c r="M35" i="69" l="1" a="1"/>
  <c r="M35" i="69" s="1"/>
  <c r="M65" i="69" s="1" a="1"/>
  <c r="M65" i="69" s="1"/>
  <c r="N35" i="69" a="1"/>
  <c r="N35" i="69" s="1"/>
  <c r="N65" i="69" s="1" a="1"/>
  <c r="N65" i="69" s="1"/>
  <c r="O35" i="69" a="1"/>
  <c r="O35" i="69" s="1"/>
  <c r="O65" i="69" s="1" a="1"/>
  <c r="O65" i="69" s="1"/>
  <c r="D8" i="70" l="1"/>
  <c r="D9" i="70"/>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N67" i="69"/>
  <c r="P69" i="69" s="1"/>
  <c r="N72" i="69" s="1" a="1"/>
  <c r="N72" i="69" s="1"/>
  <c r="I7" i="13" s="1"/>
  <c r="I8" i="13" s="1"/>
  <c r="G69" i="69" l="1"/>
  <c r="E72" i="69" s="1" a="1"/>
  <c r="E72" i="69" s="1"/>
  <c r="H7" i="13" s="1"/>
  <c r="H8" i="13" s="1"/>
  <c r="E7" i="13"/>
  <c r="F7" i="13"/>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<sst xmlns="http://schemas.openxmlformats.org/spreadsheetml/2006/main" count="287" uniqueCount="188">
  <si>
    <t>Home</t>
  </si>
  <si>
    <t>N2O MMS</t>
  </si>
  <si>
    <t>Sources &amp; acknowledgements</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</si>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</sst>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22/10/relationships/richValueRel" Target="richData/richValueRel.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ED57BD2-5301-4D64-9EE1-4EDAD0CAF60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D1816E65-877B-4F11-AC01-51941E89B686}" name="State/Territory">
      <calculatedColumnFormula array="1">Common_InputFunctions.Utility_DisplayArrayInTable(Common_SourceData.Common_SourceData_AustralianStatesTerritories_Data(),Table_AustralianStates[[#Headers],[State/Territory]],0)</calculatedColumnFormula>
    </tableColumn>
    <tableColumn id="2" xr3:uid="{86291BDF-3D0D-49F0-88A8-D2A08605C125}" name="Common Name">
      <calculatedColumnFormula array="1">Common_InputFunctions.Utility_DisplayArrayInTable(Common_SourceData.Common_SourceData_AustralianStatesTerritories_Data(),Table_AustralianStates[[#Headers],[State/Territory]],0)</calculatedColumnFormula>
    </tableColumn>
    <tableColumn id="3" xr3:uid="{1279659C-CE75-48E1-8F42-8FD62A75899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816F8B0-40CE-4428-95E2-840F4913C964}" name="Table_WASA4Areas" displayName="Table_WASA4Areas" ref="D20:D30" totalsRowShown="0">
  <autoFilter ref="D20:D30" xr:uid="{5FA81339-C6C8-4D36-BEEA-6C4AEDD9E676}">
    <filterColumn colId="0" hiddenButton="1"/>
  </autoFilter>
  <tableColumns count="1">
    <tableColumn id="1" xr3:uid="{19F81CE1-A47E-46B7-9272-4342B1766ECF}"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2ED9502-7B14-4FA2-8277-BAC4C4311DFA}" name="Table_GWPData" displayName="Table_GWPData" ref="D36:E43" totalsRowShown="0">
  <autoFilter ref="D36:E43" xr:uid="{B8E87A66-3E41-4AD3-925D-01EE21B43D7A}">
    <filterColumn colId="0" hiddenButton="1"/>
    <filterColumn colId="1" hiddenButton="1"/>
  </autoFilter>
  <tableColumns count="2">
    <tableColumn id="1" xr3:uid="{F00DBF4B-44C3-4565-8F2F-3F41977BB92F}" name="Gas">
      <calculatedColumnFormula array="1">Common_InputFunctions.Utility_DisplayArrayInTable(Common_SourceData.Common_SourceData_GWP_Data(), Table_GWPData[[#Headers],[Gas]], 0)</calculatedColumnFormula>
    </tableColumn>
    <tableColumn id="2" xr3:uid="{2B79733F-01CD-407F-9826-5D31C743641C}"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A764EF1-C643-4B5F-B952-03E89ED0840C}"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7E75A09-A8D7-4B20-BBB0-F74A78851A9D}" name="Gas">
      <calculatedColumnFormula array="1">Common_InputFunctions.Utility_DisplayArrayInTable(Common_SourceData.Common_SourceData_ConvertGasElementalToMolecular_Data(),Table_GasToMolecularConversionFactor[[#Headers],[Gas]], 0)</calculatedColumnFormula>
    </tableColumn>
    <tableColumn id="5" xr3:uid="{A0445D8E-7AF0-45A3-929C-B8E0822E2E3B}" name="Conversion factor">
      <calculatedColumnFormula array="1">Common_InputFunctions.Utility_DisplayArrayInTable(Common_SourceData.Common_SourceData_ConvertGasElementalToMolecular_Data(),Table_GasToMolecularConversionFactor[[#Headers],[Gas]], 0)</calculatedColumnFormula>
    </tableColumn>
    <tableColumn id="2" xr3:uid="{764542CF-949A-46DF-BC29-E9D5A89B07CD}" name="Conversion factor 1">
      <calculatedColumnFormula array="1">Common_InputFunctions.Utility_DisplayArrayInTable(Common_SourceData.Common_SourceData_ConvertGasElementalToMolecular_Data(),Table_GasToMolecularConversionFactor[[#Headers],[Gas]], 0)</calculatedColumnFormula>
    </tableColumn>
    <tableColumn id="3" xr3:uid="{90CA7AA5-F0EB-4644-A95B-134FA1873272}"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0E3B88C-3C34-464B-B796-DA5316E1978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7007AFB-CC58-42ED-ABDB-81C592892F3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BCD50AE-D00E-466A-AA5F-2525D9DCEB89}"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9840DFE-7D7E-4104-BAE1-41C7CCCC03FE}"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B66FDAE8-30C5-46D5-91F2-52E6E6146BC2}"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C424759F-E4FA-41D4-8FB7-6BDA617E08E7}"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D8B3CF8-3495-4CCD-B54F-D18FFBB46DB9}"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3E120F49-1F38-421E-A064-F8E6FE34FD9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3BC9ED29-7AC6-4FA3-A7D0-6272F3A8DC7B}"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6253BB66-4D67-43DC-BBD7-36B1738361CE}"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C0653D74-7B68-428F-818A-824BB07E10A9}"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44A9DA65-2187-48E7-8329-82AB972E0604}"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9D58C57C-974E-47AD-94A7-522ED74ECCC9}"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4B074BB8-2A8F-4984-9BB1-24E24C052583}"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76BDF200-CD6D-46F3-AA80-91724C0ED6EE}"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BBB2AB2-1F1B-496B-B767-9303D4D586C1}"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6DCA91A6-01C4-48AB-A0CE-6803CC2EB8E5}"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9D55A386-1004-482A-B8D7-ED9D8BF44741}"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57F56B5-E163-4B8C-B2D8-7169274FF7D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B636F0DC-DBB1-4A09-99AB-6B1DBD2B9A0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5F3BC33D-A879-4821-8C40-1E2842AB1302}"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B3B205B-2711-4BED-B0B7-130BCE5CC7D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91AA0DD9-27DE-4309-9CF2-B0182AB04377}" name="Temperature Zone">
      <calculatedColumnFormula array="1">Common_InputFunctions.Utility_DisplayArrayInTable(Common_SourceData.Common_SourceData_TemperatureZones_Data(),Table_SourceData_TemperatureZones[[#Headers],[Temperature Zone]],0)</calculatedColumnFormula>
    </tableColumn>
    <tableColumn id="2" xr3:uid="{B70C258A-4D4B-4954-BAA7-4247EA668F65}" name="MAT">
      <calculatedColumnFormula array="1">Common_InputFunctions.Utility_DisplayArrayInTable(Common_SourceData.Common_SourceData_TemperatureZones_Data(),Table_SourceData_TemperatureZones[[#Headers],[Temperature Zone]],0)</calculatedColumnFormula>
    </tableColumn>
    <tableColumn id="3" xr3:uid="{66C5C3E4-F8B1-4E87-A81C-3E8BD499255F}" name="Min MAT">
      <calculatedColumnFormula array="1">Common_InputFunctions.Utility_DisplayArrayInTable(Common_SourceData.Common_SourceData_TemperatureZones_Data(),Table_SourceData_TemperatureZones[[#Headers],[Temperature Zone]],0)</calculatedColumnFormula>
    </tableColumn>
    <tableColumn id="4" xr3:uid="{FCAECB5A-66EF-46B9-8EBF-F95675409DC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D25E083-AB7D-435E-846E-C9F9AC292273}"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8DE76452-7917-4B0A-AA3A-074C925DF710}" name="Rainfall Zone">
      <calculatedColumnFormula array="1">Common_InputFunctions.Utility_DisplayArrayInTable(Common_SourceData.Common_SourceData_RainfallZones_Data(),Table_SourceData_RainfallZones[[#Headers],[Rainfall Zone]],0)</calculatedColumnFormula>
    </tableColumn>
    <tableColumn id="2" xr3:uid="{709D55F9-EA8B-4F3D-BA95-7E94FD1D9039}" name="Annual rainfall">
      <calculatedColumnFormula array="1">Common_InputFunctions.Utility_DisplayArrayInTable(Common_SourceData.Common_SourceData_RainfallZones_Data(),Table_SourceData_RainfallZones[[#Headers],[Rainfall Zone]],0)</calculatedColumnFormula>
    </tableColumn>
    <tableColumn id="3" xr3:uid="{E296394F-BE4E-4710-B340-CFFE5C7431F8}" name="Min rainfall">
      <calculatedColumnFormula array="1">Common_InputFunctions.Utility_DisplayArrayInTable(Common_SourceData.Common_SourceData_RainfallZones_Data(),Table_SourceData_RainfallZones[[#Headers],[Rainfall Zone]],0)</calculatedColumnFormula>
    </tableColumn>
    <tableColumn id="4" xr3:uid="{62F23F23-933C-4640-94D4-3099B3299E1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7077C01-AEFD-48F6-ABFE-869CD12F5F5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132775E-A675-41EA-BD74-52142E5520F5}" name="Leaching Zone">
      <calculatedColumnFormula array="1">Common_InputFunctions.Utility_DisplayArrayInTable(Common_SourceData.Common_SourceData_LeachingZones_Data(), Table_SourceData_LeachingZones[[#Headers],[Leaching Zone]], 0)</calculatedColumnFormula>
    </tableColumn>
    <tableColumn id="2" xr3:uid="{5DCBDA90-C34F-487C-BCA4-6D540320A66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7E25407-1FCC-49C3-B829-144693D46984}"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EC086947-2D04-4D9D-A8D0-021C80A49FDF}" name="Data source">
      <calculatedColumnFormula array="1">Common_InputFunctions.Utility_DisplayArrayInTable(Common_SourceData.Common_SourceData_DataScores_Scope3_Data(), Table_SourceData_DataScores_Scope3[[#Headers],[Data source]], 0)</calculatedColumnFormula>
    </tableColumn>
    <tableColumn id="2" xr3:uid="{D505A4DD-8282-42D7-AC80-916B21E4C6C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F7BD98F-7DDF-4C8F-9249-6C4EA70EECB5}" name="Table_SourceData_FracWET" displayName="Table_SourceData_FracWET" ref="D134:E136" totalsRowShown="0">
  <autoFilter ref="D134:E136" xr:uid="{308E99BE-FE1F-47A4-B2CA-97217277C4E9}">
    <filterColumn colId="0" hiddenButton="1"/>
    <filterColumn colId="1" hiddenButton="1"/>
  </autoFilter>
  <tableColumns count="2">
    <tableColumn id="1" xr3:uid="{47BF1610-9B26-4565-9C9E-6CEF217EB317}" name="Is in leaching zone">
      <calculatedColumnFormula array="1">Common_InputFunctions.Utility_DisplayArrayInTable(Common_SourceData.Common_SourceData_FracWET_Data(),Table_SourceData_FracWET[[#Headers],[Is in leaching zone]],0)</calculatedColumnFormula>
    </tableColumn>
    <tableColumn id="2" xr3:uid="{0AD84615-274D-4A4B-8A36-42514872ABB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0F6BB1F-2B62-45B4-9961-87D98E0DDC0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7F4F242-ACC8-4C3C-BAA6-EE855C0A81C8}" name="Production system j">
      <calculatedColumnFormula array="1">Common_InputFunctions.Utility_DisplayArrayInTable(Common_SourceData.Common_SourceData_EFN2O_Data(), Table_SourceData_Common_EFN2O[[#Headers],[Production system j]], 0)</calculatedColumnFormula>
    </tableColumn>
    <tableColumn id="2" xr3:uid="{19959AC9-81DB-4C71-BA9E-ECA7C3C9944D}" name="EFN2O">
      <calculatedColumnFormula array="1">Common_InputFunctions.Utility_DisplayArrayInTable(Common_SourceData.Common_SourceData_EFN2O_Data(), Table_SourceData_Common_EFN2O[[#Headers],[Production system j]], 0)</calculatedColumnFormula>
    </tableColumn>
    <tableColumn id="3" xr3:uid="{13268A46-0EB2-4C34-9153-5266A1E2CC9E}" name="Production system only">
      <calculatedColumnFormula array="1">Common_InputFunctions.Utility_DisplayArrayInTable(Common_SourceData.Common_SourceData_EFN2O_Data(), Table_SourceData_Common_EFN2O[[#Headers],[Production system j]], 0)</calculatedColumnFormula>
    </tableColumn>
    <tableColumn id="4" xr3:uid="{E9D53FC3-7B69-41D5-88B5-6D07CA5164A9}" name="Irrigation method">
      <calculatedColumnFormula array="1">Common_InputFunctions.Utility_DisplayArrayInTable(Common_SourceData.Common_SourceData_EFN2O_Data(), Table_SourceData_Common_EFN2O[[#Headers],[Production system j]], 0)</calculatedColumnFormula>
    </tableColumn>
    <tableColumn id="5" xr3:uid="{0E829C3B-2895-422B-BFBA-CDA97D275EA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0587206-1BA3-4E74-863F-D72385B3CDE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DB1746CB-E7CE-48F0-8AF0-B237FBDF92E4}" name="Irrigation type i">
      <calculatedColumnFormula array="1">Common_InputFunctions.Utility_DisplayArrayInTable(Common_SourceData.Common_SourceData_FracWETIrrigation_Data(), Table_SourceData_FracWETIrrigation[[#Headers],[Irrigation type i]], 0)</calculatedColumnFormula>
    </tableColumn>
    <tableColumn id="2" xr3:uid="{3CC7DFCF-052C-46E0-B84A-B25461F10C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BBA119F-8755-487E-8C25-C5B5058DA65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826C203-7F9F-4FC1-9417-7BC66F3B5256}"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9FB954C-1E3E-4002-9830-BF5AEB8289A4}"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11462A2-04DA-4AFB-A9E8-C1B8D468B689}"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6B3F88C-9248-4F54-995E-674A93FE6C83}" name="Month">
      <calculatedColumnFormula array="1">Common_InputFunctions.Utility_DisplayArrayInTable(Common_SourceData.Common_SourceData_MonthsToSeasons_Data(), Table_SourceData_Common_MonthToSeason[[#Headers],[Month]], 0)</calculatedColumnFormula>
    </tableColumn>
    <tableColumn id="2" xr3:uid="{479E790D-AC8E-4BE7-A545-91BD3DB87977}"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2E6D67D0-1FA8-4481-8FC6-3D1B456AB80E}"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ACA7E07-F994-4828-83EF-0EDA0788908B}"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049347B-7462-4C47-9F59-BB293772B36A}"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1A20357-BB8E-4D4E-942B-A8FB31504C17}"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EE0157E-5D31-4F2C-BA33-DBE150CA372C}"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3600FED-6FA3-40C1-A341-DD2EE618A253}"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06AA202-E940-424D-BBE4-F7EB6EC87358}"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D0D8F02-BA07-4B67-A7A5-0D004855690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79FE151-AEEE-428F-A55B-29EC49711CD1}"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85DE31B0-9E35-4DF4-A051-F8D51511A00F}"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57F983B4-17FF-46DA-B6D6-1FC93DB48FC5}"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D446E16-281F-48F6-ABE0-8889E3549B3A}"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6203E2D8-8B11-4DC5-A72C-3F0C281AEBA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7BD7726-F849-4D18-836D-8998E67E8647}"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FD5CEE7-FA24-417C-95FB-DDEF38055BB6}"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453AC99-7A58-4D1C-93BE-C8060EF2083A}"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0AA70CE-CA46-42E9-9BEC-3B4686D51EDD}"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5A4FBCD2-48C7-4644-B989-20AAB5FFEDB0}"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FE0795C-1E88-43A8-AE1D-7B781B7504E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45D38465-85F7-4DA3-A7DA-9A7EF63EB67D}"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177</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179</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159</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7" sqref="I7"/>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178</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114</v>
      </c>
      <c r="E6" s="100" t="s">
        <v>137</v>
      </c>
      <c r="F6" s="100" t="s">
        <v>138</v>
      </c>
      <c r="G6" s="100" t="s">
        <v>128</v>
      </c>
      <c r="H6" s="100" t="s">
        <v>139</v>
      </c>
      <c r="I6" s="100" t="s">
        <v>141</v>
      </c>
      <c r="J6" s="100" t="s">
        <v>129</v>
      </c>
      <c r="K6" s="24"/>
      <c r="L6" s="24"/>
    </row>
    <row r="7" spans="1:12" ht="20.100000000000001" customHeight="1" x14ac:dyDescent="0.25">
      <c r="A7" s="20" t="s">
        <v>3</v>
      </c>
      <c r="C7" s="24"/>
      <c r="D7" s="1" t="s">
        <v>160</v>
      </c>
      <c r="E7" s="98">
        <f>VEERG_3_1_1_1__1_TotalAnnualMethaneFromEntericFermentation_Result</f>
        <v>35.420230000000004</v>
      </c>
      <c r="F7" s="98">
        <f>'3.1.1.1-2 Enteric Methane'!N67</f>
        <v>35.420230000000004</v>
      </c>
      <c r="G7" s="52" t="str">
        <f>'3.1.1.1-2 Enteric Methane'!F67</f>
        <v>t CH4</v>
      </c>
      <c r="H7" s="98">
        <f>'3.1.1.1-2 Enteric Methane'!E72</f>
        <v>991.7664400000001</v>
      </c>
      <c r="I7" s="98">
        <f>'3.1.1.1-2 Enteric Methane'!N72</f>
        <v>991.7664400000001</v>
      </c>
      <c r="J7" s="52" t="s">
        <v>140</v>
      </c>
      <c r="K7" s="24"/>
      <c r="L7" s="24"/>
    </row>
    <row r="8" spans="1:12" ht="20.100000000000001" customHeight="1" x14ac:dyDescent="0.3">
      <c r="A8" s="17" t="str">
        <f>HYPERLINK("#'Input - Site'!A1", "Site")</f>
        <v>Site</v>
      </c>
      <c r="C8" s="24"/>
      <c r="D8" s="31" t="s">
        <v>127</v>
      </c>
      <c r="E8" s="25"/>
      <c r="F8" s="31"/>
      <c r="G8" s="31"/>
      <c r="H8" s="99">
        <f>SUM(H7:H7)</f>
        <v>991.7664400000001</v>
      </c>
      <c r="I8" s="99">
        <f>SUM(I7:I7)</f>
        <v>991.7664400000001</v>
      </c>
      <c r="J8" s="93" t="s">
        <v>140</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58</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7" sqref="E2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9</v>
      </c>
      <c r="N5" s="40"/>
    </row>
    <row r="6" spans="1:24" ht="20.100000000000001" customHeight="1" x14ac:dyDescent="0.25">
      <c r="D6" s="14"/>
      <c r="N6" s="41"/>
    </row>
    <row r="7" spans="1:24" ht="20.100000000000001" customHeight="1" x14ac:dyDescent="0.25">
      <c r="A7" s="20" t="s">
        <v>3</v>
      </c>
      <c r="D7" s="1" t="s">
        <v>7</v>
      </c>
      <c r="E7" s="33" t="s">
        <v>6</v>
      </c>
      <c r="F7" s="2"/>
    </row>
    <row r="8" spans="1:24" ht="20.100000000000001" customHeight="1" x14ac:dyDescent="0.25">
      <c r="A8" s="21" t="str">
        <f>HYPERLINK("#'Input - Site'!A1", "Site")</f>
        <v>Site</v>
      </c>
      <c r="D8" s="10" t="s">
        <v>54</v>
      </c>
      <c r="E8" s="33" t="s">
        <v>55</v>
      </c>
    </row>
    <row r="9" spans="1:24" ht="20.100000000000001" customHeight="1" x14ac:dyDescent="0.25">
      <c r="A9" s="17" t="str">
        <f>HYPERLINK("#'Input - Feedlot'!A1", "Feedlot")</f>
        <v>Feedlot</v>
      </c>
      <c r="N9" s="42"/>
    </row>
    <row r="10" spans="1:24" ht="20.100000000000001" customHeight="1" x14ac:dyDescent="0.25">
      <c r="A10" s="17"/>
      <c r="D10" s="82" t="s">
        <v>72</v>
      </c>
      <c r="E10" s="80"/>
      <c r="F10" s="83"/>
      <c r="G10" s="77"/>
      <c r="N10" s="42"/>
    </row>
    <row r="11" spans="1:24" ht="20.100000000000001" customHeight="1" x14ac:dyDescent="0.25">
      <c r="A11" s="19" t="s">
        <v>58</v>
      </c>
      <c r="N11" s="43"/>
    </row>
    <row r="12" spans="1:24" ht="20.100000000000001" customHeight="1" x14ac:dyDescent="0.25">
      <c r="A12" s="17" t="str">
        <f>HYPERLINK("#'3.1.1.1-2 Enteric Methane'!A1", "3.1.1.1-2 Enteric Methane")</f>
        <v>3.1.1.1-2 Enteric Methane</v>
      </c>
      <c r="D12" s="10" t="s">
        <v>76</v>
      </c>
      <c r="E12" s="59">
        <v>45292</v>
      </c>
      <c r="F12" s="2" t="s">
        <v>53</v>
      </c>
    </row>
    <row r="13" spans="1:24" ht="20.100000000000001" customHeight="1" x14ac:dyDescent="0.25">
      <c r="A13"/>
      <c r="D13" s="10" t="s">
        <v>77</v>
      </c>
      <c r="E13" s="66">
        <f>DATE(YEAR(E12)+1,MONTH(E12),DAY(E12))-1</f>
        <v>45657</v>
      </c>
      <c r="F13" s="2" t="s">
        <v>10</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181</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84</v>
      </c>
    </row>
    <row r="6" spans="1:21" ht="20.100000000000001" customHeight="1" x14ac:dyDescent="0.25">
      <c r="A6" s="16"/>
    </row>
    <row r="7" spans="1:21" ht="20.100000000000001" customHeight="1" x14ac:dyDescent="0.25">
      <c r="A7" s="20" t="s">
        <v>3</v>
      </c>
      <c r="D7" s="58"/>
      <c r="E7" s="39" t="s">
        <v>96</v>
      </c>
      <c r="F7" s="39" t="s">
        <v>97</v>
      </c>
      <c r="G7" s="39" t="s">
        <v>98</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87">
        <v>4300</v>
      </c>
      <c r="F8" s="87">
        <v>100</v>
      </c>
      <c r="G8" s="87">
        <v>100</v>
      </c>
      <c r="H8" s="2" t="s">
        <v>86</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24 and 31 Dec 24</v>
      </c>
      <c r="E9" s="87">
        <v>90</v>
      </c>
      <c r="F9" s="87">
        <v>140</v>
      </c>
      <c r="G9" s="87">
        <v>250</v>
      </c>
      <c r="H9" s="2" t="s">
        <v>143</v>
      </c>
      <c r="I9" s="2"/>
      <c r="J9" s="2"/>
      <c r="K9" s="2"/>
    </row>
    <row r="10" spans="1:21" ht="20.100000000000001" customHeight="1" x14ac:dyDescent="0.25">
      <c r="A10" s="17"/>
    </row>
    <row r="11" spans="1:21" ht="20.100000000000001" customHeight="1" x14ac:dyDescent="0.25">
      <c r="A11" s="19" t="s">
        <v>58</v>
      </c>
      <c r="D11" s="6" t="s">
        <v>79</v>
      </c>
    </row>
    <row r="12" spans="1:21" ht="20.100000000000001" customHeight="1" x14ac:dyDescent="0.25">
      <c r="A12" s="17" t="str">
        <f>HYPERLINK("#'3.1.1.1-2 Enteric Methane'!A1", "3.1.1.1-2 Enteric Methane")</f>
        <v>3.1.1.1-2 Enteric Methane</v>
      </c>
    </row>
    <row r="13" spans="1:21" ht="20.100000000000001" customHeight="1" x14ac:dyDescent="0.25">
      <c r="D13" s="58" t="s">
        <v>130</v>
      </c>
      <c r="E13" s="39" t="s">
        <v>96</v>
      </c>
      <c r="F13" s="39" t="s">
        <v>97</v>
      </c>
      <c r="G13" s="39" t="s">
        <v>98</v>
      </c>
    </row>
    <row r="14" spans="1:21" ht="20.100000000000001" customHeight="1" x14ac:dyDescent="0.25">
      <c r="A14" s="18" t="s">
        <v>4</v>
      </c>
      <c r="D14" s="1" t="s">
        <v>102</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81</v>
      </c>
      <c r="I14" s="2"/>
      <c r="J14" s="2"/>
      <c r="K14" s="2"/>
    </row>
    <row r="15" spans="1:21" ht="20.100000000000001" customHeight="1" x14ac:dyDescent="0.25">
      <c r="A15" s="17" t="str">
        <f>HYPERLINK("#'Constants - Feedlot'!A1", "Constants - Feedlot")</f>
        <v>Constants - Feedlot</v>
      </c>
      <c r="D15" s="1" t="s">
        <v>161</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144</v>
      </c>
      <c r="I15" s="2"/>
      <c r="J15" s="2"/>
      <c r="K15" s="2"/>
    </row>
    <row r="16" spans="1:21" ht="20.100000000000001" customHeight="1" x14ac:dyDescent="0.25">
      <c r="A16" s="17" t="str">
        <f>HYPERLINK("#'Constants - Livestock'!A1", "Constants - Livestock")</f>
        <v>Constants - Livestock</v>
      </c>
      <c r="D16" s="1" t="s">
        <v>162</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144</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131</v>
      </c>
      <c r="E18" s="39" t="s">
        <v>96</v>
      </c>
      <c r="F18" s="39" t="s">
        <v>97</v>
      </c>
      <c r="G18" s="39" t="s">
        <v>98</v>
      </c>
    </row>
    <row r="19" spans="1:11" ht="20.100000000000001" customHeight="1" x14ac:dyDescent="0.25">
      <c r="D19" s="1" t="s">
        <v>102</v>
      </c>
      <c r="E19" s="61" cm="1">
        <f t="array" ref="E19">_xlfn.XLOOKUP(1, (Table_SourceData_Feedlot_AnimalCharacteristics[Feedlot type] = E$18) * (Table_SourceData_Feedlot_AnimalCharacteristics[Characteristic] = $D$19), Table_SourceData_Feedlot_AnimalCharacteristics[2020-2023], "Not Found")</f>
        <v>10.4</v>
      </c>
      <c r="F19" s="61" cm="1">
        <f t="array" ref="F19">_xlfn.XLOOKUP(1, (Table_SourceData_Feedlot_AnimalCharacteristics[Feedlot type] = F$18) * (Table_SourceData_Feedlot_AnimalCharacteristics[Characteristic] = $D$19), Table_SourceData_Feedlot_AnimalCharacteristics[2020-2023], "Not Found")</f>
        <v>10.8</v>
      </c>
      <c r="G19" s="61" cm="1">
        <f t="array" ref="G19">_xlfn.XLOOKUP(1, (Table_SourceData_Feedlot_AnimalCharacteristics[Feedlot type] = G$18) * (Table_SourceData_Feedlot_AnimalCharacteristics[Characteristic] = $D$19), Table_SourceData_Feedlot_AnimalCharacteristics[2020-2023], "Not Found")</f>
        <v>8.1999999999999993</v>
      </c>
      <c r="H19" s="2" t="s">
        <v>81</v>
      </c>
      <c r="I19" s="2"/>
    </row>
    <row r="20" spans="1:11" ht="20.100000000000001" customHeight="1" x14ac:dyDescent="0.25">
      <c r="D20" s="1" t="s">
        <v>161</v>
      </c>
      <c r="E20" s="61" cm="1">
        <f t="array" ref="E20">_xlfn.XLOOKUP(1, (Table_SourceData_Feedlot_DietProperties[Feedlot type] = E$18) * (Table_SourceData_Feedlot_DietProperties[Nutrient analysis] = $D$20), Table_SourceData_Feedlot_DietProperties[2020-2023 Converted to fraction], "Not Found")</f>
        <v>4.8</v>
      </c>
      <c r="F20" s="61" cm="1">
        <f t="array" ref="F20">_xlfn.XLOOKUP(1, (Table_SourceData_Feedlot_DietProperties[Feedlot type] = F$18) * (Table_SourceData_Feedlot_DietProperties[Nutrient analysis] = $D$20), Table_SourceData_Feedlot_DietProperties[2020-2023 Converted to fraction], "Not Found")</f>
        <v>5</v>
      </c>
      <c r="G20" s="61" cm="1">
        <f t="array" ref="G20">_xlfn.XLOOKUP(1, (Table_SourceData_Feedlot_DietProperties[Feedlot type] = G$18) * (Table_SourceData_Feedlot_DietProperties[Nutrient analysis] = $D$20), Table_SourceData_Feedlot_DietProperties[2020-2023 Converted to fraction], "Not Found")</f>
        <v>5.5</v>
      </c>
      <c r="H20" s="2" t="s">
        <v>144</v>
      </c>
      <c r="I20" s="2"/>
      <c r="J20" s="2"/>
      <c r="K20" s="2"/>
    </row>
    <row r="21" spans="1:11" ht="20.100000000000001" customHeight="1" x14ac:dyDescent="0.25">
      <c r="A21" s="17"/>
      <c r="D21" s="1" t="s">
        <v>162</v>
      </c>
      <c r="E21" s="61" cm="1">
        <f t="array" ref="E21">_xlfn.XLOOKUP(1, (Table_SourceData_Feedlot_DietProperties[Feedlot type] = E$18) * (Table_SourceData_Feedlot_DietProperties[Nutrient analysis] = $D$21), Table_SourceData_Feedlot_DietProperties[2020-2023 Converted to fraction], "Not Found")</f>
        <v>22</v>
      </c>
      <c r="F21" s="61" cm="1">
        <f t="array" ref="F21">_xlfn.XLOOKUP(1, (Table_SourceData_Feedlot_DietProperties[Feedlot type] = F$18) * (Table_SourceData_Feedlot_DietProperties[Nutrient analysis] = $D$21), Table_SourceData_Feedlot_DietProperties[2020-2023 Converted to fraction], "Not Found")</f>
        <v>22</v>
      </c>
      <c r="G21" s="61" cm="1">
        <f t="array" ref="G21">_xlfn.XLOOKUP(1, (Table_SourceData_Feedlot_DietProperties[Feedlot type] = G$18) * (Table_SourceData_Feedlot_DietProperties[Nutrient analysis] = $D$21), Table_SourceData_Feedlot_DietProperties[2020-2023 Converted to fraction], "Not Found")</f>
        <v>24</v>
      </c>
      <c r="H21" s="2" t="s">
        <v>144</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G20" sqref="G2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180</v>
      </c>
      <c r="K1"/>
    </row>
    <row r="2" spans="1:19" s="9" customFormat="1" ht="20.100000000000001" customHeight="1" x14ac:dyDescent="0.25">
      <c r="K2"/>
    </row>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17</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20</v>
      </c>
      <c r="E10" s="1" t="str" cm="1">
        <f t="array" ref="E10">EntericMethane_Feedlot_Equations.VEERG_3_1_1_1__2_DailyEntericMethaneProduction_Variable()</f>
        <v>M_j</v>
      </c>
    </row>
    <row r="11" spans="1:19" ht="20.100000000000001" customHeight="1" x14ac:dyDescent="0.25">
      <c r="A11" s="19" t="s">
        <v>58</v>
      </c>
      <c r="D11" s="51" t="s">
        <v>11</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106</v>
      </c>
      <c r="M17" s="86" t="s">
        <v>107</v>
      </c>
    </row>
    <row r="18" spans="1:16" ht="20.100000000000001" customHeight="1" x14ac:dyDescent="0.25">
      <c r="A18" s="17" t="str">
        <f>HYPERLINK("#'Acknowledgements'!A1", "Acknowledgements")</f>
        <v>Acknowledgements</v>
      </c>
      <c r="D18" s="85" t="s">
        <v>110</v>
      </c>
      <c r="M18" s="85" t="s">
        <v>111</v>
      </c>
    </row>
    <row r="19" spans="1:16" ht="20.100000000000001" customHeight="1" x14ac:dyDescent="0.25">
      <c r="D19" s="39" t="s">
        <v>96</v>
      </c>
      <c r="E19" s="39" t="s">
        <v>97</v>
      </c>
      <c r="F19" s="39" t="s">
        <v>98</v>
      </c>
      <c r="M19" s="39" t="s">
        <v>96</v>
      </c>
      <c r="N19" s="39" t="s">
        <v>97</v>
      </c>
      <c r="O19" s="39" t="s">
        <v>98</v>
      </c>
    </row>
    <row r="20" spans="1:16" ht="20.100000000000001" customHeight="1" x14ac:dyDescent="0.25">
      <c r="D20" s="50">
        <f>'Input - Feedlot'!$E$14</f>
        <v>10.4</v>
      </c>
      <c r="E20" s="50">
        <f>'Input - Feedlot'!$F$14</f>
        <v>10.8</v>
      </c>
      <c r="F20" s="50">
        <f>'Input - Feedlot'!$G$14</f>
        <v>8.1999999999999993</v>
      </c>
      <c r="G20" s="2" t="str">
        <f>$G$13</f>
        <v>kg DM/head/day</v>
      </c>
      <c r="M20" s="50">
        <f>Input_Feedlot_FeedIntake_Domestic</f>
        <v>10.4</v>
      </c>
      <c r="N20" s="50">
        <f>Input_Feedlot_FeedIntake_MidFed</f>
        <v>10.8</v>
      </c>
      <c r="O20" s="50">
        <f>Input_Feedlot_FeedIntake_LongFed</f>
        <v>8.1999999999999993</v>
      </c>
      <c r="P20" s="2" t="str">
        <f>$G$13</f>
        <v>kg DM/head/day</v>
      </c>
    </row>
    <row r="21" spans="1:16" ht="20.100000000000001" customHeight="1" x14ac:dyDescent="0.25">
      <c r="A21" s="17"/>
    </row>
    <row r="22" spans="1:16" ht="20.100000000000001" customHeight="1" x14ac:dyDescent="0.25">
      <c r="D22" s="86" t="s">
        <v>163</v>
      </c>
      <c r="M22" s="86" t="s">
        <v>171</v>
      </c>
    </row>
    <row r="23" spans="1:16" ht="20.100000000000001" customHeight="1" x14ac:dyDescent="0.25">
      <c r="D23" s="85" t="s">
        <v>164</v>
      </c>
      <c r="M23" s="85" t="s">
        <v>172</v>
      </c>
    </row>
    <row r="24" spans="1:16" ht="20.100000000000001" customHeight="1" x14ac:dyDescent="0.25">
      <c r="D24" s="39" t="s">
        <v>96</v>
      </c>
      <c r="E24" s="39" t="s">
        <v>97</v>
      </c>
      <c r="F24" s="39" t="s">
        <v>98</v>
      </c>
      <c r="M24" s="39" t="s">
        <v>96</v>
      </c>
      <c r="N24" s="39" t="s">
        <v>97</v>
      </c>
      <c r="O24" s="39" t="s">
        <v>98</v>
      </c>
    </row>
    <row r="25" spans="1:16" ht="20.100000000000001" customHeight="1" x14ac:dyDescent="0.25">
      <c r="A25" s="17"/>
      <c r="D25" s="50">
        <f>'Input - Feedlot'!$E$15</f>
        <v>4.8</v>
      </c>
      <c r="E25" s="50">
        <f>'Input - Feedlot'!$F$15</f>
        <v>5</v>
      </c>
      <c r="F25" s="50">
        <f>'Input - Feedlot'!$G$15</f>
        <v>5.5</v>
      </c>
      <c r="G25" s="2" t="str">
        <f>$G$14</f>
        <v>per cent</v>
      </c>
      <c r="M25" s="50">
        <f>Input_Feedlot_EtherExtract_Domestic</f>
        <v>4.8</v>
      </c>
      <c r="N25" s="50">
        <f>Input_Feedlot_EtherExtract_MidFed</f>
        <v>5</v>
      </c>
      <c r="O25" s="50">
        <f>Input_Feedlot_EtherExtract_LongFed</f>
        <v>5.5</v>
      </c>
      <c r="P25" s="2" t="str">
        <f>$G$14</f>
        <v>per cent</v>
      </c>
    </row>
    <row r="26" spans="1:16" ht="20.100000000000001" customHeight="1" x14ac:dyDescent="0.25"/>
    <row r="27" spans="1:16" ht="20.100000000000001" customHeight="1" x14ac:dyDescent="0.25">
      <c r="D27" s="86" t="s">
        <v>165</v>
      </c>
      <c r="M27" s="86" t="s">
        <v>173</v>
      </c>
    </row>
    <row r="28" spans="1:16" ht="20.100000000000001" customHeight="1" x14ac:dyDescent="0.25">
      <c r="D28" s="85" t="s">
        <v>166</v>
      </c>
      <c r="M28" s="85" t="s">
        <v>174</v>
      </c>
    </row>
    <row r="29" spans="1:16" ht="20.100000000000001" customHeight="1" x14ac:dyDescent="0.25">
      <c r="D29" s="39" t="s">
        <v>96</v>
      </c>
      <c r="E29" s="39" t="s">
        <v>97</v>
      </c>
      <c r="F29" s="39" t="s">
        <v>98</v>
      </c>
      <c r="M29" s="39" t="s">
        <v>96</v>
      </c>
      <c r="N29" s="39" t="s">
        <v>97</v>
      </c>
      <c r="O29" s="39" t="s">
        <v>98</v>
      </c>
    </row>
    <row r="30" spans="1:16" ht="20.100000000000001" customHeight="1" x14ac:dyDescent="0.25">
      <c r="D30" s="50">
        <f>'Input - Feedlot'!$E$16</f>
        <v>22</v>
      </c>
      <c r="E30" s="50">
        <f>'Input - Feedlot'!$F$16</f>
        <v>22</v>
      </c>
      <c r="F30" s="50">
        <f>'Input - Feedlot'!$G$16</f>
        <v>24</v>
      </c>
      <c r="G30" s="2" t="str">
        <f>$G$15</f>
        <v>per cent</v>
      </c>
      <c r="M30" s="50">
        <f>Input_Feedlot_NDF_Domestic</f>
        <v>22</v>
      </c>
      <c r="N30" s="50">
        <f>Input_Feedlot_NDF_MidFed</f>
        <v>22</v>
      </c>
      <c r="O30" s="50">
        <f>Input_Feedlot_NDF_LongFed</f>
        <v>24</v>
      </c>
      <c r="P30" s="2" t="str">
        <f>$G$15</f>
        <v>per cent</v>
      </c>
    </row>
    <row r="31" spans="1:16" ht="20.100000000000001" customHeight="1" x14ac:dyDescent="0.25"/>
    <row r="32" spans="1:16" ht="20.100000000000001" customHeight="1" x14ac:dyDescent="0.25">
      <c r="D32" s="86" t="s">
        <v>167</v>
      </c>
      <c r="M32" s="86" t="s">
        <v>169</v>
      </c>
    </row>
    <row r="33" spans="3:18" ht="20.100000000000001" customHeight="1" x14ac:dyDescent="0.25">
      <c r="D33" s="85" t="s">
        <v>168</v>
      </c>
      <c r="M33" s="85" t="s">
        <v>170</v>
      </c>
    </row>
    <row r="34" spans="3:18" ht="20.100000000000001" customHeight="1" x14ac:dyDescent="0.25">
      <c r="D34" s="49" t="s">
        <v>96</v>
      </c>
      <c r="E34" s="49" t="s">
        <v>97</v>
      </c>
      <c r="F34" s="49" t="s">
        <v>98</v>
      </c>
      <c r="M34" s="49" t="s">
        <v>96</v>
      </c>
      <c r="N34" s="49" t="s">
        <v>97</v>
      </c>
      <c r="O34" s="49" t="s">
        <v>98</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8.3664000000000002E-2</v>
      </c>
      <c r="N35" s="50" cm="1">
        <f t="array" ref="N35">EntericMethane_Feedlot_Equations.VEERG_3_1_1_1__2_DailyEntericMethaneProduction(N20,N25,N30)</f>
        <v>8.4908000000000011E-2</v>
      </c>
      <c r="O35" s="50" cm="1">
        <f t="array" ref="O35">EntericMethane_Feedlot_Equations.VEERG_3_1_1_1__2_DailyEntericMethaneProduction(O20,O25,O30)</f>
        <v>7.4142E-2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17</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20</v>
      </c>
      <c r="E45" s="1" t="str" cm="1">
        <f t="array" ref="E45">EntericMethane_Feedlot_Equations.VEERG_3_1_1_1__1_TotalAnnualMethaneFromEntericFermentation_Variable()</f>
        <v>E_enteric</v>
      </c>
    </row>
    <row r="46" spans="3:18" ht="20.100000000000001" customHeight="1" x14ac:dyDescent="0.25">
      <c r="D46" s="51" t="s">
        <v>11</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87</v>
      </c>
    </row>
    <row r="53" spans="4:15" ht="20.100000000000001" customHeight="1" x14ac:dyDescent="0.25">
      <c r="D53" s="85" t="s">
        <v>85</v>
      </c>
    </row>
    <row r="54" spans="4:15" ht="20.100000000000001" customHeight="1" x14ac:dyDescent="0.25">
      <c r="D54" s="39" t="s">
        <v>96</v>
      </c>
      <c r="E54" s="39" t="s">
        <v>97</v>
      </c>
      <c r="F54" s="39" t="s">
        <v>98</v>
      </c>
    </row>
    <row r="55" spans="4:15" ht="20.100000000000001" customHeight="1" x14ac:dyDescent="0.25">
      <c r="D55" s="88">
        <f>Input_Feedlot_DurationOfStay_Domestic</f>
        <v>90</v>
      </c>
      <c r="E55" s="88">
        <f>Input_Feedlot_DurationOfStay_MidFed</f>
        <v>140</v>
      </c>
      <c r="F55" s="88">
        <f>Input_Feedlot_DurationOfStay_LongFed</f>
        <v>250</v>
      </c>
      <c r="G55" s="2" t="str">
        <f>G48</f>
        <v>days</v>
      </c>
    </row>
    <row r="56" spans="4:15" ht="20.100000000000001" customHeight="1" x14ac:dyDescent="0.25"/>
    <row r="57" spans="4:15" ht="20.100000000000001" customHeight="1" x14ac:dyDescent="0.25">
      <c r="D57" s="86" t="s">
        <v>88</v>
      </c>
    </row>
    <row r="58" spans="4:15" ht="20.100000000000001" customHeight="1" x14ac:dyDescent="0.25">
      <c r="D58" s="85" t="s">
        <v>89</v>
      </c>
    </row>
    <row r="59" spans="4:15" ht="20.100000000000001" customHeight="1" x14ac:dyDescent="0.25">
      <c r="D59" s="39" t="s">
        <v>96</v>
      </c>
      <c r="E59" s="39" t="s">
        <v>97</v>
      </c>
      <c r="F59" s="39" t="s">
        <v>98</v>
      </c>
    </row>
    <row r="60" spans="4:15" ht="20.100000000000001" customHeight="1" x14ac:dyDescent="0.25">
      <c r="D60" s="88">
        <f>Input_Feedlot_AverageHead_Domestic</f>
        <v>4300</v>
      </c>
      <c r="E60" s="88">
        <f>Input_Feedlot_AverageHead_MidFed</f>
        <v>100</v>
      </c>
      <c r="F60" s="88">
        <f>Input_Feedlot_AverageHead_LongFed</f>
        <v>100</v>
      </c>
      <c r="G60" s="2" t="str">
        <f>G50</f>
        <v>head</v>
      </c>
    </row>
    <row r="61" spans="4:15" ht="20.100000000000001" customHeight="1" x14ac:dyDescent="0.25"/>
    <row r="62" spans="4:15" ht="20.100000000000001" customHeight="1" x14ac:dyDescent="0.25">
      <c r="D62" s="86" t="s">
        <v>186</v>
      </c>
      <c r="M62" s="86" t="s">
        <v>184</v>
      </c>
    </row>
    <row r="63" spans="4:15" ht="20.100000000000001" customHeight="1" x14ac:dyDescent="0.25">
      <c r="D63" s="85" t="s">
        <v>187</v>
      </c>
      <c r="M63" s="85" t="s">
        <v>185</v>
      </c>
    </row>
    <row r="64" spans="4:15" ht="20.100000000000001" customHeight="1" x14ac:dyDescent="0.25">
      <c r="D64" s="49" t="s">
        <v>96</v>
      </c>
      <c r="E64" s="49" t="s">
        <v>97</v>
      </c>
      <c r="F64" s="49" t="s">
        <v>98</v>
      </c>
      <c r="M64" s="49" t="s">
        <v>96</v>
      </c>
      <c r="N64" s="49" t="s">
        <v>97</v>
      </c>
      <c r="O64" s="49" t="s">
        <v>98</v>
      </c>
    </row>
    <row r="65" spans="4:17" ht="20.100000000000001" customHeight="1" x14ac:dyDescent="0.25">
      <c r="D65" s="50" cm="1">
        <f t="array" ref="D65">EntericMethane_Feedlot_Equations.VEERG_3_1_1_1__1_TotalAnnualMethaneFromEntericFermentation(D55,D35,D60)</f>
        <v>32.377968000000003</v>
      </c>
      <c r="E65" s="50" cm="1">
        <f t="array" ref="E65">EntericMethane_Feedlot_Equations.VEERG_3_1_1_1__1_TotalAnnualMethaneFromEntericFermentation(E55,E35,E60)</f>
        <v>1.1887120000000002</v>
      </c>
      <c r="F65" s="50" cm="1">
        <f t="array" ref="F65">EntericMethane_Feedlot_Equations.VEERG_3_1_1_1__1_TotalAnnualMethaneFromEntericFermentation(F55,F35,F60)</f>
        <v>1.85355</v>
      </c>
      <c r="G65" s="2" t="str">
        <f>$E$46</f>
        <v>t CH4</v>
      </c>
      <c r="M65" s="50" cm="1">
        <f t="array" ref="M65">EntericMethane_Feedlot_Equations.VEERG_3_1_1_1__1_TotalAnnualMethaneFromEntericFermentation(D55,M35,D60)</f>
        <v>32.377968000000003</v>
      </c>
      <c r="N65" s="50" cm="1">
        <f t="array" ref="N65">EntericMethane_Feedlot_Equations.VEERG_3_1_1_1__1_TotalAnnualMethaneFromEntericFermentation(E55,N35,E60)</f>
        <v>1.1887120000000002</v>
      </c>
      <c r="O65" s="50" cm="1">
        <f t="array" ref="O65">EntericMethane_Feedlot_Equations.VEERG_3_1_1_1__1_TotalAnnualMethaneFromEntericFermentation(F55,O35,F60)</f>
        <v>1.85355</v>
      </c>
      <c r="P65" s="2" t="str">
        <f>$E$46</f>
        <v>t CH4</v>
      </c>
    </row>
    <row r="66" spans="4:17" ht="20.100000000000001" customHeight="1" x14ac:dyDescent="0.25"/>
    <row r="67" spans="4:17" ht="20.100000000000001" customHeight="1" x14ac:dyDescent="0.25">
      <c r="D67" s="89" t="s">
        <v>175</v>
      </c>
      <c r="E67" s="90">
        <f>SUM(D65:F65)</f>
        <v>35.420230000000004</v>
      </c>
      <c r="F67" s="91" t="str">
        <f>$E$46</f>
        <v>t CH4</v>
      </c>
      <c r="M67" s="89" t="s">
        <v>176</v>
      </c>
      <c r="N67" s="90">
        <f>SUM(M65:O65)</f>
        <v>35.420230000000004</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35.420230000000004</v>
      </c>
      <c r="H69" s="2" t="str">
        <f>$E$46</f>
        <v>t CH4</v>
      </c>
      <c r="M69" s="55" t="str" cm="1">
        <f t="array" ref="M69:N70">Common_Equations.Common_ConvertCH4ToCO2e_Arguments()</f>
        <v>ECH4</v>
      </c>
      <c r="N69" s="56" t="str">
        <v>Methane emissions (t CH4)</v>
      </c>
      <c r="O69" s="92"/>
      <c r="P69" s="50">
        <f>N67</f>
        <v>35.420230000000004</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112</v>
      </c>
      <c r="E72" s="45" cm="1">
        <f t="array" ref="E72">Common_Equations.Common_ConvertCH4ToCO2e(G69,G70)</f>
        <v>991.7664400000001</v>
      </c>
      <c r="F72" s="93" t="str" cm="1">
        <f t="array" ref="F72">Common_Equations.Common_ConvertN2OToCO2e_Unit()</f>
        <v>t CO2e</v>
      </c>
      <c r="M72" s="45" t="s">
        <v>113</v>
      </c>
      <c r="N72" s="45" cm="1">
        <f t="array" ref="N72">Common_Equations.Common_ConvertCH4ToCO2e(P69,P70)</f>
        <v>991.7664400000001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workbookViewId="0">
      <selection activeCell="I112" sqref="I1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95</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58</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83</v>
      </c>
      <c r="G25" s="6" t="s">
        <v>119</v>
      </c>
      <c r="J25" s="6" t="s">
        <v>121</v>
      </c>
      <c r="M25" s="1"/>
    </row>
    <row r="26" spans="1:13" ht="20.100000000000001" customHeight="1" x14ac:dyDescent="0.25">
      <c r="M26" s="1"/>
    </row>
    <row r="27" spans="1:13" ht="20.100000000000001" customHeight="1" x14ac:dyDescent="0.25">
      <c r="D27" s="84" t="s">
        <v>50</v>
      </c>
      <c r="E27" s="37" t="s">
        <v>63</v>
      </c>
      <c r="G27" s="37" t="s">
        <v>120</v>
      </c>
      <c r="J27" s="37" t="s">
        <v>118</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122</v>
      </c>
      <c r="M28" s="1"/>
    </row>
    <row r="29" spans="1:13" ht="20.100000000000001" customHeight="1" x14ac:dyDescent="0.25">
      <c r="D29" s="37" t="str">
        <f>'Constants - Livestock'!$E$15</f>
        <v>Solid storage</v>
      </c>
      <c r="E29" s="37" t="str">
        <f>'Constants - Livestock'!$F$15</f>
        <v>Solid storage (m=4)</v>
      </c>
      <c r="G29" s="1" t="str">
        <f>'Constants - Common'!$F$187</f>
        <v>Pasture</v>
      </c>
      <c r="J29" s="37" t="s">
        <v>123</v>
      </c>
      <c r="M29" s="1"/>
    </row>
    <row r="30" spans="1:13" ht="20.100000000000001" customHeight="1" x14ac:dyDescent="0.25">
      <c r="D30" s="37" t="str">
        <f>'Constants - Livestock'!$E$17</f>
        <v>Composting (passive windrow)</v>
      </c>
      <c r="E30" s="37" t="str">
        <f>'Constants - Livestock'!$F$17</f>
        <v>Composting (passive windrow) (m=6)</v>
      </c>
      <c r="J30" s="1" t="s">
        <v>124</v>
      </c>
      <c r="M30" s="1"/>
    </row>
    <row r="31" spans="1:13" ht="20.100000000000001" customHeight="1" x14ac:dyDescent="0.25">
      <c r="D31" s="37" t="str">
        <f>'Constants - Livestock'!$E$26</f>
        <v>Direct application</v>
      </c>
      <c r="E31" s="37" t="str">
        <f>'Constants - Livestock'!$F$26</f>
        <v>Direct application (m=13)</v>
      </c>
      <c r="J31" s="1" t="s">
        <v>125</v>
      </c>
      <c r="M31" s="1"/>
    </row>
    <row r="32" spans="1:13" ht="20.100000000000001" customHeight="1" x14ac:dyDescent="0.25">
      <c r="D32" s="1" t="str">
        <f>'Constants - Livestock'!$E$10</f>
        <v>Anaerobic lagoon</v>
      </c>
      <c r="E32" s="1" t="str">
        <f>'Constants - Livestock'!$F$10</f>
        <v>Anaerobic lagoon (m=1)</v>
      </c>
      <c r="J32" s="1" t="s">
        <v>126</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90</v>
      </c>
      <c r="E38" s="37" t="s">
        <v>103</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90</v>
      </c>
      <c r="E49" s="37" t="s">
        <v>100</v>
      </c>
      <c r="F49" s="37" t="s">
        <v>11</v>
      </c>
      <c r="G49" s="37" t="s">
        <v>101</v>
      </c>
      <c r="H49" s="37" t="s">
        <v>92</v>
      </c>
      <c r="I49" s="37" t="s">
        <v>93</v>
      </c>
      <c r="J49" s="37" t="s">
        <v>94</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90</v>
      </c>
      <c r="E66" s="37" t="s">
        <v>91</v>
      </c>
      <c r="F66" s="37" t="s">
        <v>11</v>
      </c>
      <c r="G66" s="37" t="s">
        <v>92</v>
      </c>
      <c r="H66" s="37" t="s">
        <v>93</v>
      </c>
      <c r="I66" s="37" t="s">
        <v>94</v>
      </c>
      <c r="J66" s="37" t="s">
        <v>99</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82</v>
      </c>
      <c r="E88" s="37" t="s">
        <v>80</v>
      </c>
      <c r="F88" s="37" t="s">
        <v>65</v>
      </c>
      <c r="G88" s="37" t="s">
        <v>64</v>
      </c>
      <c r="H88" s="37" t="s">
        <v>67</v>
      </c>
      <c r="I88" s="37" t="s">
        <v>66</v>
      </c>
      <c r="J88" s="37" t="s">
        <v>68</v>
      </c>
      <c r="K88" s="37" t="s">
        <v>70</v>
      </c>
      <c r="L88" s="37" t="s">
        <v>71</v>
      </c>
      <c r="M88" s="37" t="s">
        <v>69</v>
      </c>
      <c r="N88" s="37" t="s">
        <v>78</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82</v>
      </c>
      <c r="E100" s="37" t="s">
        <v>80</v>
      </c>
      <c r="F100" s="37" t="s">
        <v>104</v>
      </c>
      <c r="G100" s="37" t="s">
        <v>78</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82</v>
      </c>
      <c r="E112" s="95" t="s">
        <v>80</v>
      </c>
      <c r="F112" s="95" t="s">
        <v>105</v>
      </c>
      <c r="G112" s="95" t="s">
        <v>78</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BA715-3CC8-43B2-B059-727767EF7395}">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13</v>
      </c>
      <c r="E6" s="37" t="s">
        <v>14</v>
      </c>
      <c r="F6" s="37" t="s">
        <v>15</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16</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18</v>
      </c>
      <c r="E36" s="37" t="s">
        <v>19</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18</v>
      </c>
      <c r="E47" s="37" t="s">
        <v>21</v>
      </c>
      <c r="F47" s="37" t="s">
        <v>22</v>
      </c>
      <c r="G47" s="37" t="s">
        <v>23</v>
      </c>
      <c r="H47" s="37" t="s">
        <v>24</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38</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26</v>
      </c>
      <c r="F89" s="37" t="s">
        <v>27</v>
      </c>
      <c r="G89" s="37" t="s">
        <v>28</v>
      </c>
      <c r="H89" s="37" t="s">
        <v>29</v>
      </c>
      <c r="I89" s="37" t="s">
        <v>30</v>
      </c>
      <c r="J89" s="37" t="s">
        <v>31</v>
      </c>
      <c r="K89" s="37" t="s">
        <v>32</v>
      </c>
      <c r="L89" s="37" t="s">
        <v>33</v>
      </c>
      <c r="M89" s="37" t="s">
        <v>34</v>
      </c>
      <c r="N89" s="37" t="s">
        <v>35</v>
      </c>
      <c r="O89" s="37" t="s">
        <v>39</v>
      </c>
      <c r="P89" s="37" t="s">
        <v>36</v>
      </c>
      <c r="Q89" s="37" t="s">
        <v>40</v>
      </c>
      <c r="R89" s="37" t="s">
        <v>37</v>
      </c>
      <c r="S89" s="37" t="s">
        <v>41</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43</v>
      </c>
      <c r="E109" s="37" t="s">
        <v>26</v>
      </c>
      <c r="F109" s="37" t="s">
        <v>44</v>
      </c>
      <c r="G109" s="37" t="s">
        <v>45</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46</v>
      </c>
      <c r="E119" s="37" t="s">
        <v>47</v>
      </c>
      <c r="F119" s="37" t="s">
        <v>33</v>
      </c>
      <c r="G119" s="37" t="s">
        <v>34</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48</v>
      </c>
      <c r="E127" s="37" t="s">
        <v>49</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132</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51</v>
      </c>
      <c r="E153" s="37" t="s">
        <v>52</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25</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133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134</v>
      </c>
      <c r="E212" s="37" t="s">
        <v>135</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42</v>
      </c>
      <c r="E231" s="37" t="s">
        <v>145</v>
      </c>
      <c r="F231" s="36" t="s">
        <v>146</v>
      </c>
      <c r="G231" s="37" t="s">
        <v>147</v>
      </c>
      <c r="H231" s="37" t="s">
        <v>148</v>
      </c>
      <c r="I231" s="37" t="s">
        <v>149</v>
      </c>
      <c r="J231" s="37" t="s">
        <v>150</v>
      </c>
      <c r="K231" s="37" t="s">
        <v>151</v>
      </c>
      <c r="L231" s="37" t="s">
        <v>152</v>
      </c>
      <c r="M231" s="37" t="s">
        <v>153</v>
      </c>
      <c r="N231" s="37" t="s">
        <v>154</v>
      </c>
      <c r="O231" s="37" t="s">
        <v>155</v>
      </c>
      <c r="P231" s="37" t="s">
        <v>156</v>
      </c>
      <c r="Q231" s="37" t="s">
        <v>142</v>
      </c>
      <c r="R231" s="37" t="s">
        <v>157</v>
      </c>
      <c r="S231" s="37" t="s">
        <v>158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182</v>
      </c>
      <c r="E257" s="37" t="s">
        <v>183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61</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62</v>
      </c>
      <c r="E9" s="37" t="s">
        <v>12</v>
      </c>
      <c r="F9" s="37" t="s">
        <v>63</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58</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60</v>
      </c>
    </row>
    <row r="17" spans="1:1" ht="20.100000000000001" customHeight="1" x14ac:dyDescent="0.25">
      <c r="A17" s="62" t="s">
        <v>56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58</v>
      </c>
    </row>
    <row r="22" spans="1:1" ht="20.100000000000001" customHeight="1" x14ac:dyDescent="0.25">
      <c r="A22" s="62" t="s">
        <v>1</v>
      </c>
    </row>
    <row r="23" spans="1:1" ht="20.100000000000001" customHeight="1" x14ac:dyDescent="0.25">
      <c r="A23" s="62" t="s">
        <v>57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60</v>
      </c>
    </row>
    <row r="32" spans="1:1" ht="20.100000000000001" customHeight="1" x14ac:dyDescent="0.25">
      <c r="A32" s="62" t="s">
        <v>56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UAbgB0AGUAcgBpAGMATQBlAHQAaABhAG4AZQBfAEYAZQBlAGQAbABvAHQAXwBFAHEAdQBhAHQAaQBvAG4AcwAiACwAIgB0AGUAeAB0ACIAOgAiAC8AKgBcAG4APQA9AD0APQA9AD0APQA9AD0APQA9AD0APQA9AD0APQA9AD0APQA9AD0APQA9AD0APQA9AD0APQA9AD0APQA9AD0APQA9AD0APQA9AD0APQA9AD0APQA9AD0APQA9AD0APQA9AD0APQA9AD0APQA9AD0APQA9AD0APQA9AD0APQA9AD0APQA9AD0APQA9AD0APQA9AD0APQBcAG4AMwAuADEAOgAgAEUAbgB0AGUAcgBpAGMAIABNAGUAdABoAGEAbgBlACAALQAgAEYAZQBlAGQAbABvAHQAIABCAGUAZQBmAFwAbgA9AD0APQA9AD0APQA9AD0APQA9AD0APQA9AD0APQA9AD0APQA9AD0APQA9AD0APQA9AD0APQA9AD0APQA9AD0APQA9AD0APQA9AD0APQA9AD0APQA9AD0APQA9AD0APQA9AD0APQA9AD0APQA9AD0APQA9AD0APQA9AD0APQA9AD0APQA9AD0APQA9AD0APQA9AD0APQA9AFwAbgAzAC4AMQAuADEALgAxACAATQBlAHQAaABvAGQAIAAxACAALQAgAEUAbgB0AGUAcgBpAGM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x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gBlAGUAZABsAG8AdAAgAGIAZQBlAGYAIABjAGEAdAB0AGwAZQBcAG4ARQBfAGUAbgB0AGUAcgBpAGMAXABuAHQAIABDAEgANABcAG4ARQBfAHsAZQBuAHQAZQByAGkAYwB9AD0AXABcAHMAdQBtAFwAXABuAG8AbABpAG0AaQB0AHMAXwBqACgARABfAGoAXABcAHQAaQBtAGUAcwAgAE0AXwBqAFwAXAB0AGkAbQBlAHMAIABOAF8AagApAFwAXAB0AGkAbQBlAHMAIAAxADAAXgB7AC0AMwB9AFwAbgBEAF8AagAgAD0AIABkAHUAcgBhAHQAaQBvAG4AIABvAGYAIABzAHQAYQB5ACAAbwBmACAAZQBhAGMAaAAgAGMAYQB0AHQAbABlACAAbABvAHQAIAAoAGQAYQB5AHMAKQBcAG4ATQBfAGoAIAA9ACAAZABhAGkAbAB5ACAAbQBlAHQAaABhAG4AZQAgAHAAcgBvAGQAdQBjAHQAaQBvAG4AIAAoAGsAZwAgAEMASAA0AC8AaABlAGEAZAAvAGQAYQB5ACkAXABuAE4AXwBqACAAPQAgAG4AdQBtAGIAZQByAHMAIABvAGYAIABmAGUAZQBkAGwAbwB0ACAAYwBhAHQAdABsAGUAIABpAG4AIABlAGEAYwBoACAAYwBhAHQAdABsAGUAIABsAG8AdAAgACgAaABlAGEAZAApAFwAbgAtAC0ALQAtAC0ALQAtAC0ALQAtAC0ALQAtAC0ALQAtAC0ALQAtAC0ALQAtAC0ALQAtAC0ALQAtAC0ALQAtAC0ALQAtAC0ALQAtAC0AXABuACoALwBcAG4AXABuAFYARQBFAFIARwBfADMAXwAxAF8AMQBfADEAXwBfADEAXwBUAG8AdABhAGwAQQBuAG4AdQBhAGwATQBlAHQAaABhAG4AZQBGAHIAbwBtAEUAbgB0AGUAcgBpAGMARgBlAHIAbQBlAG4AdABhAHQAaQBvAG4AXABuACAAIAA9AEwAQQBNAEIARABBACgAXABuACAAIAAgACAARABfAGoALAAgAE0AXwBqACwAIABOAF8AagAsAFwAbgAgACAAIAAgACgARABfAGoAIAAqACAATQBfAGoAIAAqACAATgBfAGoAKQAgACoAIAAxADAAIABeACAALQAzAFwAbgAgACAAKQA7AFwAbgBcAG4AVgBFAEUAUgBHAF8AMwBfADE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mAGUAZQBkAGwAbwB0ACAAYgBlAGUAZgAgAGMAYQB0AHQAbABlAFwAIgApADsAXABuAFwAbgBWAEUARQBSAEcAXwAzAF8AMQBfADEAXwAxAF8AXwAxAF8AVABvAHQAYQBsAEEAbgBuAHUAYQBsAE0AZQB0AGgAYQBuAGUARgByAG8AbQBFAG4AdABlAHIAaQBjAEYAZQByAG0AZQBuAHQAYQB0AGkAbwBuAF8AVgBhAHIAaQBhAGIAbABlAFwAbgAgACAAPQBMAEEATQBCAEQAQQAoAFwAIgBFAF8AZQBuAHQAZQByAGkAYwBcACIAKQA7AFwAbgBcAG4AVgBFAEUAUgBHAF8AMwBfADEAXwAxAF8AMQBfAF8AMQBfAFQAbwB0AGEAbABBAG4AbgB1AGEAbABNAGUAdABoAGEAbgBlAEYAcgBvAG0ARQBuAHQAZQByAGkAYwBGAGUAcgBtAGUAbgB0AGEAdABpAG8AbgBfAFUAbgBpAHQAXABuACAAIAA9AEwAQQBNAEIARABBACgAXAAiAHQAIABDAEgANABcACIAKQA7AFwAbgBcAG4AVgBFAEUAUgBHAF8AMwBfADEAXwAxAF8AMQBfAF8AMQBfAFQAbwB0AGEAbABBAG4AbgB1AGEAbABNAGUAdABoAGEAbgBlAEYAcgBvAG0ARQBuAHQAZQByAGkAYwBGAGUAcgBtAGUAbgB0AGEAdABpAG8AbgBfAFMAbwB1AHIAYwBlAFwAbgAgACAAPQBMAEEATQBCAEQAQQAoAFwAIgBWAEUARQBSAEcAIAAyADAAMgA2ADoAIAAzAC4AMQAuADEALgAxACwAIABFAHEAdQBhAHQAaQBvAG4AIAAoADEAKQBcACIAKQA7AFwAbgBcAG4AVgBFAEUAUgBHAF8AMwBfADEAXwAxAF8AMQBfAF8AMQBfAFQAbwB0AGEAbABBAG4AbgB1AGEAbABNAGUAdABoAGEAbgBlAEYAcgBvAG0ARQBuAHQAZQByAGkAYwBGAGUAcgBtAGUAbgB0AGEAdABpAG8AbgBfAE4ASQBSAFIAZQBmAGUAcgBlAG4AYwBlAFwAbgAgACAAPQBMAEEATQBCAEQAQQAoAFwAIgBcACIAKQA7AFwAbgBcAG4AVgBFAEUAUgBHAF8AMwBfADE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EQAXwBqAFwAXAB0AGkAbQBlAHMAIABNAF8AagBcAFwAdABpAG0AZQBzACAATgBfAGoAKQBcAFwAdABpAG0AZQBzACAAMQAwAF4AewAtADMAfQBcACIAKQA7AFwAbgBcAG4AVgBFAEUAUgBHAF8AMwBfADE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kAHUAcgBhAHQAaQBvAG4AIABvAGYAIABzAHQAYQB5ACAAbwBmACAAZQBhAGMAaAAgAGMAYQB0AHQAbABlACAAbABvAHQAXAAiACwAIABcACIAZABhAHkAcwBcACIALAAgAFwAIgBJAG4AcAB1AHQAXAAiADsAXABuACAAIAAgACAAIAAgACAAIAAgACAAXAAiAE0AXwBqAFwAIgAsACAAXAAiAGQAYQBpAGwAeQAgAG0AZQB0AGgAYQBuAGUAIABwAHIAbwBkAHUAYwB0AGkAbwBuAFwAIgAsACAAXAAiAGsAZwAgAEMASAA0AC8AaABlAGEAZAAvAGQAYQB5AFwAIgAsACAAXAAiAEMAYQBsAGMAdQBsAGEAdABlAGQAIABmAHIAbwBtACAAMwAuADEALgAxAC4AMQAsACAAKAAyACkAXAAiADsAXABuACAAIAAgACAAIAAgACAAIAAgACAAXAAiAE4AXwBqAFwAIgAsACAAXAAiAG4AdQBtAGIAZQByAHMAIABvAGYAIABmAGUAZQBkAGwAbwB0ACAAYwBhAHQAdABsAGUAIABpAG4AIABlAGEAYwBoACAAYwBhAHQAdABsAGUAIABsAG8AdA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QBfADEAXwAxAF8AXwAyAF8ARABhAGkAbAB5AEUAbgB0AGUAcgBpAGMATQBlAHQAaABhAG4AZQBQAHIAbwBkAHUAYwB0AGkAbwBuAFwAbgBEAGEAaQBsAHkAIABwAHIAbwBkAHUAYwB0AGkAbwBuACAAbwBmACAAZQBuAHQAZQByAGkAYwAgAG0AZQB0AGgAYQBuAGUAXABuAE0AXwBqAFwAbgBrAGcAIABDAEgANAAvAGgAZQBhAGQALwBkAGEAeQBcAG4ATQBfAGoAPQAoADUALgAxADEAXABcAHQAaQBtAGUAcwAgAEkAXwBqAC0ANAAuADAAMABcAFwAdABpAG0AZQBzACAARQBFAF8AagArADIALgAyADYAXABcAHQAaQBtAGUAcwAgAE4ARABGAF8AagApAFwAXAB0AGkAbQBlAHMAIAAxADAAXgB7AC0AMwB9AFwAbgBJAF8AagAgAD0AIABkAHIAeQAgAG0AYQB0AHQAZQByACAAaQBuAHQAYQBrAGUAIAAoAGsAZwAgAEQATQAvAGgAZQBhAGQALwBkAGEAeQApAFwAbgBFAEUAXwBqACAAPQAgAGUAdABoAGUAcgAgAGUAeAB0AHIAYQBjAHQAIABhAHMAIABhACAAcABlAHIAYwBlAG4AdABhAGcAZQAgAG8AZgAgAEkAXwBqACAAKABwAGUAcgAgAGMAZQBuAHQAKQBcAG4ATgBEAEYAXwBqACAAPQAgAG4AZQB1AHQAcgBhAGwAIABkAGUAdABlAHIAZwBlAG4AdAAgAGYAaQBiAHIAZQAgAGEAcwAgAGEAIABwAGUAcgBjAGUAbgB0AGEAZwBlACAAbwBmACAASQBfAGoAIAAoAHAAZQByACAAYwBlAG4AdAApAFwAbgAtAC0ALQAtAC0ALQAtAC0ALQAtAC0ALQAtAC0ALQAtAC0ALQAtAC0ALQAtAC0ALQAtAC0ALQAtAC0ALQAtAC0ALQAtAC0ALQAtAC0AXABuACoALwBcAG4AXABuAFYARQBFAFIARwBfADMAXwAxAF8AMQBfADEAXwBfADIAXwBEAGEAaQBsAHkARQBuAHQAZQByAGkAYwBNAGUAdABoAGEAbgBlAFAAcgBvAGQAdQBjAHQAaQBvAG4AXABuACAAIAA9AEwAQQBNAEIARABBACgAXABuACAAIAAgACAASQBfAGoALAAgAEUARQBfAGoALAAgAE4ARABGAF8AagAsAFwAbgAgACAAIAAgACgANQAuADEAMQAgACoAIABJAF8AagAgAC0AIAA0AC4AMAAwACAAKgAgAEUARQBfAGoAIAArACAAMgAuADIANgAgACoAIABOAEQARgBfAGoAKQAgACoAIAAxADAAIABeACAALQAzAFwAbgAgACAAKQA7AFwAbgBcAG4AVgBFAEUAUgBHAF8AMwBfADE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QBfADEAXwAxAF8AXwAyAF8ARABhAGkAbAB5AEUAbgB0AGUAcgBpAGMATQBlAHQAaABhAG4AZQBQAHIAbwBkAHUAYwB0AGkAbwBuAF8AVgBhAHIAaQBhAGIAbABlAFwAbgAgACAAPQBMAEEATQBCAEQAQQAoAFwAIgBNAF8AagBcACIAKQA7AFwAbgBcAG4AVgBFAEUAUgBHAF8AMwBfADEAXwAxAF8AMQBfAF8AMgBfAEQAYQBpAGwAeQBFAG4AdABlAHIAaQBjAE0AZQB0AGgAYQBuAGUAUAByAG8AZAB1AGMAdABpAG8AbgBfAFUAbgBpAHQAXABuACAAIAA9AEwAQQBNAEIARABBACgAXAAiAGsAZwAgAEMASAA0AC8AaABlAGEAZAAvAGQAYQB5AFwAIgApADsAXABuAFwAbgBWAEUARQBSAEcAXwAzAF8AMQBfADEAXwAxAF8AXwAyAF8ARABhAGkAbAB5AEUAbgB0AGUAcgBpAGMATQBlAHQAaABhAG4AZQBQAHIAbwBkAHUAYwB0AGkAbwBuAF8AUwBvAHUAcgBjAGUAXABuACAAIAA9AEwAQQBNAEIARABBACgAXAAiAFYARQBFAFIARwAgADIAMAAyADYAOgAgADMALgAxAC4AMQAuADEALAAgAEUAcQB1AGEAdABpAG8AbgAgACgAMgApAFwAIgApADsAXABuAFwAbgBWAEUARQBSAEcAXwAzAF8AMQBfADEAXwAxAF8AXwAyAF8ARABhAGkAbAB5AEUAbgB0AGUAcgBpAGMATQBlAHQAaABhAG4AZQBQAHIAbwBkAHUAYwB0AGkAbwBuAF8ATgBJAFIAUgBlAGYAZQByAGUAbgBjAGUAXABuACAAIAA9AEwAQQBNAEIARABBACgAXAAiAEEAbABtAGUAaQBkAGEAIABlAHQAIABhAGwALgAgACgAMgAwADIANQApAFwAIgApADsAXABuAFwAbgBWAEUARQBSAEcAXwAzAF8AMQBfADEAXwAxAF8AXwAyAF8ARABhAGkAbAB5AEUAbgB0AGUAcgBpAGMATQBlAHQAaABhAG4AZQBQAHIAbwBkAHUAYwB0AGkAbwBuAF8ATABhAHQAZQB4AEUAcQB1AGEAdABpAG8AbgBcAG4AIAAgAD0ATABBAE0AQgBEAEEAKABcACIATQBfAGoAPQAoADUALgAxADEAXABcAHQAaQBtAGUAcwAgAEkAXwBqAC0ANAAuADAAMABcAFwAdABpAG0AZQBzACAARQBFAF8AagArADIALgAyADYAXABcAHQAaQBtAGUAcwAgAE4ARABGAF8AagApAFwAXAB0AGkAbQBlAHMAIAAxADAAXgB7AC0AMwB9AFwAIgApADsAXABuAFwAbgBWAEUARQBSAEcAXwAzAF8AMQBfADEAXwAxAF8AXwAyAF8ARABhAGkAbAB5AEUAbgB0AGUAcgBpAGMATQBlAHQAaABhAG4AZQ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pAG4AdABhAGsAZQBcACIALAAgAFwAIgBrAGcAIABEAE0ALwBoAGUAYQBkAC8AZABhAHkAXAAiACwAIABcACIASQBuAHAAdQB0AFwAIgA7AFwAbgAgACAAIAAgACAAIAAgACAAIAAgAFwAIgBFAEUAXwBqAFwAIgAsACAAXAAiAGUAdABoAGUAcgAgAGUAeAB0AHIAYQBjAHQAIABhAHMAIABhACAAcABlAHIAYwBlAG4AdABhAGcAZQAgAG8AZgAgAEkAXwBqAFwAIgAsACAAXAAiAHAAZQByACAAYwBlAG4AdABcACIALAAgAFwAIgBJAG4AcAB1AHQAXAAiADsAXABuACAAIAAgACAAIAAgACAAIAAgACAAXAAiAE4ARABGAF8AagBcACIALAAgAFwAIgBuAGUAdQB0AHIAYQBsACAAZABlAHQAZQByAGcAZQBuAHQAIABmAGkAYgByAGUAIABhAHMAIABhACAAcABlAHIAYwBlAG4AdABhAGcAZQAgAG8AZgAgAEkAXwBqAFwAIgAsACAAXAAiAHAAZQByACAAYwBlAG4AdA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FMAbwB1AHIAYwBlAEQAYQB0AGEAXwBGAGUAZQBkAGwAbwB0AC4AUwBvAHUAcgBjAGUARABhAHQAYQBfAEYAZQBlAGQAbABvAHQAXwBWAFMATABfAFQAaQB0AGwAZQAiACwAIgBTAG8AdQByAGMAZQBEAGEAdABhAF8ARgBlAGUAZABsAG8AdAAuAFMAbwB1AHIAYwBlAEQAYQB0AGEAXwBGAGUAZQBkAGwAbwB0AF8AVgBTAEwAXwBWAGEAcgBpAGEAYgBsAGUAIgAsACIAUwBvAHUAcgBjAGUARABhAHQAYQBfAEYAZQBlAGQAbABvAHQALgBTAG8AdQByAGMAZQBEAGEAdABhAF8ARgBlAGUAZABsAG8AdABfAFYAUwBMAF8AVQBuAGkAdAAiACwAIgBTAG8AdQByAGMAZQBEAGEAdABhAF8ARgBlAGUAZABsAG8AdAAuAFMAbwB1AHIAYwBlAEQAYQB0AGEAXwBGAGUAZQBkAGwAbwB0AF8AVgBTAEwAXwBTAG8AdQByAGMAZQAiACwAIgBTAG8AdQByAGMAZQBEAGEAdABhAF8ARgBlAGUAZABsAG8AdAAuAFMAbwB1AHIAYwBlAEQAYQB0AGEAXwBGAGUAZQBkAGwAbwB0AF8AVgBTAEwAXwBWAGEAcgBpAGEAdABpAG8AbgAiACwAIgBTAG8AdQByAGMAZQBEAGEAdABhAF8ARgBlAGUAZABsAG8AdAAuAFMAbwB1AHIAYwBlAEQAYQB0AGEAXwBGAGUAZQBkAGwAbwB0AF8AVgBTAEwAXwBEAGEAdABhACIALAAiAFMAbwB1AHIAYwBlAEQAYQB0AGEAXwBGAGUAZQBkAGwAbwB0AC4AUwBvAHUAcgBjAGUARABhAHQAYQBfAEYAZQBlAGQAbABvAHQAXwBNAE0AUwBtADEAVAAzAF8AVABpAHQAbABlACIALAAiAFMAbwB1AHIAYwBlAEQAYQB0AGEAXwBGAGUAZQBkAGwAbwB0AC4AUwBvAHUAcgBjAGUARABhAHQAYQBfAEYAZQBlAGQAbABvAHQAXwBNAE0AUwBtADEAVAAzAF8AVgBhAHIAaQBhAGIAbABlACIALAAiAFMAbwB1AHIAYwBlAEQAYQB0AGEAXwBGAGUAZQBkAGwAbwB0AC4AUwBvAHUAcgBjAGUARABhAHQAYQBfAEYAZQBlAGQAbABvAHQAXwBNAE0AUwBtADEAVAAzAF8AVQBuAGkAdAAiACwAIgBTAG8AdQByAGMAZQBEAGEAdABhAF8ARgBlAGUAZABsAG8AdAAuAFMAbwB1AHIAYwBlAEQAYQB0AGEAXwBGAGUAZQBkAGwAbwB0AF8ATQBNAFMAbQAxAFQAMwBfAFMAbwB1AHIAYwBlACIALAAiAFMAbwB1AHIAYwBlAEQAYQB0AGEAXwBGAGUAZQBkAGwAbwB0AC4AUwBvAHUAcgBjAGUARABhAHQAYQBfAEYAZQBlAGQAbABvAHQAXwBNAE0AUwBtADEAVAAzAF8AVgBhAHIAaQBhAHQAaQBvAG4AIgAsACIAUwBvAHUAcgBjAGUARABhAHQAYQBfAEYAZQBlAGQAbABvAHQALgBTAG8AdQByAGMAZQBEAGEAdABhAF8ARgBlAGUAZABsAG8AdABfAE0ATQBTAG0AMQBUADMAXwBEAGEAdABhACIALAAiAFMAbwB1AHIAYwBlAEQAYQB0AGEAXwBGAGUAZQBkAGwAbwB0AC4AUwBvAHUAcgBjAGUARABhAHQAYQBfAEYAZQBlAGQAbABvAHQAXwBBAHMAaABDAG8AbgB0AGUAbgB0AF8AVABpAHQAbABlACIALAAiAFMAbwB1AHIAYwBlAEQAYQB0AGEAXwBGAGUAZQBkAGwAbwB0AC4AUwBvAHUAcgBjAGUARABhAHQAYQBfAEYAZQBlAGQAbABvAHQAXwBBAHMAaABDAG8AbgB0AGUAbgB0AF8AVgBhAHIAaQBhAGIAbABlACIALAAiAFMAbwB1AHIAYwBlAEQAYQB0AGEAXwBGAGUAZQBkAGwAbwB0AC4AUwBvAHUAcgBjAGUARABhAHQAYQBfAEYAZQBlAGQAbABvAHQAXwBBAHMAaABDAG8AbgB0AGUAbgB0AF8AVQBuAGkAdAAiACwAIgBTAG8AdQByAGMAZQBEAGEAdABhAF8ARgBlAGUAZABsAG8AdAAuAFMAbwB1AHIAYwBlAEQAYQB0AGEAXwBGAGUAZQBkAGwAbwB0AF8AQQBzAGgAQwBvAG4AdABlAG4AdABfAFMAbwB1AHIAYwBlACIALAAiAFMAbwB1AHIAYwBlAEQAYQB0AGEAXwBGAGUAZQBkAGwAbwB0AC4AUwBvAHUAcgBjAGUARABhAHQAYQBfAEYAZQBlAGQAbABvAHQAXwBBAHMAaABDAG8AbgB0AGUAbgB0AF8AVgBhAHIAaQBhAHQAaQBvAG4AIgAsACIAUwBvAHUAcgBjAGUARABhAHQAYQBfAEYAZQBlAGQAbABvAHQALgBTAG8AdQByAGMAZQBEAGEAdABhAF8ARgBlAGUAZABsAG8AdABfAEEAcwBoAEMAbwBuAHQAZQBuAHQAXwBEAGEAdABhACIALAAiAFMAbwB1AHIAYwBlAEQAYQB0AGEAXwBGAGUAZQBkAGwAbwB0AC4AUwBvAHUAcgBjAGUARABhAHQAYQBfAEYAZQBlAGQAbABvAHQAXwBNAGUAdABoAGEAbgBlAEUAbQBpAHMAcwBpAG8AbgBzAFAAbwB0AGUAbgB0AGkAYQBsAF8AVABpAHQAbABlACIALAAiAFMAbwB1AHIAYwBlAEQAYQB0AGEAXwBGAGUAZQBkAGwAbwB0AC4AUwBvAHUAcgBjAGUARABhAHQAYQBfAEYAZQBlAGQAbABvAHQAXwBNAGUAdABoAGEAbgBlAEUAbQBpAHMAcwBpAG8AbgBzAFAAbwB0AGUAbgB0AGkAYQBsAF8AVgBhAHIAaQBhAGIAbABlACIALAAiAFMAbwB1AHIAYwBlAEQAYQB0AGEAXwBGAGUAZQBkAGwAbwB0AC4AUwBvAHUAcgBjAGUARABhAHQAYQBfAEYAZQBlAGQAbABvAHQAXwBNAGUAdABoAGEAbgBlAEUAbQBpAHMAcwBpAG8AbgBzAFAAbwB0AGUAbgB0AGkAYQBsAF8AVQBuAGkAdAAiACwAIgBTAG8AdQByAGMAZQBEAGEAdABhAF8ARgBlAGUAZABsAG8AdAAuAFMAbwB1AHIAYwBlAEQAYQB0AGEAXwBGAGUAZQBkAGwAbwB0AF8ATQBlAHQAaABhAG4AZQBFAG0AaQBzAHMAaQBvAG4AcwBQAG8AdABlAG4AdABpAGEAbABfAFMAbwB1AHIAYwBlACIALAAiAFMAbwB1AHIAYwBlAEQAYQB0AGEAXwBGAGUAZQBkAGwAbwB0AC4AUwBvAHUAcgBjAGUARABhAHQAYQBfAEYAZQBlAGQAbABvAHQAXwBNAGUAdABoAGEAbgBlAEUAbQBpAHMAcwBpAG8AbgBzAFAAbwB0AGUAbgB0AGkAYQBsAF8AVgBhAHIAaQBhAHQAaQBvAG4AIgAsACIAUwBvAHUAcgBjAGUARABhAHQAYQBfAEYAZQBlAGQAbABvAHQALgBTAG8AdQByAGMAZQBEAGEAdABhAF8ARgBlAGUAZABsAG8AdABfAE0AZQB0AGgAYQBuAGUARQBtAGkAcwBzAGkAbwBuAHMAUABvAHQAZQBuAHQAaQBhAGwAXwBEAGEAdABhACIALAAiAFMAbwB1AHIAYwBlAEQAYQB0AGEAXwBGAGUAZQBkAGwAbwB0AC4AUwBvAHUAcgBjAGUARABhAHQAYQBfAEYAZQBlAGQAbABvAHQAXwBTAHQAYQBnAGUAMQBNAE0AUwBPAHAAdABpAG8AbgBzACIALAAiAFMAbwB1AHIAYwBlAEQAYQB0AGEAXwBGAGUAZQBkAGwAbwB0AC4AUwBvAHUAcgBjAGUARABhAHQAYQBfAEYAZQBlAGQAbABvAHQAXwBTAHQAYQBnAGUAMgBNAE0AUwBPAHAAdABpAG8AbgBzACIALAAiAFMAbwB1AHIAYwBlAEQAYQB0AGEAXwBGAGUAZQBkAGwAbwB0AC4AUwBvAHUAcgBjAGUARABhAHQAYQBfAEYAZQBlAGQAbABvAHQAXwBTAHQAYQBnAGUAMwBNAE0AUwBPAHAAdABpAG8AbgBzACIALAAiAFMAbwB1AHIAYwBlAEQAYQB0AGEAXwBGAGUAZQBkAGwAbwB0AC4AUwBvAHUAcgBjAGUARABhAHQAYQBfAEYAZQBlAGQAbABvAHQAXwBMAGkAdgBlAHMAdABvAGMAawBDAGwAYQBzAHMAZQBzACIALAAiAFMAbwB1AHIAYwBlAEQAYQB0AGEAXwBGAGUAZQBkAGwAbwB0AC4AUwBvAHUAcgBjAGUARABhAHQAYQBfAEYAZQBlAGQAbABvAHQAXwBEAHUAcgBhAHQAaQBvAG4ATwBmAFMAdABhAHkAXwBUAGkAdABsAGUAIgAsACIAUwBvAHUAcgBjAGUARABhAHQAYQBfAEYAZQBlAGQAbABvAHQALgBTAG8AdQByAGMAZQBEAGEAdABhAF8ARgBlAGUAZABsAG8AdABfAEQAdQByAGEAdABpAG8AbgBPAGYAUwB0AGEAeQBfAFUAbgBpAHQAIgAsACIAUwBvAHUAcgBjAGUARABhAHQAYQBfAEYAZQBlAGQAbABvAHQALgBTAG8AdQByAGMAZQBEAGEAdABhAF8ARgBlAGUAZABsAG8AdABfAEQAdQByAGEAdABpAG8AbgBPAGYAUwB0AGEAeQBfAFMAbwB1AHIAYwBlACIALAAiAFMAbwB1AHIAYwBlAEQAYQB0AGEAXwBGAGUAZQBkAGwAbwB0AC4AUwBvAHUAcgBjAGUARABhAHQAYQBfAEYAZQBlAGQAbABvAHQAXwBEAHUAcgBhAHQAaQBvAG4ATwBmAFMAdABhAHkAXwBWAGEAcgBpAGEAdABpAG8AbgAiACwAIgBTAG8AdQByAGMAZQBEAGEAdABhAF8ARgBlAGUAZABsAG8AdAAuAFMAbwB1AHIAYwBlAEQAYQB0AGEAXwBGAGUAZQBkAGwAbwB0AF8ARAB1AHIAYQB0AGkAbwBuAE8AZgBTAHQAYQB5AF8ARABhAHQAYQAiACwAIgBTAG8AdQByAGMAZQBEAGEAdABhAF8ARgBlAGUAZABsAG8AdAAuAFMAbwB1AHIAYwBlAEQAYQB0AGEAXwBGAGUAZQBkAGwAbwB0AF8AQQBuAGkAbQBhAGwAQwBoAGEAcgBhAGMAdABlAHIAaQBzAHQAaQBjAHMAXwBUAGkAdABsAGUAIgAsACIAUwBvAHUAcgBjAGUARABhAHQAYQBfAEYAZQBlAGQAbABvAHQALgBTAG8AdQByAGMAZQBEAGEAdABhAF8ARgBlAGUAZABsAG8AdABfAEEAbgBpAG0AYQBsAEMAaABhAHIAYQBjAHQAZQByAGkAcwB0AGkAYwBzAF8AVQBuAGkAdAAiACwAIgBTAG8AdQByAGMAZQBEAGEAdABhAF8ARgBlAGUAZABsAG8AdAAuAFMAbwB1AHIAYwBlAEQAYQB0AGEAXwBGAGUAZQBkAGwAbwB0AF8AQQBuAGkAbQBhAGwAQwBoAGEAcgBhAGMAdABlAHIAaQBzAHQAaQBjAHMAXwBTAG8AdQByAGMAZQAiACwAIgBTAG8AdQByAGMAZQBEAGEAdABhAF8ARgBlAGUAZABsAG8AdAAuAFMAbwB1AHIAYwBlAEQAYQB0AGEAXwBGAGUAZQBkAGwAbwB0AF8AQQBuAGkAbQBhAGwAQwBoAGEAcgBhAGMAdABlAHIAaQBzAHQAaQBjAHMAXwBWAGEAcgBpAGEAdABpAG8AbgAiACwAIgBTAG8AdQByAGMAZQBEAGEAdABhAF8ARgBlAGUAZABsAG8AdAAuAFMAbwB1AHIAYwBlAEQAYQB0AGEAXwBGAGUAZQBkAGwAbwB0AF8AQQBuAGkAbQBhAGwAQwBoAGEAcgBhAGMAdABlAHIAaQBzAHQAaQBjAHMAXwBEAGEAdABhACIALAAiAFMAbwB1AHIAYwBlAEQAYQB0AGEAXwBGAGUAZQBkAGwAbwB0AC4AUwBvAHUAcgBjAGUARABhAHQAYQBfAEYAZQBlAGQAbABvAHQAXwBEAGkAZQB0AFAAcgBvAHAAZQByAHQAaQBlAHMAXwBUAGkAdABsAGUAIgAsACIAUwBvAHUAcgBjAGUARABhAHQAYQBfAEYAZQBlAGQAbABvAHQALgBTAG8AdQByAGMAZQBEAGEAdABhAF8ARgBlAGUAZABsAG8AdABfAEQAaQBlAHQAUAByAG8AcABlAHIAdABpAGUAcwBfAFUAbgBpAHQAIgAsACIAUwBvAHUAcgBjAGUARABhAHQAYQBfAEYAZQBlAGQAbABvAHQALgBTAG8AdQByAGMAZQBEAGEAdABhAF8ARgBlAGUAZABsAG8AdABfAEQAaQBlAHQAUAByAG8AcABlAHIAdABpAGUAcwBfAFMAbwB1AHIAYwBlACIALAAiAFMAbwB1AHIAYwBlAEQAYQB0AGEAXwBGAGUAZQBkAGwAbwB0AC4AUwBvAHUAcgBjAGUARABhAHQAYQBfAEYAZQBlAGQAbABvAHQAXwBEAGkAZQB0AFAAcgBvAHAAZQByAHQAaQBlAHMAXwBWAGEAcgBpAGEAdABpAG8AbgAiACwAIgBTAG8AdQByAGMAZQBEAGEAdABhAF8ARgBlAGUAZABsAG8AdAAuAFMAbwB1AHIAYwBlAEQAYQB0AGEAXwBGAGUAZQBkAGwAbwB0AF8ARABpAGUAdABQAHIAbwBwAGUAcgB0AGkAZQBzAF8ARABhAHQAYQAiACwAIgBTAG8AdQByAGMAZQBEAGEAdABhAF8ARgBlAGUAZABsAG8AdAAuAFMAbwB1AHIAYwBlAEQAYQB0AGEAXwBGAGUAZQBkAGwAbwB0AF8ATQBDAEYAXwBUAGkAdABsAGUAIgAsACIAUwBvAHUAcgBjAGUARABhAHQAYQBfAEYAZQBlAGQAbABvAHQALgBTAG8AdQByAGMAZQBEAGEAdABhAF8ARgBlAGUAZABsAG8AdABfAE0AQwBGAF8AVQBuAGkAdAAiACwAIgBTAG8AdQByAGMAZQBEAGEAdABhAF8ARgBlAGUAZABsAG8AdAAuAFMAbwB1AHIAYwBlAEQAYQB0AGEAXwBGAGUAZQBkAGwAbwB0AF8ATQBDAEYAXwBTAG8AdQByAGMAZQAiACwAIgBTAG8AdQByAGMAZQBEAGEAdABhAF8ARgBlAGUAZABsAG8AdAAuAFMAbwB1AHIAYwBlAEQAYQB0AGEAXwBGAGUAZQBkAGwAbwB0AF8ATQBDAEYAXwBWAGEAcgBpAGEAdABpAG8AbgAiACwAIgBTAG8AdQByAGMAZQBEAGEAdABhAF8ARgBlAGUAZABsAG8AdAAuAFMAbwB1AHIAYwBlAEQAYQB0AGEAXwBGAGUAZQBkAGwAbwB0AF8ATQBDAEYAXwBEAGEAdABhACIALAAiAFMAbwB1AHIAYwBlAEQAYQB0AGEAXwBGAGUAZQBkAGwAbwB0AC4AUwBvAHUAcgBjAGUARABhAHQAYQBfAEYAZQBlAGQAbABvAHQAXwBOAGkAdAByAG8AdQBzAE8AeABpAGQAZQBFAEYAcwBfAFQAaQB0AGwAZQAiACwAIgBTAG8AdQByAGMAZQBEAGEAdABhAF8ARgBlAGUAZABsAG8AdAAuAFMAbwB1AHIAYwBlAEQAYQB0AGEAXwBGAGUAZQBkAGwAbwB0AF8ATgBpAHQAcgBvAHUAcwBPAHgAaQBkAGUARQBGAHMAXwBVAG4AaQB0ACIALAAiAFMAbwB1AHIAYwBlAEQAYQB0AGEAXwBGAGUAZQBkAGwAbwB0AC4AUwBvAHUAcgBjAGUARABhAHQAYQBfAEYAZQBlAGQAbABvAHQAXwBOAGkAdAByAG8AdQBzAE8AeABpAGQAZQBFAEYAcwBfAFMAbwB1AHIAYwBlACIALAAiAFMAbwB1AHIAYwBlAEQAYQB0AGEAXwBGAGUAZQBkAGwAbwB0AC4AUwBvAHUAcgBjAGUARABhAHQAYQBfAEYAZQBlAGQAbABvAHQAXwBOAGkAdAByAG8AdQBzAE8AeABpAGQAZQBFAEYAcwBfAFYAYQByAGkAYQB0AGkAbwBuACIALAAiAFMAbwB1AHIAYwBlAEQAYQB0AGEAXwBGAGUAZQBkAGwAbwB0AC4AUwBvAHUAcgBjAGUARABhAHQAYQBfAEYAZQBlAGQAbABvAHQAXwBOAGkAdAByAG8AdQBzAE8AeABpAGQAZQBFAEYAcwBfAEQAYQB0AGEAIgAsACIAUwBvAHUAcgBjAGUARABhAHQAYQBfAEYAZQBlAGQAbABvAHQALgBTAG8AdQByAGMAZQBEAGEAdABhAF8ARgBlAGUAZABsAG8AdABfAEYAcgBhAGMATgBWAG8AbABhAHQAaQBsAGkAcwBlAGQAXwBUAGkAdABsAGUAIgAsACIAUwBvAHUAcgBjAGUARABhAHQAYQBfAEYAZQBlAGQAbABvAHQALgBTAG8AdQByAGMAZQBEAGEAdABhAF8ARgBlAGUAZABsAG8AdABfAEYAcgBhAGMATgBWAG8AbABhAHQAaQBsAGkAcwBlAGQAXwBVAG4AaQB0ACIALAAiAFMAbwB1AHIAYwBlAEQAYQB0AGEAXwBGAGUAZQBkAGwAbwB0AC4AUwBvAHUAcgBjAGUARABhAHQAYQBfAEYAZQBlAGQAbABvAHQAXwBGAHIAYQBjAE4AVgBvAGwAYQB0AGkAbABpAHMAZQBkAF8AUwBvAHUAcgBjAGUAIgAsACIAUwBvAHUAcgBjAGUARABhAHQAYQBfAEYAZQBlAGQAbABvAHQALgBTAG8AdQByAGMAZQBEAGEAdABhAF8ARgBlAGUAZABsAG8AdABfAEYAcgBhAGMATgBWAG8AbABhAHQAaQBsAGkAcwBlAGQAXwBWAGEAcgBpAGEAdABpAG8AbgAiACwAIgBTAG8AdQByAGMAZQBEAGEAdABhAF8ARgBlAGUAZABsAG8AdAAuAFMAbwB1AHIAYwBlAEQAYQB0AGEAXwBGAGUAZQBkAGwAbwB0AF8ARgByAGEAYwBOAFYAbwBsAGEAdABpAGwAaQBzAGUAZABfAEQAYQB0AGEAIgAsACIARQBuAHQAZQByAGkAYwBNAGUAdABoAGEAbgBlAF8ARgBlAGUAZABsAG8AdABfAEUAcQB1AGEAdABpAG8AbgBzAC4AVgBFAEUAUgBHAF8AMwBfADEAXwAxAF8AMQBfAF8AMQBfAFQAbwB0AGEAbABBAG4AbgB1AGEAbABNAGUAdABoAGEAbgBlAEYAcgBvAG0ARQBuAHQAZQByAGkAYwBGAGUAcgBtAGUAbgB0AGEAdABpAG8AbgAiACwAIgBFAG4AdABlAHIAaQBjAE0AZQB0AGgAYQBuAGUAXwBGAGUAZQBkAGwAbwB0AF8ARQBxAHUAYQB0AGkAbwBuAHMALgBWAEUARQBSAEcAXwAzAF8AMQBfADEAXwAxAF8AXwAxAF8AVABvAHQAYQBsAEEAbgBuAHUAYQBsAE0AZQB0AGgAYQBuAGUARgByAG8AbQBFAG4AdABlAHIAaQBjAEYAZQByAG0AZQBuAHQAYQB0AGkAbwBuAF8AVABpAHQAbABlACIALAAiAEUAbgB0AGUAcgBpAGMATQBlAHQAaABhAG4AZQBfAEYAZQBlAGQAbABvAHQAXwBFAHEAdQBhAHQAaQBvAG4AcwAuAFYARQBFAFIARwBfADMAXwAxAF8AMQBfADEAXwBfADEAXwBUAG8AdABhAGwAQQBuAG4AdQBhAGwATQBlAHQAaABhAG4AZQBGAHIAbwBtAEUAbgB0AGUAcgBpAGMARgBlAHIAbQBlAG4AdABhAHQAaQBvAG4AXwBWAGEAcgBpAGEAYgBsAGUAIgAsACIARQBuAHQAZQByAGkAYwBNAGUAdABoAGEAbgBlAF8ARgBlAGUAZABsAG8AdABfAEUAcQB1AGEAdABpAG8AbgBzAC4AVgBFAEUAUgBHAF8AMwBfADEAXwAxAF8AMQBfAF8AMQBfAFQAbwB0AGEAbABBAG4AbgB1AGEAbABNAGUAdABoAGEAbgBlAEYAcgBvAG0ARQBuAHQAZQByAGkAYwBGAGUAcgBtAGUAbgB0AGEAdABpAG8AbgBfAFUAbgBpAHQAIgAsACIARQBuAHQAZQByAGkAYwBNAGUAdABoAGEAbgBlAF8ARgBlAGUAZABsAG8AdABfAEUAcQB1AGEAdABpAG8AbgBzAC4AVgBFAEUAUgBHAF8AMwBfADEAXwAxAF8AMQBfAF8AMQBfAFQAbwB0AGEAbABBAG4AbgB1AGEAbABNAGUAdABoAGEAbgBlAEYAcgBvAG0ARQBuAHQAZQByAGkAYwBGAGUAcgBtAGUAbgB0AGEAdABpAG8AbgBfAFMAbwB1AHIAYwBlACIALAAiAEUAbgB0AGUAcgBpAGMATQBlAHQAaABhAG4AZQBfAEYAZQBlAGQAbABvAHQAXwBFAHEAdQBhAHQAaQBvAG4AcwAuAFYARQBFAFIARwBfADMAXwAxAF8AMQBfADEAXwBfADEAXwBUAG8AdABhAGwAQQBuAG4AdQBhAGwATQBlAHQAaABhAG4AZQBGAHIAbwBtAEUAbgB0AGUAcgBpAGMARgBlAHIAbQBlAG4AdABhAHQAaQBvAG4AXwBOAEkAUgBSAGUAZgBlAHIAZQBuAGMAZQAiACwAIgBFAG4AdABlAHIAaQBjAE0AZQB0AGgAYQBuAGUAXwBGAGUAZQBkAGwAbwB0AF8ARQBxAHUAYQB0AGkAbwBuAHMALgBWAEUARQBSAEcAXwAzAF8AMQBfADEAXwAxAF8AXwAxAF8AVABvAHQAYQBsAEEAbgBuAHUAYQBsAE0AZQB0AGgAYQBuAGUARgByAG8AbQBFAG4AdABlAHIAaQBjAEYAZQByAG0AZQBuAHQAYQB0AGkAbwBuAF8ATABhAHQAZQB4AEUAcQB1AGEAdABpAG8AbgAiACwAIgBFAG4AdABlAHIAaQBjAE0AZQB0AGgAYQBuAGUAXwBGAGUAZQBkAGwAbwB0AF8ARQBxAHUAYQB0AGkAbwBuAHMALgBWAEUARQBSAEcAXwAzAF8AMQBfADEAXwAxAF8AXwAxAF8AVABvAHQAYQBsAEEAbgBuAHUAYQBsAE0AZQB0AGgAYQBuAGUARgByAG8AbQBFAG4AdABlAHIAaQBjAEYAZQByAG0AZQBuAHQAYQB0AGkAbwBuAF8AQQByAGcAdQBtAGUAbgB0AHMAIgAsACIARQBuAHQAZQByAGkAYwBNAGUAdABoAGEAbgBlAF8ARgBlAGUAZABsAG8AdABfAEUAcQB1AGEAdABpAG8AbgBzAC4AVgBFAEUAUgBHAF8AMwBfADEAXwAxAF8AMQBfAF8AMgBfAEQAYQBpAGwAeQBFAG4AdABlAHIAaQBjAE0AZQB0AGgAYQBuAGUAUAByAG8AZAB1AGMAdABpAG8AbgAiACwAIgBFAG4AdABlAHIAaQBjAE0AZQB0AGgAYQBuAGUAXwBGAGUAZQBkAGwAbwB0AF8ARQBxAHUAYQB0AGkAbwBuAHMALgBWAEUARQBSAEcAXwAzAF8AMQBfADEAXwAxAF8AXwAyAF8ARABhAGkAbAB5AEUAbgB0AGUAcgBpAGMATQBlAHQAaABhAG4AZQBQAHIAbwBkAHUAYwB0AGkAbwBuAF8AVABpAHQAbABlACIALAAiAEUAbgB0AGUAcgBpAGMATQBlAHQAaABhAG4AZQBfAEYAZQBlAGQAbABvAHQAXwBFAHEAdQBhAHQAaQBvAG4AcwAuAFYARQBFAFIARwBfADMAXwAxAF8AMQBfADEAXwBfADIAXwBEAGEAaQBsAHkARQBuAHQAZQByAGkAYwBNAGUAdABoAGEAbgBlAFAAcgBvAGQAdQBjAHQAaQBvAG4AXwBWAGEAcgBpAGEAYgBsAGUAIgAsACIARQBuAHQAZQByAGkAYwBNAGUAdABoAGEAbgBlAF8ARgBlAGUAZABsAG8AdABfAEUAcQB1AGEAdABpAG8AbgBzAC4AVgBFAEUAUgBHAF8AMwBfADEAXwAxAF8AMQBfAF8AMgBfAEQAYQBpAGwAeQBFAG4AdABlAHIAaQBjAE0AZQB0AGgAYQBuAGUAUAByAG8AZAB1AGMAdABpAG8AbgBfAFUAbgBpAHQAIgAsACIARQBuAHQAZQByAGkAYwBNAGUAdABoAGEAbgBlAF8ARgBlAGUAZABsAG8AdABfAEUAcQB1AGEAdABpAG8AbgBzAC4AVgBFAEUAUgBHAF8AMwBfADEAXwAxAF8AMQBfAF8AMgBfAEQAYQBpAGwAeQBFAG4AdABlAHIAaQBjAE0AZQB0AGgAYQBuAGUAUAByAG8AZAB1AGMAdABpAG8AbgBfAFMAbwB1AHIAYwBlACIALAAiAEUAbgB0AGUAcgBpAGMATQBlAHQAaABhAG4AZQBfAEYAZQBlAGQAbABvAHQAXwBFAHEAdQBhAHQAaQBvAG4AcwAuAFYARQBFAFIARwBfADMAXwAxAF8AMQBfADEAXwBfADIAXwBEAGEAaQBsAHkARQBuAHQAZQByAGkAYwBNAGUAdABoAGEAbgBlAFAAcgBvAGQAdQBjAHQAaQBvAG4AXwBOAEkAUgBSAGUAZgBlAHIAZQBuAGMAZQAiACwAIgBFAG4AdABlAHIAaQBjAE0AZQB0AGgAYQBuAGUAXwBGAGUAZQBkAGwAbwB0AF8ARQBxAHUAYQB0AGkAbwBuAHMALgBWAEUARQBSAEcAXwAzAF8AMQBfADEAXwAxAF8AXwAyAF8ARABhAGkAbAB5AEUAbgB0AGUAcgBpAGMATQBlAHQAaABhAG4AZQBQAHIAbwBkAHUAYwB0AGkAbwBuAF8ATABhAHQAZQB4AEUAcQB1AGEAdABpAG8AbgAiACwAIgBFAG4AdABlAHIAaQBjAE0AZQB0AGgAYQBuAGUAXwBGAGUAZQBkAGwAbwB0AF8ARQBxAHUAYQB0AGkAbwBuAHMALgBWAEUARQBSAEcAXwAzAF8AMQBfADEAXwAxAF8AXwAyAF8ARABhAGkAbAB5AEUAbgB0AGUAcgBpAGMATQBlAHQAaABhAG4AZQBQAHIAbwBkAHUAYwB0AGkAbwBu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32</vt:i4>
      </vt:variant>
    </vt:vector>
  </HeadingPairs>
  <TitlesOfParts>
    <vt:vector size="43"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Common_SourceData_DensityOfMethane_Data</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M1_Table_E_CH4</vt:lpstr>
      <vt:lpstr>M1_Table_EE_j</vt:lpstr>
      <vt:lpstr>M1_Table_I_j</vt:lpstr>
      <vt:lpstr>M1_Table_M_j</vt:lpstr>
      <vt:lpstr>M1_Table_NDF_j</vt:lpstr>
      <vt:lpstr>M2_Table_E_CH4</vt:lpstr>
      <vt:lpstr>M2_Table_EE_j</vt:lpstr>
      <vt:lpstr>M2_Table_I_j</vt:lpstr>
      <vt:lpstr>M2_Table_M_j</vt:lpstr>
      <vt:lpstr>M2_Table_NDF_j</vt:lpstr>
      <vt:lpstr>Table_D_j</vt:lpstr>
      <vt:lpstr>Table_N_j</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2026-07-23T08:52:47Z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