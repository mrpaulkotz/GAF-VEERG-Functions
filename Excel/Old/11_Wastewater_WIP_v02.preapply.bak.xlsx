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B87AA7B-06FF-487C-939B-16AEFFCE0EEB}"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7"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1_1_1_1__1_MethaneEmissionsFromWastewaterTreatment_Result_Method1">'11.1.1-2 Wastewater CH4'!$E$30</definedName>
    <definedName name="VEERG_11_1_3_1__1_NitrousOxideEmissionsFromFlaredBiogas_Result_Method1">'11.1.3-4 Wastewater N2O'!$E$17</definedName>
    <definedName name="Waste_EnergyContentFactorSludgeBiogasFlared_Data">'Constants - Wastewater'!$E$41</definedName>
    <definedName name="Waste_MethaneEmissionFactorSludge_Data">'Constants - Wastewater'!$E$36</definedName>
    <definedName name="Waste_MethaneEmissionFactorSludgeBiogasFlared_Data">'Constants - Wastewater'!$E$46</definedName>
    <definedName name="Waste_MethaneEmissionFactorWastewater_Data">'Constants - Wastewater'!$E$31</definedName>
    <definedName name="Waste_NitrousOxideEmissionFactorSludgeBiogasFlared_Data">'Constants - Wastewater'!$E$51</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20" l="1"/>
  <c r="I14" i="120"/>
  <c r="J27" i="69"/>
  <c r="J26" i="69"/>
  <c r="J22" i="69"/>
  <c r="J19" i="69"/>
  <c r="A19" i="127"/>
  <c r="A18" i="127"/>
  <c r="A14" i="127"/>
  <c r="A13" i="127"/>
  <c r="A9" i="127"/>
  <c r="A5" i="127"/>
  <c r="A4" i="127"/>
  <c r="A3" i="127"/>
  <c r="A19" i="110"/>
  <c r="A18" i="110"/>
  <c r="A14" i="110"/>
  <c r="A13" i="110"/>
  <c r="A9" i="110"/>
  <c r="A5" i="110"/>
  <c r="A4" i="110"/>
  <c r="A3" i="110"/>
  <c r="A19" i="120"/>
  <c r="A18" i="120"/>
  <c r="A14" i="120"/>
  <c r="A13" i="120"/>
  <c r="A9" i="120"/>
  <c r="A5" i="120"/>
  <c r="A4" i="120"/>
  <c r="A3" i="120"/>
  <c r="A19" i="69"/>
  <c r="A18" i="69"/>
  <c r="A14" i="69"/>
  <c r="A13" i="69"/>
  <c r="A9" i="69"/>
  <c r="A5" i="69"/>
  <c r="A4" i="69"/>
  <c r="A3" i="69"/>
  <c r="A19" i="70"/>
  <c r="A18" i="70"/>
  <c r="A14" i="70"/>
  <c r="A13" i="70"/>
  <c r="A9" i="70"/>
  <c r="A5" i="70"/>
  <c r="A4" i="70"/>
  <c r="A3" i="70"/>
  <c r="A19" i="13"/>
  <c r="A18" i="13"/>
  <c r="A14" i="13"/>
  <c r="A13" i="13"/>
  <c r="A9" i="13"/>
  <c r="A5" i="13"/>
  <c r="A4" i="13"/>
  <c r="A3" i="13"/>
  <c r="A19" i="118"/>
  <c r="A18" i="118"/>
  <c r="A14" i="118"/>
  <c r="A13" i="118"/>
  <c r="A9" i="118"/>
  <c r="A5" i="118"/>
  <c r="A4" i="118"/>
  <c r="A3" i="118"/>
  <c r="A19" i="71"/>
  <c r="A18" i="71"/>
  <c r="A14" i="71"/>
  <c r="A13" i="71"/>
  <c r="A9" i="71"/>
  <c r="A5" i="71"/>
  <c r="A4" i="71"/>
  <c r="A3" i="71"/>
  <c r="E259" i="127" a="1"/>
  <c r="E259" i="127" s="1"/>
  <c r="D259" i="127" a="1"/>
  <c r="D259" i="127" s="1"/>
  <c r="E258" i="127" a="1"/>
  <c r="E258" i="127" s="1"/>
  <c r="D258" i="127" a="1"/>
  <c r="D258" i="127" s="1"/>
  <c r="D256" i="127" a="1"/>
  <c r="D256" i="127" s="1"/>
  <c r="D255" i="127" a="1"/>
  <c r="D255" i="127" s="1"/>
  <c r="D254" i="127" a="1"/>
  <c r="D254" i="127" s="1"/>
  <c r="D253" i="127" a="1"/>
  <c r="D253" i="127" s="1"/>
  <c r="S250" i="127" a="1"/>
  <c r="S250" i="127" s="1"/>
  <c r="R250" i="127" a="1"/>
  <c r="R250" i="127" s="1"/>
  <c r="Q250" i="127" a="1"/>
  <c r="Q250" i="127" s="1"/>
  <c r="P250" i="127" a="1"/>
  <c r="P250" i="127" s="1"/>
  <c r="O250" i="127" a="1"/>
  <c r="O250" i="127" s="1"/>
  <c r="N250" i="127" a="1"/>
  <c r="N250" i="127" s="1"/>
  <c r="M250" i="127" a="1"/>
  <c r="M250" i="127" s="1"/>
  <c r="L250" i="127" a="1"/>
  <c r="L250" i="127" s="1"/>
  <c r="K250" i="127" a="1"/>
  <c r="K250" i="127" s="1"/>
  <c r="J250" i="127" a="1"/>
  <c r="J250" i="127" s="1"/>
  <c r="I250" i="127" a="1"/>
  <c r="I250" i="127" s="1"/>
  <c r="H250" i="127" a="1"/>
  <c r="H250" i="127" s="1"/>
  <c r="G250" i="127" a="1"/>
  <c r="G250" i="127" s="1"/>
  <c r="F250" i="127" a="1"/>
  <c r="F250" i="127" s="1"/>
  <c r="E250" i="127" a="1"/>
  <c r="E250" i="127" s="1"/>
  <c r="D250" i="127" a="1"/>
  <c r="D250" i="127" s="1"/>
  <c r="S249" i="127" a="1"/>
  <c r="S249" i="127" s="1"/>
  <c r="R249" i="127" a="1"/>
  <c r="R249" i="127" s="1"/>
  <c r="Q249" i="127" a="1"/>
  <c r="Q249" i="127" s="1"/>
  <c r="P249" i="127" a="1"/>
  <c r="P249" i="127" s="1"/>
  <c r="O249" i="127" a="1"/>
  <c r="O249" i="127" s="1"/>
  <c r="N249" i="127" a="1"/>
  <c r="N249" i="127" s="1"/>
  <c r="M249" i="127" a="1"/>
  <c r="M249" i="127" s="1"/>
  <c r="L249" i="127" a="1"/>
  <c r="L249" i="127" s="1"/>
  <c r="K249" i="127" a="1"/>
  <c r="K249" i="127" s="1"/>
  <c r="J249" i="127" a="1"/>
  <c r="J249" i="127" s="1"/>
  <c r="I249" i="127" a="1"/>
  <c r="I249" i="127" s="1"/>
  <c r="H249" i="127" a="1"/>
  <c r="H249" i="127" s="1"/>
  <c r="G249" i="127" a="1"/>
  <c r="G249" i="127" s="1"/>
  <c r="F249" i="127" a="1"/>
  <c r="F249" i="127" s="1"/>
  <c r="E249" i="127" a="1"/>
  <c r="E249" i="127" s="1"/>
  <c r="D249" i="127" a="1"/>
  <c r="D249" i="127" s="1"/>
  <c r="S248" i="127" a="1"/>
  <c r="S248" i="127" s="1"/>
  <c r="R248" i="127" a="1"/>
  <c r="R248" i="127" s="1"/>
  <c r="Q248" i="127" a="1"/>
  <c r="Q248" i="127" s="1"/>
  <c r="P248" i="127" a="1"/>
  <c r="P248" i="127" s="1"/>
  <c r="O248" i="127" a="1"/>
  <c r="O248" i="127" s="1"/>
  <c r="N248" i="127" a="1"/>
  <c r="N248" i="127" s="1"/>
  <c r="M248" i="127" a="1"/>
  <c r="M248" i="127" s="1"/>
  <c r="L248" i="127" a="1"/>
  <c r="L248" i="127" s="1"/>
  <c r="K248" i="127" a="1"/>
  <c r="K248" i="127" s="1"/>
  <c r="J248" i="127" a="1"/>
  <c r="J248" i="127" s="1"/>
  <c r="I248" i="127" a="1"/>
  <c r="I248" i="127" s="1"/>
  <c r="H248" i="127" a="1"/>
  <c r="H248" i="127" s="1"/>
  <c r="G248" i="127" a="1"/>
  <c r="G248" i="127" s="1"/>
  <c r="F248" i="127" a="1"/>
  <c r="F248" i="127" s="1"/>
  <c r="E248" i="127" a="1"/>
  <c r="E248" i="127" s="1"/>
  <c r="D248" i="127" a="1"/>
  <c r="D248" i="127" s="1"/>
  <c r="S247" i="127" a="1"/>
  <c r="S247" i="127" s="1"/>
  <c r="R247" i="127" a="1"/>
  <c r="R247" i="127" s="1"/>
  <c r="Q247" i="127" a="1"/>
  <c r="Q247" i="127" s="1"/>
  <c r="P247" i="127" a="1"/>
  <c r="P247" i="127" s="1"/>
  <c r="O247" i="127" a="1"/>
  <c r="O247" i="127" s="1"/>
  <c r="N247" i="127" a="1"/>
  <c r="N247" i="127" s="1"/>
  <c r="M247" i="127" a="1"/>
  <c r="M247" i="127" s="1"/>
  <c r="L247" i="127" a="1"/>
  <c r="L247" i="127" s="1"/>
  <c r="K247" i="127" a="1"/>
  <c r="K247" i="127" s="1"/>
  <c r="J247" i="127" a="1"/>
  <c r="J247" i="127" s="1"/>
  <c r="I247" i="127" a="1"/>
  <c r="I247" i="127" s="1"/>
  <c r="H247" i="127" a="1"/>
  <c r="H247" i="127" s="1"/>
  <c r="G247" i="127" a="1"/>
  <c r="G247" i="127" s="1"/>
  <c r="F247" i="127" a="1"/>
  <c r="F247" i="127" s="1"/>
  <c r="E247" i="127" a="1"/>
  <c r="E247" i="127" s="1"/>
  <c r="D247" i="127" a="1"/>
  <c r="D247" i="127" s="1"/>
  <c r="S246" i="127" a="1"/>
  <c r="S246" i="127" s="1"/>
  <c r="R246" i="127" a="1"/>
  <c r="R246" i="127" s="1"/>
  <c r="Q246" i="127" a="1"/>
  <c r="Q246" i="127" s="1"/>
  <c r="P246" i="127" a="1"/>
  <c r="P246" i="127" s="1"/>
  <c r="O246" i="127" a="1"/>
  <c r="O246" i="127" s="1"/>
  <c r="N246" i="127" a="1"/>
  <c r="N246" i="127" s="1"/>
  <c r="M246" i="127" a="1"/>
  <c r="M246" i="127" s="1"/>
  <c r="L246" i="127" a="1"/>
  <c r="L246" i="127" s="1"/>
  <c r="K246" i="127" a="1"/>
  <c r="K246" i="127" s="1"/>
  <c r="J246" i="127" a="1"/>
  <c r="J246" i="127" s="1"/>
  <c r="I246" i="127" a="1"/>
  <c r="I246" i="127" s="1"/>
  <c r="H246" i="127" a="1"/>
  <c r="H246" i="127" s="1"/>
  <c r="G246" i="127" a="1"/>
  <c r="G246" i="127" s="1"/>
  <c r="F246" i="127" a="1"/>
  <c r="F246" i="127" s="1"/>
  <c r="E246" i="127" a="1"/>
  <c r="E246" i="127" s="1"/>
  <c r="D246" i="127" a="1"/>
  <c r="D246" i="127" s="1"/>
  <c r="S245" i="127" a="1"/>
  <c r="S245" i="127" s="1"/>
  <c r="R245" i="127" a="1"/>
  <c r="R245" i="127" s="1"/>
  <c r="Q245" i="127" a="1"/>
  <c r="Q245" i="127" s="1"/>
  <c r="P245" i="127" a="1"/>
  <c r="P245" i="127" s="1"/>
  <c r="O245" i="127" a="1"/>
  <c r="O245" i="127" s="1"/>
  <c r="N245" i="127" a="1"/>
  <c r="N245" i="127" s="1"/>
  <c r="M245" i="127" a="1"/>
  <c r="M245" i="127" s="1"/>
  <c r="L245" i="127" a="1"/>
  <c r="L245" i="127" s="1"/>
  <c r="K245" i="127" a="1"/>
  <c r="K245" i="127" s="1"/>
  <c r="J245" i="127" a="1"/>
  <c r="J245" i="127" s="1"/>
  <c r="I245" i="127" a="1"/>
  <c r="I245" i="127" s="1"/>
  <c r="H245" i="127" a="1"/>
  <c r="H245" i="127" s="1"/>
  <c r="G245" i="127" a="1"/>
  <c r="G245" i="127" s="1"/>
  <c r="F245" i="127" a="1"/>
  <c r="F245" i="127" s="1"/>
  <c r="E245" i="127" a="1"/>
  <c r="E245" i="127" s="1"/>
  <c r="D245" i="127" a="1"/>
  <c r="D245" i="127" s="1"/>
  <c r="S244" i="127" a="1"/>
  <c r="S244" i="127" s="1"/>
  <c r="R244" i="127" a="1"/>
  <c r="R244" i="127" s="1"/>
  <c r="Q244" i="127" a="1"/>
  <c r="Q244" i="127" s="1"/>
  <c r="P244" i="127" a="1"/>
  <c r="P244" i="127" s="1"/>
  <c r="O244" i="127" a="1"/>
  <c r="O244" i="127" s="1"/>
  <c r="N244" i="127" a="1"/>
  <c r="N244" i="127" s="1"/>
  <c r="M244" i="127" a="1"/>
  <c r="M244" i="127" s="1"/>
  <c r="L244" i="127" a="1"/>
  <c r="L244" i="127" s="1"/>
  <c r="K244" i="127" a="1"/>
  <c r="K244" i="127" s="1"/>
  <c r="J244" i="127" a="1"/>
  <c r="J244" i="127" s="1"/>
  <c r="I244" i="127" a="1"/>
  <c r="I244" i="127" s="1"/>
  <c r="H244" i="127" a="1"/>
  <c r="H244" i="127" s="1"/>
  <c r="G244" i="127" a="1"/>
  <c r="G244" i="127" s="1"/>
  <c r="F244" i="127" a="1"/>
  <c r="F244" i="127" s="1"/>
  <c r="E244" i="127" a="1"/>
  <c r="E244" i="127" s="1"/>
  <c r="D244" i="127" a="1"/>
  <c r="D244" i="127" s="1"/>
  <c r="S243" i="127" a="1"/>
  <c r="S243" i="127" s="1"/>
  <c r="R243" i="127" a="1"/>
  <c r="R243" i="127" s="1"/>
  <c r="Q243" i="127" a="1"/>
  <c r="Q243" i="127" s="1"/>
  <c r="P243" i="127" a="1"/>
  <c r="P243" i="127" s="1"/>
  <c r="O243" i="127" a="1"/>
  <c r="O243" i="127" s="1"/>
  <c r="N243" i="127" a="1"/>
  <c r="N243" i="127" s="1"/>
  <c r="M243" i="127" a="1"/>
  <c r="M243" i="127" s="1"/>
  <c r="L243" i="127" a="1"/>
  <c r="L243" i="127" s="1"/>
  <c r="K243" i="127" a="1"/>
  <c r="K243" i="127" s="1"/>
  <c r="J243" i="127" a="1"/>
  <c r="J243" i="127" s="1"/>
  <c r="I243" i="127" a="1"/>
  <c r="I243" i="127" s="1"/>
  <c r="H243" i="127" a="1"/>
  <c r="H243" i="127" s="1"/>
  <c r="G243" i="127" a="1"/>
  <c r="G243" i="127" s="1"/>
  <c r="F243" i="127" a="1"/>
  <c r="F243" i="127" s="1"/>
  <c r="E243" i="127" a="1"/>
  <c r="E243" i="127" s="1"/>
  <c r="D243" i="127" a="1"/>
  <c r="D243" i="127" s="1"/>
  <c r="S242" i="127" a="1"/>
  <c r="S242" i="127" s="1"/>
  <c r="R242" i="127" a="1"/>
  <c r="R242" i="127" s="1"/>
  <c r="Q242" i="127" a="1"/>
  <c r="Q242" i="127" s="1"/>
  <c r="P242" i="127" a="1"/>
  <c r="P242" i="127" s="1"/>
  <c r="O242" i="127" a="1"/>
  <c r="O242" i="127" s="1"/>
  <c r="N242" i="127" a="1"/>
  <c r="N242" i="127" s="1"/>
  <c r="M242" i="127" a="1"/>
  <c r="M242" i="127" s="1"/>
  <c r="L242" i="127" a="1"/>
  <c r="L242" i="127" s="1"/>
  <c r="K242" i="127" a="1"/>
  <c r="K242" i="127" s="1"/>
  <c r="J242" i="127" a="1"/>
  <c r="J242" i="127" s="1"/>
  <c r="I242" i="127" a="1"/>
  <c r="I242" i="127" s="1"/>
  <c r="H242" i="127" a="1"/>
  <c r="H242" i="127" s="1"/>
  <c r="G242" i="127" a="1"/>
  <c r="G242" i="127" s="1"/>
  <c r="F242" i="127" a="1"/>
  <c r="F242" i="127" s="1"/>
  <c r="E242" i="127" a="1"/>
  <c r="E242" i="127" s="1"/>
  <c r="D242" i="127" a="1"/>
  <c r="D242" i="127" s="1"/>
  <c r="S241" i="127" a="1"/>
  <c r="S241" i="127" s="1"/>
  <c r="R241" i="127" a="1"/>
  <c r="R241" i="127" s="1"/>
  <c r="Q241" i="127" a="1"/>
  <c r="Q241" i="127" s="1"/>
  <c r="P241" i="127" a="1"/>
  <c r="P241" i="127" s="1"/>
  <c r="O241" i="127" a="1"/>
  <c r="O241" i="127" s="1"/>
  <c r="N241" i="127" a="1"/>
  <c r="N241" i="127" s="1"/>
  <c r="M241" i="127" a="1"/>
  <c r="M241" i="127" s="1"/>
  <c r="L241" i="127" a="1"/>
  <c r="L241" i="127" s="1"/>
  <c r="K241" i="127" a="1"/>
  <c r="K241" i="127" s="1"/>
  <c r="J241" i="127" a="1"/>
  <c r="J241" i="127" s="1"/>
  <c r="I241" i="127" a="1"/>
  <c r="I241" i="127" s="1"/>
  <c r="H241" i="127" a="1"/>
  <c r="H241" i="127" s="1"/>
  <c r="G241" i="127" a="1"/>
  <c r="G241" i="127" s="1"/>
  <c r="F241" i="127" a="1"/>
  <c r="F241" i="127" s="1"/>
  <c r="E241" i="127" a="1"/>
  <c r="E241" i="127" s="1"/>
  <c r="D241" i="127" a="1"/>
  <c r="D241" i="127" s="1"/>
  <c r="S240" i="127" a="1"/>
  <c r="S240" i="127" s="1"/>
  <c r="R240" i="127" a="1"/>
  <c r="R240" i="127" s="1"/>
  <c r="Q240" i="127" a="1"/>
  <c r="Q240" i="127" s="1"/>
  <c r="P240" i="127" a="1"/>
  <c r="P240" i="127" s="1"/>
  <c r="O240" i="127" a="1"/>
  <c r="O240" i="127" s="1"/>
  <c r="N240" i="127" a="1"/>
  <c r="N240" i="127" s="1"/>
  <c r="M240" i="127" a="1"/>
  <c r="M240" i="127" s="1"/>
  <c r="L240" i="127" a="1"/>
  <c r="L240" i="127" s="1"/>
  <c r="K240" i="127" a="1"/>
  <c r="K240" i="127" s="1"/>
  <c r="J240" i="127" a="1"/>
  <c r="J240" i="127" s="1"/>
  <c r="I240" i="127" a="1"/>
  <c r="I240" i="127" s="1"/>
  <c r="H240" i="127" a="1"/>
  <c r="H240" i="127" s="1"/>
  <c r="G240" i="127" a="1"/>
  <c r="G240" i="127" s="1"/>
  <c r="F240" i="127" a="1"/>
  <c r="F240" i="127" s="1"/>
  <c r="E240" i="127" a="1"/>
  <c r="E240" i="127" s="1"/>
  <c r="D240" i="127" a="1"/>
  <c r="D240" i="127" s="1"/>
  <c r="S239" i="127" a="1"/>
  <c r="S239" i="127" s="1"/>
  <c r="R239" i="127" a="1"/>
  <c r="R239" i="127" s="1"/>
  <c r="Q239" i="127" a="1"/>
  <c r="Q239" i="127" s="1"/>
  <c r="P239" i="127" a="1"/>
  <c r="P239" i="127" s="1"/>
  <c r="O239" i="127" a="1"/>
  <c r="O239" i="127" s="1"/>
  <c r="N239" i="127" a="1"/>
  <c r="N239" i="127" s="1"/>
  <c r="M239" i="127" a="1"/>
  <c r="M239" i="127" s="1"/>
  <c r="L239" i="127" a="1"/>
  <c r="L239" i="127" s="1"/>
  <c r="K239" i="127" a="1"/>
  <c r="K239" i="127" s="1"/>
  <c r="J239" i="127" a="1"/>
  <c r="J239" i="127" s="1"/>
  <c r="I239" i="127" a="1"/>
  <c r="I239" i="127" s="1"/>
  <c r="H239" i="127" a="1"/>
  <c r="H239" i="127" s="1"/>
  <c r="G239" i="127" a="1"/>
  <c r="G239" i="127" s="1"/>
  <c r="F239" i="127" a="1"/>
  <c r="F239" i="127" s="1"/>
  <c r="E239" i="127" a="1"/>
  <c r="E239" i="127" s="1"/>
  <c r="D239" i="127" a="1"/>
  <c r="D239" i="127" s="1"/>
  <c r="S238" i="127" a="1"/>
  <c r="S238" i="127" s="1"/>
  <c r="R238" i="127" a="1"/>
  <c r="R238" i="127" s="1"/>
  <c r="Q238" i="127" a="1"/>
  <c r="Q238" i="127" s="1"/>
  <c r="P238" i="127" a="1"/>
  <c r="P238" i="127" s="1"/>
  <c r="O238" i="127" a="1"/>
  <c r="O238" i="127" s="1"/>
  <c r="N238" i="127" a="1"/>
  <c r="N238" i="127" s="1"/>
  <c r="M238" i="127" a="1"/>
  <c r="M238" i="127" s="1"/>
  <c r="L238" i="127" a="1"/>
  <c r="L238" i="127" s="1"/>
  <c r="K238" i="127" a="1"/>
  <c r="K238" i="127" s="1"/>
  <c r="J238" i="127" a="1"/>
  <c r="J238" i="127" s="1"/>
  <c r="I238" i="127" a="1"/>
  <c r="I238" i="127" s="1"/>
  <c r="H238" i="127" a="1"/>
  <c r="H238" i="127" s="1"/>
  <c r="G238" i="127" a="1"/>
  <c r="G238" i="127" s="1"/>
  <c r="F238" i="127" a="1"/>
  <c r="F238" i="127" s="1"/>
  <c r="E238" i="127" a="1"/>
  <c r="E238" i="127" s="1"/>
  <c r="D238" i="127" a="1"/>
  <c r="D238" i="127" s="1"/>
  <c r="S237" i="127" a="1"/>
  <c r="S237" i="127" s="1"/>
  <c r="R237" i="127" a="1"/>
  <c r="R237" i="127" s="1"/>
  <c r="Q237" i="127" a="1"/>
  <c r="Q237" i="127" s="1"/>
  <c r="P237" i="127" a="1"/>
  <c r="P237" i="127" s="1"/>
  <c r="O237" i="127" a="1"/>
  <c r="O237" i="127" s="1"/>
  <c r="N237" i="127" a="1"/>
  <c r="N237" i="127" s="1"/>
  <c r="M237" i="127" a="1"/>
  <c r="M237" i="127" s="1"/>
  <c r="L237" i="127" a="1"/>
  <c r="L237" i="127" s="1"/>
  <c r="K237" i="127" a="1"/>
  <c r="K237" i="127" s="1"/>
  <c r="J237" i="127" a="1"/>
  <c r="J237" i="127" s="1"/>
  <c r="I237" i="127" a="1"/>
  <c r="I237" i="127" s="1"/>
  <c r="H237" i="127" a="1"/>
  <c r="H237" i="127" s="1"/>
  <c r="G237" i="127" a="1"/>
  <c r="G237" i="127" s="1"/>
  <c r="F237" i="127" a="1"/>
  <c r="F237" i="127" s="1"/>
  <c r="E237" i="127" a="1"/>
  <c r="E237" i="127" s="1"/>
  <c r="D237" i="127" a="1"/>
  <c r="D237" i="127" s="1"/>
  <c r="S236" i="127" a="1"/>
  <c r="S236" i="127" s="1"/>
  <c r="R236" i="127" a="1"/>
  <c r="R236" i="127" s="1"/>
  <c r="Q236" i="127" a="1"/>
  <c r="Q236" i="127" s="1"/>
  <c r="P236" i="127" a="1"/>
  <c r="P236" i="127" s="1"/>
  <c r="O236" i="127" a="1"/>
  <c r="O236" i="127" s="1"/>
  <c r="N236" i="127" a="1"/>
  <c r="N236" i="127" s="1"/>
  <c r="M236" i="127" a="1"/>
  <c r="M236" i="127" s="1"/>
  <c r="L236" i="127" a="1"/>
  <c r="L236" i="127" s="1"/>
  <c r="K236" i="127" a="1"/>
  <c r="K236" i="127" s="1"/>
  <c r="J236" i="127" a="1"/>
  <c r="J236" i="127" s="1"/>
  <c r="I236" i="127" a="1"/>
  <c r="I236" i="127" s="1"/>
  <c r="H236" i="127" a="1"/>
  <c r="H236" i="127" s="1"/>
  <c r="G236" i="127" a="1"/>
  <c r="G236" i="127" s="1"/>
  <c r="F236" i="127" a="1"/>
  <c r="F236" i="127" s="1"/>
  <c r="E236" i="127" a="1"/>
  <c r="E236" i="127" s="1"/>
  <c r="D236" i="127" a="1"/>
  <c r="D236" i="127" s="1"/>
  <c r="S235" i="127" a="1"/>
  <c r="S235" i="127" s="1"/>
  <c r="R235" i="127" a="1"/>
  <c r="R235" i="127" s="1"/>
  <c r="Q235" i="127" a="1"/>
  <c r="Q235" i="127" s="1"/>
  <c r="P235" i="127" a="1"/>
  <c r="P235" i="127" s="1"/>
  <c r="O235" i="127" a="1"/>
  <c r="O235" i="127" s="1"/>
  <c r="N235" i="127" a="1"/>
  <c r="N235" i="127" s="1"/>
  <c r="M235" i="127" a="1"/>
  <c r="M235" i="127" s="1"/>
  <c r="L235" i="127" a="1"/>
  <c r="L235" i="127" s="1"/>
  <c r="K235" i="127" a="1"/>
  <c r="K235" i="127" s="1"/>
  <c r="J235" i="127" a="1"/>
  <c r="J235" i="127" s="1"/>
  <c r="I235" i="127" a="1"/>
  <c r="I235" i="127" s="1"/>
  <c r="H235" i="127" a="1"/>
  <c r="H235" i="127" s="1"/>
  <c r="G235" i="127" a="1"/>
  <c r="G235" i="127" s="1"/>
  <c r="F235" i="127" a="1"/>
  <c r="F235" i="127" s="1"/>
  <c r="E235" i="127" a="1"/>
  <c r="E235" i="127" s="1"/>
  <c r="D235" i="127" a="1"/>
  <c r="D235" i="127" s="1"/>
  <c r="S234" i="127" a="1"/>
  <c r="S234" i="127" s="1"/>
  <c r="R234" i="127" a="1"/>
  <c r="R234" i="127" s="1"/>
  <c r="Q234" i="127" a="1"/>
  <c r="Q234" i="127" s="1"/>
  <c r="P234" i="127" a="1"/>
  <c r="P234" i="127" s="1"/>
  <c r="O234" i="127" a="1"/>
  <c r="O234" i="127" s="1"/>
  <c r="N234" i="127" a="1"/>
  <c r="N234" i="127" s="1"/>
  <c r="M234" i="127" a="1"/>
  <c r="M234" i="127" s="1"/>
  <c r="L234" i="127" a="1"/>
  <c r="L234" i="127" s="1"/>
  <c r="K234" i="127" a="1"/>
  <c r="K234" i="127" s="1"/>
  <c r="J234" i="127" a="1"/>
  <c r="J234" i="127" s="1"/>
  <c r="I234" i="127" a="1"/>
  <c r="I234" i="127" s="1"/>
  <c r="H234" i="127" a="1"/>
  <c r="H234" i="127" s="1"/>
  <c r="G234" i="127" a="1"/>
  <c r="G234" i="127" s="1"/>
  <c r="F234" i="127" a="1"/>
  <c r="F234" i="127" s="1"/>
  <c r="E234" i="127" a="1"/>
  <c r="E234" i="127" s="1"/>
  <c r="D234" i="127" a="1"/>
  <c r="D234" i="127" s="1"/>
  <c r="S233" i="127" a="1"/>
  <c r="S233" i="127" s="1"/>
  <c r="R233" i="127" a="1"/>
  <c r="R233" i="127" s="1"/>
  <c r="Q233" i="127" a="1"/>
  <c r="Q233" i="127" s="1"/>
  <c r="P233" i="127" a="1"/>
  <c r="P233" i="127" s="1"/>
  <c r="O233" i="127" a="1"/>
  <c r="O233" i="127" s="1"/>
  <c r="N233" i="127" a="1"/>
  <c r="N233" i="127" s="1"/>
  <c r="M233" i="127" a="1"/>
  <c r="M233" i="127" s="1"/>
  <c r="L233" i="127" a="1"/>
  <c r="L233" i="127" s="1"/>
  <c r="K233" i="127" a="1"/>
  <c r="K233" i="127" s="1"/>
  <c r="J233" i="127" a="1"/>
  <c r="J233" i="127" s="1"/>
  <c r="I233" i="127" a="1"/>
  <c r="I233" i="127" s="1"/>
  <c r="H233" i="127" a="1"/>
  <c r="H233" i="127" s="1"/>
  <c r="G233" i="127" a="1"/>
  <c r="G233" i="127" s="1"/>
  <c r="F233" i="127" a="1"/>
  <c r="F233" i="127" s="1"/>
  <c r="E233" i="127" a="1"/>
  <c r="E233" i="127" s="1"/>
  <c r="D233" i="127" a="1"/>
  <c r="D233" i="127" s="1"/>
  <c r="S232" i="127" a="1"/>
  <c r="S232" i="127" s="1"/>
  <c r="R232" i="127" a="1"/>
  <c r="R232" i="127" s="1"/>
  <c r="Q232" i="127" a="1"/>
  <c r="Q232" i="127" s="1"/>
  <c r="P232" i="127" a="1"/>
  <c r="P232" i="127" s="1"/>
  <c r="O232" i="127" a="1"/>
  <c r="O232" i="127" s="1"/>
  <c r="N232" i="127" a="1"/>
  <c r="N232" i="127" s="1"/>
  <c r="M232" i="127" a="1"/>
  <c r="M232" i="127" s="1"/>
  <c r="L232" i="127" a="1"/>
  <c r="L232" i="127" s="1"/>
  <c r="K232" i="127" a="1"/>
  <c r="K232" i="127" s="1"/>
  <c r="J232" i="127" a="1"/>
  <c r="J232" i="127" s="1"/>
  <c r="I232" i="127" a="1"/>
  <c r="I232" i="127" s="1"/>
  <c r="H232" i="127" a="1"/>
  <c r="H232" i="127" s="1"/>
  <c r="G232" i="127" a="1"/>
  <c r="G232" i="127" s="1"/>
  <c r="F232" i="127" a="1"/>
  <c r="F232" i="127" s="1"/>
  <c r="E232" i="127" a="1"/>
  <c r="E232" i="127" s="1"/>
  <c r="D232" i="127" a="1"/>
  <c r="D232" i="127" s="1"/>
  <c r="D229" i="127" a="1"/>
  <c r="D229" i="127" s="1"/>
  <c r="D228" i="127" a="1"/>
  <c r="D228" i="127" s="1"/>
  <c r="D227" i="127" a="1"/>
  <c r="D227" i="127" s="1"/>
  <c r="E224" i="127" a="1"/>
  <c r="E224" i="127" s="1"/>
  <c r="D224" i="127" a="1"/>
  <c r="D224" i="127" s="1"/>
  <c r="E223" i="127" a="1"/>
  <c r="E223" i="127" s="1"/>
  <c r="D223" i="127" a="1"/>
  <c r="D223" i="127" s="1"/>
  <c r="E222" i="127" a="1"/>
  <c r="E222" i="127" s="1"/>
  <c r="D222" i="127" a="1"/>
  <c r="D222" i="127" s="1"/>
  <c r="E221" i="127" a="1"/>
  <c r="E221" i="127" s="1"/>
  <c r="D221" i="127" a="1"/>
  <c r="D221" i="127" s="1"/>
  <c r="E220" i="127" a="1"/>
  <c r="E220" i="127" s="1"/>
  <c r="D220" i="127" a="1"/>
  <c r="D220" i="127" s="1"/>
  <c r="E219" i="127" a="1"/>
  <c r="E219" i="127" s="1"/>
  <c r="D219" i="127" a="1"/>
  <c r="D219" i="127" s="1"/>
  <c r="E218" i="127" a="1"/>
  <c r="E218" i="127" s="1"/>
  <c r="D218" i="127" a="1"/>
  <c r="D218" i="127" s="1"/>
  <c r="E217" i="127" a="1"/>
  <c r="E217" i="127" s="1"/>
  <c r="D217" i="127" a="1"/>
  <c r="D217" i="127" s="1"/>
  <c r="E216" i="127" a="1"/>
  <c r="E216" i="127" s="1"/>
  <c r="D216" i="127" a="1"/>
  <c r="D216" i="127" s="1"/>
  <c r="E215" i="127" a="1"/>
  <c r="E215" i="127" s="1"/>
  <c r="D215" i="127" a="1"/>
  <c r="D215" i="127" s="1"/>
  <c r="E214" i="127" a="1"/>
  <c r="E214" i="127" s="1"/>
  <c r="D214" i="127" a="1"/>
  <c r="D214" i="127" s="1"/>
  <c r="E213" i="127" a="1"/>
  <c r="E213" i="127" s="1"/>
  <c r="D213" i="127" a="1"/>
  <c r="D213" i="127" s="1"/>
  <c r="D211" i="127" a="1"/>
  <c r="D211" i="127" s="1"/>
  <c r="E208" i="127" a="1"/>
  <c r="E208" i="127" s="1"/>
  <c r="D208" i="127" a="1"/>
  <c r="D208" i="127" s="1"/>
  <c r="E207" i="127" a="1"/>
  <c r="E207" i="127" s="1"/>
  <c r="D207" i="127" a="1"/>
  <c r="D207" i="127" s="1"/>
  <c r="D205" i="127" a="1"/>
  <c r="D205" i="127" s="1"/>
  <c r="D204" i="127" a="1"/>
  <c r="D204" i="127" s="1"/>
  <c r="D203" i="127" a="1"/>
  <c r="D203" i="127" s="1"/>
  <c r="D202" i="127" a="1"/>
  <c r="D202" i="127" s="1"/>
  <c r="H199" i="127" a="1"/>
  <c r="H199" i="127" s="1"/>
  <c r="G199" i="127" a="1"/>
  <c r="G199" i="127" s="1"/>
  <c r="F199" i="127" a="1"/>
  <c r="F199" i="127" s="1"/>
  <c r="E199" i="127" a="1"/>
  <c r="E199" i="127" s="1"/>
  <c r="D199" i="127" a="1"/>
  <c r="D199" i="127" s="1"/>
  <c r="H198" i="127" a="1"/>
  <c r="H198" i="127" s="1"/>
  <c r="G198" i="127" a="1"/>
  <c r="G198" i="127" s="1"/>
  <c r="F198" i="127" a="1"/>
  <c r="F198" i="127" s="1"/>
  <c r="E198" i="127" a="1"/>
  <c r="E198" i="127" s="1"/>
  <c r="D198" i="127" a="1"/>
  <c r="D198" i="127" s="1"/>
  <c r="H197" i="127" a="1"/>
  <c r="H197" i="127" s="1"/>
  <c r="G197" i="127" a="1"/>
  <c r="G197" i="127" s="1"/>
  <c r="F197" i="127" a="1"/>
  <c r="F197" i="127" s="1"/>
  <c r="E197" i="127" a="1"/>
  <c r="E197" i="127" s="1"/>
  <c r="D197" i="127" a="1"/>
  <c r="D197" i="127" s="1"/>
  <c r="H196" i="127" a="1"/>
  <c r="H196" i="127" s="1"/>
  <c r="G196" i="127" a="1"/>
  <c r="G196" i="127" s="1"/>
  <c r="F196" i="127" a="1"/>
  <c r="F196" i="127" s="1"/>
  <c r="E196" i="127" a="1"/>
  <c r="E196" i="127" s="1"/>
  <c r="D196" i="127" a="1"/>
  <c r="D196" i="127" s="1"/>
  <c r="H195" i="127" a="1"/>
  <c r="H195" i="127" s="1"/>
  <c r="G195" i="127" a="1"/>
  <c r="G195" i="127" s="1"/>
  <c r="F195" i="127" a="1"/>
  <c r="F195" i="127" s="1"/>
  <c r="E195" i="127" a="1"/>
  <c r="E195" i="127" s="1"/>
  <c r="D195" i="127" a="1"/>
  <c r="D195" i="127" s="1"/>
  <c r="H194" i="127" a="1"/>
  <c r="H194" i="127" s="1"/>
  <c r="G194" i="127" a="1"/>
  <c r="G194" i="127" s="1"/>
  <c r="F194" i="127" a="1"/>
  <c r="F194" i="127" s="1"/>
  <c r="E194" i="127" a="1"/>
  <c r="E194" i="127" s="1"/>
  <c r="D194" i="127" a="1"/>
  <c r="D194" i="127" s="1"/>
  <c r="H193" i="127" a="1"/>
  <c r="H193" i="127" s="1"/>
  <c r="G193" i="127" a="1"/>
  <c r="G193" i="127" s="1"/>
  <c r="F193" i="127" a="1"/>
  <c r="F193" i="127" s="1"/>
  <c r="E193" i="127" a="1"/>
  <c r="E193" i="127" s="1"/>
  <c r="D193" i="127" a="1"/>
  <c r="D193" i="127" s="1"/>
  <c r="H192" i="127" a="1"/>
  <c r="H192" i="127" s="1"/>
  <c r="G192" i="127" a="1"/>
  <c r="G192" i="127" s="1"/>
  <c r="F192" i="127" a="1"/>
  <c r="F192" i="127" s="1"/>
  <c r="E192" i="127" a="1"/>
  <c r="E192" i="127" s="1"/>
  <c r="D192" i="127" a="1"/>
  <c r="D192" i="127" s="1"/>
  <c r="H191" i="127" a="1"/>
  <c r="H191" i="127" s="1"/>
  <c r="G191" i="127" a="1"/>
  <c r="G191" i="127" s="1"/>
  <c r="F191" i="127" a="1"/>
  <c r="F191" i="127" s="1"/>
  <c r="E191" i="127" a="1"/>
  <c r="E191" i="127" s="1"/>
  <c r="D191" i="127" a="1"/>
  <c r="D191" i="127" s="1"/>
  <c r="H190" i="127" a="1"/>
  <c r="H190" i="127" s="1"/>
  <c r="G190" i="127" a="1"/>
  <c r="G190" i="127" s="1"/>
  <c r="F190" i="127" a="1"/>
  <c r="F190" i="127" s="1"/>
  <c r="E190" i="127" a="1"/>
  <c r="E190" i="127" s="1"/>
  <c r="D190" i="127" a="1"/>
  <c r="D190" i="127" s="1"/>
  <c r="H189" i="127" a="1"/>
  <c r="H189" i="127" s="1"/>
  <c r="G189" i="127" a="1"/>
  <c r="G189" i="127" s="1"/>
  <c r="F189" i="127" a="1"/>
  <c r="F189" i="127" s="1"/>
  <c r="E189" i="127" a="1"/>
  <c r="E189" i="127" s="1"/>
  <c r="D189" i="127" a="1"/>
  <c r="D189" i="127" s="1"/>
  <c r="H188" i="127" a="1"/>
  <c r="H188" i="127" s="1"/>
  <c r="G188" i="127" a="1"/>
  <c r="G188" i="127" s="1"/>
  <c r="F188" i="127" a="1"/>
  <c r="F188" i="127" s="1"/>
  <c r="E188" i="127" a="1"/>
  <c r="E188" i="127" s="1"/>
  <c r="D188" i="127" a="1"/>
  <c r="D188" i="127" s="1"/>
  <c r="H187" i="127" a="1"/>
  <c r="H187" i="127" s="1"/>
  <c r="G187" i="127" a="1"/>
  <c r="G187" i="127" s="1"/>
  <c r="F187" i="127" a="1"/>
  <c r="F187" i="127" s="1"/>
  <c r="E187" i="127" a="1"/>
  <c r="E187" i="127" s="1"/>
  <c r="D187" i="127" a="1"/>
  <c r="D187" i="127" s="1"/>
  <c r="D181" i="127" a="1"/>
  <c r="D181" i="127" s="1"/>
  <c r="D180" i="127" a="1"/>
  <c r="D180" i="127" s="1"/>
  <c r="D179" i="127" a="1"/>
  <c r="D179" i="127" s="1"/>
  <c r="D178" i="127" a="1"/>
  <c r="D178" i="127" s="1"/>
  <c r="E175" i="127" a="1"/>
  <c r="E175" i="127" s="1"/>
  <c r="D175" i="127" a="1"/>
  <c r="D175" i="127" s="1"/>
  <c r="D174" i="127" a="1"/>
  <c r="D174" i="127" s="1"/>
  <c r="D173" i="127" a="1"/>
  <c r="D173" i="127" s="1"/>
  <c r="D170" i="127" a="1"/>
  <c r="D170" i="127" s="1"/>
  <c r="D169" i="127"/>
  <c r="D169" i="127" a="1"/>
  <c r="D168" i="127" a="1"/>
  <c r="D168" i="127" s="1"/>
  <c r="D167" i="127"/>
  <c r="D167" i="127" a="1"/>
  <c r="D164" i="127" a="1"/>
  <c r="D164" i="127" s="1"/>
  <c r="D163" i="127" a="1"/>
  <c r="D163" i="127" s="1"/>
  <c r="D162" i="127" a="1"/>
  <c r="D162" i="127" s="1"/>
  <c r="D161" i="127" a="1"/>
  <c r="D161" i="127" s="1"/>
  <c r="E158" i="127" a="1"/>
  <c r="E158" i="127" s="1"/>
  <c r="D158" i="127" a="1"/>
  <c r="D158" i="127" s="1"/>
  <c r="E157" i="127" a="1"/>
  <c r="E157" i="127" s="1"/>
  <c r="D157" i="127" a="1"/>
  <c r="D157" i="127" s="1"/>
  <c r="E156" i="127" a="1"/>
  <c r="E156" i="127" s="1"/>
  <c r="D156" i="127" a="1"/>
  <c r="D156" i="127" s="1"/>
  <c r="E155" i="127" a="1"/>
  <c r="E155" i="127" s="1"/>
  <c r="D155" i="127" a="1"/>
  <c r="D155" i="127" s="1"/>
  <c r="E154" i="127" a="1"/>
  <c r="E154" i="127" s="1"/>
  <c r="D154" i="127" a="1"/>
  <c r="D154" i="127" s="1"/>
  <c r="D151" i="127" a="1"/>
  <c r="D151" i="127" s="1"/>
  <c r="D150" i="127" a="1"/>
  <c r="D150" i="127" s="1"/>
  <c r="E147" i="127" a="1"/>
  <c r="E147" i="127" s="1"/>
  <c r="D147" i="127" a="1"/>
  <c r="D147" i="127" s="1"/>
  <c r="E146" i="127" a="1"/>
  <c r="E146" i="127" s="1"/>
  <c r="D146" i="127" a="1"/>
  <c r="D146" i="127" s="1"/>
  <c r="E145" i="127"/>
  <c r="E145" i="127" a="1"/>
  <c r="D145" i="127" a="1"/>
  <c r="D145" i="127" s="1"/>
  <c r="E144" i="127" a="1"/>
  <c r="E144" i="127" s="1"/>
  <c r="D144" i="127" a="1"/>
  <c r="D144" i="127" s="1"/>
  <c r="E143" i="127" a="1"/>
  <c r="E143" i="127" s="1"/>
  <c r="D143" i="127" a="1"/>
  <c r="D143" i="127" s="1"/>
  <c r="D141" i="127" a="1"/>
  <c r="D141" i="127" s="1"/>
  <c r="D140" i="127" a="1"/>
  <c r="D140" i="127" s="1"/>
  <c r="D139" i="127" a="1"/>
  <c r="D139" i="127" s="1"/>
  <c r="E136" i="127" a="1"/>
  <c r="E136" i="127" s="1"/>
  <c r="D136" i="127" a="1"/>
  <c r="D136" i="127" s="1"/>
  <c r="E135" i="127" a="1"/>
  <c r="E135" i="127" s="1"/>
  <c r="D135" i="127" a="1"/>
  <c r="D135" i="127" s="1"/>
  <c r="D133" i="127" a="1"/>
  <c r="D133" i="127" s="1"/>
  <c r="D132" i="127"/>
  <c r="D132" i="127" a="1"/>
  <c r="E129" i="127" a="1"/>
  <c r="E129" i="127" s="1"/>
  <c r="D129" i="127" a="1"/>
  <c r="D129" i="127" s="1"/>
  <c r="E128" i="127" a="1"/>
  <c r="E128" i="127" s="1"/>
  <c r="D128" i="127" a="1"/>
  <c r="D128" i="127" s="1"/>
  <c r="D125" i="127" a="1"/>
  <c r="D125" i="127" s="1"/>
  <c r="D124" i="127" a="1"/>
  <c r="D124" i="127" s="1"/>
  <c r="G121" i="127" a="1"/>
  <c r="G121" i="127" s="1"/>
  <c r="F121" i="127" a="1"/>
  <c r="F121" i="127" s="1"/>
  <c r="E121" i="127" a="1"/>
  <c r="E121" i="127" s="1"/>
  <c r="D121" i="127" a="1"/>
  <c r="D121" i="127" s="1"/>
  <c r="G120" i="127" a="1"/>
  <c r="G120" i="127" s="1"/>
  <c r="F120" i="127" a="1"/>
  <c r="F120" i="127" s="1"/>
  <c r="E120" i="127" a="1"/>
  <c r="E120" i="127" s="1"/>
  <c r="D120" i="127" a="1"/>
  <c r="D120" i="127" s="1"/>
  <c r="D117" i="127" a="1"/>
  <c r="D117" i="127" s="1"/>
  <c r="D116" i="127" a="1"/>
  <c r="D116" i="127" s="1"/>
  <c r="D115" i="127" a="1"/>
  <c r="D115" i="127" s="1"/>
  <c r="G112" i="127" a="1"/>
  <c r="G112" i="127" s="1"/>
  <c r="F112" i="127" a="1"/>
  <c r="F112" i="127" s="1"/>
  <c r="E112" i="127" a="1"/>
  <c r="E112" i="127" s="1"/>
  <c r="D112" i="127" a="1"/>
  <c r="D112" i="127" s="1"/>
  <c r="G111" i="127" a="1"/>
  <c r="G111" i="127" s="1"/>
  <c r="F111" i="127" a="1"/>
  <c r="F111" i="127" s="1"/>
  <c r="E111" i="127" a="1"/>
  <c r="E111" i="127" s="1"/>
  <c r="D111" i="127" a="1"/>
  <c r="D111" i="127" s="1"/>
  <c r="G110" i="127" a="1"/>
  <c r="G110" i="127" s="1"/>
  <c r="F110" i="127" a="1"/>
  <c r="F110" i="127" s="1"/>
  <c r="E110" i="127" a="1"/>
  <c r="E110" i="127" s="1"/>
  <c r="D110" i="127" a="1"/>
  <c r="D110" i="127" s="1"/>
  <c r="D107" i="127" a="1"/>
  <c r="D107" i="127" s="1"/>
  <c r="D106" i="127"/>
  <c r="D106" i="127" a="1"/>
  <c r="D105" i="127" a="1"/>
  <c r="D105" i="127" s="1"/>
  <c r="D99" i="127" a="1"/>
  <c r="D99" i="127" s="1"/>
  <c r="S97" i="127" a="1"/>
  <c r="S97" i="127" s="1"/>
  <c r="R97" i="127" a="1"/>
  <c r="R97" i="127" s="1"/>
  <c r="Q97" i="127" a="1"/>
  <c r="Q97" i="127" s="1"/>
  <c r="P97" i="127" a="1"/>
  <c r="P97" i="127" s="1"/>
  <c r="O97" i="127" a="1"/>
  <c r="O97" i="127" s="1"/>
  <c r="N97" i="127" a="1"/>
  <c r="N97" i="127" s="1"/>
  <c r="M97" i="127" a="1"/>
  <c r="M97" i="127" s="1"/>
  <c r="L97" i="127" a="1"/>
  <c r="L97" i="127" s="1"/>
  <c r="K97" i="127" a="1"/>
  <c r="K97" i="127" s="1"/>
  <c r="J97" i="127" a="1"/>
  <c r="J97" i="127" s="1"/>
  <c r="I97" i="127" a="1"/>
  <c r="I97" i="127" s="1"/>
  <c r="H97" i="127" a="1"/>
  <c r="H97" i="127" s="1"/>
  <c r="G97" i="127" a="1"/>
  <c r="G97" i="127" s="1"/>
  <c r="F97" i="127" a="1"/>
  <c r="F97" i="127" s="1"/>
  <c r="E97" i="127" a="1"/>
  <c r="E97" i="127" s="1"/>
  <c r="D97" i="127" a="1"/>
  <c r="D97" i="127" s="1"/>
  <c r="S96" i="127" a="1"/>
  <c r="S96" i="127" s="1"/>
  <c r="R96" i="127" a="1"/>
  <c r="R96" i="127" s="1"/>
  <c r="Q96" i="127" a="1"/>
  <c r="Q96" i="127" s="1"/>
  <c r="P96" i="127" a="1"/>
  <c r="P96" i="127" s="1"/>
  <c r="O96" i="127" a="1"/>
  <c r="O96" i="127" s="1"/>
  <c r="N96" i="127" a="1"/>
  <c r="N96" i="127" s="1"/>
  <c r="M96" i="127" a="1"/>
  <c r="M96" i="127" s="1"/>
  <c r="L96" i="127" a="1"/>
  <c r="L96" i="127" s="1"/>
  <c r="K96" i="127" a="1"/>
  <c r="K96" i="127" s="1"/>
  <c r="J96" i="127" a="1"/>
  <c r="J96" i="127" s="1"/>
  <c r="I96" i="127" a="1"/>
  <c r="I96" i="127" s="1"/>
  <c r="H96" i="127" a="1"/>
  <c r="H96" i="127" s="1"/>
  <c r="G96" i="127" a="1"/>
  <c r="G96" i="127" s="1"/>
  <c r="F96" i="127" a="1"/>
  <c r="F96" i="127" s="1"/>
  <c r="E96" i="127" a="1"/>
  <c r="E96" i="127" s="1"/>
  <c r="D96" i="127" a="1"/>
  <c r="D96" i="127" s="1"/>
  <c r="S95" i="127" a="1"/>
  <c r="S95" i="127" s="1"/>
  <c r="R95" i="127" a="1"/>
  <c r="R95" i="127" s="1"/>
  <c r="Q95" i="127" a="1"/>
  <c r="Q95" i="127" s="1"/>
  <c r="P95" i="127" a="1"/>
  <c r="P95" i="127" s="1"/>
  <c r="O95" i="127" a="1"/>
  <c r="O95" i="127" s="1"/>
  <c r="N95" i="127" a="1"/>
  <c r="N95" i="127" s="1"/>
  <c r="M95" i="127" a="1"/>
  <c r="M95" i="127" s="1"/>
  <c r="L95" i="127" a="1"/>
  <c r="L95" i="127" s="1"/>
  <c r="K95" i="127" a="1"/>
  <c r="K95" i="127" s="1"/>
  <c r="J95" i="127" a="1"/>
  <c r="J95" i="127" s="1"/>
  <c r="I95" i="127" a="1"/>
  <c r="I95" i="127" s="1"/>
  <c r="H95" i="127" a="1"/>
  <c r="H95" i="127" s="1"/>
  <c r="G95" i="127" a="1"/>
  <c r="G95" i="127" s="1"/>
  <c r="F95" i="127" a="1"/>
  <c r="F95" i="127" s="1"/>
  <c r="E95" i="127" a="1"/>
  <c r="E95" i="127" s="1"/>
  <c r="D95" i="127" a="1"/>
  <c r="D95" i="127" s="1"/>
  <c r="S94" i="127" a="1"/>
  <c r="S94" i="127" s="1"/>
  <c r="R94" i="127" a="1"/>
  <c r="R94" i="127" s="1"/>
  <c r="Q94" i="127" a="1"/>
  <c r="Q94" i="127" s="1"/>
  <c r="P94" i="127" a="1"/>
  <c r="P94" i="127" s="1"/>
  <c r="O94" i="127" a="1"/>
  <c r="O94" i="127" s="1"/>
  <c r="N94" i="127" a="1"/>
  <c r="N94" i="127" s="1"/>
  <c r="M94" i="127" a="1"/>
  <c r="M94" i="127" s="1"/>
  <c r="L94" i="127" a="1"/>
  <c r="L94" i="127" s="1"/>
  <c r="K94" i="127" a="1"/>
  <c r="K94" i="127" s="1"/>
  <c r="J94" i="127" a="1"/>
  <c r="J94" i="127" s="1"/>
  <c r="I94" i="127" a="1"/>
  <c r="I94" i="127" s="1"/>
  <c r="H94" i="127" a="1"/>
  <c r="H94" i="127" s="1"/>
  <c r="G94" i="127" a="1"/>
  <c r="G94" i="127" s="1"/>
  <c r="F94" i="127" a="1"/>
  <c r="F94" i="127" s="1"/>
  <c r="E94" i="127" a="1"/>
  <c r="E94" i="127" s="1"/>
  <c r="D94" i="127" a="1"/>
  <c r="D94" i="127" s="1"/>
  <c r="S93" i="127" a="1"/>
  <c r="S93" i="127" s="1"/>
  <c r="R93" i="127" a="1"/>
  <c r="R93" i="127" s="1"/>
  <c r="Q93" i="127" a="1"/>
  <c r="Q93" i="127" s="1"/>
  <c r="P93" i="127" a="1"/>
  <c r="P93" i="127" s="1"/>
  <c r="O93" i="127" a="1"/>
  <c r="O93" i="127" s="1"/>
  <c r="N93" i="127" a="1"/>
  <c r="N93" i="127" s="1"/>
  <c r="M93" i="127" a="1"/>
  <c r="M93" i="127" s="1"/>
  <c r="L93" i="127" a="1"/>
  <c r="L93" i="127" s="1"/>
  <c r="K93" i="127" a="1"/>
  <c r="K93" i="127" s="1"/>
  <c r="J93" i="127" a="1"/>
  <c r="J93" i="127" s="1"/>
  <c r="I93" i="127" a="1"/>
  <c r="I93" i="127" s="1"/>
  <c r="H93" i="127" a="1"/>
  <c r="H93" i="127" s="1"/>
  <c r="G93" i="127" a="1"/>
  <c r="G93" i="127" s="1"/>
  <c r="F93" i="127" a="1"/>
  <c r="F93" i="127" s="1"/>
  <c r="E93" i="127" a="1"/>
  <c r="E93" i="127" s="1"/>
  <c r="D93" i="127" a="1"/>
  <c r="D93" i="127" s="1"/>
  <c r="S92" i="127" a="1"/>
  <c r="S92" i="127" s="1"/>
  <c r="R92" i="127" a="1"/>
  <c r="R92" i="127" s="1"/>
  <c r="Q92" i="127" a="1"/>
  <c r="Q92" i="127" s="1"/>
  <c r="P92" i="127" a="1"/>
  <c r="P92" i="127" s="1"/>
  <c r="O92" i="127" a="1"/>
  <c r="O92" i="127" s="1"/>
  <c r="N92" i="127" a="1"/>
  <c r="N92" i="127" s="1"/>
  <c r="M92" i="127" a="1"/>
  <c r="M92" i="127" s="1"/>
  <c r="L92" i="127" a="1"/>
  <c r="L92" i="127" s="1"/>
  <c r="K92" i="127" a="1"/>
  <c r="K92" i="127" s="1"/>
  <c r="J92" i="127" a="1"/>
  <c r="J92" i="127" s="1"/>
  <c r="I92" i="127" a="1"/>
  <c r="I92" i="127" s="1"/>
  <c r="H92" i="127" a="1"/>
  <c r="H92" i="127" s="1"/>
  <c r="G92" i="127" a="1"/>
  <c r="G92" i="127" s="1"/>
  <c r="F92" i="127" a="1"/>
  <c r="F92" i="127" s="1"/>
  <c r="E92" i="127" a="1"/>
  <c r="E92" i="127" s="1"/>
  <c r="D92" i="127" a="1"/>
  <c r="D92" i="127" s="1"/>
  <c r="S91" i="127" a="1"/>
  <c r="S91" i="127" s="1"/>
  <c r="R91" i="127" a="1"/>
  <c r="R91" i="127" s="1"/>
  <c r="Q91" i="127" a="1"/>
  <c r="Q91" i="127" s="1"/>
  <c r="P91" i="127" a="1"/>
  <c r="P91" i="127" s="1"/>
  <c r="O91" i="127" a="1"/>
  <c r="O91" i="127" s="1"/>
  <c r="N91" i="127" a="1"/>
  <c r="N91" i="127" s="1"/>
  <c r="M91" i="127" a="1"/>
  <c r="M91" i="127" s="1"/>
  <c r="L91" i="127" a="1"/>
  <c r="L91" i="127" s="1"/>
  <c r="K91" i="127" a="1"/>
  <c r="K91" i="127" s="1"/>
  <c r="J91" i="127" a="1"/>
  <c r="J91" i="127" s="1"/>
  <c r="I91" i="127" a="1"/>
  <c r="I91" i="127" s="1"/>
  <c r="H91" i="127" a="1"/>
  <c r="H91" i="127" s="1"/>
  <c r="G91" i="127" a="1"/>
  <c r="G91" i="127" s="1"/>
  <c r="F91" i="127" a="1"/>
  <c r="F91" i="127" s="1"/>
  <c r="E91" i="127" a="1"/>
  <c r="E91" i="127" s="1"/>
  <c r="D91" i="127" a="1"/>
  <c r="D91" i="127" s="1"/>
  <c r="S90" i="127" a="1"/>
  <c r="S90" i="127" s="1"/>
  <c r="R90" i="127" a="1"/>
  <c r="R90" i="127" s="1"/>
  <c r="Q90" i="127" a="1"/>
  <c r="Q90" i="127" s="1"/>
  <c r="P90" i="127" a="1"/>
  <c r="P90" i="127" s="1"/>
  <c r="O90" i="127" a="1"/>
  <c r="O90" i="127" s="1"/>
  <c r="N90" i="127" a="1"/>
  <c r="N90" i="127" s="1"/>
  <c r="M90" i="127" a="1"/>
  <c r="M90" i="127" s="1"/>
  <c r="L90" i="127" a="1"/>
  <c r="L90" i="127" s="1"/>
  <c r="K90" i="127" a="1"/>
  <c r="K90" i="127" s="1"/>
  <c r="J90" i="127" a="1"/>
  <c r="J90" i="127" s="1"/>
  <c r="I90" i="127" a="1"/>
  <c r="I90" i="127" s="1"/>
  <c r="H90" i="127" a="1"/>
  <c r="H90" i="127" s="1"/>
  <c r="G90" i="127" a="1"/>
  <c r="G90" i="127" s="1"/>
  <c r="F90" i="127" a="1"/>
  <c r="F90" i="127" s="1"/>
  <c r="E90" i="127" a="1"/>
  <c r="E90" i="127" s="1"/>
  <c r="D90" i="127" a="1"/>
  <c r="D90" i="127" s="1"/>
  <c r="D83" i="127" a="1"/>
  <c r="D83" i="127" s="1"/>
  <c r="D82" i="127" a="1"/>
  <c r="D82" i="127" s="1"/>
  <c r="D81" i="127" a="1"/>
  <c r="D81" i="127" s="1"/>
  <c r="E77" i="127" a="1"/>
  <c r="E77" i="127" s="1"/>
  <c r="D77" i="127" a="1"/>
  <c r="D77" i="127" s="1"/>
  <c r="E76" i="127" a="1"/>
  <c r="E76" i="127" s="1"/>
  <c r="D76" i="127" a="1"/>
  <c r="D76" i="127" s="1"/>
  <c r="E75" i="127" a="1"/>
  <c r="E75" i="127" s="1"/>
  <c r="D75" i="127" a="1"/>
  <c r="D75" i="127" s="1"/>
  <c r="E74" i="127" a="1"/>
  <c r="E74" i="127" s="1"/>
  <c r="D74" i="127" a="1"/>
  <c r="D74" i="127" s="1"/>
  <c r="E73" i="127" a="1"/>
  <c r="E73" i="127" s="1"/>
  <c r="D73" i="127" a="1"/>
  <c r="D73" i="127" s="1"/>
  <c r="E72" i="127" a="1"/>
  <c r="E72" i="127" s="1"/>
  <c r="D72" i="127" a="1"/>
  <c r="D72" i="127" s="1"/>
  <c r="E71" i="127" a="1"/>
  <c r="E71" i="127" s="1"/>
  <c r="D71" i="127" a="1"/>
  <c r="D71" i="127" s="1"/>
  <c r="E70" i="127" a="1"/>
  <c r="E70" i="127" s="1"/>
  <c r="D70" i="127" a="1"/>
  <c r="D70" i="127" s="1"/>
  <c r="E69" i="127" a="1"/>
  <c r="E69" i="127" s="1"/>
  <c r="D69" i="127" a="1"/>
  <c r="D69" i="127" s="1"/>
  <c r="E68" i="127" a="1"/>
  <c r="E68" i="127" s="1"/>
  <c r="D68" i="127" a="1"/>
  <c r="D68" i="127" s="1"/>
  <c r="E67" i="127" a="1"/>
  <c r="E67" i="127" s="1"/>
  <c r="D67" i="127" a="1"/>
  <c r="D67" i="127" s="1"/>
  <c r="E66" i="127" a="1"/>
  <c r="E66" i="127" s="1"/>
  <c r="D66" i="127" a="1"/>
  <c r="D66" i="127" s="1"/>
  <c r="E65" i="127" a="1"/>
  <c r="E65" i="127" s="1"/>
  <c r="D65" i="127" a="1"/>
  <c r="D65" i="127" s="1"/>
  <c r="E64" i="127" a="1"/>
  <c r="E64" i="127" s="1"/>
  <c r="D64" i="127" a="1"/>
  <c r="D64" i="127" s="1"/>
  <c r="D59" i="127" a="1"/>
  <c r="D59" i="127" s="1"/>
  <c r="D58" i="127" a="1"/>
  <c r="D58" i="127" s="1"/>
  <c r="D57" i="127" a="1"/>
  <c r="D57" i="127" s="1"/>
  <c r="G54" i="127" a="1"/>
  <c r="G54" i="127" s="1"/>
  <c r="F54" i="127" a="1"/>
  <c r="F54" i="127" s="1"/>
  <c r="E54" i="127" a="1"/>
  <c r="E54" i="127" s="1"/>
  <c r="D54" i="127" a="1"/>
  <c r="D54" i="127" s="1"/>
  <c r="G53" i="127" a="1"/>
  <c r="G53" i="127" s="1"/>
  <c r="F53" i="127" a="1"/>
  <c r="F53" i="127" s="1"/>
  <c r="E53" i="127" a="1"/>
  <c r="E53" i="127" s="1"/>
  <c r="D53" i="127" a="1"/>
  <c r="D53" i="127" s="1"/>
  <c r="G52" i="127" a="1"/>
  <c r="G52" i="127" s="1"/>
  <c r="F52" i="127" a="1"/>
  <c r="F52" i="127" s="1"/>
  <c r="E52" i="127" a="1"/>
  <c r="E52" i="127" s="1"/>
  <c r="D52" i="127" a="1"/>
  <c r="D52" i="127" s="1"/>
  <c r="G51" i="127" a="1"/>
  <c r="G51" i="127" s="1"/>
  <c r="F51" i="127" a="1"/>
  <c r="F51" i="127" s="1"/>
  <c r="E51" i="127" a="1"/>
  <c r="E51" i="127" s="1"/>
  <c r="D51" i="127" a="1"/>
  <c r="D51" i="127" s="1"/>
  <c r="G50" i="127" a="1"/>
  <c r="G50" i="127" s="1"/>
  <c r="F50" i="127" a="1"/>
  <c r="F50" i="127" s="1"/>
  <c r="E50" i="127" a="1"/>
  <c r="E50" i="127" s="1"/>
  <c r="D50" i="127" a="1"/>
  <c r="D50" i="127" s="1"/>
  <c r="G49" i="127" a="1"/>
  <c r="G49" i="127" s="1"/>
  <c r="F49" i="127" a="1"/>
  <c r="F49" i="127" s="1"/>
  <c r="E49" i="127" a="1"/>
  <c r="E49" i="127" s="1"/>
  <c r="D49" i="127" a="1"/>
  <c r="D49" i="127" s="1"/>
  <c r="G48" i="127" a="1"/>
  <c r="G48" i="127" s="1"/>
  <c r="F48" i="127" a="1"/>
  <c r="F48" i="127" s="1"/>
  <c r="E48" i="127" a="1"/>
  <c r="E48" i="127" s="1"/>
  <c r="D48" i="127" a="1"/>
  <c r="D48" i="127" s="1"/>
  <c r="D46" i="127" a="1"/>
  <c r="D46" i="127" s="1"/>
  <c r="D45" i="127"/>
  <c r="D45" i="127" a="1"/>
  <c r="E43" i="127" a="1"/>
  <c r="E43" i="127" s="1"/>
  <c r="D43" i="127" a="1"/>
  <c r="D43" i="127" s="1"/>
  <c r="E42" i="127" a="1"/>
  <c r="E42" i="127" s="1"/>
  <c r="D42" i="127" a="1"/>
  <c r="D42" i="127" s="1"/>
  <c r="E41" i="127" a="1"/>
  <c r="E41" i="127" s="1"/>
  <c r="D41" i="127" a="1"/>
  <c r="D41" i="127" s="1"/>
  <c r="E40" i="127" a="1"/>
  <c r="E40" i="127" s="1"/>
  <c r="D40" i="127" a="1"/>
  <c r="D40" i="127" s="1"/>
  <c r="E39" i="127" a="1"/>
  <c r="E39" i="127" s="1"/>
  <c r="D39" i="127" a="1"/>
  <c r="D39" i="127" s="1"/>
  <c r="E38" i="127" a="1"/>
  <c r="E38" i="127" s="1"/>
  <c r="D38" i="127" a="1"/>
  <c r="D38" i="127" s="1"/>
  <c r="E37" i="127" a="1"/>
  <c r="E37" i="127" s="1"/>
  <c r="D37" i="127" a="1"/>
  <c r="D37" i="127" s="1"/>
  <c r="D35" i="127"/>
  <c r="D35" i="127" a="1"/>
  <c r="D34" i="127" a="1"/>
  <c r="D34" i="127" s="1"/>
  <c r="D30" i="127" a="1"/>
  <c r="D30" i="127" s="1"/>
  <c r="D29" i="127" a="1"/>
  <c r="D29" i="127" s="1"/>
  <c r="D28" i="127" a="1"/>
  <c r="D28" i="127" s="1"/>
  <c r="D27" i="127" a="1"/>
  <c r="D27" i="127" s="1"/>
  <c r="D26" i="127" a="1"/>
  <c r="D26" i="127" s="1"/>
  <c r="D25" i="127" a="1"/>
  <c r="D25" i="127" s="1"/>
  <c r="D24" i="127" a="1"/>
  <c r="D24" i="127" s="1"/>
  <c r="D23" i="127" a="1"/>
  <c r="D23" i="127" s="1"/>
  <c r="D22" i="127" a="1"/>
  <c r="D22" i="127" s="1"/>
  <c r="D21" i="127" a="1"/>
  <c r="D21" i="127" s="1"/>
  <c r="D19" i="127"/>
  <c r="D19" i="127" a="1"/>
  <c r="D18" i="127" a="1"/>
  <c r="D18" i="127" s="1"/>
  <c r="F14" i="127" a="1"/>
  <c r="F14" i="127" s="1"/>
  <c r="E14" i="127" a="1"/>
  <c r="E14" i="127" s="1"/>
  <c r="D14" i="127" a="1"/>
  <c r="D14" i="127" s="1"/>
  <c r="F13" i="127" a="1"/>
  <c r="F13" i="127" s="1"/>
  <c r="E13" i="127" a="1"/>
  <c r="E13" i="127" s="1"/>
  <c r="D13" i="127" a="1"/>
  <c r="D13" i="127" s="1"/>
  <c r="F12" i="127" a="1"/>
  <c r="F12" i="127" s="1"/>
  <c r="E12" i="127" a="1"/>
  <c r="E12" i="127" s="1"/>
  <c r="D12" i="127" a="1"/>
  <c r="D12" i="127" s="1"/>
  <c r="F11" i="127" a="1"/>
  <c r="F11" i="127" s="1"/>
  <c r="E11" i="127" a="1"/>
  <c r="E11" i="127" s="1"/>
  <c r="D11" i="127" a="1"/>
  <c r="D11" i="127" s="1"/>
  <c r="F10" i="127" a="1"/>
  <c r="F10" i="127" s="1"/>
  <c r="E10" i="127" a="1"/>
  <c r="E10" i="127" s="1"/>
  <c r="D10" i="127" a="1"/>
  <c r="D10" i="127" s="1"/>
  <c r="F9" i="127" a="1"/>
  <c r="F9" i="127" s="1"/>
  <c r="E9" i="127" a="1"/>
  <c r="E9" i="127" s="1"/>
  <c r="D9" i="127" a="1"/>
  <c r="D9" i="127" s="1"/>
  <c r="F8" i="127" a="1"/>
  <c r="F8" i="127" s="1"/>
  <c r="E8" i="127" a="1"/>
  <c r="E8" i="127" s="1"/>
  <c r="D8" i="127" a="1"/>
  <c r="D8" i="127" s="1"/>
  <c r="F7" i="127" a="1"/>
  <c r="F7" i="127" s="1"/>
  <c r="E7" i="127" a="1"/>
  <c r="E7" i="127" s="1"/>
  <c r="D7" i="127" a="1"/>
  <c r="D7" i="127" s="1"/>
  <c r="D5" i="127" a="1"/>
  <c r="D5" i="127" s="1"/>
  <c r="I13" i="120"/>
  <c r="J28" i="69"/>
  <c r="J25" i="69"/>
  <c r="J24" i="69"/>
  <c r="J23" i="69"/>
  <c r="J20" i="69"/>
  <c r="J17" i="69"/>
  <c r="J16" i="69"/>
  <c r="J15" i="69"/>
  <c r="J14" i="69"/>
  <c r="D19" i="120" a="1"/>
  <c r="D19" i="120" s="1"/>
  <c r="F22" i="120" a="1"/>
  <c r="F22" i="120" s="1"/>
  <c r="G13" i="120" a="1"/>
  <c r="G13" i="120" s="1"/>
  <c r="D13" i="120" a="1"/>
  <c r="D13" i="120" s="1"/>
  <c r="E11" i="120" a="1"/>
  <c r="E11" i="120" s="1"/>
  <c r="F17" i="120" s="1"/>
  <c r="E10" i="120" a="1"/>
  <c r="E10" i="120" s="1"/>
  <c r="D6" i="120" a="1"/>
  <c r="D6" i="120" s="1"/>
  <c r="D5" i="120" a="1"/>
  <c r="D5" i="120" s="1"/>
  <c r="F51" i="110" a="1"/>
  <c r="F51" i="110" s="1"/>
  <c r="E51" i="110" a="1"/>
  <c r="E51" i="11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D41" i="110" a="1"/>
  <c r="D41" i="110" s="1"/>
  <c r="D40" i="110" a="1"/>
  <c r="D40" i="110" s="1"/>
  <c r="D39" i="110" a="1"/>
  <c r="D39" i="110" s="1"/>
  <c r="F36" i="110" a="1"/>
  <c r="F36" i="110" s="1"/>
  <c r="E36" i="110" a="1"/>
  <c r="E36" i="110" s="1"/>
  <c r="D36" i="110" a="1"/>
  <c r="D36" i="110" s="1"/>
  <c r="D35" i="110" a="1"/>
  <c r="D35" i="110" s="1"/>
  <c r="D34" i="110" a="1"/>
  <c r="D34" i="110" s="1"/>
  <c r="E31" i="110" a="1"/>
  <c r="E31" i="110"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F35" i="69" a="1"/>
  <c r="F35" i="69" s="1"/>
  <c r="D32" i="69" a="1"/>
  <c r="D32" i="69" s="1"/>
  <c r="E7" i="120" a="1"/>
  <c r="H53" i="127" l="1"/>
  <c r="H48" i="127"/>
  <c r="H51" i="127"/>
  <c r="H54" i="127"/>
  <c r="H49" i="127"/>
  <c r="H52" i="127"/>
  <c r="H50" i="127"/>
  <c r="E17" i="120" a="1"/>
  <c r="E17" i="120" s="1"/>
  <c r="E10" i="13" s="1"/>
  <c r="E7" i="120"/>
  <c r="G19" i="120" l="1"/>
  <c r="E22" i="120" s="1" a="1"/>
  <c r="E22" i="120" s="1"/>
  <c r="H10" i="13" s="1"/>
  <c r="I10" i="13" s="1"/>
  <c r="F10" i="13"/>
  <c r="D7" i="69" a="1"/>
  <c r="D7" i="69" s="1"/>
  <c r="J21" i="69" a="1"/>
  <c r="J21" i="69" s="1"/>
  <c r="J18" i="69" a="1"/>
  <c r="J18" i="69" s="1"/>
  <c r="H14" i="69" a="1"/>
  <c r="H14" i="69" s="1"/>
  <c r="D14" i="69" a="1"/>
  <c r="D14" i="69" s="1"/>
  <c r="E12" i="69" a="1"/>
  <c r="E12" i="69" s="1"/>
  <c r="F30" i="69" s="1"/>
  <c r="E11" i="69" a="1"/>
  <c r="E11" i="69" s="1"/>
  <c r="D6" i="69" a="1"/>
  <c r="D6" i="69" s="1"/>
  <c r="D5" i="69" a="1"/>
  <c r="D5" i="69" s="1"/>
  <c r="E8" i="69" a="1"/>
  <c r="E30" i="69" l="1" a="1"/>
  <c r="E30" i="69" s="1"/>
  <c r="E9" i="13" s="1"/>
  <c r="E8" i="69"/>
  <c r="G32" i="69" l="1"/>
  <c r="E35" i="69" s="1" a="1"/>
  <c r="E35" i="69" s="1"/>
  <c r="H9" i="13" s="1"/>
  <c r="D57" i="70"/>
  <c r="H11" i="13" l="1"/>
  <c r="I9" i="13"/>
  <c r="I11"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<sst xmlns="http://schemas.openxmlformats.org/spreadsheetml/2006/main" count="176" uniqueCount="131">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</sst>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cellStyleXfs>
  <cellXfs count="75">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40" fillId="4" borderId="0" xfId="59">
      <alignment horizontal="left" vertical="center"/>
    </xf>
    <xf numFmtId="0" fontId="36" fillId="11" borderId="0" xfId="60">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34" fillId="13" borderId="14" xfId="39" applyBorder="1">
      <alignment horizontal="left" vertical="center"/>
    </xf>
    <xf numFmtId="0" fontId="34" fillId="13" borderId="15" xfId="39" applyBorder="1">
      <alignment horizontal="left" vertical="center"/>
    </xf>
    <xf numFmtId="0" fontId="47" fillId="4" borderId="1" xfId="8" applyFont="1" applyBorder="1">
      <alignment horizontal="left" vertical="center"/>
    </xf>
    <xf numFmtId="0" fontId="30" fillId="4" borderId="1" xfId="8" applyBorder="1">
      <alignment horizontal="left" vertical="center"/>
    </xf>
    <xf numFmtId="0" fontId="46"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49" fillId="4" borderId="1" xfId="53" applyFont="1" applyBorder="1">
      <alignment horizontal="left" vertical="center"/>
    </xf>
    <xf numFmtId="0" fontId="2" fillId="0" borderId="2" xfId="56">
      <alignment horizontal="center" vertical="center"/>
    </xf>
    <xf numFmtId="0" fontId="34" fillId="13" borderId="17" xfId="39" applyBorder="1">
      <alignment horizontal="left" vertical="center"/>
    </xf>
    <xf numFmtId="0" fontId="39"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xf numFmtId="0" fontId="51" fillId="9" borderId="4" xfId="34" applyFont="1">
      <alignment horizontal="left" vertical="center" indent="1"/>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22" dataCellStyle="Content normal">
  <autoFilter ref="D9:E14" xr:uid="{86752300-1056-4C92-8247-C96E2D7BEDD4}">
    <filterColumn colId="0" hiddenButton="1"/>
    <filterColumn colId="1" hiddenButton="1"/>
  </autoFilter>
  <tableColumns count="2">
    <tableColumn id="1" xr3:uid="{60322701-4B4B-459F-8E0D-E1FDA0005D7E}" name="Facility type t" dataDxfId="21"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20"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19" dataCellStyle="Content normal">
  <autoFilter ref="D21:E26" xr:uid="{CAC655BD-F756-4971-8D46-22867B90DE87}">
    <filterColumn colId="0" hiddenButton="1"/>
    <filterColumn colId="1" hiddenButton="1"/>
  </autoFilter>
  <tableColumns count="2">
    <tableColumn id="1" xr3:uid="{D1DF76B8-1010-4952-AD56-4DF4622F5028}" name="Facility type t" dataDxfId="18"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17"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310740-5886-4F26-8E26-D453895857B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BE6C3B3-85EE-4327-8A6F-10418E3FDBA4}" name="State/Territory">
      <calculatedColumnFormula array="1">Common_InputFunctions.Utility_DisplayArrayInTable(Common_SourceData.Common_SourceData_AustralianStatesTerritories_Data(),Table_AustralianStates[[#Headers],[State/Territory]],0)</calculatedColumnFormula>
    </tableColumn>
    <tableColumn id="2" xr3:uid="{657CA26E-C37E-4B3B-98C6-7BED5AB06C80}" name="Common Name">
      <calculatedColumnFormula array="1">Common_InputFunctions.Utility_DisplayArrayInTable(Common_SourceData.Common_SourceData_AustralianStatesTerritories_Data(),Table_AustralianStates[[#Headers],[State/Territory]],0)</calculatedColumnFormula>
    </tableColumn>
    <tableColumn id="3" xr3:uid="{ED2054A6-B729-4999-B575-5AC53774119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BD9B0A-7494-419C-8C0E-C2B7E29AC060}" name="Table_WASA4Areas" displayName="Table_WASA4Areas" ref="D20:D30" totalsRowShown="0">
  <autoFilter ref="D20:D30" xr:uid="{5FA81339-C6C8-4D36-BEEA-6C4AEDD9E676}">
    <filterColumn colId="0" hiddenButton="1"/>
  </autoFilter>
  <tableColumns count="1">
    <tableColumn id="1" xr3:uid="{484EFDF8-5661-4DCB-BA4A-C26C1CE4D05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ECB1A-75C1-44A7-9484-0E1E52E72F96}" name="Table_GWPData" displayName="Table_GWPData" ref="D36:E43" totalsRowShown="0">
  <autoFilter ref="D36:E43" xr:uid="{B8E87A66-3E41-4AD3-925D-01EE21B43D7A}">
    <filterColumn colId="0" hiddenButton="1"/>
    <filterColumn colId="1" hiddenButton="1"/>
  </autoFilter>
  <tableColumns count="2">
    <tableColumn id="1" xr3:uid="{A3D2B92A-FC3A-463F-9E7E-82B2A77AB147}" name="Gas">
      <calculatedColumnFormula array="1">Common_InputFunctions.Utility_DisplayArrayInTable(Common_SourceData.Common_SourceData_GWP_Data(), Table_GWPData[[#Headers],[Gas]], 0)</calculatedColumnFormula>
    </tableColumn>
    <tableColumn id="2" xr3:uid="{95A84F3B-6F44-411A-86B8-6E64EFD3657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4E6A36-A966-4BF7-A9E4-705DBB7888E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C198FF8-733E-46BF-81A2-B0D78722D688}" name="Gas">
      <calculatedColumnFormula array="1">Common_InputFunctions.Utility_DisplayArrayInTable(Common_SourceData.Common_SourceData_ConvertGasElementalToMolecular_Data(),Table_GasToMolecularConversionFactor[[#Headers],[Gas]], 0)</calculatedColumnFormula>
    </tableColumn>
    <tableColumn id="5" xr3:uid="{20AFED79-4B40-4B0E-A99B-7F91615C1379}" name="Conversion factor">
      <calculatedColumnFormula array="1">Common_InputFunctions.Utility_DisplayArrayInTable(Common_SourceData.Common_SourceData_ConvertGasElementalToMolecular_Data(),Table_GasToMolecularConversionFactor[[#Headers],[Gas]], 0)</calculatedColumnFormula>
    </tableColumn>
    <tableColumn id="2" xr3:uid="{0C318BFB-2EDA-4E53-A2D3-62F69C15B8A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C32820B-1E07-4E09-AC74-8C661C1E44D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92684B6-DC34-40F4-A70B-354CB81E0D2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3B153B6-41ED-4C89-8A99-1130E123AB4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5CE39F-22B0-49A1-B3E4-0355BE0D99F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9943293-560E-4412-83D9-D0A0880BABB8}"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1C6D6086-5E6E-4948-809B-1B679044D0F3}"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E637016B-41CB-4381-943D-8BEF2929F1D7}"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D9A2F0F2-1692-48AE-A5DB-279BBA8E6820}"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7F6B93F6-3B0A-4231-BFEA-D7F6DDF25D80}"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0B17F5EA-E83A-454D-9B08-6599D497EA0E}"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703FA166-6F32-4B63-B2FE-E91C9A7A304D}"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81DAFAC4-A0B6-4185-BDE1-614320AB2934}"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E03A1B17-B4FC-4FCA-BBF5-31181766E5C9}"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515FCAD1-8901-45CC-ACEF-C22676580F26}"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C1557A3C-8CF8-4F9C-8BA3-4787EE5F0417}"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C7EE21DF-10E1-49C7-A4F4-6A9A00FC253F}"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55C5D482-B74D-4A0E-99D1-562AB6BAD7E3}"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DD112C69-08AE-49D6-89E6-4FF4038192F2}"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5641B3CD-98FA-43C0-916F-85710AC6BC5E}"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4136810-34EA-455C-A54D-9DB715C1145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FC5C2DE-554C-42A3-AC38-8F028D4BEF5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ABEC6DD-4445-430B-8B5C-23DF66CFD572}"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F3E493-5068-42AE-8750-70278D60E23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69178F2-2D1D-4091-AF9D-F42662D206E9}" name="Temperature Zone">
      <calculatedColumnFormula array="1">Common_InputFunctions.Utility_DisplayArrayInTable(Common_SourceData.Common_SourceData_TemperatureZones_Data(),Table_SourceData_TemperatureZones[[#Headers],[Temperature Zone]],0)</calculatedColumnFormula>
    </tableColumn>
    <tableColumn id="2" xr3:uid="{FA2333D1-F299-4D46-9AEC-FB381BFF982E}" name="MAT">
      <calculatedColumnFormula array="1">Common_InputFunctions.Utility_DisplayArrayInTable(Common_SourceData.Common_SourceData_TemperatureZones_Data(),Table_SourceData_TemperatureZones[[#Headers],[Temperature Zone]],0)</calculatedColumnFormula>
    </tableColumn>
    <tableColumn id="3" xr3:uid="{8172341F-A412-4576-B34D-DE1A46531B7A}" name="Min MAT">
      <calculatedColumnFormula array="1">Common_InputFunctions.Utility_DisplayArrayInTable(Common_SourceData.Common_SourceData_TemperatureZones_Data(),Table_SourceData_TemperatureZones[[#Headers],[Temperature Zone]],0)</calculatedColumnFormula>
    </tableColumn>
    <tableColumn id="4" xr3:uid="{409CB111-50D3-47B3-87BB-97074B5D17A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4F93AA5-118C-4309-9C0F-01381581093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FA53AAC-E2A2-4B0F-836B-9C665BF91999}" name="Rainfall Zone">
      <calculatedColumnFormula array="1">Common_InputFunctions.Utility_DisplayArrayInTable(Common_SourceData.Common_SourceData_RainfallZones_Data(),Table_SourceData_RainfallZones[[#Headers],[Rainfall Zone]],0)</calculatedColumnFormula>
    </tableColumn>
    <tableColumn id="2" xr3:uid="{39ED269E-9F6F-4696-86EC-3C2AD533BAB7}" name="Annual rainfall">
      <calculatedColumnFormula array="1">Common_InputFunctions.Utility_DisplayArrayInTable(Common_SourceData.Common_SourceData_RainfallZones_Data(),Table_SourceData_RainfallZones[[#Headers],[Rainfall Zone]],0)</calculatedColumnFormula>
    </tableColumn>
    <tableColumn id="3" xr3:uid="{39101C93-2904-40A8-8A17-AE5C28A08F28}" name="Min rainfall">
      <calculatedColumnFormula array="1">Common_InputFunctions.Utility_DisplayArrayInTable(Common_SourceData.Common_SourceData_RainfallZones_Data(),Table_SourceData_RainfallZones[[#Headers],[Rainfall Zone]],0)</calculatedColumnFormula>
    </tableColumn>
    <tableColumn id="4" xr3:uid="{5A33BFE6-C93F-40B0-A277-58954F8C67A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32DE72D-9079-421A-AC06-EF0480E3E25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E0F5AF1-853B-4A10-9264-E0B7DCD7CBE4}" name="Leaching Zone">
      <calculatedColumnFormula array="1">Common_InputFunctions.Utility_DisplayArrayInTable(Common_SourceData.Common_SourceData_LeachingZones_Data(), Table_SourceData_LeachingZones[[#Headers],[Leaching Zone]], 0)</calculatedColumnFormula>
    </tableColumn>
    <tableColumn id="2" xr3:uid="{1B032057-1DA5-4B3E-88ED-94D098D0D8A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DB7734-CDCD-4AD4-9195-767D750D59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66E8DD3-92D2-4702-9BB0-1677117F7516}" name="Data source">
      <calculatedColumnFormula array="1">Common_InputFunctions.Utility_DisplayArrayInTable(Common_SourceData.Common_SourceData_DataScores_Scope3_Data(), Table_SourceData_DataScores_Scope3[[#Headers],[Data source]], 0)</calculatedColumnFormula>
    </tableColumn>
    <tableColumn id="2" xr3:uid="{307FFE45-46E9-467A-B702-9D2152AAB0F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3215EEF-0F66-46E8-8493-0C2ECB064A1D}" name="Table_SourceData_FracWET" displayName="Table_SourceData_FracWET" ref="D134:E136" totalsRowShown="0">
  <autoFilter ref="D134:E136" xr:uid="{308E99BE-FE1F-47A4-B2CA-97217277C4E9}">
    <filterColumn colId="0" hiddenButton="1"/>
    <filterColumn colId="1" hiddenButton="1"/>
  </autoFilter>
  <tableColumns count="2">
    <tableColumn id="1" xr3:uid="{6C1186E0-21C5-4237-B070-AB9EB32CF2D4}" name="Is in leaching zone">
      <calculatedColumnFormula array="1">Common_InputFunctions.Utility_DisplayArrayInTable(Common_SourceData.Common_SourceData_FracWET_Data(),Table_SourceData_FracWET[[#Headers],[Is in leaching zone]],0)</calculatedColumnFormula>
    </tableColumn>
    <tableColumn id="2" xr3:uid="{25E7B126-DAAB-4A7E-8D08-BBC472059358}"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CFE0685-2AD8-4C2D-81AE-58AF89682BA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6FDDE80-60A6-43F5-B8F2-852C30FFDDD4}" name="Production system j">
      <calculatedColumnFormula array="1">Common_InputFunctions.Utility_DisplayArrayInTable(Common_SourceData.Common_SourceData_EFN2O_Data(), Table_SourceData_Common_EFN2O[[#Headers],[Production system j]], 0)</calculatedColumnFormula>
    </tableColumn>
    <tableColumn id="2" xr3:uid="{AF7EE38D-2EA6-471E-AF48-94783A63C084}" name="EFN2O">
      <calculatedColumnFormula array="1">Common_InputFunctions.Utility_DisplayArrayInTable(Common_SourceData.Common_SourceData_EFN2O_Data(), Table_SourceData_Common_EFN2O[[#Headers],[Production system j]], 0)</calculatedColumnFormula>
    </tableColumn>
    <tableColumn id="3" xr3:uid="{FF099149-CB77-4055-A9F1-24C624BE731A}" name="Production system only">
      <calculatedColumnFormula array="1">Common_InputFunctions.Utility_DisplayArrayInTable(Common_SourceData.Common_SourceData_EFN2O_Data(), Table_SourceData_Common_EFN2O[[#Headers],[Production system j]], 0)</calculatedColumnFormula>
    </tableColumn>
    <tableColumn id="4" xr3:uid="{D923759D-64DA-4871-BC83-685A00270F3F}" name="Irrigation method">
      <calculatedColumnFormula array="1">Common_InputFunctions.Utility_DisplayArrayInTable(Common_SourceData.Common_SourceData_EFN2O_Data(), Table_SourceData_Common_EFN2O[[#Headers],[Production system j]], 0)</calculatedColumnFormula>
    </tableColumn>
    <tableColumn id="5" xr3:uid="{F8B21283-BD88-4E91-ACED-93E7D567F8D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1E0388-8BE6-4AC3-BA48-F5850C4CCB5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0E771C9-793A-451E-9134-A621AA24F3A7}" name="Irrigation type i">
      <calculatedColumnFormula array="1">Common_InputFunctions.Utility_DisplayArrayInTable(Common_SourceData.Common_SourceData_FracWETIrrigation_Data(), Table_SourceData_FracWETIrrigation[[#Headers],[Irrigation type i]], 0)</calculatedColumnFormula>
    </tableColumn>
    <tableColumn id="2" xr3:uid="{D1715F6E-94A2-4313-A5CD-F60489481CC1}"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5681F27-3966-43CD-9F25-B93F717ED62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D7639FD-A66A-474D-A3A6-A58D9019C41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8ABC40B-FC6F-422F-B488-06F01CEBE1E6}"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E5586BB-570A-459F-81DD-BD7B147EF32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846D73-F428-4903-9879-09547142816D}" name="Month">
      <calculatedColumnFormula array="1">Common_InputFunctions.Utility_DisplayArrayInTable(Common_SourceData.Common_SourceData_MonthsToSeasons_Data(), Table_SourceData_Common_MonthToSeason[[#Headers],[Month]], 0)</calculatedColumnFormula>
    </tableColumn>
    <tableColumn id="2" xr3:uid="{D9F4DA30-451D-40FA-BD4F-4A7E1A9E3791}"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EE8A284-553D-4435-8E34-C191AD888DC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DE3766-E17D-4A8F-B5D1-A6BEDF74F3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D9FF22-9919-49B7-9087-FEED4F33B186}"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156DECE-8836-4D51-AFA2-1ACC408F453A}"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1FA6607-0FB9-4A8F-A0B1-048D5F14FAD8}"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31F0F9E-F7E6-4B6E-AED1-6987159BDD16}"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3948707-84DB-4491-A4BA-77144368FA93}"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B7863FD-781F-44F0-86FA-D1F65A095B95}"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AE0A734-A0E5-4DE9-8F3A-C39D225AC6E6}"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2F058B3-A46E-4D93-966E-EF7A93050304}"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A187935-F0EA-44C3-8A90-EB2BF8EEDBC6}"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A6E3942-8BBA-455F-8A15-9AA83B98F5B9}"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B87AB1C-B894-4176-A9D3-C5F2B7B3C5F2}"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17F3C41-34B6-4E8B-BD75-ABC3FCE32300}"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35223C8-2C01-4905-B90E-D682FFA0E2BA}"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B535F7B-F2CE-4721-A81E-D78DCEBDBC99}"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799D307-CBDD-47DF-9BFB-86243FF1A72A}"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D9584B4-0C6F-4D05-89EA-5DCB7F7F88F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FE936E2-F1F6-460F-BD4F-F8D56C515A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4BA3B32-6A2F-44C0-B9A3-B1F6116D396C}"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19"/>
  <sheetViews>
    <sheetView zoomScaleNormal="100" workbookViewId="0">
      <selection activeCell="A19" sqref="A19"/>
    </sheetView>
  </sheetViews>
  <sheetFormatPr defaultRowHeight="15" x14ac:dyDescent="0.25"/>
  <sheetData>
    <row r="1" spans="1:1" ht="25.5" x14ac:dyDescent="0.35">
      <c r="A1" s="30" t="e" vm="1">
        <v>#VALUE!</v>
      </c>
    </row>
    <row r="3" spans="1:1" ht="15.75" x14ac:dyDescent="0.25">
      <c r="A3" s="39" t="str">
        <f>HYPERLINK("#'Home'!A1", "Home")</f>
        <v>Home</v>
      </c>
    </row>
    <row r="4" spans="1:1" ht="15.75" x14ac:dyDescent="0.25">
      <c r="A4" s="12" t="str">
        <f>HYPERLINK("#'Overview'!A1", "Overview")</f>
        <v>Overview</v>
      </c>
    </row>
    <row r="5" spans="1:1" ht="15.75" x14ac:dyDescent="0.25">
      <c r="A5" s="12" t="str">
        <f>HYPERLINK("#'Results'!A1", "Results")</f>
        <v>Results</v>
      </c>
    </row>
    <row r="8" spans="1:1" x14ac:dyDescent="0.25">
      <c r="A8" s="14" t="s">
        <v>0</v>
      </c>
    </row>
    <row r="9" spans="1:1" ht="15.75" x14ac:dyDescent="0.25">
      <c r="A9" s="12" t="str">
        <f>HYPERLINK("#'Input - Wastewater'!A1", "Wastewater")</f>
        <v>Wastewater</v>
      </c>
    </row>
    <row r="12" spans="1:1" x14ac:dyDescent="0.25">
      <c r="A12" s="13" t="s">
        <v>44</v>
      </c>
    </row>
    <row r="13" spans="1:1" ht="15.75" x14ac:dyDescent="0.25">
      <c r="A13" s="12" t="str">
        <f>HYPERLINK("#'11.1.1-2 Wastewater CH4'!A1", "11.1.1-2 Wastewater CH4")</f>
        <v>11.1.1-2 Wastewater CH4</v>
      </c>
    </row>
    <row r="14" spans="1:1" ht="15.75" x14ac:dyDescent="0.25">
      <c r="A14" s="12" t="str">
        <f>HYPERLINK("#'11.1.3-4 Wastewater N2O'!A1", "11.1.3-4 Wastewater N2O")</f>
        <v>11.1.3-4 Wastewater N2O</v>
      </c>
    </row>
    <row r="17" spans="1:1" x14ac:dyDescent="0.25">
      <c r="A17" s="74" t="s">
        <v>1</v>
      </c>
    </row>
    <row r="18" spans="1:1" ht="15.75" x14ac:dyDescent="0.25">
      <c r="A18" s="12" t="str">
        <f>HYPERLINK("#'Constants - Wastewater'!A1", "Constants - Wastewater")</f>
        <v>Constants - Wastewater</v>
      </c>
    </row>
    <row r="19" spans="1:1" ht="15.75" x14ac:dyDescent="0.25">
      <c r="A19" s="12"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48" t="s">
        <v>85</v>
      </c>
      <c r="D1" s="49"/>
      <c r="E1" s="49"/>
      <c r="F1" s="49"/>
      <c r="G1" s="49"/>
      <c r="H1" s="49"/>
      <c r="I1" s="49"/>
      <c r="J1" s="49"/>
      <c r="K1" s="49"/>
      <c r="L1" s="49"/>
      <c r="M1" s="49"/>
      <c r="N1" s="49"/>
      <c r="O1" s="49"/>
      <c r="P1" s="49"/>
    </row>
    <row r="2" spans="1:17" ht="20.100000000000001" customHeight="1" x14ac:dyDescent="0.25">
      <c r="C2" s="49"/>
      <c r="D2" s="49"/>
      <c r="E2" s="49"/>
      <c r="F2" s="49"/>
      <c r="G2" s="49"/>
      <c r="H2" s="49"/>
      <c r="I2" s="49"/>
      <c r="J2" s="49"/>
      <c r="K2" s="49"/>
      <c r="L2" s="49"/>
      <c r="M2" s="49"/>
      <c r="N2" s="49"/>
      <c r="O2" s="49"/>
      <c r="P2" s="49"/>
      <c r="Q2" s="50"/>
    </row>
    <row r="3" spans="1:17" ht="20.100000000000001" customHeight="1" x14ac:dyDescent="0.25">
      <c r="A3" s="12" t="str">
        <f>HYPERLINK("#'Home'!A1", "Home")</f>
        <v>Home</v>
      </c>
      <c r="C3" s="51"/>
      <c r="D3" s="51"/>
      <c r="E3" s="51"/>
      <c r="F3" s="51"/>
      <c r="G3" s="51"/>
      <c r="H3" s="51"/>
      <c r="I3" s="51"/>
      <c r="J3" s="51"/>
      <c r="K3" s="51"/>
      <c r="L3" s="51"/>
      <c r="M3" s="51"/>
      <c r="N3" s="51"/>
      <c r="O3" s="51"/>
      <c r="P3" s="51"/>
    </row>
    <row r="4" spans="1:17" ht="20.100000000000001" customHeight="1" x14ac:dyDescent="0.25">
      <c r="A4" s="39" t="str">
        <f>HYPERLINK("#'Overview'!A1", "Overview")</f>
        <v>Overview</v>
      </c>
    </row>
    <row r="5" spans="1:17" ht="20.100000000000001" customHeight="1" x14ac:dyDescent="0.25">
      <c r="A5" s="12" t="str">
        <f>HYPERLINK("#'Results'!A1", "Results")</f>
        <v>Results</v>
      </c>
      <c r="D5" s="37" t="s">
        <v>82</v>
      </c>
      <c r="E5" s="34"/>
      <c r="F5" s="34"/>
      <c r="G5" s="34"/>
      <c r="H5" s="34"/>
      <c r="I5" s="34"/>
      <c r="J5" s="34"/>
      <c r="K5" s="34"/>
      <c r="L5" s="34"/>
      <c r="M5" s="34"/>
      <c r="N5" s="34"/>
      <c r="O5" s="31"/>
    </row>
    <row r="6" spans="1:17" ht="20.100000000000001" customHeight="1" x14ac:dyDescent="0.25">
      <c r="D6" s="52" t="s">
        <v>83</v>
      </c>
      <c r="E6" s="33"/>
      <c r="F6" s="33"/>
      <c r="G6" s="33"/>
      <c r="H6" s="33"/>
      <c r="I6" s="33"/>
      <c r="J6" s="33"/>
      <c r="K6" s="33"/>
      <c r="L6" s="33"/>
      <c r="M6" s="33"/>
      <c r="N6" s="33"/>
      <c r="O6" s="32"/>
    </row>
    <row r="7" spans="1:17" ht="20.100000000000001" customHeight="1" x14ac:dyDescent="0.25"/>
    <row r="8" spans="1:17" ht="20.100000000000001" customHeight="1" x14ac:dyDescent="0.25">
      <c r="A8" s="14" t="s">
        <v>0</v>
      </c>
    </row>
    <row r="9" spans="1:17" ht="20.100000000000001" customHeight="1" x14ac:dyDescent="0.25">
      <c r="A9" s="12" t="str">
        <f>HYPERLINK("#'Input - Wastewater'!A1", "Wastewater")</f>
        <v>Wastewater</v>
      </c>
    </row>
    <row r="10" spans="1:17" ht="20.100000000000001" customHeight="1" x14ac:dyDescent="0.25"/>
    <row r="11" spans="1:17" ht="20.100000000000001" customHeight="1" x14ac:dyDescent="0.25"/>
    <row r="12" spans="1:17" ht="20.100000000000001" customHeight="1" x14ac:dyDescent="0.25">
      <c r="A12" s="13" t="s">
        <v>44</v>
      </c>
    </row>
    <row r="13" spans="1:17" ht="20.100000000000001" customHeight="1" x14ac:dyDescent="0.25">
      <c r="A13" s="12" t="str">
        <f>HYPERLINK("#'11.1.1-2 Wastewater CH4'!A1", "11.1.1-2 Wastewater CH4")</f>
        <v>11.1.1-2 Wastewater CH4</v>
      </c>
    </row>
    <row r="14" spans="1:17" ht="20.100000000000001" customHeight="1" x14ac:dyDescent="0.25">
      <c r="A14" s="12" t="str">
        <f>HYPERLINK("#'11.1.3-4 Wastewater N2O'!A1", "11.1.3-4 Wastewater N2O")</f>
        <v>11.1.3-4 Wastewater N2O</v>
      </c>
      <c r="O14" s="1" t="s">
        <v>84</v>
      </c>
    </row>
    <row r="15" spans="1:17" ht="20.100000000000001" customHeight="1" x14ac:dyDescent="0.25"/>
    <row r="16" spans="1:17" ht="20.100000000000001" customHeight="1" x14ac:dyDescent="0.25"/>
    <row r="17" spans="1:1" ht="20.100000000000001" customHeight="1" x14ac:dyDescent="0.25">
      <c r="A17" s="74" t="s">
        <v>1</v>
      </c>
    </row>
    <row r="18" spans="1:1" ht="20.100000000000001" customHeight="1" x14ac:dyDescent="0.25">
      <c r="A18" s="12" t="str">
        <f>HYPERLINK("#'Constants - Wastewater'!A1", "Constants - Wastewater")</f>
        <v>Constants - Wastewater</v>
      </c>
    </row>
    <row r="19" spans="1:1" ht="20.100000000000001" customHeight="1" x14ac:dyDescent="0.25">
      <c r="A19" s="12" t="str">
        <f>HYPERLINK("#'Constants - Common'!A1", "Constants - Common")</f>
        <v>Constants - Common</v>
      </c>
    </row>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9" sqref="A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0" t="e" vm="1">
        <v>#VALUE!</v>
      </c>
      <c r="C1" s="48" t="s">
        <v>86</v>
      </c>
    </row>
    <row r="2" spans="1:11" ht="20.100000000000001" customHeight="1" x14ac:dyDescent="0.25">
      <c r="C2" s="8"/>
    </row>
    <row r="3" spans="1:11" ht="20.100000000000001" customHeight="1" x14ac:dyDescent="0.25">
      <c r="A3" s="12" t="str">
        <f>HYPERLINK("#'Home'!A1", "Home")</f>
        <v>Home</v>
      </c>
      <c r="C3" s="16"/>
      <c r="D3" s="16"/>
      <c r="E3" s="16"/>
      <c r="F3" s="16"/>
      <c r="G3" s="16"/>
      <c r="H3" s="16"/>
      <c r="I3" s="16"/>
      <c r="J3" s="16"/>
      <c r="K3" s="16"/>
    </row>
    <row r="4" spans="1:11" ht="20.100000000000001" customHeight="1" x14ac:dyDescent="0.25">
      <c r="A4" s="12" t="str">
        <f>HYPERLINK("#'Overview'!A1", "Overview")</f>
        <v>Overview</v>
      </c>
      <c r="C4" s="16"/>
      <c r="D4" s="5" t="s">
        <v>2</v>
      </c>
      <c r="E4" s="17"/>
      <c r="F4" s="17"/>
      <c r="G4" s="17"/>
      <c r="H4" s="17"/>
      <c r="I4" s="17"/>
      <c r="J4" s="17"/>
      <c r="K4" s="18"/>
    </row>
    <row r="5" spans="1:11" ht="20.100000000000001" customHeight="1" x14ac:dyDescent="0.3">
      <c r="A5" s="39" t="str">
        <f>HYPERLINK("#'Results'!A1", "Results")</f>
        <v>Results</v>
      </c>
      <c r="C5" s="16"/>
      <c r="D5" s="19"/>
      <c r="E5" s="20"/>
      <c r="F5" s="20"/>
      <c r="G5" s="20"/>
      <c r="H5" s="20"/>
      <c r="I5" s="20"/>
      <c r="J5" s="20"/>
      <c r="K5" s="16"/>
    </row>
    <row r="6" spans="1:11" ht="20.100000000000001" customHeight="1" x14ac:dyDescent="0.25">
      <c r="C6" s="16"/>
      <c r="D6" s="15" t="s">
        <v>79</v>
      </c>
      <c r="E6" s="16"/>
      <c r="F6" s="16"/>
      <c r="G6" s="16"/>
      <c r="H6" s="16"/>
      <c r="I6" s="16"/>
      <c r="J6" s="16"/>
      <c r="K6" s="16"/>
    </row>
    <row r="7" spans="1:11" ht="20.100000000000001" customHeight="1" x14ac:dyDescent="0.25">
      <c r="C7" s="16"/>
      <c r="D7" s="16"/>
      <c r="E7" s="16"/>
      <c r="F7" s="16"/>
      <c r="G7" s="16"/>
      <c r="H7" s="16"/>
      <c r="I7" s="16"/>
      <c r="J7" s="16"/>
      <c r="K7" s="16"/>
    </row>
    <row r="8" spans="1:11" ht="20.100000000000001" customHeight="1" x14ac:dyDescent="0.25">
      <c r="A8" s="14" t="s">
        <v>0</v>
      </c>
      <c r="C8" s="16"/>
      <c r="D8" s="36" t="s">
        <v>49</v>
      </c>
      <c r="E8" s="36" t="s">
        <v>59</v>
      </c>
      <c r="F8" s="36" t="s">
        <v>60</v>
      </c>
      <c r="G8" s="36" t="s">
        <v>54</v>
      </c>
      <c r="H8" s="36" t="s">
        <v>127</v>
      </c>
      <c r="I8" s="36" t="s">
        <v>128</v>
      </c>
      <c r="J8" s="36" t="s">
        <v>129</v>
      </c>
      <c r="K8" s="16"/>
    </row>
    <row r="9" spans="1:11" ht="20.100000000000001" customHeight="1" x14ac:dyDescent="0.25">
      <c r="A9" s="12" t="str">
        <f>HYPERLINK("#'Input - Wastewater'!A1", "Wastewater")</f>
        <v>Wastewater</v>
      </c>
      <c r="C9" s="16"/>
      <c r="D9" s="1" t="s">
        <v>123</v>
      </c>
      <c r="E9" s="47">
        <f>VEERG_11_1_1_1__1_MethaneEmissionsFromWastewaterTreatment_Result_Method1</f>
        <v>4.7159433000000001E-2</v>
      </c>
      <c r="F9" s="47">
        <f>E9</f>
        <v>4.7159433000000001E-2</v>
      </c>
      <c r="G9" s="28" t="s">
        <v>125</v>
      </c>
      <c r="H9" s="47">
        <f>'11.1.1-2 Wastewater CH4'!E35</f>
        <v>1.3204641239999999</v>
      </c>
      <c r="I9" s="47">
        <f>H9</f>
        <v>1.3204641239999999</v>
      </c>
      <c r="J9" s="28" t="s">
        <v>57</v>
      </c>
      <c r="K9" s="16"/>
    </row>
    <row r="10" spans="1:11" ht="20.100000000000001" customHeight="1" x14ac:dyDescent="0.25">
      <c r="C10" s="16"/>
      <c r="D10" s="1" t="s">
        <v>124</v>
      </c>
      <c r="E10" s="70">
        <f>VEERG_11_1_3_1__1_NitrousOxideEmissionsFromFlaredBiogas_Result_Method1</f>
        <v>4.26764E-7</v>
      </c>
      <c r="F10" s="70">
        <f>E10</f>
        <v>4.26764E-7</v>
      </c>
      <c r="G10" s="28" t="s">
        <v>126</v>
      </c>
      <c r="H10" s="47">
        <f>'11.1.3-4 Wastewater N2O'!E22</f>
        <v>1.1309246E-4</v>
      </c>
      <c r="I10" s="47">
        <f>H10</f>
        <v>1.1309246E-4</v>
      </c>
      <c r="J10" s="28" t="s">
        <v>57</v>
      </c>
      <c r="K10" s="16"/>
    </row>
    <row r="11" spans="1:11" ht="20.100000000000001" customHeight="1" x14ac:dyDescent="0.3">
      <c r="C11" s="16"/>
      <c r="D11" s="71" t="s">
        <v>130</v>
      </c>
      <c r="E11" s="72"/>
      <c r="F11" s="72"/>
      <c r="G11" s="71"/>
      <c r="H11" s="73">
        <f>SUM(H9:H10)</f>
        <v>1.3205772164599998</v>
      </c>
      <c r="I11" s="73">
        <f>SUM(I9:I10)</f>
        <v>1.3205772164599998</v>
      </c>
      <c r="J11" s="69" t="s">
        <v>57</v>
      </c>
      <c r="K11" s="16"/>
    </row>
    <row r="12" spans="1:11" ht="20.100000000000001" customHeight="1" x14ac:dyDescent="0.25">
      <c r="A12" s="13" t="s">
        <v>44</v>
      </c>
      <c r="C12" s="16"/>
      <c r="D12" s="1"/>
      <c r="E12" s="1"/>
      <c r="F12" s="1"/>
      <c r="G12" s="1"/>
      <c r="H12" s="1"/>
      <c r="I12" s="1"/>
      <c r="J12" s="1"/>
      <c r="K12" s="16"/>
    </row>
    <row r="13" spans="1:11" ht="20.100000000000001" customHeight="1" x14ac:dyDescent="0.25">
      <c r="A13" s="12" t="str">
        <f>HYPERLINK("#'11.1.1-2 Wastewater CH4'!A1", "11.1.1-2 Wastewater CH4")</f>
        <v>11.1.1-2 Wastewater CH4</v>
      </c>
      <c r="C13" s="16"/>
      <c r="D13" s="1"/>
      <c r="E13" s="1"/>
      <c r="F13" s="1"/>
      <c r="G13" s="1"/>
      <c r="H13" s="1"/>
      <c r="I13" s="1"/>
      <c r="J13" s="1"/>
      <c r="K13" s="16"/>
    </row>
    <row r="14" spans="1:11" ht="20.100000000000001" customHeight="1" x14ac:dyDescent="0.25">
      <c r="A14" s="12" t="str">
        <f>HYPERLINK("#'11.1.3-4 Wastewater N2O'!A1", "11.1.3-4 Wastewater N2O")</f>
        <v>11.1.3-4 Wastewater N2O</v>
      </c>
      <c r="C14" s="16"/>
      <c r="D14" s="1"/>
      <c r="E14" s="1"/>
      <c r="F14" s="1"/>
      <c r="G14" s="1"/>
      <c r="H14" s="1"/>
      <c r="I14" s="1"/>
      <c r="J14" s="1"/>
      <c r="K14" s="16"/>
    </row>
    <row r="15" spans="1:11" ht="20.100000000000001" customHeight="1" x14ac:dyDescent="0.25">
      <c r="C15" s="16"/>
      <c r="D15" s="1"/>
      <c r="E15" s="1"/>
      <c r="F15" s="1"/>
      <c r="G15" s="1"/>
      <c r="H15" s="1"/>
      <c r="I15" s="1"/>
      <c r="J15" s="1"/>
      <c r="K15" s="16"/>
    </row>
    <row r="16" spans="1:11" ht="20.100000000000001" customHeight="1" x14ac:dyDescent="0.25">
      <c r="C16" s="16"/>
      <c r="D16" s="1"/>
      <c r="E16" s="1"/>
      <c r="F16" s="1"/>
      <c r="G16" s="1"/>
      <c r="H16" s="1"/>
      <c r="I16" s="1"/>
      <c r="J16" s="1"/>
      <c r="K16" s="16"/>
    </row>
    <row r="17" spans="1:11" ht="20.100000000000001" customHeight="1" x14ac:dyDescent="0.25">
      <c r="A17" s="74" t="s">
        <v>1</v>
      </c>
      <c r="C17" s="16"/>
      <c r="D17" s="1"/>
      <c r="E17" s="1"/>
      <c r="F17" s="1"/>
      <c r="G17" s="1"/>
      <c r="H17" s="1"/>
      <c r="I17" s="1"/>
      <c r="J17" s="1"/>
      <c r="K17" s="16"/>
    </row>
    <row r="18" spans="1:11" ht="20.100000000000001" customHeight="1" x14ac:dyDescent="0.25">
      <c r="A18" s="12" t="str">
        <f>HYPERLINK("#'Constants - Wastewater'!A1", "Constants - Wastewater")</f>
        <v>Constants - Wastewater</v>
      </c>
      <c r="C18" s="16"/>
      <c r="D18" s="1"/>
      <c r="E18" s="1"/>
      <c r="F18" s="1"/>
      <c r="G18" s="1"/>
      <c r="H18" s="1"/>
      <c r="I18" s="1"/>
      <c r="J18" s="1"/>
      <c r="K18" s="16"/>
    </row>
    <row r="19" spans="1:11" ht="20.100000000000001" customHeight="1" x14ac:dyDescent="0.25">
      <c r="A19" s="12" t="str">
        <f>HYPERLINK("#'Constants - Common'!A1", "Constants - Common")</f>
        <v>Constants - Common</v>
      </c>
      <c r="C19" s="16"/>
      <c r="D19" s="1"/>
      <c r="E19" s="1"/>
      <c r="F19" s="1"/>
      <c r="G19" s="1"/>
      <c r="H19" s="1"/>
      <c r="I19" s="1"/>
      <c r="J19" s="1"/>
      <c r="K19" s="16"/>
    </row>
    <row r="20" spans="1:11" ht="20.100000000000001" customHeight="1" x14ac:dyDescent="0.25">
      <c r="C20" s="16"/>
      <c r="D20" s="1"/>
      <c r="E20" s="1"/>
      <c r="F20" s="1"/>
      <c r="G20" s="1"/>
      <c r="H20" s="1"/>
      <c r="I20" s="1"/>
      <c r="J20" s="1"/>
      <c r="K20" s="16"/>
    </row>
    <row r="21" spans="1:11" ht="20.100000000000001" customHeight="1" x14ac:dyDescent="0.25">
      <c r="C21" s="16"/>
      <c r="D21" s="1"/>
      <c r="E21" s="1"/>
      <c r="F21" s="1"/>
      <c r="G21" s="1"/>
      <c r="H21" s="1"/>
      <c r="I21" s="1"/>
      <c r="J21" s="1"/>
      <c r="K21" s="16"/>
    </row>
    <row r="22" spans="1:11" ht="20.100000000000001" customHeight="1" x14ac:dyDescent="0.25">
      <c r="C22" s="16"/>
      <c r="D22" s="1"/>
      <c r="E22" s="1"/>
      <c r="F22" s="1"/>
      <c r="G22" s="1"/>
      <c r="H22" s="1"/>
      <c r="I22" s="1"/>
      <c r="J22" s="1"/>
      <c r="K22" s="16"/>
    </row>
    <row r="23" spans="1:11" ht="20.100000000000001" customHeight="1" x14ac:dyDescent="0.25">
      <c r="C23" s="16"/>
      <c r="D23" s="1"/>
      <c r="E23" s="1"/>
      <c r="F23" s="1"/>
      <c r="G23" s="1"/>
      <c r="H23" s="1"/>
      <c r="I23" s="1"/>
      <c r="J23" s="1"/>
      <c r="K23" s="16"/>
    </row>
    <row r="24" spans="1:11" ht="20.100000000000001" customHeight="1" x14ac:dyDescent="0.25">
      <c r="C24" s="16"/>
      <c r="D24" s="1"/>
      <c r="E24" s="1"/>
      <c r="F24" s="1"/>
      <c r="G24" s="1"/>
      <c r="H24" s="1"/>
      <c r="I24" s="1"/>
      <c r="J24" s="1"/>
      <c r="K24" s="16"/>
    </row>
    <row r="25" spans="1:11" ht="20.100000000000001" customHeight="1" x14ac:dyDescent="0.25">
      <c r="C25" s="16"/>
      <c r="D25" s="1"/>
      <c r="E25" s="1"/>
      <c r="F25" s="1"/>
      <c r="G25" s="1"/>
      <c r="H25" s="1"/>
      <c r="I25" s="1"/>
      <c r="J25" s="1"/>
      <c r="K25" s="16"/>
    </row>
    <row r="26" spans="1:11" ht="20.100000000000001" customHeight="1" x14ac:dyDescent="0.25">
      <c r="C26" s="16"/>
      <c r="D26" s="1"/>
      <c r="E26" s="1"/>
      <c r="F26" s="1"/>
      <c r="G26" s="1"/>
      <c r="H26" s="1"/>
      <c r="I26" s="1"/>
      <c r="J26" s="1"/>
      <c r="K26" s="16"/>
    </row>
    <row r="27" spans="1:11" ht="20.100000000000001" customHeight="1" x14ac:dyDescent="0.25">
      <c r="C27" s="16"/>
      <c r="D27" s="1"/>
      <c r="E27" s="1"/>
      <c r="F27" s="1"/>
      <c r="G27" s="1"/>
      <c r="H27" s="1"/>
      <c r="I27" s="1"/>
      <c r="J27" s="1"/>
      <c r="K27" s="16"/>
    </row>
    <row r="28" spans="1:11" ht="20.100000000000001" customHeight="1" x14ac:dyDescent="0.25">
      <c r="C28" s="16"/>
      <c r="D28" s="1"/>
      <c r="E28" s="1"/>
      <c r="F28" s="1"/>
      <c r="G28" s="1"/>
      <c r="H28" s="1"/>
      <c r="I28" s="1"/>
      <c r="J28" s="1"/>
      <c r="K28" s="16"/>
    </row>
    <row r="29" spans="1:11" ht="20.100000000000001" customHeight="1" x14ac:dyDescent="0.25">
      <c r="C29" s="16"/>
      <c r="D29" s="1"/>
      <c r="E29" s="1"/>
      <c r="F29" s="1"/>
      <c r="G29" s="1"/>
      <c r="H29" s="1"/>
      <c r="I29" s="1"/>
      <c r="J29" s="1"/>
      <c r="K29" s="16"/>
    </row>
    <row r="30" spans="1:11" ht="20.100000000000001" customHeight="1" x14ac:dyDescent="0.25">
      <c r="C30" s="16"/>
      <c r="D30" s="1"/>
      <c r="E30" s="1"/>
      <c r="F30" s="1"/>
      <c r="G30" s="1"/>
      <c r="H30" s="1"/>
      <c r="I30" s="1"/>
      <c r="J30" s="1"/>
      <c r="K30" s="16"/>
    </row>
    <row r="31" spans="1:11" ht="20.100000000000001" customHeight="1" x14ac:dyDescent="0.25">
      <c r="C31" s="16"/>
      <c r="D31" s="1"/>
      <c r="E31" s="1"/>
      <c r="F31" s="1"/>
      <c r="G31" s="1"/>
      <c r="H31" s="1"/>
      <c r="I31" s="1"/>
      <c r="J31" s="1"/>
      <c r="K31" s="16"/>
    </row>
    <row r="32" spans="1:11" ht="20.100000000000001" customHeight="1" x14ac:dyDescent="0.25">
      <c r="C32" s="16"/>
      <c r="D32" s="1"/>
      <c r="E32" s="1"/>
      <c r="F32" s="1"/>
      <c r="G32" s="1"/>
      <c r="H32" s="1"/>
      <c r="I32" s="1"/>
      <c r="J32" s="1"/>
      <c r="K32" s="16"/>
    </row>
    <row r="33" spans="3:11" ht="20.100000000000001" customHeight="1" x14ac:dyDescent="0.25">
      <c r="C33" s="16"/>
      <c r="D33" s="1"/>
      <c r="E33" s="1"/>
      <c r="F33" s="1"/>
      <c r="G33" s="1"/>
      <c r="H33" s="1"/>
      <c r="I33" s="1"/>
      <c r="J33" s="1"/>
      <c r="K33" s="16"/>
    </row>
    <row r="34" spans="3:11" ht="20.100000000000001" customHeight="1" x14ac:dyDescent="0.25">
      <c r="C34" s="16"/>
      <c r="D34" s="1"/>
      <c r="E34" s="1"/>
      <c r="F34" s="1"/>
      <c r="G34" s="1"/>
      <c r="H34" s="1"/>
      <c r="I34" s="1"/>
      <c r="J34" s="1"/>
      <c r="K34" s="16"/>
    </row>
    <row r="35" spans="3:11" ht="20.100000000000001" customHeight="1" x14ac:dyDescent="0.25">
      <c r="C35" s="16"/>
      <c r="D35" s="1"/>
      <c r="E35" s="1"/>
      <c r="F35" s="1"/>
      <c r="G35" s="1"/>
      <c r="H35" s="1"/>
      <c r="I35" s="1"/>
      <c r="J35" s="1"/>
      <c r="K35" s="16"/>
    </row>
    <row r="36" spans="3:11" ht="20.100000000000001" customHeight="1" x14ac:dyDescent="0.25">
      <c r="C36" s="16"/>
      <c r="D36" s="1"/>
      <c r="E36" s="1"/>
      <c r="F36" s="1"/>
      <c r="G36" s="1"/>
      <c r="H36" s="1"/>
      <c r="I36" s="1"/>
      <c r="J36" s="1"/>
      <c r="K36" s="16"/>
    </row>
    <row r="37" spans="3:11" ht="20.100000000000001" customHeight="1" x14ac:dyDescent="0.25">
      <c r="C37" s="16"/>
      <c r="D37" s="1"/>
      <c r="E37" s="1"/>
      <c r="F37" s="1"/>
      <c r="G37" s="1"/>
      <c r="H37" s="1"/>
      <c r="I37" s="1"/>
      <c r="J37" s="1"/>
      <c r="K37" s="16"/>
    </row>
    <row r="38" spans="3:11" ht="20.100000000000001" customHeight="1" x14ac:dyDescent="0.25">
      <c r="C38" s="16"/>
      <c r="D38" s="1"/>
      <c r="E38" s="1"/>
      <c r="F38" s="1"/>
      <c r="G38" s="1"/>
      <c r="H38" s="1"/>
      <c r="I38" s="1"/>
      <c r="J38" s="1"/>
      <c r="K38" s="16"/>
    </row>
    <row r="39" spans="3:11" ht="20.100000000000001" customHeight="1" x14ac:dyDescent="0.25">
      <c r="C39" s="16"/>
      <c r="D39" s="1"/>
      <c r="E39" s="1"/>
      <c r="F39" s="1"/>
      <c r="G39" s="1"/>
      <c r="H39" s="1"/>
      <c r="I39" s="1"/>
      <c r="J39" s="1"/>
      <c r="K39" s="16"/>
    </row>
    <row r="40" spans="3:11" ht="20.100000000000001" customHeight="1" x14ac:dyDescent="0.25">
      <c r="C40" s="16"/>
      <c r="D40" s="1"/>
      <c r="E40" s="1"/>
      <c r="F40" s="1"/>
      <c r="G40" s="1"/>
      <c r="H40" s="1"/>
      <c r="I40" s="1"/>
      <c r="J40" s="1"/>
      <c r="K40" s="16"/>
    </row>
    <row r="41" spans="3:11" ht="20.100000000000001" customHeight="1" x14ac:dyDescent="0.25">
      <c r="C41" s="16"/>
      <c r="D41" s="1"/>
      <c r="E41" s="1"/>
      <c r="F41" s="1"/>
      <c r="G41" s="1"/>
      <c r="H41" s="1"/>
      <c r="I41" s="1"/>
      <c r="J41" s="1"/>
      <c r="K41" s="16"/>
    </row>
    <row r="42" spans="3:11" ht="20.100000000000001" customHeight="1" x14ac:dyDescent="0.25">
      <c r="C42" s="16"/>
      <c r="D42" s="1"/>
      <c r="E42" s="1"/>
      <c r="F42" s="1"/>
      <c r="G42" s="1"/>
      <c r="H42" s="1"/>
      <c r="I42" s="1"/>
      <c r="J42" s="1"/>
      <c r="K42" s="16"/>
    </row>
    <row r="43" spans="3:11" ht="20.100000000000001" customHeight="1" x14ac:dyDescent="0.25">
      <c r="C43" s="16"/>
      <c r="D43" s="1"/>
      <c r="E43" s="1"/>
      <c r="F43" s="1"/>
      <c r="G43" s="1"/>
      <c r="H43" s="1"/>
      <c r="I43" s="1"/>
      <c r="J43" s="1"/>
      <c r="K43" s="16"/>
    </row>
    <row r="44" spans="3:11" ht="20.100000000000001" customHeight="1" x14ac:dyDescent="0.25">
      <c r="C44" s="16"/>
      <c r="D44" s="1"/>
      <c r="E44" s="1"/>
      <c r="F44" s="1"/>
      <c r="G44" s="1"/>
      <c r="H44" s="1"/>
      <c r="I44" s="1"/>
      <c r="J44" s="1"/>
      <c r="K44" s="16"/>
    </row>
    <row r="45" spans="3:11" ht="20.100000000000001" customHeight="1" x14ac:dyDescent="0.25">
      <c r="C45" s="16"/>
      <c r="D45" s="1"/>
      <c r="E45" s="1"/>
      <c r="F45" s="1"/>
      <c r="G45" s="1"/>
      <c r="H45" s="1"/>
      <c r="I45" s="1"/>
      <c r="J45" s="1"/>
      <c r="K45" s="16"/>
    </row>
    <row r="46" spans="3:11" ht="20.100000000000001" customHeight="1" x14ac:dyDescent="0.25">
      <c r="C46" s="16"/>
      <c r="D46" s="1"/>
      <c r="E46" s="1"/>
      <c r="F46" s="1"/>
      <c r="G46" s="1"/>
      <c r="H46" s="1"/>
      <c r="I46" s="1"/>
      <c r="J46" s="1"/>
      <c r="K46" s="16"/>
    </row>
    <row r="47" spans="3:11" ht="20.100000000000001" customHeight="1" x14ac:dyDescent="0.25">
      <c r="C47" s="16"/>
      <c r="D47" s="1"/>
      <c r="E47" s="1"/>
      <c r="F47" s="1"/>
      <c r="G47" s="1"/>
      <c r="H47" s="1"/>
      <c r="I47" s="1"/>
      <c r="J47" s="1"/>
      <c r="K47" s="16"/>
    </row>
    <row r="48" spans="3:11" ht="20.100000000000001" customHeight="1" x14ac:dyDescent="0.25">
      <c r="C48" s="16"/>
      <c r="D48" s="1"/>
      <c r="E48" s="1"/>
      <c r="F48" s="1"/>
      <c r="G48" s="1"/>
      <c r="H48" s="1"/>
      <c r="I48" s="1"/>
      <c r="J48" s="1"/>
      <c r="K48" s="16"/>
    </row>
    <row r="49" spans="3:11" ht="20.100000000000001" customHeight="1" x14ac:dyDescent="0.25">
      <c r="C49" s="16"/>
      <c r="D49" s="1"/>
      <c r="E49" s="1"/>
      <c r="F49" s="1"/>
      <c r="G49" s="1"/>
      <c r="H49" s="1"/>
      <c r="I49" s="1"/>
      <c r="J49" s="1"/>
      <c r="K49" s="16"/>
    </row>
    <row r="50" spans="3:11" ht="20.100000000000001" customHeight="1" x14ac:dyDescent="0.25">
      <c r="C50" s="16"/>
      <c r="D50" s="1"/>
      <c r="E50" s="1"/>
      <c r="F50" s="1"/>
      <c r="G50" s="1"/>
      <c r="H50" s="1"/>
      <c r="I50" s="1"/>
      <c r="J50" s="1"/>
      <c r="K50" s="16"/>
    </row>
    <row r="51" spans="3:11" ht="20.100000000000001" customHeight="1" x14ac:dyDescent="0.25">
      <c r="C51" s="16"/>
      <c r="D51" s="1"/>
      <c r="E51" s="1"/>
      <c r="F51" s="1"/>
      <c r="G51" s="1"/>
      <c r="H51" s="1"/>
      <c r="I51" s="1"/>
      <c r="J51" s="1"/>
      <c r="K51" s="16"/>
    </row>
    <row r="52" spans="3:11" ht="20.100000000000001" customHeight="1" x14ac:dyDescent="0.25">
      <c r="C52" s="16"/>
      <c r="D52" s="1"/>
      <c r="E52" s="1"/>
      <c r="F52" s="1"/>
      <c r="G52" s="1"/>
      <c r="H52" s="1"/>
      <c r="I52" s="1"/>
      <c r="J52" s="1"/>
      <c r="K52" s="16"/>
    </row>
    <row r="53" spans="3:11" ht="20.100000000000001" customHeight="1" x14ac:dyDescent="0.25">
      <c r="C53" s="16"/>
      <c r="D53" s="1"/>
      <c r="E53" s="1"/>
      <c r="F53" s="1"/>
      <c r="G53" s="1"/>
      <c r="H53" s="1"/>
      <c r="I53" s="1"/>
      <c r="J53" s="1"/>
      <c r="K53" s="16"/>
    </row>
    <row r="54" spans="3:11" ht="20.100000000000001" customHeight="1" x14ac:dyDescent="0.25">
      <c r="C54" s="16"/>
      <c r="D54" s="1"/>
      <c r="E54" s="1"/>
      <c r="F54" s="1"/>
      <c r="G54" s="1"/>
      <c r="H54" s="1"/>
      <c r="I54" s="1"/>
      <c r="J54" s="1"/>
      <c r="K54" s="16"/>
    </row>
    <row r="55" spans="3:11" ht="20.100000000000001" customHeight="1" x14ac:dyDescent="0.25">
      <c r="C55" s="16"/>
      <c r="D55" s="1"/>
      <c r="E55" s="1"/>
      <c r="F55" s="1"/>
      <c r="G55" s="1"/>
      <c r="H55" s="1"/>
      <c r="I55" s="1"/>
      <c r="J55" s="1"/>
      <c r="K55" s="16"/>
    </row>
    <row r="56" spans="3:11" ht="20.100000000000001" customHeight="1" x14ac:dyDescent="0.25">
      <c r="C56" s="16"/>
      <c r="D56" s="1"/>
      <c r="E56" s="1"/>
      <c r="F56" s="1"/>
      <c r="G56" s="1"/>
      <c r="H56" s="1"/>
      <c r="I56" s="1"/>
      <c r="J56" s="1"/>
      <c r="K56" s="16"/>
    </row>
    <row r="57" spans="3:11" ht="20.100000000000001" customHeight="1" x14ac:dyDescent="0.25">
      <c r="C57" s="16"/>
      <c r="D57" s="1"/>
      <c r="E57" s="1"/>
      <c r="F57" s="1"/>
      <c r="G57" s="1"/>
      <c r="H57" s="1"/>
      <c r="I57" s="1"/>
      <c r="J57" s="1"/>
      <c r="K57" s="16"/>
    </row>
    <row r="58" spans="3:11" ht="20.100000000000001" customHeight="1" x14ac:dyDescent="0.25">
      <c r="C58" s="16"/>
      <c r="D58" s="1"/>
      <c r="E58" s="22"/>
      <c r="F58" s="21"/>
      <c r="G58" s="16"/>
      <c r="H58" s="16"/>
      <c r="I58" s="16"/>
      <c r="J58" s="16"/>
      <c r="K58" s="16"/>
    </row>
    <row r="59" spans="3:11" ht="20.100000000000001" customHeight="1" x14ac:dyDescent="0.25">
      <c r="C59" s="16"/>
      <c r="D59" s="1"/>
      <c r="E59" s="1"/>
      <c r="F59" s="1"/>
      <c r="G59" s="1"/>
      <c r="H59" s="1"/>
      <c r="I59" s="1"/>
      <c r="J59" s="1"/>
      <c r="K59" s="16"/>
    </row>
    <row r="60" spans="3:11" ht="20.100000000000001" customHeight="1" x14ac:dyDescent="0.25">
      <c r="C60" s="16"/>
      <c r="D60" s="1"/>
      <c r="E60" s="1"/>
      <c r="F60" s="1"/>
      <c r="G60" s="1"/>
      <c r="H60" s="1"/>
      <c r="I60" s="1"/>
      <c r="J60" s="1"/>
      <c r="K60" s="16"/>
    </row>
    <row r="61" spans="3:11" ht="20.100000000000001" customHeight="1" x14ac:dyDescent="0.25">
      <c r="C61" s="16"/>
      <c r="D61" s="1"/>
      <c r="E61" s="1"/>
      <c r="F61" s="1"/>
      <c r="G61" s="1"/>
      <c r="H61" s="1"/>
      <c r="I61" s="1"/>
      <c r="J61" s="1"/>
      <c r="K61" s="16"/>
    </row>
    <row r="62" spans="3:11" ht="20.100000000000001" customHeight="1" x14ac:dyDescent="0.25">
      <c r="C62" s="16"/>
      <c r="D62" s="1"/>
      <c r="E62" s="1"/>
      <c r="F62" s="1"/>
      <c r="G62" s="1"/>
      <c r="H62" s="1"/>
      <c r="I62" s="1"/>
      <c r="J62" s="1"/>
      <c r="K62" s="16"/>
    </row>
    <row r="63" spans="3:11" ht="20.100000000000001" customHeight="1" x14ac:dyDescent="0.25">
      <c r="C63" s="16"/>
      <c r="D63" s="1"/>
      <c r="E63" s="1"/>
      <c r="F63" s="1"/>
      <c r="G63" s="1"/>
      <c r="H63" s="1"/>
      <c r="I63" s="1"/>
      <c r="J63" s="1"/>
      <c r="K63" s="16"/>
    </row>
    <row r="64" spans="3:11" ht="20.100000000000001" customHeight="1" x14ac:dyDescent="0.25">
      <c r="C64" s="16"/>
      <c r="D64" s="1"/>
      <c r="E64" s="1"/>
      <c r="F64" s="1"/>
      <c r="G64" s="1"/>
      <c r="H64" s="1"/>
      <c r="I64" s="1"/>
      <c r="J64" s="1"/>
      <c r="K64" s="16"/>
    </row>
    <row r="65" spans="3:11" ht="20.100000000000001" customHeight="1" x14ac:dyDescent="0.25">
      <c r="C65" s="16"/>
      <c r="D65" s="1"/>
      <c r="E65" s="1"/>
      <c r="F65" s="1"/>
      <c r="G65" s="1"/>
      <c r="H65" s="1"/>
      <c r="I65" s="1"/>
      <c r="J65" s="1"/>
      <c r="K65" s="16"/>
    </row>
    <row r="66" spans="3:11" ht="20.100000000000001" customHeight="1" x14ac:dyDescent="0.25">
      <c r="C66" s="16"/>
      <c r="D66" s="1"/>
      <c r="E66" s="1"/>
      <c r="F66" s="1"/>
      <c r="G66" s="1"/>
      <c r="H66" s="1"/>
      <c r="I66" s="1"/>
      <c r="J66" s="1"/>
      <c r="K66" s="16"/>
    </row>
    <row r="67" spans="3:11" ht="20.100000000000001" customHeight="1" x14ac:dyDescent="0.25">
      <c r="C67" s="16"/>
      <c r="D67" s="1"/>
      <c r="E67" s="1"/>
      <c r="F67" s="1"/>
      <c r="G67" s="1"/>
      <c r="H67" s="1"/>
      <c r="I67" s="1"/>
      <c r="J67" s="1"/>
      <c r="K67" s="16"/>
    </row>
    <row r="68" spans="3:11" ht="20.100000000000001" customHeight="1" x14ac:dyDescent="0.25">
      <c r="C68" s="16"/>
      <c r="D68" s="1"/>
      <c r="E68" s="1"/>
      <c r="F68" s="1"/>
      <c r="G68" s="1"/>
      <c r="H68" s="1"/>
      <c r="I68" s="1"/>
      <c r="J68" s="1"/>
      <c r="K68" s="16"/>
    </row>
    <row r="69" spans="3:11" ht="20.100000000000001" customHeight="1" x14ac:dyDescent="0.25">
      <c r="C69" s="16"/>
      <c r="D69" s="1"/>
      <c r="E69" s="1"/>
      <c r="F69" s="1"/>
      <c r="G69" s="1"/>
      <c r="H69" s="1"/>
      <c r="I69" s="1"/>
      <c r="J69" s="1"/>
      <c r="K69" s="16"/>
    </row>
    <row r="70" spans="3:11" ht="20.100000000000001" customHeight="1" x14ac:dyDescent="0.25">
      <c r="C70" s="16"/>
      <c r="D70" s="1"/>
      <c r="E70" s="1"/>
      <c r="F70" s="1"/>
      <c r="G70" s="1"/>
      <c r="H70" s="1"/>
      <c r="I70" s="1"/>
      <c r="J70" s="1"/>
      <c r="K70" s="16"/>
    </row>
    <row r="71" spans="3:11" ht="20.100000000000001" customHeight="1" x14ac:dyDescent="0.25">
      <c r="C71" s="16"/>
      <c r="D71" s="1"/>
      <c r="E71" s="1"/>
      <c r="F71" s="1"/>
      <c r="G71" s="1"/>
      <c r="H71" s="1"/>
      <c r="I71" s="1"/>
      <c r="J71" s="1"/>
      <c r="K71" s="16"/>
    </row>
    <row r="72" spans="3:11" ht="20.100000000000001" customHeight="1" x14ac:dyDescent="0.25">
      <c r="C72" s="16"/>
      <c r="D72" s="1"/>
      <c r="E72" s="1"/>
      <c r="F72" s="1"/>
      <c r="G72" s="1"/>
      <c r="H72" s="1"/>
      <c r="I72" s="1"/>
      <c r="J72" s="1"/>
      <c r="K72" s="16"/>
    </row>
    <row r="73" spans="3:11" ht="20.100000000000001" customHeight="1" x14ac:dyDescent="0.25">
      <c r="C73" s="16"/>
      <c r="D73" s="1"/>
      <c r="E73" s="1"/>
      <c r="F73" s="1"/>
      <c r="G73" s="1"/>
      <c r="H73" s="1"/>
      <c r="I73" s="1"/>
      <c r="J73" s="1"/>
      <c r="K73" s="16"/>
    </row>
    <row r="74" spans="3:11" ht="20.100000000000001" customHeight="1" x14ac:dyDescent="0.25">
      <c r="C74" s="16"/>
      <c r="D74" s="1"/>
      <c r="E74" s="1"/>
      <c r="F74" s="1"/>
      <c r="G74" s="1"/>
      <c r="H74" s="1"/>
      <c r="I74" s="1"/>
      <c r="J74" s="1"/>
      <c r="K74" s="16"/>
    </row>
    <row r="75" spans="3:11" ht="20.100000000000001" customHeight="1" x14ac:dyDescent="0.25">
      <c r="C75" s="16"/>
      <c r="D75" s="1"/>
      <c r="E75" s="1"/>
      <c r="F75" s="1"/>
      <c r="G75" s="1"/>
      <c r="H75" s="1"/>
      <c r="I75" s="1"/>
      <c r="J75" s="1"/>
      <c r="K75" s="16"/>
    </row>
    <row r="76" spans="3:11" ht="15.75" x14ac:dyDescent="0.25">
      <c r="C76" s="16"/>
      <c r="D76" s="1"/>
      <c r="E76" s="1"/>
      <c r="F76" s="1"/>
      <c r="G76" s="1"/>
      <c r="H76" s="1"/>
      <c r="I76" s="1"/>
      <c r="J76" s="1"/>
      <c r="K76" s="16"/>
    </row>
    <row r="77" spans="3:11" ht="15.75" x14ac:dyDescent="0.25">
      <c r="C77" s="16"/>
      <c r="D77" s="1"/>
      <c r="E77" s="1"/>
      <c r="F77" s="1"/>
      <c r="G77" s="1"/>
      <c r="H77" s="1"/>
      <c r="I77" s="1"/>
      <c r="J77" s="1"/>
      <c r="K77" s="16"/>
    </row>
    <row r="78" spans="3:11" ht="15.75" x14ac:dyDescent="0.25">
      <c r="C78" s="16"/>
      <c r="D78" s="1"/>
      <c r="E78" s="1"/>
      <c r="F78" s="1"/>
      <c r="G78" s="1"/>
      <c r="H78" s="1"/>
      <c r="I78" s="1"/>
      <c r="J78" s="1"/>
      <c r="K78" s="16"/>
    </row>
    <row r="79" spans="3:11" ht="15.75" x14ac:dyDescent="0.25">
      <c r="C79" s="16"/>
      <c r="D79" s="1"/>
      <c r="E79" s="1"/>
      <c r="F79" s="1"/>
      <c r="G79" s="1"/>
      <c r="H79" s="1"/>
      <c r="I79" s="1"/>
      <c r="J79" s="1"/>
      <c r="K79" s="16"/>
    </row>
    <row r="80" spans="3:11" ht="15.75" x14ac:dyDescent="0.25">
      <c r="C80" s="16"/>
      <c r="D80" s="1"/>
      <c r="E80" s="1"/>
      <c r="F80" s="1"/>
      <c r="G80" s="1"/>
      <c r="H80" s="1"/>
      <c r="I80" s="1"/>
      <c r="J80" s="1"/>
      <c r="K80" s="16"/>
    </row>
    <row r="81" spans="3:11" ht="15.75" x14ac:dyDescent="0.25">
      <c r="C81" s="16"/>
      <c r="D81" s="1"/>
      <c r="E81" s="1"/>
      <c r="F81" s="1"/>
      <c r="G81" s="1"/>
      <c r="H81" s="1"/>
      <c r="I81" s="1"/>
      <c r="J81" s="1"/>
      <c r="K81" s="16"/>
    </row>
    <row r="82" spans="3:11" ht="15.75" x14ac:dyDescent="0.25">
      <c r="C82" s="16"/>
      <c r="D82" s="1"/>
      <c r="E82" s="1"/>
      <c r="F82" s="1"/>
      <c r="G82" s="1"/>
      <c r="H82" s="1"/>
      <c r="I82" s="1"/>
      <c r="J82" s="1"/>
      <c r="K82" s="16"/>
    </row>
    <row r="83" spans="3:11" ht="15.75" x14ac:dyDescent="0.25">
      <c r="C83" s="16"/>
      <c r="D83" s="1"/>
      <c r="E83" s="1"/>
      <c r="F83" s="1"/>
      <c r="G83" s="1"/>
      <c r="H83" s="1"/>
      <c r="I83" s="1"/>
      <c r="J83" s="1"/>
      <c r="K83" s="16"/>
    </row>
    <row r="84" spans="3:11" ht="15.75" x14ac:dyDescent="0.25">
      <c r="C84" s="16"/>
      <c r="D84" s="1"/>
      <c r="E84" s="1"/>
      <c r="F84" s="1"/>
      <c r="G84" s="1"/>
      <c r="H84" s="1"/>
      <c r="I84" s="1"/>
      <c r="J84" s="1"/>
      <c r="K84" s="16"/>
    </row>
    <row r="85" spans="3:11" ht="15.75" x14ac:dyDescent="0.25">
      <c r="C85" s="16"/>
      <c r="D85" s="1"/>
      <c r="E85" s="1"/>
      <c r="F85" s="1"/>
      <c r="G85" s="1"/>
      <c r="H85" s="1"/>
      <c r="I85" s="1"/>
      <c r="J85" s="1"/>
      <c r="K85" s="16"/>
    </row>
    <row r="86" spans="3:11" x14ac:dyDescent="0.25">
      <c r="C86" s="16"/>
      <c r="D86" s="16"/>
      <c r="E86" s="16"/>
      <c r="F86" s="16"/>
      <c r="G86" s="16"/>
      <c r="H86" s="16"/>
      <c r="I86" s="16"/>
      <c r="J86" s="16"/>
      <c r="K86" s="16"/>
    </row>
    <row r="87" spans="3:11" x14ac:dyDescent="0.25">
      <c r="C87" s="16"/>
      <c r="D87" s="16"/>
      <c r="E87" s="16"/>
      <c r="F87" s="16"/>
      <c r="G87" s="16"/>
      <c r="H87" s="16"/>
      <c r="I87" s="16"/>
      <c r="J87" s="16"/>
      <c r="K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0" customFormat="1" ht="30" customHeight="1" x14ac:dyDescent="0.35">
      <c r="A1" s="30" t="e" vm="1">
        <v>#VALUE!</v>
      </c>
      <c r="C1" s="30" t="s">
        <v>122</v>
      </c>
    </row>
    <row r="2" spans="1:10" s="8" customFormat="1" ht="20.100000000000001" customHeight="1" x14ac:dyDescent="0.25">
      <c r="A2"/>
    </row>
    <row r="3" spans="1:10" ht="20.100000000000001" customHeight="1" x14ac:dyDescent="0.25">
      <c r="A3" s="12" t="str">
        <f>HYPERLINK("#'Home'!A1", "Home")</f>
        <v>Home</v>
      </c>
      <c r="C3" s="11"/>
      <c r="D3" s="11"/>
      <c r="E3" s="11"/>
      <c r="F3" s="11"/>
      <c r="G3" s="11"/>
      <c r="H3" s="11"/>
      <c r="I3" s="11"/>
      <c r="J3" s="11"/>
    </row>
    <row r="4" spans="1:10" ht="20.100000000000001" customHeight="1" x14ac:dyDescent="0.25">
      <c r="A4" s="12" t="str">
        <f>HYPERLINK("#'Overview'!A1", "Overview")</f>
        <v>Overview</v>
      </c>
    </row>
    <row r="5" spans="1:10" ht="20.100000000000001" customHeight="1" x14ac:dyDescent="0.25">
      <c r="A5" s="12" t="str">
        <f>HYPERLINK("#'Results'!A1", "Results")</f>
        <v>Results</v>
      </c>
      <c r="D5" s="5" t="s">
        <v>90</v>
      </c>
    </row>
    <row r="6" spans="1:10" ht="20.100000000000001" customHeight="1" x14ac:dyDescent="0.25"/>
    <row r="7" spans="1:10" ht="20.100000000000001" customHeight="1" x14ac:dyDescent="0.25">
      <c r="D7" s="1" t="s">
        <v>116</v>
      </c>
      <c r="F7" s="25" t="s">
        <v>118</v>
      </c>
      <c r="G7" s="65" t="s">
        <v>117</v>
      </c>
    </row>
    <row r="8" spans="1:10" ht="20.100000000000001" customHeight="1" x14ac:dyDescent="0.25">
      <c r="A8" s="14" t="s">
        <v>0</v>
      </c>
      <c r="D8" s="1" t="s">
        <v>92</v>
      </c>
      <c r="F8" s="62">
        <v>1000</v>
      </c>
      <c r="G8" s="65" t="s">
        <v>91</v>
      </c>
    </row>
    <row r="9" spans="1:10" ht="20.100000000000001" customHeight="1" x14ac:dyDescent="0.25">
      <c r="A9" s="38" t="str">
        <f>HYPERLINK("#'Input - Wastewater'!A1", "Wastewater")</f>
        <v>Wastewater</v>
      </c>
    </row>
    <row r="10" spans="1:10" ht="20.100000000000001" customHeight="1" x14ac:dyDescent="0.25">
      <c r="D10" s="64" t="s">
        <v>114</v>
      </c>
    </row>
    <row r="11" spans="1:10" ht="20.100000000000001" customHeight="1" x14ac:dyDescent="0.25"/>
    <row r="12" spans="1:10" ht="20.100000000000001" customHeight="1" x14ac:dyDescent="0.25">
      <c r="A12" s="13" t="s">
        <v>44</v>
      </c>
      <c r="D12" s="54" t="s">
        <v>115</v>
      </c>
      <c r="E12" s="63"/>
      <c r="F12" s="55"/>
    </row>
    <row r="13" spans="1:10" ht="20.100000000000001" customHeight="1" x14ac:dyDescent="0.25">
      <c r="A13" s="12" t="str">
        <f>HYPERLINK("#'11.1.1-2 Wastewater CH4'!A1", "11.1.1-2 Wastewater CH4")</f>
        <v>11.1.1-2 Wastewater CH4</v>
      </c>
    </row>
    <row r="14" spans="1:10" ht="20.100000000000001" customHeight="1" x14ac:dyDescent="0.25">
      <c r="A14" s="12" t="str">
        <f>HYPERLINK("#'11.1.3-4 Wastewater N2O'!A1", "11.1.3-4 Wastewater N2O")</f>
        <v>11.1.3-4 Wastewater N2O</v>
      </c>
      <c r="D14" s="1" t="s">
        <v>93</v>
      </c>
      <c r="F14" s="62">
        <v>0.9</v>
      </c>
      <c r="G14" s="65" t="s">
        <v>94</v>
      </c>
    </row>
    <row r="15" spans="1:10" ht="20.100000000000001" customHeight="1" x14ac:dyDescent="0.25">
      <c r="D15" s="1" t="s">
        <v>101</v>
      </c>
      <c r="F15" s="62">
        <v>0.5</v>
      </c>
      <c r="G15" s="65" t="s">
        <v>100</v>
      </c>
    </row>
    <row r="16" spans="1:10" ht="20.100000000000001" customHeight="1" x14ac:dyDescent="0.25">
      <c r="D16" s="1" t="s">
        <v>113</v>
      </c>
      <c r="F16" s="62">
        <v>0.2</v>
      </c>
      <c r="G16" s="65" t="s">
        <v>100</v>
      </c>
    </row>
    <row r="17" spans="1:11" ht="20.100000000000001" customHeight="1" x14ac:dyDescent="0.25">
      <c r="A17" s="74" t="s">
        <v>1</v>
      </c>
      <c r="D17" s="1" t="s">
        <v>95</v>
      </c>
      <c r="F17" s="62">
        <v>0.1</v>
      </c>
      <c r="G17" s="65" t="s">
        <v>94</v>
      </c>
    </row>
    <row r="18" spans="1:11" ht="20.100000000000001" customHeight="1" x14ac:dyDescent="0.25">
      <c r="A18" s="12" t="str">
        <f>HYPERLINK("#'Constants - Wastewater'!A1", "Constants - Wastewater")</f>
        <v>Constants - Wastewater</v>
      </c>
    </row>
    <row r="19" spans="1:11" ht="20.100000000000001" customHeight="1" x14ac:dyDescent="0.25">
      <c r="A19" s="12" t="str">
        <f>HYPERLINK("#'Constants - Common'!A1", "Constants - Common")</f>
        <v>Constants - Common</v>
      </c>
    </row>
    <row r="20" spans="1:11" ht="20.100000000000001" customHeight="1" x14ac:dyDescent="0.25">
      <c r="D20" s="64" t="s">
        <v>112</v>
      </c>
    </row>
    <row r="21" spans="1:11" ht="20.100000000000001" customHeight="1" x14ac:dyDescent="0.25"/>
    <row r="22" spans="1:11" ht="20.100000000000001" customHeight="1" x14ac:dyDescent="0.25">
      <c r="D22" s="54" t="s">
        <v>111</v>
      </c>
      <c r="E22" s="63"/>
      <c r="F22" s="55"/>
    </row>
    <row r="23" spans="1:11" ht="20.100000000000001" customHeight="1" x14ac:dyDescent="0.25"/>
    <row r="24" spans="1:11" ht="20.100000000000001" customHeight="1" x14ac:dyDescent="0.25">
      <c r="D24" s="1" t="s">
        <v>96</v>
      </c>
      <c r="F24" s="62">
        <v>100</v>
      </c>
      <c r="G24" s="65" t="s">
        <v>99</v>
      </c>
    </row>
    <row r="25" spans="1:11" ht="20.100000000000001" customHeight="1" x14ac:dyDescent="0.25">
      <c r="D25" s="1" t="s">
        <v>97</v>
      </c>
      <c r="F25" s="62">
        <v>100</v>
      </c>
      <c r="G25" s="65" t="s">
        <v>99</v>
      </c>
    </row>
    <row r="26" spans="1:11" ht="20.100000000000001" customHeight="1" x14ac:dyDescent="0.25">
      <c r="D26" s="1" t="s">
        <v>98</v>
      </c>
      <c r="F26" s="62">
        <v>100</v>
      </c>
      <c r="G26" s="65" t="s">
        <v>99</v>
      </c>
    </row>
    <row r="27" spans="1:11" ht="20.100000000000001" customHeight="1" x14ac:dyDescent="0.25"/>
    <row r="28" spans="1:11" ht="20.100000000000001" customHeight="1" x14ac:dyDescent="0.25"/>
    <row r="29" spans="1:11" ht="20.100000000000001" customHeight="1" x14ac:dyDescent="0.25">
      <c r="K29" s="43"/>
    </row>
    <row r="30" spans="1:11" ht="20.100000000000001" customHeight="1" x14ac:dyDescent="0.25">
      <c r="K30" s="43"/>
    </row>
    <row r="31" spans="1:11" ht="20.100000000000001" customHeight="1" x14ac:dyDescent="0.25">
      <c r="K31" s="43"/>
    </row>
    <row r="32" spans="1:11" ht="20.100000000000001" customHeight="1" x14ac:dyDescent="0.25">
      <c r="K32" s="43"/>
    </row>
    <row r="33" spans="1:12" ht="20.100000000000001" customHeight="1" x14ac:dyDescent="0.25">
      <c r="K33" s="43"/>
    </row>
    <row r="34" spans="1:12" ht="20.100000000000001" customHeight="1" x14ac:dyDescent="0.25">
      <c r="K34" s="43"/>
    </row>
    <row r="35" spans="1:12" ht="20.100000000000001" customHeight="1" x14ac:dyDescent="0.25"/>
    <row r="36" spans="1:12" ht="20.100000000000001" customHeight="1" x14ac:dyDescent="0.25">
      <c r="L36" s="43"/>
    </row>
    <row r="37" spans="1:12" ht="20.100000000000001" customHeight="1" x14ac:dyDescent="0.25">
      <c r="L37" s="43"/>
    </row>
    <row r="38" spans="1:12" ht="20.100000000000001" customHeight="1" x14ac:dyDescent="0.25">
      <c r="C38" s="42"/>
    </row>
    <row r="39" spans="1:12" ht="20.100000000000001" customHeight="1" x14ac:dyDescent="0.25">
      <c r="C39" s="42"/>
      <c r="J39" s="42"/>
    </row>
    <row r="40" spans="1:12" s="43" customFormat="1" ht="20.100000000000001" customHeight="1" x14ac:dyDescent="0.25">
      <c r="A40"/>
      <c r="C40" s="1"/>
      <c r="D40" s="1"/>
      <c r="E40" s="1"/>
      <c r="F40" s="1"/>
      <c r="G40" s="1"/>
      <c r="H40" s="1"/>
      <c r="I40" s="1"/>
      <c r="J40" s="1"/>
    </row>
    <row r="41" spans="1:12" s="43" customFormat="1" ht="20.100000000000001" customHeight="1" x14ac:dyDescent="0.25">
      <c r="A41"/>
      <c r="C41" s="1"/>
      <c r="D41" s="1"/>
      <c r="E41" s="1"/>
      <c r="F41" s="1"/>
      <c r="G41" s="1"/>
      <c r="H41" s="1"/>
      <c r="I41" s="1"/>
      <c r="J41" s="1"/>
      <c r="L41" s="43" t="s">
        <v>84</v>
      </c>
    </row>
    <row r="42" spans="1:12" ht="20.100000000000001" customHeight="1" x14ac:dyDescent="0.25"/>
    <row r="43" spans="1:12" ht="20.100000000000001" customHeight="1" x14ac:dyDescent="0.25"/>
    <row r="44" spans="1:12" ht="20.100000000000001" customHeight="1" x14ac:dyDescent="0.25"/>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103</v>
      </c>
    </row>
    <row r="55" spans="4:5" ht="20.100000000000001" customHeight="1" x14ac:dyDescent="0.25">
      <c r="E55" s="1" t="s">
        <v>109</v>
      </c>
    </row>
    <row r="56" spans="4:5" ht="20.100000000000001" customHeight="1" x14ac:dyDescent="0.25">
      <c r="D56" s="1" t="s">
        <v>102</v>
      </c>
    </row>
    <row r="57" spans="4:5" ht="20.100000000000001" customHeight="1" x14ac:dyDescent="0.25">
      <c r="D57" s="1">
        <f>F8*(F14*(1-F15)-F17)</f>
        <v>350</v>
      </c>
    </row>
    <row r="58" spans="4:5" ht="20.100000000000001" customHeight="1" x14ac:dyDescent="0.25"/>
    <row r="59" spans="4:5" ht="20.100000000000001" customHeight="1" x14ac:dyDescent="0.25">
      <c r="E59" s="1" t="s">
        <v>109</v>
      </c>
    </row>
    <row r="60" spans="4:5" ht="20.100000000000001" customHeight="1" x14ac:dyDescent="0.25">
      <c r="D60" s="1" t="s">
        <v>104</v>
      </c>
    </row>
    <row r="61" spans="4:5" ht="20.100000000000001" customHeight="1" x14ac:dyDescent="0.25"/>
    <row r="62" spans="4:5" ht="20.100000000000001" customHeight="1" x14ac:dyDescent="0.25">
      <c r="D62" s="1" t="s">
        <v>107</v>
      </c>
    </row>
    <row r="63" spans="4:5" ht="20.100000000000001" customHeight="1" x14ac:dyDescent="0.25"/>
    <row r="64" spans="4:5" ht="20.100000000000001" customHeight="1" x14ac:dyDescent="0.25"/>
    <row r="65" spans="4:5" ht="20.100000000000001" customHeight="1" x14ac:dyDescent="0.25">
      <c r="D65" s="1" t="s">
        <v>106</v>
      </c>
      <c r="E65" s="1" t="s">
        <v>108</v>
      </c>
    </row>
    <row r="66" spans="4:5" ht="20.100000000000001" customHeight="1" x14ac:dyDescent="0.25"/>
    <row r="67" spans="4:5" ht="20.100000000000001" customHeight="1" x14ac:dyDescent="0.25"/>
    <row r="68" spans="4:5" ht="20.100000000000001" customHeight="1" x14ac:dyDescent="0.25">
      <c r="D68" s="1" t="s">
        <v>105</v>
      </c>
    </row>
    <row r="69" spans="4:5" ht="20.100000000000001" customHeight="1" x14ac:dyDescent="0.25"/>
    <row r="70" spans="4:5" ht="20.100000000000001" customHeight="1" x14ac:dyDescent="0.25">
      <c r="D70" s="1" t="s">
        <v>110</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5"/>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0" t="e" vm="1">
        <v>#VALUE!</v>
      </c>
      <c r="C1" s="7" t="s">
        <v>123</v>
      </c>
    </row>
    <row r="2" spans="1:12" s="8" customFormat="1" ht="20.100000000000001" customHeight="1" x14ac:dyDescent="0.25">
      <c r="A2"/>
    </row>
    <row r="3" spans="1:12" ht="20.100000000000001" customHeight="1" x14ac:dyDescent="0.25">
      <c r="A3" s="12" t="str">
        <f>HYPERLINK("#'Home'!A1", "Home")</f>
        <v>Home</v>
      </c>
      <c r="C3" s="3"/>
      <c r="D3" s="3" t="s">
        <v>48</v>
      </c>
      <c r="E3" s="3"/>
      <c r="F3" s="3"/>
      <c r="G3" s="3"/>
      <c r="H3" s="3"/>
      <c r="I3" s="3"/>
      <c r="J3" s="3"/>
      <c r="K3" s="3"/>
      <c r="L3" s="3"/>
    </row>
    <row r="4" spans="1:12" ht="20.100000000000001" customHeight="1" x14ac:dyDescent="0.25">
      <c r="A4" s="12" t="str">
        <f>HYPERLINK("#'Overview'!A1", "Overview")</f>
        <v>Overview</v>
      </c>
    </row>
    <row r="5" spans="1:12" ht="20.100000000000001" customHeight="1" x14ac:dyDescent="0.25">
      <c r="A5" s="12"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D6" s="4" t="str" cm="1">
        <f t="array" ref="D6">Wastewater_Methane_Equations.VEERG_11_1_1_1__1_MethaneEmissionsFromWastewaterTreatment_Source()</f>
        <v>VEERG 2026: 11.1.1.1, Equation (1)</v>
      </c>
    </row>
    <row r="7" spans="1:12" ht="20.100000000000001" customHeight="1" x14ac:dyDescent="0.25">
      <c r="D7" s="29"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4" t="s">
        <v>0</v>
      </c>
      <c r="D8" s="10" t="s">
        <v>9</v>
      </c>
      <c r="E8" s="10" t="str" cm="1">
        <f t="array" aca="1" ref="E8" ca="1">Common_InputFunctions.Utility_DisplayFunctionName(E30)</f>
        <v>=Wastewater_Methane_Equations.VEERG_11_1_1_1__1_MethaneEmissionsFromWastewaterTreatment</v>
      </c>
    </row>
    <row r="9" spans="1:12" ht="20.100000000000001" customHeight="1" x14ac:dyDescent="0.25">
      <c r="A9" s="12" t="str">
        <f>HYPERLINK("#'Input - Wastewater'!A1", "Wastewater")</f>
        <v>Wastewater</v>
      </c>
    </row>
    <row r="10" spans="1:12" ht="20.100000000000001" customHeight="1" x14ac:dyDescent="0.25"/>
    <row r="11" spans="1:12" ht="20.100000000000001" customHeight="1" x14ac:dyDescent="0.25">
      <c r="D11" s="27" t="s">
        <v>12</v>
      </c>
      <c r="E11" s="1" t="str" cm="1">
        <f t="array" ref="E11">Wastewater_Methane_Equations.VEERG_11_1_1_1__1_MethaneEmissionsFromWastewaterTreatment_Variable()</f>
        <v>E_CH4</v>
      </c>
    </row>
    <row r="12" spans="1:12" ht="20.100000000000001" customHeight="1" x14ac:dyDescent="0.25">
      <c r="A12" s="13" t="s">
        <v>44</v>
      </c>
      <c r="D12" s="27" t="s">
        <v>4</v>
      </c>
      <c r="E12" s="28" t="str" cm="1">
        <f t="array" ref="E12">Wastewater_Methane_Equations.VEERG_11_1_1_1__1_MethaneEmissionsFromWastewaterTreatment_Unit()</f>
        <v>t CH4</v>
      </c>
    </row>
    <row r="13" spans="1:12" ht="20.100000000000001" customHeight="1" x14ac:dyDescent="0.25">
      <c r="A13" s="60" t="str">
        <f>HYPERLINK("#'11.1.1-2 Wastewater CH4'!A1", "11.1.1-2 Wastewater CH4")</f>
        <v>11.1.1-2 Wastewater CH4</v>
      </c>
    </row>
    <row r="14" spans="1:12" ht="20.100000000000001" customHeight="1" x14ac:dyDescent="0.25">
      <c r="A14" s="12" t="str">
        <f>HYPERLINK("#'11.1.3-4 Wastewater N2O'!A1", "11.1.3-4 Wastewater N2O")</f>
        <v>11.1.3-4 Wastewater N2O</v>
      </c>
      <c r="D14" s="44" t="str" cm="1">
        <f t="array" ref="D14:E28">_xlfn.CHOOSECOLS(Wastewater_Methane_Equations.VEERG_11_1_1_1__1_MethaneEmissionsFromWastewaterTreatment_Arguments(),1,2)</f>
        <v>W_t</v>
      </c>
      <c r="E14" s="46" t="str">
        <v>quantity of wastewater treated at facility type t</v>
      </c>
      <c r="F14" s="59"/>
      <c r="G14" s="45"/>
      <c r="H14" s="44" t="str" cm="1">
        <f t="array" ref="H14:I28">_xlfn.CHOOSECOLS(Wastewater_Methane_Equations.VEERG_11_1_1_1__1_MethaneEmissionsFromWastewaterTreatment_Arguments(),3,4)</f>
        <v>m3</v>
      </c>
      <c r="I14" s="41" t="str">
        <v>Input</v>
      </c>
      <c r="J14" s="44">
        <f>X_Cell_Wastewater_QuantityInM3</f>
        <v>1000</v>
      </c>
    </row>
    <row r="15" spans="1:12" ht="20.100000000000001" customHeight="1" x14ac:dyDescent="0.25">
      <c r="D15" s="44" t="str">
        <v>COD_in</v>
      </c>
      <c r="E15" s="46" t="str">
        <v>average inlet Chemical Oxygen Demand concentration of wastewater</v>
      </c>
      <c r="F15" s="59"/>
      <c r="G15" s="45"/>
      <c r="H15" s="44" t="str">
        <v>kg COD/m3</v>
      </c>
      <c r="I15" s="41" t="str">
        <v>Input</v>
      </c>
      <c r="J15" s="44">
        <f>X_Cell_Wastewater_InletCOD</f>
        <v>0.9</v>
      </c>
    </row>
    <row r="16" spans="1:12" ht="20.100000000000001" customHeight="1" x14ac:dyDescent="0.25">
      <c r="D16" s="44" t="str">
        <v>F_sludge</v>
      </c>
      <c r="E16" s="46" t="str">
        <v>fraction of COD removed from wastewater as sludge</v>
      </c>
      <c r="F16" s="59"/>
      <c r="G16" s="45"/>
      <c r="H16" s="44" t="str">
        <v>fraction</v>
      </c>
      <c r="I16" s="41" t="str">
        <v>Input</v>
      </c>
      <c r="J16" s="44">
        <f>X_Cell_Wastewater_FractionCODRemovedAsSludge</f>
        <v>0.5</v>
      </c>
    </row>
    <row r="17" spans="1:10" ht="20.100000000000001" customHeight="1" x14ac:dyDescent="0.25">
      <c r="A17" s="74" t="s">
        <v>1</v>
      </c>
      <c r="D17" s="44" t="str">
        <v>COD_out</v>
      </c>
      <c r="E17" s="46" t="str">
        <v>average outlet COD concentration of wastewater</v>
      </c>
      <c r="F17" s="59"/>
      <c r="G17" s="45"/>
      <c r="H17" s="44" t="str">
        <v>kg COD/m3</v>
      </c>
      <c r="I17" s="41" t="str">
        <v>Input</v>
      </c>
      <c r="J17" s="44">
        <f>X_Cell_Wastewater_OutletCOD</f>
        <v>0.1</v>
      </c>
    </row>
    <row r="18" spans="1:10" ht="20.100000000000001" customHeight="1" x14ac:dyDescent="0.25">
      <c r="A18" s="12" t="str">
        <f>HYPERLINK("#'Constants - Wastewater'!A1", "Constants - Wastewater")</f>
        <v>Constants - Wastewater</v>
      </c>
      <c r="D18" s="44" t="str">
        <v>CF_ww_t</v>
      </c>
      <c r="E18" s="46" t="str">
        <v>methane correction factor for facility type t used to treat wastewater</v>
      </c>
      <c r="F18" s="59"/>
      <c r="G18" s="45"/>
      <c r="H18" s="44" t="str">
        <v>fraction</v>
      </c>
      <c r="I18" s="40" t="str">
        <v>Constant</v>
      </c>
      <c r="J18" s="44" cm="1">
        <f t="array" ref="J18">Common_InputFunctions.Utility_LookupValueInTableNumber(J28,Table_SourceData_MCF_Wastewater[Facility type t],Table_SourceData_MCF_Wastewater[CFww,t])</f>
        <v>0.3</v>
      </c>
    </row>
    <row r="19" spans="1:10" ht="20.100000000000001" customHeight="1" x14ac:dyDescent="0.25">
      <c r="A19" s="12" t="str">
        <f>HYPERLINK("#'Constants - Common'!A1", "Constants - Common")</f>
        <v>Constants - Common</v>
      </c>
      <c r="D19" s="44" t="str">
        <v>EF_ww</v>
      </c>
      <c r="E19" s="46" t="str">
        <v>methane emission factor for wastewater</v>
      </c>
      <c r="F19" s="59"/>
      <c r="G19" s="45"/>
      <c r="H19" s="44" t="str">
        <v>kg CH4/kg COD</v>
      </c>
      <c r="I19" s="40" t="str">
        <v>Constant</v>
      </c>
      <c r="J19" s="44">
        <f>Waste_MethaneEmissionFactorWastewater_Data</f>
        <v>0.25</v>
      </c>
    </row>
    <row r="20" spans="1:10" ht="20.100000000000001" customHeight="1" x14ac:dyDescent="0.25">
      <c r="D20" s="44" t="str">
        <v>F_removed</v>
      </c>
      <c r="E20" s="46" t="str">
        <v>fraction of COD removed from the wastewater treatment facility and transferred elsewhere</v>
      </c>
      <c r="F20" s="59"/>
      <c r="G20" s="45"/>
      <c r="H20" s="44" t="str">
        <v>fraction</v>
      </c>
      <c r="I20" s="41" t="str">
        <v>Input</v>
      </c>
      <c r="J20" s="44">
        <f>X_Cell_Wastewater_FractionCODRemovedAndTransferred</f>
        <v>0.2</v>
      </c>
    </row>
    <row r="21" spans="1:10" ht="20.100000000000001" customHeight="1" x14ac:dyDescent="0.25">
      <c r="D21" s="44" t="str">
        <v>CF_sludge_t</v>
      </c>
      <c r="E21" s="46" t="str">
        <v>methane correction factor for facility type t used to treat sludge</v>
      </c>
      <c r="F21" s="59"/>
      <c r="G21" s="45"/>
      <c r="H21" s="44" t="str">
        <v>fraction</v>
      </c>
      <c r="I21" s="40" t="str">
        <v>Constant</v>
      </c>
      <c r="J21" s="44" cm="1">
        <f t="array" ref="J21">Common_InputFunctions.Utility_LookupValueInTableNumber(J28,Table_SourceData_MCF_Sludge[Facility type t],Table_SourceData_MCF_Sludge[CFsludge,t])</f>
        <v>0.3</v>
      </c>
    </row>
    <row r="22" spans="1:10" ht="20.100000000000001" customHeight="1" x14ac:dyDescent="0.25">
      <c r="D22" s="44" t="str">
        <v>EF_sludge</v>
      </c>
      <c r="E22" s="46" t="str">
        <v>methane emission factor for sludge</v>
      </c>
      <c r="F22" s="59"/>
      <c r="G22" s="45"/>
      <c r="H22" s="44" t="str">
        <v>kg CH4/kg COD</v>
      </c>
      <c r="I22" s="40" t="str">
        <v>Constant</v>
      </c>
      <c r="J22" s="44">
        <f>Waste_MethaneEmissionFactorSludge_Data</f>
        <v>0.25</v>
      </c>
    </row>
    <row r="23" spans="1:10" ht="20.100000000000001" customHeight="1" x14ac:dyDescent="0.25">
      <c r="D23" s="44" t="str">
        <v>Q_cap</v>
      </c>
      <c r="E23" s="46" t="str">
        <v>quantity of methane in sludge biogas captured for combustion</v>
      </c>
      <c r="F23" s="59"/>
      <c r="G23" s="45"/>
      <c r="H23" s="44" t="str">
        <v>m3 CH4</v>
      </c>
      <c r="I23" s="41" t="str">
        <v>Input</v>
      </c>
      <c r="J23" s="44">
        <f>X_Cell_Wastewater_SludgeMethaneCapturedForCombustion</f>
        <v>100</v>
      </c>
    </row>
    <row r="24" spans="1:10" ht="20.100000000000001" customHeight="1" x14ac:dyDescent="0.25">
      <c r="D24" s="44" t="str">
        <v>Q_flared</v>
      </c>
      <c r="E24" s="46" t="str">
        <v>quantity of methane in sludge biogas flared by the treatment facility</v>
      </c>
      <c r="F24" s="59"/>
      <c r="G24" s="45"/>
      <c r="H24" s="44" t="str">
        <v>m3 CH4</v>
      </c>
      <c r="I24" s="41" t="str">
        <v>Input</v>
      </c>
      <c r="J24" s="44">
        <f>X_Cell_Wastewater_SludgeMethaneFlared</f>
        <v>100</v>
      </c>
    </row>
    <row r="25" spans="1:10" ht="20.100000000000001" customHeight="1" x14ac:dyDescent="0.25">
      <c r="D25" s="44" t="str">
        <v>Q_out</v>
      </c>
      <c r="E25" s="46" t="str">
        <v>quantity of methane in sludge biogas transferred out of the treatment facility</v>
      </c>
      <c r="F25" s="59"/>
      <c r="G25" s="45"/>
      <c r="H25" s="44" t="str">
        <v>m3 CH4</v>
      </c>
      <c r="I25" s="41" t="str">
        <v>Input</v>
      </c>
      <c r="J25" s="44">
        <f>X_Cell_Wastewater_SludgeMethaneTransferred</f>
        <v>100</v>
      </c>
    </row>
    <row r="26" spans="1:10" ht="20.100000000000001" customHeight="1" x14ac:dyDescent="0.25">
      <c r="D26" s="44" t="str">
        <v>EC_flared</v>
      </c>
      <c r="E26" s="46" t="str">
        <v>energy content factor of methane in sludge biogas flared</v>
      </c>
      <c r="F26" s="59"/>
      <c r="G26" s="45"/>
      <c r="H26" s="44" t="str">
        <v>GJ/m3</v>
      </c>
      <c r="I26" s="40" t="str">
        <v>Constant</v>
      </c>
      <c r="J26" s="44">
        <f>Waste_EnergyContentFactorSludgeBiogasFlared_Data</f>
        <v>3.7699999999999997E-2</v>
      </c>
    </row>
    <row r="27" spans="1:10" ht="20.100000000000001" customHeight="1" x14ac:dyDescent="0.25">
      <c r="D27" s="44" t="str">
        <v>EF_flaredCH4</v>
      </c>
      <c r="E27" s="46" t="str">
        <v>methane emission factor for sludge biogas flared</v>
      </c>
      <c r="F27" s="59"/>
      <c r="G27" s="45"/>
      <c r="H27" s="44" t="str">
        <v>kg CH4/GJ</v>
      </c>
      <c r="I27" s="40" t="str">
        <v>Constant</v>
      </c>
      <c r="J27" s="44">
        <f>Waste_MethaneEmissionFactorSludgeBiogasFlared_Data</f>
        <v>0.22889999999999999</v>
      </c>
    </row>
    <row r="28" spans="1:10" ht="20.100000000000001" customHeight="1" x14ac:dyDescent="0.25">
      <c r="D28" s="44" t="str">
        <v>t</v>
      </c>
      <c r="E28" s="46" t="str">
        <v>treatment facility type</v>
      </c>
      <c r="F28" s="59"/>
      <c r="G28" s="45"/>
      <c r="H28" s="44" t="str">
        <v/>
      </c>
      <c r="I28" s="41" t="str">
        <v>Input</v>
      </c>
      <c r="J28" s="44" t="str">
        <f>X_Cell_Wastewater_TreatmentFacilityType</f>
        <v>Unmanaged aerobic treatment</v>
      </c>
    </row>
    <row r="29" spans="1:10" ht="20.100000000000001" customHeight="1" x14ac:dyDescent="0.25"/>
    <row r="30" spans="1:10" ht="20.100000000000001" customHeight="1" x14ac:dyDescent="0.25">
      <c r="D30" s="56" t="s">
        <v>119</v>
      </c>
      <c r="E30" s="58" cm="1">
        <f t="array" ref="E30">Wastewater_Methane_Equations.VEERG_11_1_1_1__1_MethaneEmissionsFromWastewaterTreatment(J14,J15,J16,J17,J18,J19,J20,J21,J22,J23,J24,J25,J26,J27)</f>
        <v>4.7159433000000001E-2</v>
      </c>
      <c r="F30" s="61" t="str">
        <f>$E$12</f>
        <v>t CH4</v>
      </c>
    </row>
    <row r="31" spans="1:10" ht="20.100000000000001" customHeight="1" x14ac:dyDescent="0.25"/>
    <row r="32" spans="1:10" ht="20.100000000000001" customHeight="1" x14ac:dyDescent="0.25">
      <c r="D32" s="66" t="str" cm="1">
        <f t="array" ref="D32:E33">Common_Equations.Common_ConvertCH4ToCO2e_Arguments()</f>
        <v>ECH4</v>
      </c>
      <c r="E32" s="67" t="str">
        <v>Methane emissions (t CH4)</v>
      </c>
      <c r="F32" s="68"/>
      <c r="G32" s="26">
        <f>E30</f>
        <v>4.7159433000000001E-2</v>
      </c>
    </row>
    <row r="33" spans="4:7" ht="20.100000000000001" customHeight="1" x14ac:dyDescent="0.25">
      <c r="D33" s="66" t="str">
        <v>GWPCH4</v>
      </c>
      <c r="E33" s="67" t="str">
        <v>Global warming potential for methane (t CO2-e / t CH4)</v>
      </c>
      <c r="F33" s="68"/>
      <c r="G33" s="26">
        <v>28</v>
      </c>
    </row>
    <row r="34" spans="4:7" ht="20.100000000000001" customHeight="1" x14ac:dyDescent="0.25"/>
    <row r="35" spans="4:7" ht="20.100000000000001" customHeight="1" x14ac:dyDescent="0.25">
      <c r="D35" s="57" t="s">
        <v>120</v>
      </c>
      <c r="E35" s="57" cm="1">
        <f t="array" ref="E35">Common_Equations.Common_ConvertN2OToCO2e(G32,G33)</f>
        <v>1.3204641239999999</v>
      </c>
      <c r="F35" s="69"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0" t="e" vm="1">
        <v>#VALUE!</v>
      </c>
      <c r="C1" s="7" t="s">
        <v>124</v>
      </c>
    </row>
    <row r="2" spans="1:10" s="8" customFormat="1" ht="20.100000000000001" customHeight="1" x14ac:dyDescent="0.25">
      <c r="A2"/>
    </row>
    <row r="3" spans="1:10" ht="20.100000000000001" customHeight="1" x14ac:dyDescent="0.25">
      <c r="A3" s="12" t="str">
        <f>HYPERLINK("#'Home'!A1", "Home")</f>
        <v>Home</v>
      </c>
      <c r="C3" s="3"/>
      <c r="D3" s="3" t="s">
        <v>48</v>
      </c>
      <c r="E3" s="3"/>
      <c r="F3" s="3"/>
      <c r="G3" s="3"/>
      <c r="H3" s="3"/>
      <c r="I3" s="3"/>
      <c r="J3" s="3"/>
    </row>
    <row r="4" spans="1:10" ht="20.100000000000001" customHeight="1" x14ac:dyDescent="0.25">
      <c r="A4" s="12" t="str">
        <f>HYPERLINK("#'Overview'!A1", "Overview")</f>
        <v>Overview</v>
      </c>
    </row>
    <row r="5" spans="1:10" ht="20.100000000000001" customHeight="1" x14ac:dyDescent="0.25">
      <c r="A5" s="12"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D6" s="4" t="str" cm="1">
        <f t="array" ref="D6">Wastewater_N2O_Equations.VEERG_11_1_3_1__1_NitrousOxideEmissionsFromFlaredBiogas_Source()</f>
        <v>VEERG 2026: 11.1.3.1, Equation (1)</v>
      </c>
    </row>
    <row r="7" spans="1:10" ht="20.100000000000001" customHeight="1" x14ac:dyDescent="0.25">
      <c r="D7" s="10" t="s">
        <v>9</v>
      </c>
      <c r="E7" s="10" t="str" cm="1">
        <f t="array" aca="1" ref="E7" ca="1">Common_InputFunctions.Utility_DisplayFunctionName(E17)</f>
        <v>=Wastewater_N2O_Equations.VEERG_11_1_3_1__1_NitrousOxideEmissionsFromFlaredBiogas</v>
      </c>
    </row>
    <row r="8" spans="1:10" ht="20.100000000000001" customHeight="1" x14ac:dyDescent="0.25">
      <c r="A8" s="14" t="s">
        <v>0</v>
      </c>
    </row>
    <row r="9" spans="1:10" ht="20.100000000000001" customHeight="1" x14ac:dyDescent="0.25">
      <c r="A9" s="12" t="str">
        <f>HYPERLINK("#'Input - Wastewater'!A1", "Wastewater")</f>
        <v>Wastewater</v>
      </c>
    </row>
    <row r="10" spans="1:10" ht="20.100000000000001" customHeight="1" x14ac:dyDescent="0.25">
      <c r="D10" s="27" t="s">
        <v>12</v>
      </c>
      <c r="E10" s="1" t="str" cm="1">
        <f t="array" ref="E10">Wastewater_N2O_Equations.VEERG_11_1_3_1__1_NitrousOxideEmissionsFromFlaredBiogas_Variable()</f>
        <v>E_N2O</v>
      </c>
    </row>
    <row r="11" spans="1:10" ht="20.100000000000001" customHeight="1" x14ac:dyDescent="0.25">
      <c r="D11" s="27" t="s">
        <v>4</v>
      </c>
      <c r="E11" s="28" t="str" cm="1">
        <f t="array" ref="E11">Wastewater_N2O_Equations.VEERG_11_1_3_1__1_NitrousOxideEmissionsFromFlaredBiogas_Unit()</f>
        <v>t N2O</v>
      </c>
    </row>
    <row r="12" spans="1:10" ht="20.100000000000001" customHeight="1" x14ac:dyDescent="0.25">
      <c r="A12" s="13" t="s">
        <v>44</v>
      </c>
    </row>
    <row r="13" spans="1:10" ht="20.100000000000001" customHeight="1" x14ac:dyDescent="0.25">
      <c r="A13" s="12" t="str">
        <f>HYPERLINK("#'11.1.1-2 Wastewater CH4'!A1", "11.1.1-2 Wastewater CH4")</f>
        <v>11.1.1-2 Wastewater CH4</v>
      </c>
      <c r="D13" s="44" t="str" cm="1">
        <f t="array" ref="D13:E15">_xlfn.CHOOSECOLS(Wastewater_N2O_Equations.VEERG_11_1_3_1__1_NitrousOxideEmissionsFromFlaredBiogas_Arguments(),1,2)</f>
        <v>Q_flared</v>
      </c>
      <c r="E13" s="46" t="str">
        <v>volume of biogas flared</v>
      </c>
      <c r="F13" s="45"/>
      <c r="G13" s="44" t="str" cm="1">
        <f t="array" ref="G13:H15">_xlfn.CHOOSECOLS(Wastewater_N2O_Equations.VEERG_11_1_3_1__1_NitrousOxideEmissionsFromFlaredBiogas_Arguments(),3,4)</f>
        <v>m3</v>
      </c>
      <c r="H13" s="41" t="str">
        <v>Input</v>
      </c>
      <c r="I13" s="44">
        <f>X_Cell_Wastewater_SludgeMethaneFlared</f>
        <v>100</v>
      </c>
    </row>
    <row r="14" spans="1:10" ht="20.100000000000001" customHeight="1" x14ac:dyDescent="0.25">
      <c r="A14" s="60" t="str">
        <f>HYPERLINK("#'11.1.3-4 Wastewater N2O'!A1", "11.1.3-4 Wastewater N2O")</f>
        <v>11.1.3-4 Wastewater N2O</v>
      </c>
      <c r="D14" s="44" t="str">
        <v>EC_flared</v>
      </c>
      <c r="E14" s="46" t="str">
        <v>energy content factor of sludge biogas flared</v>
      </c>
      <c r="F14" s="45"/>
      <c r="G14" s="44" t="str">
        <v>GJ/m3</v>
      </c>
      <c r="H14" s="40" t="str">
        <v>Constant</v>
      </c>
      <c r="I14" s="44">
        <f>Waste_EnergyContentFactorSludgeBiogasFlared_Data</f>
        <v>3.7699999999999997E-2</v>
      </c>
    </row>
    <row r="15" spans="1:10" ht="20.100000000000001" customHeight="1" x14ac:dyDescent="0.25">
      <c r="D15" s="44" t="str">
        <v>EF_flaredN2O</v>
      </c>
      <c r="E15" s="46" t="str">
        <v>nitrous oxide emission factor for flared biogas</v>
      </c>
      <c r="F15" s="45"/>
      <c r="G15" s="44" t="str">
        <v>kg N2O/GJ</v>
      </c>
      <c r="H15" s="40" t="str">
        <v>Constant</v>
      </c>
      <c r="I15" s="44">
        <f>Waste_NitrousOxideEmissionFactorSludgeBiogasFlared_Data</f>
        <v>1.132E-4</v>
      </c>
    </row>
    <row r="16" spans="1:10" ht="20.100000000000001" customHeight="1" x14ac:dyDescent="0.25"/>
    <row r="17" spans="1:7" ht="20.100000000000001" customHeight="1" x14ac:dyDescent="0.25">
      <c r="A17" s="74" t="s">
        <v>1</v>
      </c>
      <c r="D17" s="56" t="s">
        <v>119</v>
      </c>
      <c r="E17" s="58" cm="1">
        <f t="array" ref="E17">Wastewater_N2O_Equations.VEERG_11_1_3_1__1_NitrousOxideEmissionsFromFlaredBiogas(I13,I14,I15)</f>
        <v>4.26764E-7</v>
      </c>
      <c r="F17" s="61" t="str">
        <f>$E$11</f>
        <v>t N2O</v>
      </c>
    </row>
    <row r="18" spans="1:7" ht="20.100000000000001" customHeight="1" x14ac:dyDescent="0.25">
      <c r="A18" s="12" t="str">
        <f>HYPERLINK("#'Constants - Wastewater'!A1", "Constants - Wastewater")</f>
        <v>Constants - Wastewater</v>
      </c>
    </row>
    <row r="19" spans="1:7" ht="20.100000000000001" customHeight="1" x14ac:dyDescent="0.25">
      <c r="A19" s="12" t="str">
        <f>HYPERLINK("#'Constants - Common'!A1", "Constants - Common")</f>
        <v>Constants - Common</v>
      </c>
      <c r="D19" s="66" t="str" cm="1">
        <f t="array" ref="D19:E20">Common_Equations.Common_ConvertN2OToCO2e_Arguments()</f>
        <v>EN2O</v>
      </c>
      <c r="E19" s="67" t="str">
        <v>Nitrous oxide emissions (t N2O)</v>
      </c>
      <c r="F19" s="68"/>
      <c r="G19" s="26">
        <f>E17</f>
        <v>4.26764E-7</v>
      </c>
    </row>
    <row r="20" spans="1:7" ht="20.100000000000001" customHeight="1" x14ac:dyDescent="0.25">
      <c r="D20" s="66" t="str">
        <v>GWPN2O</v>
      </c>
      <c r="E20" s="67" t="str">
        <v>Global warming potential for nitrous oxide (t CO2-e / t N2O)</v>
      </c>
      <c r="F20" s="68"/>
      <c r="G20" s="26">
        <v>265</v>
      </c>
    </row>
    <row r="21" spans="1:7" ht="20.100000000000001" customHeight="1" x14ac:dyDescent="0.25"/>
    <row r="22" spans="1:7" ht="20.100000000000001" customHeight="1" x14ac:dyDescent="0.25">
      <c r="D22" s="57" t="s">
        <v>120</v>
      </c>
      <c r="E22" s="57" cm="1">
        <f t="array" ref="E22">Common_Equations.Common_ConvertN2OToCO2e(G19,G20)</f>
        <v>1.1309246E-4</v>
      </c>
      <c r="F22" s="69" t="str" cm="1">
        <f t="array" ref="F22">Common_Equations.Common_ConvertN2OToCO2e_Unit()</f>
        <v>t CO2e</v>
      </c>
    </row>
    <row r="23" spans="1:7" ht="20.100000000000001" customHeight="1" x14ac:dyDescent="0.25"/>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2"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121</v>
      </c>
      <c r="AG1"/>
      <c r="AH1"/>
      <c r="AI1"/>
    </row>
    <row r="2" spans="1:35" s="8" customFormat="1" ht="20.100000000000001" customHeight="1" x14ac:dyDescent="0.25">
      <c r="A2"/>
      <c r="AG2"/>
      <c r="AH2"/>
      <c r="AI2"/>
    </row>
    <row r="3" spans="1:35" ht="20.100000000000001"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2" t="str">
        <f>HYPERLINK("#'Overview'!A1", "Overview")</f>
        <v>Overview</v>
      </c>
    </row>
    <row r="5" spans="1:35" ht="20.100000000000001" customHeight="1" x14ac:dyDescent="0.25">
      <c r="A5" s="12"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D6" s="4" t="str" cm="1">
        <f t="array" ref="D6">Wastewater_SourceData.Waste_MethaneCorrectionFactorWastewater_Source()</f>
        <v>VEERG 2026: Table A.4.1.3</v>
      </c>
    </row>
    <row r="7" spans="1:35" ht="20.100000000000001" customHeight="1" x14ac:dyDescent="0.25">
      <c r="D7" s="1" t="str" cm="1">
        <f t="array" ref="D7">Wastewater_SourceData.Waste_MethaneCorrectionFactorWastewater_Variable()</f>
        <v>CFww,t</v>
      </c>
    </row>
    <row r="8" spans="1:35" ht="20.100000000000001" customHeight="1" x14ac:dyDescent="0.25">
      <c r="A8" s="14" t="s">
        <v>0</v>
      </c>
      <c r="D8" s="28" t="str" cm="1">
        <f t="array" ref="D8">Wastewater_SourceData.Waste_MethaneCorrectionFactorWastewater_Unit()</f>
        <v>fraction</v>
      </c>
    </row>
    <row r="9" spans="1:35" ht="20.100000000000001" customHeight="1" x14ac:dyDescent="0.25">
      <c r="A9" s="12" t="str">
        <f>HYPERLINK("#'Input - Wastewater'!A1", "Wastewater")</f>
        <v>Wastewater</v>
      </c>
      <c r="D9" s="24" t="s">
        <v>87</v>
      </c>
      <c r="E9" s="24" t="s">
        <v>88</v>
      </c>
    </row>
    <row r="10" spans="1:35" ht="20.100000000000001" customHeight="1" x14ac:dyDescent="0.25">
      <c r="D10" s="24" t="str" cm="1">
        <f t="array" ref="D10">Common_InputFunctions.Utility_DisplayArrayInTable(Wastewater_SourceData.Waste_MethaneCorrectionFactorWastewater_Data(), Table_SourceData_MCF_Wastewater[[#Headers],[Facility type t]], 0)</f>
        <v>Managed aerobic treatment</v>
      </c>
      <c r="E10" s="24" cm="1">
        <f t="array" ref="E10">Common_InputFunctions.Utility_DisplayArrayInTable(Wastewater_SourceData.Waste_MethaneCorrectionFactorWastewater_Data(), Table_SourceData_MCF_Wastewater[[#Headers],[Facility type t]], 0)</f>
        <v>0</v>
      </c>
    </row>
    <row r="11" spans="1:35" ht="20.100000000000001" customHeight="1" x14ac:dyDescent="0.25">
      <c r="D11" s="24" t="str" cm="1">
        <f t="array" ref="D11">Common_InputFunctions.Utility_DisplayArrayInTable(Wastewater_SourceData.Waste_MethaneCorrectionFactorWastewater_Data(), Table_SourceData_MCF_Wastewater[[#Headers],[Facility type t]], 0)</f>
        <v>Unmanaged aerobic treatment</v>
      </c>
      <c r="E11" s="24"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
        <v>44</v>
      </c>
      <c r="D12" s="24" t="str" cm="1">
        <f t="array" ref="D12">Common_InputFunctions.Utility_DisplayArrayInTable(Wastewater_SourceData.Waste_MethaneCorrectionFactorWastewater_Data(), Table_SourceData_MCF_Wastewater[[#Headers],[Facility type t]], 0)</f>
        <v>Anaerobic digestor/reactor</v>
      </c>
      <c r="E12" s="24"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2" t="str">
        <f>HYPERLINK("#'11.1.1-2 Wastewater CH4'!A1", "11.1.1-2 Wastewater CH4")</f>
        <v>11.1.1-2 Wastewater CH4</v>
      </c>
      <c r="D13" s="24" t="str" cm="1">
        <f t="array" ref="D13">Common_InputFunctions.Utility_DisplayArrayInTable(Wastewater_SourceData.Waste_MethaneCorrectionFactorWastewater_Data(), Table_SourceData_MCF_Wastewater[[#Headers],[Facility type t]], 0)</f>
        <v>Shallow anaerobic lagoon (≤ 2 m)</v>
      </c>
      <c r="E13" s="24"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2" t="str">
        <f>HYPERLINK("#'11.1.3-4 Wastewater N2O'!A1", "11.1.3-4 Wastewater N2O")</f>
        <v>11.1.3-4 Wastewater N2O</v>
      </c>
      <c r="D14" s="24" t="str" cm="1">
        <f t="array" ref="D14">Common_InputFunctions.Utility_DisplayArrayInTable(Wastewater_SourceData.Waste_MethaneCorrectionFactorWastewater_Data(), Table_SourceData_MCF_Wastewater[[#Headers],[Facility type t]], 0)</f>
        <v>Deep anaerobic lagoon (&gt; 2m)</v>
      </c>
      <c r="E14" s="24" cm="1">
        <f t="array" ref="E14">Common_InputFunctions.Utility_DisplayArrayInTable(Wastewater_SourceData.Waste_MethaneCorrectionFactorWastewater_Data(), Table_SourceData_MCF_Wastewater[[#Headers],[Facility type t]], 0)</f>
        <v>0.8</v>
      </c>
    </row>
    <row r="15" spans="1:35" ht="20.100000000000001" customHeight="1" x14ac:dyDescent="0.25"/>
    <row r="16" spans="1:35" ht="20.100000000000001" customHeight="1" x14ac:dyDescent="0.25"/>
    <row r="17" spans="1:6" ht="20.100000000000001" customHeight="1" x14ac:dyDescent="0.25">
      <c r="A17" s="74" t="s">
        <v>1</v>
      </c>
      <c r="D17" s="5" t="str" cm="1">
        <f t="array" ref="D17">Wastewater_SourceData.Waste_MethaneCorrectionFactorSludge_Title()</f>
        <v>Methane correction factor for treatment facility type t used to treat sludge</v>
      </c>
    </row>
    <row r="18" spans="1:6" ht="20.100000000000001" customHeight="1" x14ac:dyDescent="0.25">
      <c r="A18" s="53" t="str">
        <f>HYPERLINK("#'Constants - Wastewater'!A1", "Constants - Wastewater")</f>
        <v>Constants - Wastewater</v>
      </c>
      <c r="D18" s="4" t="str" cm="1">
        <f t="array" ref="D18">Wastewater_SourceData.Waste_MethaneCorrectionFactorSludge_Source()</f>
        <v>VEERG 2026: Table A.4.1.4</v>
      </c>
    </row>
    <row r="19" spans="1:6" ht="20.100000000000001" customHeight="1" x14ac:dyDescent="0.25">
      <c r="A19" s="12" t="str">
        <f>HYPERLINK("#'Constants - Common'!A1", "Constants - Common")</f>
        <v>Constants - Common</v>
      </c>
      <c r="D19" s="1" t="str" cm="1">
        <f t="array" ref="D19">Wastewater_SourceData.Waste_MethaneCorrectionFactorSludge_Variable()</f>
        <v>CFsludge,t</v>
      </c>
    </row>
    <row r="20" spans="1:6" ht="20.100000000000001" customHeight="1" x14ac:dyDescent="0.25">
      <c r="D20" s="28" t="str" cm="1">
        <f t="array" ref="D20">Wastewater_SourceData.Waste_MethaneCorrectionFactorSludge_Unit()</f>
        <v>fraction</v>
      </c>
    </row>
    <row r="21" spans="1:6" ht="20.100000000000001" customHeight="1" x14ac:dyDescent="0.25">
      <c r="D21" s="24" t="s">
        <v>87</v>
      </c>
      <c r="E21" s="24" t="s">
        <v>89</v>
      </c>
    </row>
    <row r="22" spans="1:6" ht="20.100000000000001" customHeight="1" x14ac:dyDescent="0.25">
      <c r="D22" s="24" t="str" cm="1">
        <f t="array" ref="D22">Common_InputFunctions.Utility_DisplayArrayInTable(Wastewater_SourceData.Waste_MethaneCorrectionFactorSludge_Data(), Table_SourceData_MCF_Sludge[[#Headers],[Facility type t]], 0)</f>
        <v>Managed aerobic treatment</v>
      </c>
      <c r="E22" s="24" cm="1">
        <f t="array" ref="E22">Common_InputFunctions.Utility_DisplayArrayInTable(Wastewater_SourceData.Waste_MethaneCorrectionFactorSludge_Data(), Table_SourceData_MCF_Sludge[[#Headers],[Facility type t]], 0)</f>
        <v>0</v>
      </c>
    </row>
    <row r="23" spans="1:6" ht="20.100000000000001" customHeight="1" x14ac:dyDescent="0.25">
      <c r="D23" s="24" t="str" cm="1">
        <f t="array" ref="D23">Common_InputFunctions.Utility_DisplayArrayInTable(Wastewater_SourceData.Waste_MethaneCorrectionFactorSludge_Data(), Table_SourceData_MCF_Sludge[[#Headers],[Facility type t]], 0)</f>
        <v>Unmanaged aerobic treatment</v>
      </c>
      <c r="E23" s="24" cm="1">
        <f t="array" ref="E23">Common_InputFunctions.Utility_DisplayArrayInTable(Wastewater_SourceData.Waste_MethaneCorrectionFactorSludge_Data(), Table_SourceData_MCF_Sludge[[#Headers],[Facility type t]], 0)</f>
        <v>0.3</v>
      </c>
    </row>
    <row r="24" spans="1:6" ht="20.100000000000001" customHeight="1" x14ac:dyDescent="0.25">
      <c r="D24" s="24" t="str" cm="1">
        <f t="array" ref="D24">Common_InputFunctions.Utility_DisplayArrayInTable(Wastewater_SourceData.Waste_MethaneCorrectionFactorSludge_Data(), Table_SourceData_MCF_Sludge[[#Headers],[Facility type t]], 0)</f>
        <v>Anaerobic digestor/reactor</v>
      </c>
      <c r="E24" s="24" cm="1">
        <f t="array" ref="E24">Common_InputFunctions.Utility_DisplayArrayInTable(Wastewater_SourceData.Waste_MethaneCorrectionFactorSludge_Data(), Table_SourceData_MCF_Sludge[[#Headers],[Facility type t]], 0)</f>
        <v>0.8</v>
      </c>
    </row>
    <row r="25" spans="1:6" ht="20.100000000000001" customHeight="1" x14ac:dyDescent="0.25">
      <c r="D25" s="24" t="str" cm="1">
        <f t="array" ref="D25">Common_InputFunctions.Utility_DisplayArrayInTable(Wastewater_SourceData.Waste_MethaneCorrectionFactorSludge_Data(), Table_SourceData_MCF_Sludge[[#Headers],[Facility type t]], 0)</f>
        <v>Shallow anaerobic lagoon (≤ 2 m)</v>
      </c>
      <c r="E25" s="24" cm="1">
        <f t="array" ref="E25">Common_InputFunctions.Utility_DisplayArrayInTable(Wastewater_SourceData.Waste_MethaneCorrectionFactorSludge_Data(), Table_SourceData_MCF_Sludge[[#Headers],[Facility type t]], 0)</f>
        <v>0.2</v>
      </c>
    </row>
    <row r="26" spans="1:6" ht="20.100000000000001" customHeight="1" x14ac:dyDescent="0.25">
      <c r="D26" s="24" t="str" cm="1">
        <f t="array" ref="D26">Common_InputFunctions.Utility_DisplayArrayInTable(Wastewater_SourceData.Waste_MethaneCorrectionFactorSludge_Data(), Table_SourceData_MCF_Sludge[[#Headers],[Facility type t]], 0)</f>
        <v>Deep anaerobic lagoon (&gt; 2m)</v>
      </c>
      <c r="E26" s="24"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7" t="str" cm="1">
        <f t="array" ref="D31">Wastewater_SourceData.Waste_MethaneEmissionFactorWastewater_Variable()</f>
        <v>EFww</v>
      </c>
      <c r="E31" s="1" cm="1">
        <f t="array" ref="E31">Wastewater_SourceData.Waste_MethaneEmissionFactorWastewater_Data()</f>
        <v>0.25</v>
      </c>
      <c r="F31" s="28"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7" t="str" cm="1">
        <f t="array" ref="D36">Wastewater_SourceData.Waste_MethaneEmissionFactorSludge_Variable()</f>
        <v>EFsludge</v>
      </c>
      <c r="E36" s="1" cm="1">
        <f t="array" ref="E36">Wastewater_SourceData.Waste_MethaneEmissionFactorSludge_Data()</f>
        <v>0.25</v>
      </c>
      <c r="F36" s="28"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7" t="str" cm="1">
        <f t="array" ref="D41">Wastewater_SourceData.Waste_EnergyContentFactorSludgeBiogasFlared_Variable()</f>
        <v>ECflared</v>
      </c>
      <c r="E41" s="1" cm="1">
        <f t="array" ref="E41">Wastewater_SourceData.Waste_EnergyContentFactorSludgeBiogasFlared_Data()</f>
        <v>3.7699999999999997E-2</v>
      </c>
      <c r="F41" s="28"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7" t="str" cm="1">
        <f t="array" ref="D46">Wastewater_SourceData.Waste_MethaneEmissionFactorSludgeBiogasFlared_Variable()</f>
        <v>EFflared,CH4</v>
      </c>
      <c r="E46" s="1" cm="1">
        <f t="array" ref="E46">Wastewater_SourceData.Waste_MethaneEmissionFactorSludgeBiogasFlared_Data()</f>
        <v>0.22889999999999999</v>
      </c>
      <c r="F46" s="28" t="str" cm="1">
        <f t="array" ref="F46">Wastewater_SourceData.Waste_MethaneEmissionFactorSludgeBiogasFlared_Unit()</f>
        <v>kg CH4 / GJ</v>
      </c>
    </row>
    <row r="47" spans="4:6" ht="20.100000000000001" customHeight="1" x14ac:dyDescent="0.25"/>
    <row r="48" spans="4:6" ht="20.100000000000001" customHeight="1" x14ac:dyDescent="0.25"/>
    <row r="49" spans="4:6" ht="20.100000000000001" customHeight="1" x14ac:dyDescent="0.25">
      <c r="D49" s="5" t="str" cm="1">
        <f t="array" ref="D49">Wastewater_SourceData.Waste_NitrousOxideEmissionFactorSludgeBiogasFlared_Title()</f>
        <v>Nitrous oxide emission factor for sludge biogas flared</v>
      </c>
    </row>
    <row r="50" spans="4:6" ht="20.100000000000001" customHeight="1" x14ac:dyDescent="0.25">
      <c r="D50" s="4" t="str" cm="1">
        <f t="array" ref="D50">Wastewater_SourceData.Waste_NitrousOxideEmissionFactorSludgeBiogasFlared_Source()</f>
        <v>VEERG 2026: 11.2.3 Constants</v>
      </c>
    </row>
    <row r="51" spans="4:6" ht="20.100000000000001" customHeight="1" x14ac:dyDescent="0.25">
      <c r="D51" s="27" t="str" cm="1">
        <f t="array" ref="D51">Wastewater_SourceData.Waste_NitrousOxideEmissionFactorSludgeBiogasFlared_Variable()</f>
        <v>EFflared,N2O</v>
      </c>
      <c r="E51" s="1" cm="1">
        <f t="array" ref="E51">Wastewater_SourceData.Waste_NitrousOxideEmissionFactorSludgeBiogasFlared_Data()</f>
        <v>1.132E-4</v>
      </c>
      <c r="F51" s="28" t="str" cm="1">
        <f t="array" ref="F51">Wastewater_SourceData.Waste_NitrousOxideEmissionFactorSludgeBiogasFlared_Unit()</f>
        <v>kg N2O / GJ</v>
      </c>
    </row>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3253-305C-4133-9D22-0F5CB91D3486}">
  <dimension ref="A1:BY259"/>
  <sheetViews>
    <sheetView showGridLines="0" tabSelected="1" topLeftCell="A86" zoomScaleNormal="100" workbookViewId="0">
      <selection activeCell="A18" sqref="A18"/>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30" t="e" vm="1">
        <v>#VALUE!</v>
      </c>
      <c r="C1" s="7" t="s">
        <v>45</v>
      </c>
    </row>
    <row r="2" spans="1:65" s="8" customFormat="1" ht="20.100000000000001" customHeight="1" x14ac:dyDescent="0.25">
      <c r="A2"/>
    </row>
    <row r="3" spans="1:65" ht="20.100000000000001"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s="12" t="str">
        <f>HYPERLINK("#'Overview'!A1", "Overview")</f>
        <v>Overview</v>
      </c>
      <c r="BM4" s="2"/>
    </row>
    <row r="5" spans="1:65" ht="20.100000000000001" customHeight="1" x14ac:dyDescent="0.25">
      <c r="A5" s="12" t="str">
        <f>HYPERLINK("#'Results'!A1", "Results")</f>
        <v>Results</v>
      </c>
      <c r="D5" s="5" t="str" cm="1">
        <f t="array" ref="D5">Common_SourceData.Common_SourceData_AustralianStatesTerritories_Title()</f>
        <v>Australian states and territories</v>
      </c>
      <c r="BM5" s="2"/>
    </row>
    <row r="6" spans="1:65" ht="20.100000000000001" customHeight="1" x14ac:dyDescent="0.25">
      <c r="A6"/>
      <c r="D6" s="24" t="s">
        <v>5</v>
      </c>
      <c r="E6" s="24" t="s">
        <v>6</v>
      </c>
      <c r="F6" s="24" t="s">
        <v>7</v>
      </c>
    </row>
    <row r="7" spans="1:65" ht="20.100000000000001" customHeight="1" x14ac:dyDescent="0.25">
      <c r="A7"/>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100000000000001" customHeight="1" x14ac:dyDescent="0.25">
      <c r="A8" s="14" t="s">
        <v>0</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100000000000001" customHeight="1" x14ac:dyDescent="0.25">
      <c r="A9" s="12" t="str">
        <f>HYPERLINK("#'Input - Wastewater'!A1", "Wastewater")</f>
        <v>Wastewater</v>
      </c>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s="13" t="s">
        <v>44</v>
      </c>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s="12" t="str">
        <f>HYPERLINK("#'11.1.1-2 Wastewater CH4'!A1", "11.1.1-2 Wastewater CH4")</f>
        <v>11.1.1-2 Wastewater CH4</v>
      </c>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100000000000001" customHeight="1" x14ac:dyDescent="0.25">
      <c r="A14" s="12" t="str">
        <f>HYPERLINK("#'11.1.3-4 Wastewater N2O'!A1", "11.1.3-4 Wastewater N2O")</f>
        <v>11.1.3-4 Wastewater N2O</v>
      </c>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74" t="s">
        <v>1</v>
      </c>
    </row>
    <row r="18" spans="1:4" ht="20.100000000000001" customHeight="1" x14ac:dyDescent="0.25">
      <c r="A18" s="12" t="str">
        <f>HYPERLINK("#'Constants - Wastewater'!A1", "Constants - Wastewater")</f>
        <v>Constants - Wastewater</v>
      </c>
      <c r="D18" s="5" t="str" cm="1">
        <f t="array" ref="D18">Common_SourceData.Common_SourceData_WASA4Areas_Title()</f>
        <v>ABS Statistcal Areas Level 4 - Western Australia</v>
      </c>
    </row>
    <row r="19" spans="1:4" ht="20.100000000000001" customHeight="1" x14ac:dyDescent="0.25">
      <c r="A19" s="53" t="str">
        <f>HYPERLINK("#'Constants - Common'!A1", "Constants - Common")</f>
        <v>Constants - Common</v>
      </c>
      <c r="D19" s="4" t="str" cm="1">
        <f t="array" ref="D19">Common_SourceData.Common_SourceData_WASA4Areas_Source()</f>
        <v>Australian Bureau of Statistics (ABS) - Statistical Areas Level 2 - 2021 - Shapefile</v>
      </c>
    </row>
    <row r="20" spans="1:4" ht="20.100000000000001" customHeight="1" x14ac:dyDescent="0.25">
      <c r="A20"/>
      <c r="D20" s="24" t="s">
        <v>8</v>
      </c>
    </row>
    <row r="21" spans="1:4" ht="20.100000000000001" customHeight="1" x14ac:dyDescent="0.25">
      <c r="A21"/>
      <c r="D21" s="24" t="str" cm="1">
        <f t="array" ref="D21">Common_InputFunctions.Utility_DisplayArrayInTable(Common_SourceData.Common_SourceData_WASA4Areas_Data(), Table_WASA4Areas[[#Headers],[SA 4 Name]], 0)</f>
        <v>Bunbury</v>
      </c>
    </row>
    <row r="22" spans="1:4" ht="20.100000000000001" customHeight="1" x14ac:dyDescent="0.25">
      <c r="A22"/>
      <c r="D22" s="24" t="str" cm="1">
        <f t="array" ref="D22">Common_InputFunctions.Utility_DisplayArrayInTable(Common_SourceData.Common_SourceData_WASA4Areas_Data(), Table_WASA4Areas[[#Headers],[SA 4 Name]], 0)</f>
        <v>Mandurah</v>
      </c>
    </row>
    <row r="23" spans="1:4" ht="20.100000000000001" customHeight="1" x14ac:dyDescent="0.25">
      <c r="A23"/>
      <c r="D23" s="24" t="str" cm="1">
        <f t="array" ref="D23">Common_InputFunctions.Utility_DisplayArrayInTable(Common_SourceData.Common_SourceData_WASA4Areas_Data(), Table_WASA4Areas[[#Headers],[SA 4 Name]], 0)</f>
        <v>Perth - Inner</v>
      </c>
    </row>
    <row r="24" spans="1:4" ht="20.100000000000001" customHeight="1" x14ac:dyDescent="0.25">
      <c r="A24"/>
      <c r="D24" s="24" t="str" cm="1">
        <f t="array" ref="D24">Common_InputFunctions.Utility_DisplayArrayInTable(Common_SourceData.Common_SourceData_WASA4Areas_Data(), Table_WASA4Areas[[#Headers],[SA 4 Name]], 0)</f>
        <v>Perth - North East</v>
      </c>
    </row>
    <row r="25" spans="1:4" ht="20.100000000000001" customHeight="1" x14ac:dyDescent="0.25">
      <c r="A25"/>
      <c r="D25" s="24" t="str" cm="1">
        <f t="array" ref="D25">Common_InputFunctions.Utility_DisplayArrayInTable(Common_SourceData.Common_SourceData_WASA4Areas_Data(), Table_WASA4Areas[[#Headers],[SA 4 Name]], 0)</f>
        <v>Perth - North West</v>
      </c>
    </row>
    <row r="26" spans="1:4" ht="20.100000000000001" customHeight="1" x14ac:dyDescent="0.25">
      <c r="A26"/>
      <c r="D26" s="24" t="str" cm="1">
        <f t="array" ref="D26">Common_InputFunctions.Utility_DisplayArrayInTable(Common_SourceData.Common_SourceData_WASA4Areas_Data(), Table_WASA4Areas[[#Headers],[SA 4 Name]], 0)</f>
        <v>Perth - South East</v>
      </c>
    </row>
    <row r="27" spans="1:4" ht="20.100000000000001" customHeight="1" x14ac:dyDescent="0.25">
      <c r="A27"/>
      <c r="D27" s="24" t="str" cm="1">
        <f t="array" ref="D27">Common_InputFunctions.Utility_DisplayArrayInTable(Common_SourceData.Common_SourceData_WASA4Areas_Data(), Table_WASA4Areas[[#Headers],[SA 4 Name]], 0)</f>
        <v>Perth - South West</v>
      </c>
    </row>
    <row r="28" spans="1:4" ht="20.100000000000001" customHeight="1" x14ac:dyDescent="0.25">
      <c r="A28"/>
      <c r="D28" s="2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4" t="s">
        <v>10</v>
      </c>
      <c r="E36" s="24" t="s">
        <v>11</v>
      </c>
    </row>
    <row r="37" spans="1:8" ht="20.100000000000001"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100000000000001"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100000000000001"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100000000000001"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100000000000001"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100000000000001"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100000000000001"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24" t="s">
        <v>10</v>
      </c>
      <c r="E47" s="24" t="s">
        <v>13</v>
      </c>
      <c r="F47" s="24" t="s">
        <v>14</v>
      </c>
      <c r="G47" s="24" t="s">
        <v>15</v>
      </c>
      <c r="H47" s="24" t="s">
        <v>16</v>
      </c>
    </row>
    <row r="48" spans="1:8" ht="20.100000000000001"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100000000000001"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100000000000001"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100000000000001"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100000000000001"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100000000000001"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100000000000001"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29" t="str" cm="1">
        <f t="array" ref="D59:D61">"⚠️" &amp; Common_SourceData.Common_SourceData_WetAndDryZones_Variation()</f>
        <v>⚠️VARIATION OF SOURCE DATA:</v>
      </c>
    </row>
    <row r="60" spans="1:8" ht="20.100000000000001" customHeight="1" x14ac:dyDescent="0.25">
      <c r="A60"/>
      <c r="D60" s="29" t="str">
        <v>⚠️Added warm / cool temperate moist / dry - low frost and high temp classes to accommodate climate scenarios excluded by VEERG criteria.</v>
      </c>
    </row>
    <row r="61" spans="1:8" ht="20.100000000000001" customHeight="1" x14ac:dyDescent="0.25">
      <c r="A61"/>
      <c r="D61" s="29" t="str">
        <v>⚠️Fixed typo - Changed 'Fry' to 'Dry'.</v>
      </c>
    </row>
    <row r="62" spans="1:8" ht="20.100000000000001" customHeight="1" x14ac:dyDescent="0.25">
      <c r="A62"/>
    </row>
    <row r="63" spans="1:8" ht="20.100000000000001" customHeight="1" x14ac:dyDescent="0.25">
      <c r="A63"/>
      <c r="D63" s="24" t="s">
        <v>3</v>
      </c>
      <c r="E63" s="24" t="s">
        <v>30</v>
      </c>
    </row>
    <row r="64" spans="1:8" ht="20.100000000000001"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29" t="str" cm="1">
        <f t="array" ref="D83:D87">"⚠️" &amp; Common_SourceData.Common_SourceData_ClimateZones_Variation()</f>
        <v>⚠️VARIATION OF SOURCE DATA:</v>
      </c>
    </row>
    <row r="84" spans="1:20" ht="20.100000000000001" customHeight="1" x14ac:dyDescent="0.25">
      <c r="A84"/>
      <c r="D84" s="29" t="str">
        <v>⚠️Added warm / cool temperate moist / dry - low frost and high temp classes to accommodate climate scenarios excluded by VEERG criteria.</v>
      </c>
    </row>
    <row r="85" spans="1:20" ht="20.100000000000001" customHeight="1" x14ac:dyDescent="0.25">
      <c r="A85"/>
      <c r="D85" s="29" t="str">
        <v>⚠️Fixed typo in MAT value for warm temperate dry - changed 10 to 11.</v>
      </c>
    </row>
    <row r="86" spans="1:20" ht="20.100000000000001" customHeight="1" x14ac:dyDescent="0.25">
      <c r="A86"/>
      <c r="D86" s="29" t="str">
        <v>⚠️Added min and max columns for MAT, MAP, frost days per year, elevation, MAP:PET to calculate zones from real climate data.</v>
      </c>
    </row>
    <row r="87" spans="1:20" ht="20.100000000000001" customHeight="1" x14ac:dyDescent="0.25">
      <c r="A87"/>
      <c r="D87" s="29" t="str">
        <v>⚠️GAF accepts rainfall as a proxy for precipitation.</v>
      </c>
    </row>
    <row r="88" spans="1:20" ht="20.100000000000001" customHeight="1" x14ac:dyDescent="0.25">
      <c r="A88"/>
    </row>
    <row r="89" spans="1:20" ht="20.100000000000001"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100000000000001"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100000000000001"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100000000000001"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100000000000001"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100000000000001"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100000000000001"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100000000000001"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100000000000001"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100000000000001" customHeight="1" x14ac:dyDescent="0.25">
      <c r="A98"/>
    </row>
    <row r="99" spans="1:20" ht="20.100000000000001" customHeight="1" x14ac:dyDescent="0.25">
      <c r="A99"/>
      <c r="D99" s="28" t="str" cm="1">
        <f t="array" ref="D99:D102">Common_SourceData.Common_SourceData_ClimateZones_Appendices()</f>
        <v>Note:</v>
      </c>
    </row>
    <row r="100" spans="1:20" ht="20.100000000000001" customHeight="1" x14ac:dyDescent="0.25">
      <c r="A100"/>
      <c r="D100" s="28" t="str">
        <v>MAT = mean annual temperature</v>
      </c>
    </row>
    <row r="101" spans="1:20" ht="20.100000000000001" customHeight="1" x14ac:dyDescent="0.25">
      <c r="A101"/>
      <c r="D101" s="28" t="str">
        <v>MAP = mean annual precipitation</v>
      </c>
    </row>
    <row r="102" spans="1:20" ht="20.100000000000001" customHeight="1" x14ac:dyDescent="0.25">
      <c r="A102"/>
      <c r="D102" s="28" t="str">
        <v>PET = potential evapotranspiration</v>
      </c>
    </row>
    <row r="103" spans="1:20" ht="20.100000000000001" customHeight="1" x14ac:dyDescent="0.25">
      <c r="A103"/>
      <c r="D103" s="28"/>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4" t="s">
        <v>35</v>
      </c>
      <c r="E109" s="24" t="s">
        <v>18</v>
      </c>
      <c r="F109" s="24" t="s">
        <v>36</v>
      </c>
      <c r="G109" s="24" t="s">
        <v>37</v>
      </c>
    </row>
    <row r="110" spans="1:20" ht="20.100000000000001"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24" t="s">
        <v>38</v>
      </c>
      <c r="E119" s="24" t="s">
        <v>39</v>
      </c>
      <c r="F119" s="24" t="s">
        <v>25</v>
      </c>
      <c r="G119" s="24" t="s">
        <v>26</v>
      </c>
      <c r="BN119" s="6"/>
    </row>
    <row r="120" spans="1:66" ht="20.100000000000001"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4" t="s">
        <v>40</v>
      </c>
      <c r="E127" s="24" t="s">
        <v>41</v>
      </c>
    </row>
    <row r="128" spans="1:66" ht="20.100000000000001"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6"/>
    </row>
    <row r="133" spans="1:77" ht="20.100000000000001" customHeight="1" x14ac:dyDescent="0.25">
      <c r="A133"/>
      <c r="D133" s="4" t="str" cm="1">
        <f t="array" ref="D133">Common_SourceData.Common_SourceData_FracWET_Source()</f>
        <v>VEERG 2026:5.5.2.3 Constant Parameters</v>
      </c>
      <c r="E133" s="16"/>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24" t="s">
        <v>56</v>
      </c>
      <c r="E142" s="24" t="s">
        <v>47</v>
      </c>
      <c r="BN142" s="6"/>
    </row>
    <row r="143" spans="1:77" ht="20.100000000000001"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24" t="s">
        <v>42</v>
      </c>
      <c r="E153" s="24" t="s">
        <v>43</v>
      </c>
      <c r="BC153" s="2"/>
      <c r="BD153" s="2"/>
      <c r="BE153" s="2"/>
      <c r="BF153" s="2"/>
      <c r="BG153" s="2"/>
      <c r="BH153" s="2"/>
      <c r="BI153" s="2"/>
      <c r="BJ153" s="2"/>
      <c r="BK153" s="2"/>
      <c r="BL153" s="2"/>
      <c r="BM153" s="2"/>
    </row>
    <row r="154" spans="1:66" ht="20.100000000000001"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6"/>
    </row>
    <row r="162" spans="4:68" ht="20.100000000000001" customHeight="1" x14ac:dyDescent="0.25">
      <c r="D162" s="4" t="str" cm="1">
        <f t="array" ref="D162">Common_SourceData.Common_SourceData_FracLEACH_Source()</f>
        <v>VEERG 2026:5.5.2.3 Constant Parameters</v>
      </c>
      <c r="E162" s="16"/>
    </row>
    <row r="163" spans="4:68" ht="20.100000000000001" customHeight="1" x14ac:dyDescent="0.25">
      <c r="D163" s="4" t="str" cm="1">
        <f t="array" ref="D163">Common_SourceData.Common_SourceData_FracLEACH_NIRReference()</f>
        <v>National Inventory Report Volume 1: Leaching and runoff (3.D.b.2)</v>
      </c>
      <c r="E163" s="16"/>
    </row>
    <row r="164" spans="4:68" ht="20.100000000000001" customHeight="1" x14ac:dyDescent="0.25">
      <c r="D164" s="16" t="str" cm="1">
        <f t="array" ref="D164:E164">Common_SourceData.Common_SourceData_FracLEACH_Data()</f>
        <v>FracLEACH</v>
      </c>
      <c r="E164" s="16">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8" t="str" cm="1">
        <f t="array" ref="D180">Common_SourceData.Common_SourceData_EFN2O_Unit()</f>
        <v>(kg N2O-N / kg N</v>
      </c>
    </row>
    <row r="181" spans="4:68" ht="20.100000000000001" customHeight="1" x14ac:dyDescent="0.25">
      <c r="D181" s="29" t="str" cm="1">
        <f t="array" ref="D181:D185">Common_SourceData.Common_SourceData_EFN2O_Variation()</f>
        <v>VARIATION OF SOURCE DATA:</v>
      </c>
    </row>
    <row r="182" spans="4:68" ht="20.100000000000001" customHeight="1" x14ac:dyDescent="0.25">
      <c r="D182" s="29" t="str">
        <v>Removed duplicate 'Aquaculture' row.</v>
      </c>
    </row>
    <row r="183" spans="4:68" ht="20.100000000000001" customHeight="1" x14ac:dyDescent="0.25">
      <c r="D183" s="29" t="str">
        <v>Removed asterisks to aid lookup.</v>
      </c>
    </row>
    <row r="184" spans="4:68" ht="20.100000000000001" customHeight="1" x14ac:dyDescent="0.25">
      <c r="D184" s="29" t="str">
        <v>Added 'production system only', 'rainfall zone' and 'irrigation method' columns to aid lookup.</v>
      </c>
    </row>
    <row r="185" spans="4:68" ht="20.100000000000001" customHeight="1" x14ac:dyDescent="0.25">
      <c r="D185" s="29" t="str">
        <v>Duplicated 'non-irrigated pasture' row with same EF for low and high rainfall zones to aid lookup.</v>
      </c>
    </row>
    <row r="186" spans="4:68" ht="20.100000000000001" customHeight="1" x14ac:dyDescent="0.25">
      <c r="D186" s="24" t="s">
        <v>50</v>
      </c>
      <c r="E186" s="24" t="s">
        <v>51</v>
      </c>
      <c r="F186" s="24" t="s">
        <v>52</v>
      </c>
      <c r="G186" s="24" t="s">
        <v>53</v>
      </c>
      <c r="H186" s="24" t="s">
        <v>17</v>
      </c>
    </row>
    <row r="187" spans="4:68" ht="20.100000000000001"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100000000000001"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100000000000001"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100000000000001"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100000000000001"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100000000000001"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29" t="str" cm="1">
        <f t="array" ref="D204">Common_SourceData.Common_SourceData_EFPastureRangeAndPaddock_Variation()</f>
        <v>VARIATION FROM SOURCE DATA: Changed 'Dry climate zones' to singular 'Dry climate zone' to aid lookup.</v>
      </c>
    </row>
    <row r="205" spans="4:8" x14ac:dyDescent="0.25">
      <c r="D205" s="28" t="str" cm="1">
        <f t="array" ref="D205">Common_SourceData.Common_SourceData_EFPastureRangeAndPaddock_Unit()</f>
        <v>kg N2O - N / kg N</v>
      </c>
    </row>
    <row r="206" spans="4:8" x14ac:dyDescent="0.25">
      <c r="D206" s="24" t="s">
        <v>3</v>
      </c>
      <c r="E206" s="24" t="s">
        <v>58</v>
      </c>
    </row>
    <row r="207" spans="4:8" x14ac:dyDescent="0.25">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4" t="s">
        <v>55</v>
      </c>
      <c r="E212" s="24" t="s">
        <v>61</v>
      </c>
    </row>
    <row r="213" spans="4:5" x14ac:dyDescent="0.25">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4" t="s">
        <v>34</v>
      </c>
      <c r="E231" s="24" t="s">
        <v>69</v>
      </c>
      <c r="F231" s="23" t="s">
        <v>70</v>
      </c>
      <c r="G231" s="24" t="s">
        <v>65</v>
      </c>
      <c r="H231" s="24" t="s">
        <v>71</v>
      </c>
      <c r="I231" s="24" t="s">
        <v>72</v>
      </c>
      <c r="J231" s="24" t="s">
        <v>64</v>
      </c>
      <c r="K231" s="24" t="s">
        <v>63</v>
      </c>
      <c r="L231" s="24" t="s">
        <v>73</v>
      </c>
      <c r="M231" s="24" t="s">
        <v>74</v>
      </c>
      <c r="N231" s="24" t="s">
        <v>62</v>
      </c>
      <c r="O231" s="24" t="s">
        <v>75</v>
      </c>
      <c r="P231" s="24" t="s">
        <v>67</v>
      </c>
      <c r="Q231" s="24" t="s">
        <v>68</v>
      </c>
      <c r="R231" s="24" t="s">
        <v>66</v>
      </c>
      <c r="S231" s="24" t="s">
        <v>76</v>
      </c>
    </row>
    <row r="232" spans="4:19" x14ac:dyDescent="0.25">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8" t="str" cm="1">
        <f t="array" ref="D256">Common_SourceData.Common_SourceData_EFOrganicFertiliserAndCropResidues_Unit()</f>
        <v>kg N2O - N / kg N</v>
      </c>
    </row>
    <row r="257" spans="4:5" x14ac:dyDescent="0.25">
      <c r="D257" s="24" t="s">
        <v>77</v>
      </c>
      <c r="E257" s="24" t="s">
        <v>78</v>
      </c>
    </row>
    <row r="258" spans="4:5" x14ac:dyDescent="0.25">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cAYQBzAHQAZQB3AGEAdABlAHI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QAOgAgAE0AZQB0AGgAYQBuAGUAIABjAG8AcgByAGUAYwB0AGkAbwBuACAAZgBhAGMAdABvAHIAIABmAG8AcgAgAHQAcgBlAGEAdABtAGUAbgB0ACAAZgBhAGMAaQBsAGkAdAB5ACAAdAB5AHAAZQAgAHQAIAB1AHMAZQBkACAAdABvACAAdAByAGUAYQB0ACAAcwBsAHUAZABnAGUAIAAoAGYAcgBhAGMAdABpAG8AbgApACAAKABDAEYAcwBsAHUAZABnAGUALAB0ACkAXABuAD0APQA9AD0APQA9AD0APQA9AD0APQA9AD0APQA9AD0APQA9AD0APQA9AD0APQA9AD0APQA9AD0APQA9AD0APQA9AD0APQA9AD0APQA9AD0APQA9AD0APQA9AD0APQA9AD0APQA9AD0APQA9AD0APQA9AD0APQA9AD0APQA9AD0APQA9AD0APQA9AD0APQA9AD0APQA9AD0AXABuACoALwBcAG4AXABuAFcAYQBzAHQAZQBfAE0AZQB0AGgAYQBuAGUAQwBvAHIAcgBlAGMAdABpAG8AbgBGAGEAYwB0AG8AcgBTAGwAdQBkAGcAZQBfAFQAaQB0AGwAZQBcAG4APQBMAEEATQBCAEQAQQAoACgAXAAiAE0AZQB0AGgAYQBuAGUAIABjAG8AcgByAGUAYwB0AGkAbwBuACAAZgBhAGMAdABvAHIAIABmAG8AcgAgAHQAcgBlAGEAdABtAGUAbgB0ACAAZgBhAGMAaQBsAGkAdAB5ACAAdAB5AHAAZQAgAHQAIAB1AHMAZQBkACAAdABvACAAdAByAGUAYQB0ACAAcwBsAHUAZABnAGUAXAAiACkAKQA7AFwAbgBcAG4AVwBhAHMAdABlAF8ATQBlAHQAaABhAG4AZQBDAG8AcgByAGUAYwB0AGkAbwBuAEYAYQBjAHQAbwByAFMAbAB1AGQAZwBlAF8AVgBhAHIAaQBhAGIAbABlAFwAbgA9AEwAQQBNAEIARABBACgAKABcACIAQwBGAHMAbAB1AGQAZwBlACwAdABcACIAKQApADsAXABuAFwAbgBXAGEAcwB0AGUAXwBNAGUAdABoAGEAbgBlAEMAbwByAHIAZQBjAHQAaQBvAG4ARgBhAGMAdABvAHIAUwBsAHUAZABnAGUAXwBVAG4AaQB0AFwAbgA9AEwAQQBNAEIARABBACgAKABcACIAZgByAGEAYwB0AGkAbwBuAFwAIgApACkAOwBcAG4AXABuAFcAYQBzAHQAZQBfAE0AZQB0AGgAYQBuAGUAQwBvAHIAcgBlAGMAdABpAG8AbgBGAGEAYwB0AG8AcgBTAGwAdQBkAGcAZQBfAFMAbwB1AHIAYwBlAFwAbgA9AEwAQQBNAEIARABBACgAKABcACIAVgBFAEUAUgBHACAAMgAwADIANgA6ACAAVABhAGIAbABlACAAQQAuADQALgAxAC4ANABcACIAKQApADsAXABuAFwAbgBXAGEAcwB0AGUAXwBNAGUAdABoAGEAbgBlAEMAbwByAHIAZQBjAHQAaQBvAG4ARgBhAGMAdABvAHIAUwBsAHUAZABnAGUAXwBEAGEAdABhAFwAbgA9AEwAQQBNAEIARABBACgAXABuACAAIABNAEEASwBFAEEAUgBSAEEAWQAoADYALAAgADIALABcAG4AIAAgACAAIABMAEEATQBCAEQAQQAoAHIALABjACwAXABuACAAIAAgACAAIAAgAEkATgBEAEUAWAAoAHsAXABuACAAIAAgACAAIAAgACAAIABcACIARgBhAGMAaQBsAGkAdAB5ACAAdAB5AHAAZQAgAHQAXAAiACwAIABcACIAQwBGAHMAbAB1AGQAZwBl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MAbAB1AGQAZwBlAF8AVgBhAHIAaQBhAHQAaQBvAG4AXABuAD0ATABBAE0AQgBEAEEAKAAoAFwAIgBcACIAK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cAYQBzAHQAZQB3AGEAdABlAHIAXwBUAGkAdABsAGUAXABuAD0ATABBAE0AQgBEAEEAKAAoAFwAIgBNAGUAdABoAGEAbgBlACAAZQBtAGkAcwBzAGkAbwBuACAAZgBhAGMAdABvAHIAIABmAG8AcgAgAHcAYQBzAHQAZQB3AGEAdABlAHIAXAAiACkAKQA7AFwAbgBcAG4AVwBhAHMAdABlAF8ATQBlAHQAaABhAG4AZQBFAG0AaQBzAHMAaQBvAG4ARgBhAGMAdABvAHIAVwBhAHMAdABlAHcAYQB0AGUAcgBfAFYAYQByAGkAYQBiAGwAZQBcAG4APQBMAEEATQBCAEQAQQAoACgAXAAiAEUARgB3AHcAXAAiACkAKQA7AFwAbgBcAG4AVwBhAHMAdABlAF8ATQBlAHQAaABhAG4AZQBFAG0AaQBzAHMAaQBvAG4ARgBhAGMAdABvAHIAVwBhAHMAdABlAHcAYQB0AGUAcgBfAFUAbgBpAHQAXABuAD0ATABBAE0AQgBEAEEAKAAoAFwAIgBrAGcAIABDAEgANAAgAC8AIABrAGcAIABDAE8ARABcACIAKQApADsAXABuAFwAbgBXAGEAcwB0AGUAXwBNAGUAdABoAGEAbgBlAEUAbQBpAHMAcwBpAG8AbgBGAGEAYwB0AG8AcgBXAGEAcwB0AGUAdwBhAHQAZQByAF8AUwBvAHUAcgBjAGUAXABuAD0ATABBAE0AQgBEAEEAKAAoAFwAIgBWAEUARQBSAEcAIAAyADAAMgA2ADoAIAAxADEALgAyAC4AMwAgAEMAbwBuAHMAdABhAG4AdABzAFwAIgApACkAOwBcAG4AXABuAFcAYQBzAHQAZQBfAE0AZQB0AGgAYQBuAGUARQBtAGkAcwBzAGkAbwBuAEYAYQBjAHQAbwByAFcAYQBzAHQAZQB3AGEAdABlAHIAXwBEAGEAdABhAFwAbgA9AEwAQQBNAEIARABBACgAIAAwAC4AMgA1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XwBUAGkAdABsAGUAXABuAD0ATABBAE0AQgBEAEEAKAAoAFwAIgBNAGUAdABoAGEAbgBlACAAZQBtAGkAcwBzAGkAbwBuACAAZgBhAGMAdABvAHIAIABmAG8AcgAgAHMAbAB1AGQAZwBlAFwAIgApACkAOwBcAG4AXABuAFcAYQBzAHQAZQBfAE0AZQB0AGgAYQBuAGUARQBtAGkAcwBzAGkAbwBuAEYAYQBjAHQAbwByAFMAbAB1AGQAZwBlAF8AVgBhAHIAaQBhAGIAbABlAFwAbgA9AEwAQQBNAEIARABBACgAKABcACIARQBGAHMAbAB1AGQAZwBlAFwAIgApACkAOwBcAG4AXABuAFcAYQBzAHQAZQBfAE0AZQB0AGgAYQBuAGUARQBtAGkAcwBzAGkAbwBuAEYAYQBjAHQAbwByAFMAbAB1AGQAZwBlAF8AVQBuAGkAdABcAG4APQBMAEEATQBCAEQAQQAoACgAXAAiAGsAZwAgAEMASAA0ACAALwAgAGsAZwAgAEMATwBEAFwAIgApACkAOwBcAG4AXABuAFcAYQBzAHQAZQBfAE0AZQB0AGgAYQBuAGUARQBtAGkAcwBzAGkAbwBuAEYAYQBjAHQAbwByAFMAbAB1AGQAZwBlAF8AUwBvAHUAcgBjAGUAXABuAD0ATABBAE0AQgBEAEEAKAAoAFwAIgBWAEUARQBSAEcAIAAyADAAMgA2ADoAIAAxADEALgAyAC4AMwAgAEMAbwBuAHMAdABhAG4AdABzAFwAIgApACkAOwBcAG4AXABuAFcAYQBzAHQAZQBfAE0AZQB0AGgAYQBuAGUARQBtAGkAcwBzAGkAbwBuAEYAYQBjAHQAbwByAFMAbAB1AGQAZwBlAF8ARABhAHQAYQBcAG4APQBMAEEATQBCAEQAQQAoADAALgAyADUAKQA7AFwAbgBcAG4ALwAqAFwAbgA9AD0APQA9AD0APQA9AD0APQA9AD0APQA9AD0APQA9AD0APQA9AD0APQA9AD0APQA9AD0APQA9AD0APQA9AD0APQA9AD0APQA9AD0APQA9AD0APQA9AD0APQA9AD0APQA9AD0APQA9AD0APQA9AD0APQA9AD0APQA9AD0APQA9AD0APQA9AD0APQA9AD0APQA9AD0APQA9AFwAbgAqAC8AXABuAFwAbgBXAGEAcwB0AGUAXwBFAG4AZQByAGcAeQBDAG8AbgB0AGUAbgB0AEYAYQBjAHQAbwByAFMAbAB1AGQAZwBlAEIAaQBvAGcAYQBzAEYAbABhAHIAZQBkAF8AVABpAHQAbABlAFwAbgA9AEwAQQBNAEIARABBACgAKABcACIARQBuAGUAcgBnAHkAIABjAG8AbgB0AGUAbgB0ACAAZgBhAGMAdABvAHIAIABvAGYAIABzAGwAdQBkAGcAZQAgAGIAaQBvAGcAYQBzACAAZgBsAGEAcgBlAGQAXAAiACkAKQA7AFwAbgBcAG4AVwBhAHMAdABlAF8ARQBuAGUAcgBnAHkAQwBvAG4AdABlAG4AdABGAGEAYwB0AG8AcgBTAGwAdQBkAGcAZQBCAGkAbwBnAGEAcwBGAGwAYQByAGUAZABfAFYAYQByAGkAYQBiAGwAZQBcAG4APQBMAEEATQBCAEQAQQAoACgAXAAiAEUAQwBmAGwAYQByAGUAZABcACIAKQApADsAXABuAFwAbgBXAGEAcwB0AGUAXwBFAG4AZQByAGcAeQBDAG8AbgB0AGUAbgB0AEYAYQBjAHQAbwByAFMAbAB1AGQAZwBlAEIAaQBvAGcAYQBzAEYAbABhAHIAZQBkAF8AVQBuAGkAdABcAG4APQBMAEEATQBCAEQAQQAoACgAXAAiAEcASgAgAC8AIABtADMAXAAiACkAKQA7AFwAbgBcAG4AVwBhAHMAdABlAF8ARQBuAGUAcgBnAHkAQwBvAG4AdABlAG4AdABGAGEAYwB0AG8AcgBTAGwAdQBkAGcAZQBCAGkAbwBnAGEAcwBGAGwAYQByAGUAZABfAFMAbwB1AHIAYwBlAFwAbgA9AEwAQQBNAEIARABBACgAKABcACIAVgBFAEUAUgBHACAAMgAwADIANgA6ACAAMQAxAC4AMgAuADMAIABDAG8AbgBzAHQAYQBuAHQAcwBcACIAKQApADsAXABuAFwAbgBXAGEAcwB0AGUAXwBFAG4AZQByAGcAeQBDAG8AbgB0AGUAbgB0AEYAYQBjAHQAbwByAFMAbAB1AGQAZwBlAEIAaQBvAGcAYQBzAEYAbABhAHIAZQBkAF8ARABhAHQAYQBcAG4APQBMAEEATQBCAEQAQQAoADAALgAwADMANwA3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QgBpAG8AZwBhAHMARgBsAGEAcgBlAGQAXwBUAGkAdABsAGUAXABuAD0ATABBAE0AQgBEAEEAKAAoAFwAIgBNAGUAdABoAGEAbgBlACAAZQBtAGkAcwBzAGkAbwBuACAAZgBhAGMAdABvAHIAIABmAG8AcgAgAHMAbAB1AGQAZwBlACAAYgBpAG8AZwBhAHMAIABmAGwAYQByAGUAZABcACIAKQApADsAXABuAFwAbgBXAGEAcwB0AGUAXwBNAGUAdABoAGEAbgBlAEUAbQBpAHMAcwBpAG8AbgBGAGEAYwB0AG8AcgBTAGwAdQBkAGcAZQBCAGkAbwBnAGEAcwBGAGwAYQByAGUAZABfAFYAYQByAGkAYQBiAGwAZQBcAG4APQBMAEEATQBCAEQAQQAoACgAXAAiAEUARgBmAGwAYQByAGUAZAAsAEMASAA0AFwAIgApACkAOwBcAG4AXABuAFcAYQBzAHQAZQBfAE0AZQB0AGgAYQBuAGUARQBtAGkAcwBzAGkAbwBuAEYAYQBjAHQAbwByAFMAbAB1AGQAZwBlAEIAaQBvAGcAYQBzAEYAbABhAHIAZQBkAF8AVQBuAGkAdABcAG4APQBMAEEATQBCAEQAQQAoACgAXAAiAGsAZwAgAEMASAA0ACAALwAgAEcASgBcACIAKQApADsAXABuAFwAbgBXAGEAcwB0AGUAXwBNAGUAdABoAGEAbgBlAEUAbQBpAHMAcwBpAG8AbgBGAGEAYwB0AG8AcgBTAGwAdQBkAGcAZQBCAGkAbwBnAGEAcwBGAGwAYQByAGUAZABfAFMAbwB1AHIAYwBlAFwAbgA9AEwAQQBNAEIARABBACgAKABcACIAVgBFAEUAUgBHACAAMgAwADIANgA6ACAAMQAxAC4AMgAuADMAIABDAG8AbgBzAHQAYQBuAHQAcwBcACIAKQApADsAXABuAFwAbgBXAGEAcwB0AGUAXwBNAGUAdABoAGEAbgBlAEUAbQBpAHMAcwBpAG8AbgBGAGEAYwB0AG8AcgBTAGwAdQBkAGcAZQBCAGkAbwBnAGEAcwBGAGwAYQByAGUAZABfAEQAYQB0AGEAXABuAD0ATABBAE0AQgBEAEEAKAAwAC4AMgAyADgAOQApADsAXABuAFwAbgAvACoAXABuAD0APQA9AD0APQA9AD0APQA9AD0APQA9AD0APQA9AD0APQA9AD0APQA9AD0APQA9AD0APQA9AD0APQA9AD0APQA9AD0APQA9AD0APQA9AD0APQA9AD0APQA9AD0APQA9AD0APQA9AD0APQA9AD0APQA9AD0APQA9AD0APQA9AD0APQA9AD0APQA9AD0APQA9AD0APQA9AD0AXABuACoALwBcAG4AXABuAFcAYQBzAHQAZQBfAE4AaQB0AHIAbwB1AHMATwB4AGkAZABlAEUAbQBpAHMAcwBpAG8AbgBGAGEAYwB0AG8AcgBTAGwAdQBkAGcAZQBCAGkAbwBnAGEAcwBGAGwAYQByAGUAZABfAFQAaQB0AGwAZQBcAG4APQBMAEEATQBCAEQAQQAoACgAXAAiAE4AaQB0AHIAbwB1AHMAIABvAHgAaQBkAGUAIABlAG0AaQBzAHMAaQBvAG4AIABmAGEAYwB0AG8AcgAgAGYAbwByACAAcwBsAHUAZABnAGUAIABiAGkAbwBnAGEAcwAgAGYAbABhAHIAZQBkAFwAIgApACkAOwBcAG4AXABuAFcAYQBzAHQAZQBfAE4AaQB0AHIAbwB1AHMATwB4AGkAZABlAEUAbQBpAHMAcwBpAG8AbgBGAGEAYwB0AG8AcgBTAGwAdQBkAGcAZQBCAGkAbwBnAGEAcwBGAGwAYQByAGUAZABfAFYAYQByAGkAYQBiAGwAZQBcAG4APQBMAEEATQBCAEQAQQAoACgAXAAiAEUARgBmAGwAYQByAGUAZAAsAE4AMgBPAFwAIgApACkAOwBcAG4AXABuAFcAYQBzAHQAZQBfAE4AaQB0AHIAbwB1AHMATwB4AGkAZABlAEUAbQBpAHMAcwBpAG8AbgBGAGEAYwB0AG8AcgBTAGwAdQBkAGcAZQBCAGkAbwBnAGEAcwBGAGwAYQByAGUAZABfAFUAbgBpAHQAXABuAD0ATABBAE0AQgBEAEEAKAAoAFwAIgBrAGcAIABOADIATwAgAC8AIABHAEoAXAAiACkAKQA7AFwAbgBcAG4AVwBhAHMAdABlAF8ATgBpAHQAcgBvAHUAcwBPAHgAaQBkAGUARQBtAGkAcwBzAGkAbwBuAEYAYQBjAHQAbwByAFMAbAB1AGQAZwBlAEIAaQBvAGcAYQBzAEYAbABhAHIAZQBkAF8AUwBvAHUAcgBjAGUAXABuAD0ATABBAE0AQgBEAEEAKAAoAFwAIgBWAEUARQBSAEcAIAAyADAAMgA2ADoAIAAxADEALgAyAC4AMwAgAEMAbwBuAHMAdABhAG4AdABzAFwAIgApACkAOwBcAG4AXABuAFcAYQBzAHQAZQBfAE4AaQB0AHIAbwB1AHMATwB4AGkAZABlAEUAbQBpAHMAcwBpAG8AbgBGAGEAYwB0AG8AcgBTAGwAdQBkAGcAZQBCAGkAbwBnAGEAcwBGAGwAYQByAGUAZABfAEQAYQB0AGEAXABuAD0ATABBAE0AQgBEAEEAKAAxAC4AMQAzADIAZQAtADQAKQA7AFwAbgAiAH0ALAB7ACIAcABhAHQAaAAiADoAIgAvAHAAcgBvAGoAZQBjAHQAcwAvAFcAYQBzAHQAZQB3AGEAdABlAHIAXwBOADIATwBfAEUAcQB1AGEAdABpAG8AbgBzACIALAAiAHQAZQB4AHQAIgA6ACIALwAqAFwAbgA9AD0APQA9AD0APQA9AD0APQA9AD0APQA9AD0APQA9AD0APQA9AD0APQA9AD0APQA9AD0APQA9AD0APQA9AD0APQA9AD0APQA9AD0APQA9AD0APQA9AD0APQA9AD0APQA9AD0APQA9AD0APQA9AD0APQA9AD0APQA9AD0APQA9AD0APQA9AD0APQA9AD0APQA9AD0APQA9AFwAbgAxADEALgAxADoAIABXAGEAcwB0AGUAdwBhAHQAZQByAFwAbgA9AD0APQA9AD0APQA9AD0APQA9AD0APQA9AD0APQA9AD0APQA9AD0APQA9AD0APQA9AD0APQA9AD0APQA9AD0APQA9AD0APQA9AD0APQA9AD0APQA9AD0APQA9AD0APQA9AD0APQA9AD0APQA9AD0APQA9AD0APQA9AD0APQA9AD0APQA9AD0APQA9AD0APQA9AD0APQA9AFwAbgAxADEALgAxAC4AMwAuADEAIABNAGUAdABoAG8AZAAgADEAIAAtACAATgBpAHQAcgBvAHUAcwAgAG8AeABpAGQAZQAgAGUAbQBpAHMAcwBpAG8AbgBzACAAZgByAG8AbQAgAG8AbgBzAGkAdABlACAAVwBhAHMAdABlAHcAYQB0AGUAcgAgAE0AYQBuAGEAZwBl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EAXwAxAF8AMwBfADEAXwBfADEAXwBOAGkAdAByAG8AdQBzAE8AeABpAGQAZQBFAG0AaQBzAHMAaQBvAG4AcwBGAHIAbwBtAEYAbABhAHIAZQBkAEIAaQBvAGcAYQBzAFwAbgBOAGkAdAByAG8AdQBzACAAbwB4AGkAZABlACAAZQBtAGkAcwBzAGkAbwBuAHMAIABmAHIAbwBtACAAZgBsAGEAcgBlAGQAIABiAGkAbwBnAGEAcwBcAG4ARQBfAE4AMgBPAFwAbgB0ACAATgAyAE8AXABuAEUAXwB7AE4AMgBPAH0APQBcAFwAZgByAGEAYwB7AFEAXwB7AGYAbABhAHIAZQBkAH0AfQB7ADEAMAAwADAAfQBcAFwAdABpAG0AZQBzACAARQBGAF8AewBmAGwAYQByAGUAZAAsAE4AMgBPAH0AXABuAFEAXwBmAGwAYQByAGUAZAAgAD0AIAB2AG8AbAB1AG0AZQAgAG8AZgAgAGIAaQBvAGcAYQBzACAAZgBsAGEAcgBlAGQAIAAoAG0AMwAgAG8AcgAgAEcASgApAFwAbgBFAEYAXwBmAGwAYQByAGUAZABfAE4AMgBPACAAPQAgAG4AaQB0AHIAbwB1AHMAIABvAHgAaQBkAGUAIABlAG0AaQBzAHMAaQBvAG4AIABmAGEAYwB0AG8AcgAgAGYAbwByACAAZgBsAGEAcgBlAGQAIABiAGkAbwBnAGEAcwAgACgAawBnACAATgAyAE8ALwBHAEoAKQBcAG4ALQAtAC0ALQAtAC0ALQAtAC0ALQAtAC0ALQAtAC0ALQAtAC0ALQAtAC0ALQAtAC0ALQAtAC0ALQAtAC0ALQAtAC0ALQAtAC0ALQAtAFwAbgAqAC8AXABuAFwAbgBWAEUARQBSAEcAXwAxADEAXwAxAF8AMwBfADEAXwBfADEAXwBOAGkAdAByAG8AdQBzAE8AeABpAGQAZQBFAG0AaQBzAHMAaQBvAG4AcwBGAHIAbwBtAEYAbABhAHIAZQBkAEIAaQBvAGcAYQBzAFwAbgAgACAAPQBMAEEATQBCAEQAQQAoAFwAbgAgACAAIAAgAFEAXwBmAGwAYQByAGUAZAAsACAARQBDAF8AZgBsAGEAcgBlAGQALAAgAEUARgBfAGYAbABhAHIAZQBkAE4AMgBPACwAXABuACAAIAAgACAAKABRAF8AZgBsAGEAcgBlAGQAIAAvACAAMQAwADAAMAApACAAKgAgACgARQBDAF8AZgBsAGEAcgBlAGQAIAAqACAARQBGAF8AZgBsAGEAcgBlAGQATgAyAE8AKQBcAG4AIAAgACkAOwBcAG4AXABuAFYARQBFAFIARwBfADEAMQBfADEAXwAzAF8AMQBfAF8AMQBfAE4AaQB0AHIAbwB1AHMATwB4AGkAZABlAEUAbQBpAHMAcwBpAG8AbgBzAEYAcgBvAG0ARgBsAGEAcgBlAGQAQgBpAG8AZwBhAHMAXwBUAGkAdABsAGUAXABuACAAIAA9AEwAQQBNAEIARABBACgAXAAiAE4AaQB0AHIAbwB1AHMAIABvAHgAaQBkAGUAIABlAG0AaQBzAHMAaQBvAG4AcwAgAGYAcgBvAG0AIABmAGwAYQByAGUAZAAgAGIAaQBvAGcAYQBzAFwAIgApADsAXABuAFwAbgBWAEUARQBSAEcAXwAxADEAXwAxAF8AMwBfADEAXwBfADEAXwBOAGkAdAByAG8AdQBzAE8AeABpAGQAZQBFAG0AaQBzAHMAaQBvAG4AcwBGAHIAbwBtAEYAbABhAHIAZQBkAEIAaQBvAGcAYQBzAF8AVgBhAHIAaQBhAGIAbABlAFwAbgAgACAAPQBMAEEATQBCAEQAQQAoAFwAIgBFAF8ATgAyAE8AXAAiACkAOwBcAG4AXABuAFYARQBFAFIARwBfADEAMQBfADEAXwAzAF8AMQBfAF8AMQBfAE4AaQB0AHIAbwB1AHMATwB4AGkAZABlAEUAbQBpAHMAcwBpAG8AbgBzAEYAcgBvAG0ARgBsAGEAcgBlAGQAQgBpAG8AZwBhAHMAXwBVAG4AaQB0AFwAbgAgACAAPQBMAEEATQBCAEQAQQAoAFwAIgB0ACAATgAyAE8AXAAiACkAOwBcAG4AXABuAFYARQBFAFIARwBfADEAMQBfADEAXwAzAF8AMQBfAF8AMQBfAE4AaQB0AHIAbwB1AHMATwB4AGkAZABlAEUAbQBpAHMAcwBpAG8AbgBzAEYAcgBvAG0ARgBsAGEAcgBlAGQAQgBpAG8AZwBhAHMAXwBTAG8AdQByAGMAZQBcAG4AIAAgAD0ATABBAE0AQgBEAEEAKABcACIAVgBFAEUAUgBHACAAMgAwADIANgA6ACAAMQAxAC4AMQAuADMALgAxACwAIABFAHEAdQBhAHQAaQBvAG4AIAAoADEAKQBcACIAKQA7AFwAbgBcAG4AVgBFAEUAUgBHAF8AMQAxAF8AMQBfADMAXwAxAF8AXwAxAF8ATgBpAHQAcgBvAHUAcwBPAHgAaQBkAGUARQBtAGkAcwBzAGkAbwBuAHMARgByAG8AbQBGAGwAYQByAGUAZABCAGkAbwBnAGEAcwBfAE4ASQBSAFIAZQBmAGUAcgBlAG4AYwBlAFwAbgAgACAAPQBMAEEATQBCAEQAQQAoAFwAIgBcACIAKQA7AFwAbgBcAG4AVgBFAEUAUgBHAF8AMQAxAF8AMQBfADMAXwAxAF8AXwAxAF8ATgBpAHQAcgBvAHUAcwBPAHgAaQBkAGUARQBtAGkAcwBzAGkAbwBuAHMARgByAG8AbQBGAGwAYQByAGUAZABCAGkAbwBnAGEAcwBfAEwAYQB0AGUAeABFAHEAdQBhAHQAaQBvAG4AXABuACAAIAA9AEwAQQBNAEIARABBACgAXAAiAEUAXwB7AE4AMgBPAH0APQBcAFwAZgByAGEAYwB7AFEAXwB7AGYAbABhAHIAZQBkAH0AfQB7ADEAMAAwADAAfQBcAFwAdABpAG0AZQBzACAAXABcAGwAZQBmAHQAWwBFAEMAXwB7AGYAbABhAHIAZQBkAH0AIABcAFwAdABpAG0AZQBzACAARQBGAF8AewBmAGwAYQByAGUAZAAsAE4AMgBPAH0AXABcAHIAaQBnAGgAdABdAFwAIgApADsAXABuAFwAbgBWAEUARQBSAEcAXwAxADEAXwAxAF8AMwBfADEAXwBfADEAXwBOAGkAdAByAG8AdQBzAE8AeABpAGQAZQBFAG0AaQBzAHMAaQBvAG4AcwBGAHIAbwBtAEYAbABhAHIAZQBkAEIAaQBvAGcAYQBzAF8AQQByAGcAdQBtAGUAbgB0AHMAXABuACAAIAA9AEwAQQBNAEIARABBACgAXABuACAAIAAgACAATQBBAEsARQBBAFIAUgBBAFkAKAAzACwAIAA0ACwAXABuACAAIAAgACAAIAAgAEwAQQBNAEIARABBACgAcgAsAGMALABcAG4AIAAgACAAIAAgACAAIAAgAEkATgBEAEUAWAAoAHsAXABuACAAIAAgACAAIAAgACAAIAAgACAAXAAiAFEAXwBmAGwAYQByAGUAZABcACIALAAgAFwAIgB2AG8AbAB1AG0AZQAgAG8AZgAgAGIAaQBvAGcAYQBzACAAZgBsAGEAcgBlAGQAXAAiACwAIABcACIAbQAzAFwAIgAsACAAXAAiAEkAbgBwAHUAdABcACIAOwBcAG4AIAAgACAAIAAgACAAIAAgACAAIABcACIARQBDAF8AZgBsAGEAcgBlAGQAXAAiACwAIABcACIAZQBuAGUAcgBnAHkAIABjAG8AbgB0AGUAbgB0ACAAZgBhAGMAdABvAHIAIABvAGYAIABzAGwAdQBkAGcAZQAgAGIAaQBvAGcAYQBzACAAZgBsAGEAcgBlAGQAXAAiACwAIABcACIARwBKAC8AbQAzAFwAIgAsACAAXAAiAEMAbwBuAHMAdABhAG4AdABcACIAOwBcAG4AIAAgACAAIAAgACAAIAAgACAAIABcACIARQBGAF8AZgBsAGEAcgBlAGQATgAyAE8AXAAiACwAIABcACIAbgBpAHQAcgBvAHUAcwAgAG8AeABpAGQAZQAgAGUAbQBpAHMAcwBpAG8AbgAgAGYAYQBjAHQAbwByACAAZgBvAHIAIABmAGwAYQByAGUAZAAgAGIAaQBvAGcAYQBzAFwAIgAsACAAXAAiAGsAZwAgAE4AMgBPAC8ARwBKAFwAIgAsACAAXAAiAEMAbwBuAHMAdABhAG4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3AGEAdABlAHIAXwBNAGUAdABoAGEAbgBlAF8ARQBxAHUAYQB0AGkAbwBuAHMALgBWAEUARQBSAEcAXwAxADEAXwAxAF8AMQBfADEAXwBfADEAXwBNAGUAdABoAGEAbgBlAEUAbQBpAHMAcwBpAG8AbgBzAEYAcgBvAG0AVwBhAHMAdABlAHcAYQB0AGUAcgBUAHIAZQBhAHQAbQBlAG4AdAAiACwAIgBXAGEAcwB0AGUAdwBhAHQAZQByAF8ATQBlAHQAaABhAG4AZQBfAEUAcQB1AGEAdABpAG8AbgBzAC4AVgBFAEUAUgBHAF8AMQAxAF8AMQBfADEAXwAxAF8AXwAxAF8ATQBlAHQAaABhAG4AZQBFAG0AaQBzAHMAaQBvAG4AcwBGAHIAbwBtAFcAYQBzAHQAZQB3AGEAdABlAHIAVAByAGUAYQB0AG0AZQBuAHQAXwBUAGkAdABsAGUAIgAsACIAVwBhAHMAdABlAHcAYQB0AGUAcgBfAE0AZQB0AGgAYQBuAGUAXwBFAHEAdQBhAHQAaQBvAG4AcwAuAFYARQBFAFIARwBfADEAMQBfADEAXwAxAF8AMQBfAF8AMQBfAE0AZQB0AGgAYQBuAGUARQBtAGkAcwBzAGkAbwBuAHMARgByAG8AbQBXAGEAcwB0AGUAdwBhAHQAZQByAFQAcgBlAGEAdABtAGUAbgB0AF8AVgBhAHIAaQBhAGIAbABlACIALAAiAFcAYQBzAHQAZQB3AGEAdABlAHIAXwBNAGUAdABoAGEAbgBlAF8ARQBxAHUAYQB0AGkAbwBuAHMALgBWAEUARQBSAEcAXwAxADEAXwAxAF8AMQBfADEAXwBfADEAXwBNAGUAdABoAGEAbgBlAEUAbQBpAHMAcwBpAG8AbgBzAEYAcgBvAG0AVwBhAHMAdABlAHcAYQB0AGUAcgBUAHIAZQBhAHQAbQBlAG4AdABfAFUAbgBpAHQAIgAsACIAVwBhAHMAdABlAHcAYQB0AGUAcgBfAE0AZQB0AGgAYQBuAGUAXwBFAHEAdQBhAHQAaQBvAG4AcwAuAFYARQBFAFIARwBfADEAMQBfADEAXwAxAF8AMQBfAF8AMQBfAE0AZQB0AGgAYQBuAGUARQBtAGkAcwBzAGkAbwBuAHMARgByAG8AbQBXAGEAcwB0AGUAdwBhAHQAZQByAFQAcgBlAGEAdABtAGUAbgB0AF8AUwBvAHUAcgBjAGUAIgAsACIAVwBhAHMAdABlAHcAYQB0AGUAcgBfAE0AZQB0AGgAYQBuAGUAXwBFAHEAdQBhAHQAaQBvAG4AcwAuAFYARQBFAFIARwBfADEAMQBfADEAXwAxAF8AMQBfAF8AMQBfAE0AZQB0AGgAYQBuAGUARQBtAGkAcwBzAGkAbwBuAHMARgByAG8AbQBXAGEAcwB0AGUAdwBhAHQAZQByAFQAcgBlAGEAdABtAGUAbgB0AF8ATgBJAFIAUgBlAGYAZQByAGUAbgBjAGUAIgAsACIAVwBhAHMAdABlAHcAYQB0AGUAcgBfAE0AZQB0AGgAYQBuAGUAXwBFAHEAdQBhAHQAaQBvAG4AcwAuAFYARQBFAFIARwBfADEAMQBfADEAXwAxAF8AMQBfAF8AMQBfAE0AZQB0AGgAYQBuAGUARQBtAGkAcwBzAGkAbwBuAHMARgByAG8AbQBXAGEAcwB0AGUAdwBhAHQAZQByAFQAcgBlAGEAdABtAGUAbgB0AF8ATABhAHQAZQB4AEUAcQB1AGEAdABpAG8AbgAiACwAIgBXAGEAcwB0AGUAdwBhAHQAZQByAF8ATQBlAHQAaABhAG4AZQBfAEUAcQB1AGEAdABpAG8AbgBzAC4AVgBFAEUAUgBHAF8AMQAxAF8AMQBfADEAXwAxAF8AXwAxAF8ATQBlAHQAaABhAG4AZQBFAG0AaQBzAHMAaQBvAG4AcwBGAHIAbwBtAFcAYQBzAHQAZQB3AGEAdABlAHIAVAByAGUAYQB0AG0AZQBuAHQAXwBBAHIAZwB1AG0AZQBuAHQAcwAiACwAIgBXAGEAcwB0AGUAdwBhAHQAZQByAF8ATQBlAHQAaABhAG4AZQBfAEUAcQB1AGEAdABpAG8AbgBzAC4AVgBFAEUAUgBHAF8AMQAxAF8AMQBfADEAXwAxAF8AXwAxAF8ATQBlAHQAaABhAG4AZQBFAG0AaQBzAHMAaQBvAG4AcwBGAHIAbwBtAFcAYQBzAHQAZQB3AGEAdABlAHIAVAByAGUAYQB0AG0AZQBuAHQAXwBWAGEAcgBpAGEAdABpAG8AbgAiACwAIgBXAGEAcwB0AGUAdwBhAHQAZQByAF8AUwBvAHUAcgBjAGUARABhAHQAYQAuAFcAYQBzAHQAZQBfAE0AZQB0AGgAYQBuAGUAQwBvAHIAcgBlAGMAdABpAG8AbgBGAGEAYwB0AG8AcgBXAGEAcwB0AGUAdwBhAHQAZQByAF8AVABpAHQAbABlACIALAAiAFcAYQBzAHQAZQB3AGEAdABlAHIAXwBTAG8AdQByAGMAZQBEAGEAdABhAC4AVwBhAHMAdABlAF8ATQBlAHQAaABhAG4AZQBDAG8AcgByAGUAYwB0AGkAbwBuAEYAYQBjAHQAbwByAFcAYQBzAHQAZQB3AGEAdABlAHIAXwBWAGEAcgBpAGEAYgBsAGUAIgAsACIAVwBhAHMAdABlAHcAYQB0AGUAcgBfAFMAbwB1AHIAYwBlAEQAYQB0AGEALgBXAGEAcwB0AGUAXwBNAGUAdABoAGEAbgBlAEMAbwByAHIAZQBjAHQAaQBvAG4ARgBhAGMAdABvAHIAVwBhAHMAdABlAHcAYQB0AGUAcgBfAFUAbgBpAHQAIgAsACIAVwBhAHMAdABlAHcAYQB0AGUAcgBfAFMAbwB1AHIAYwBlAEQAYQB0AGEALgBXAGEAcwB0AGUAXwBNAGUAdABoAGEAbgBlAEMAbwByAHIAZQBjAHQAaQBvAG4ARgBhAGMAdABvAHIAVwBhAHMAdABlAHcAYQB0AGUAcgBfAFMAbwB1AHIAYwBlACIALAAiAFcAYQBzAHQAZQB3AGEAdABlAHIAXwBTAG8AdQByAGMAZQBEAGEAdABhAC4AVwBhAHMAdABlAF8ATQBlAHQAaABhAG4AZQBDAG8AcgByAGUAYwB0AGkAbwBuAEYAYQBjAHQAbwByAFcAYQBzAHQAZQB3AGEAdABlAHIAXwBEAGEAdABhACIALAAiAFcAYQBzAHQAZQB3AGEAdABlAHIAXwBTAG8AdQByAGMAZQBEAGEAdABhAC4AVwBhAHMAdABlAF8ATQBlAHQAaABhAG4AZQBDAG8AcgByAGUAYwB0AGkAbwBuAEYAYQBjAHQAbwByAFcAYQBzAHQAZQB3AGEAdABlAHIAXwBWAGEAcgBpAGEAdABpAG8AbgAiACwAIgBXAGEAcwB0AGUAdwBhAHQAZQByAF8AUwBvAHUAcgBjAGUARABhAHQAYQAuAFcAYQBzAHQAZQBfAE0AZQB0AGgAYQBuAGUAQwBvAHIAcgBlAGMAdABpAG8AbgBGAGEAYwB0AG8AcgBTAGwAdQBkAGcAZQBfAFQAaQB0AGwAZQAiACwAIgBXAGEAcwB0AGUAdwBhAHQAZQByAF8AUwBvAHUAcgBjAGUARABhAHQAYQAuAFcAYQBzAHQAZQBfAE0AZQB0AGgAYQBuAGUAQwBvAHIAcgBlAGMAdABpAG8AbgBGAGEAYwB0AG8AcgBTAGwAdQBkAGcAZQBfAFYAYQByAGkAYQBiAGwAZQAiACwAIgBXAGEAcwB0AGUAdwBhAHQAZQByAF8AUwBvAHUAcgBjAGUARABhAHQAYQAuAFcAYQBzAHQAZQBfAE0AZQB0AGgAYQBuAGUAQwBvAHIAcgBlAGMAdABpAG8AbgBGAGEAYwB0AG8AcgBTAGwAdQBkAGcAZQBfAFUAbgBpAHQAIgAsACIAVwBhAHMAdABlAHcAYQB0AGUAcgBfAFMAbwB1AHIAYwBlAEQAYQB0AGEALgBXAGEAcwB0AGUAXwBNAGUAdABoAGEAbgBlAEMAbwByAHIAZQBjAHQAaQBvAG4ARgBhAGMAdABvAHIAUwBsAHUAZABnAGUAXwBTAG8AdQByAGMAZQAiACwAIgBXAGEAcwB0AGUAdwBhAHQAZQByAF8AUwBvAHUAcgBjAGUARABhAHQAYQAuAFcAYQBzAHQAZQBfAE0AZQB0AGgAYQBuAGUAQwBvAHIAcgBlAGMAdABpAG8AbgBGAGEAYwB0AG8AcgBTAGwAdQBkAGcAZQBfAEQAYQB0AGEAIgAsACIAVwBhAHMAdABlAHcAYQB0AGUAcgBfAFMAbwB1AHIAYwBlAEQAYQB0AGEALgBXAGEAcwB0AGUAXwBNAGUAdABoAGEAbgBlAEMAbwByAHIAZQBjAHQAaQBvAG4ARgBhAGMAdABvAHIAUwBsAHUAZABnAGUAXwBWAGEAcgBpAGEAdABpAG8AbgAiACwAIgBXAGEAcwB0AGUAdwBhAHQAZQByAF8AUwBvAHUAcgBjAGUARABhAHQAYQAuAFcAYQBzAHQAZQBfAE0AZQB0AGgAYQBuAGUARQBtAGkAcwBzAGkAbwBuAEYAYQBjAHQAbwByAFcAYQBzAHQAZQB3AGEAdABlAHIAXwBUAGkAdABsAGUAIgAsACIAVwBhAHMAdABlAHcAYQB0AGUAcgBfAFMAbwB1AHIAYwBlAEQAYQB0AGEALgBXAGEAcwB0AGUAXwBNAGUAdABoAGEAbgBlAEUAbQBpAHMAcwBpAG8AbgBGAGEAYwB0AG8AcgBXAGEAcwB0AGUAdwBhAHQAZQByAF8AVgBhAHIAaQBhAGIAbABlACIALAAiAFcAYQBzAHQAZQB3AGEAdABlAHIAXwBTAG8AdQByAGMAZQBEAGEAdABhAC4AVwBhAHMAdABlAF8ATQBlAHQAaABhAG4AZQBFAG0AaQBzAHMAaQBvAG4ARgBhAGMAdABvAHIAVwBhAHMAdABlAHcAYQB0AGUAcgBfAFUAbgBpAHQAIgAsACIAVwBhAHMAdABlAHcAYQB0AGUAcgBfAFMAbwB1AHIAYwBlAEQAYQB0AGEALgBXAGEAcwB0AGUAXwBNAGUAdABoAGEAbgBlAEUAbQBpAHMAcwBpAG8AbgBGAGEAYwB0AG8AcgBXAGEAcwB0AGUAdwBhAHQAZQByAF8AUwBvAHUAcgBjAGUAIgAsACIAVwBhAHMAdABlAHcAYQB0AGUAcgBfAFMAbwB1AHIAYwBlAEQAYQB0AGEALgBXAGEAcwB0AGUAXwBNAGUAdABoAGEAbgBlAEUAbQBpAHMAcwBpAG8AbgBGAGEAYwB0AG8AcgBXAGEAcwB0AGUAdwBhAHQAZQByAF8ARABhAHQAYQAiACwAIgBXAGEAcwB0AGUAdwBhAHQAZQByAF8AUwBvAHUAcgBjAGUARABhAHQAYQAuAFcAYQBzAHQAZQBfAE0AZQB0AGgAYQBuAGUARQBtAGkAcwBzAGkAbwBuAEYAYQBjAHQAbwByAFMAbAB1AGQAZwBlAF8AVABpAHQAbABlACIALAAiAFcAYQBzAHQAZQB3AGEAdABlAHIAXwBTAG8AdQByAGMAZQBEAGEAdABhAC4AVwBhAHMAdABlAF8ATQBlAHQAaABhAG4AZQBFAG0AaQBzAHMAaQBvAG4ARgBhAGMAdABvAHIAUwBsAHUAZABnAGUAXwBWAGEAcgBpAGEAYgBsAGUAIgAsACIAVwBhAHMAdABlAHcAYQB0AGUAcgBfAFMAbwB1AHIAYwBlAEQAYQB0AGEALgBXAGEAcwB0AGUAXwBNAGUAdABoAGEAbgBlAEUAbQBpAHMAcwBpAG8AbgBGAGEAYwB0AG8AcgBTAGwAdQBkAGcAZQBfAFUAbgBpAHQAIgAsACIAVwBhAHMAdABlAHcAYQB0AGUAcgBfAFMAbwB1AHIAYwBlAEQAYQB0AGEALgBXAGEAcwB0AGUAXwBNAGUAdABoAGEAbgBlAEUAbQBpAHMAcwBpAG8AbgBGAGEAYwB0AG8AcgBTAGwAdQBkAGcAZQBfAFMAbwB1AHIAYwBlACIALAAiAFcAYQBzAHQAZQB3AGEAdABlAHIAXwBTAG8AdQByAGMAZQBEAGEAdABhAC4AVwBhAHMAdABlAF8ATQBlAHQAaABhAG4AZQBFAG0AaQBzAHMAaQBvAG4ARgBhAGMAdABvAHIAUwBsAHUAZABnAGUAXwBEAGEAdABhACIALAAiAFcAYQBzAHQAZQB3AGEAdABlAHIAXwBTAG8AdQByAGMAZQBEAGEAdABhAC4AVwBhAHMAdABlAF8ARQBuAGUAcgBnAHkAQwBvAG4AdABlAG4AdABGAGEAYwB0AG8AcgBTAGwAdQBkAGcAZQBCAGkAbwBnAGEAcwBGAGwAYQByAGUAZABfAFQAaQB0AGwAZQAiACwAIgBXAGEAcwB0AGUAdwBhAHQAZQByAF8AUwBvAHUAcgBjAGUARABhAHQAYQAuAFcAYQBzAHQAZQBfAEUAbgBlAHIAZwB5AEMAbwBuAHQAZQBuAHQARgBhAGMAdABvAHIAUwBsAHUAZABnAGUAQgBpAG8AZwBhAHMARgBsAGEAcgBlAGQAXwBWAGEAcgBpAGEAYgBsAGUAIgAsACIAVwBhAHMAdABlAHcAYQB0AGUAcgBfAFMAbwB1AHIAYwBlAEQAYQB0AGEALgBXAGEAcwB0AGUAXwBFAG4AZQByAGcAeQBDAG8AbgB0AGUAbgB0AEYAYQBjAHQAbwByAFMAbAB1AGQAZwBlAEIAaQBvAGcAYQBzAEYAbABhAHIAZQBkAF8AVQBuAGkAdAAiACwAIgBXAGEAcwB0AGUAdwBhAHQAZQByAF8AUwBvAHUAcgBjAGUARABhAHQAYQAuAFcAYQBzAHQAZQBfAEUAbgBlAHIAZwB5AEMAbwBuAHQAZQBuAHQARgBhAGMAdABvAHIAUwBsAHUAZABnAGUAQgBpAG8AZwBhAHMARgBsAGEAcgBlAGQAXwBTAG8AdQByAGMAZQAiACwAIgBXAGEAcwB0AGUAdwBhAHQAZQByAF8AUwBvAHUAcgBjAGUARABhAHQAYQAuAFcAYQBzAHQAZQBfAEUAbgBlAHIAZwB5AEMAbwBuAHQAZQBuAHQARgBhAGMAdABvAHIAUwBsAHUAZABnAGUAQgBpAG8AZwBhAHMARgBsAGEAcgBlAGQAXwBEAGEAdABhACIALAAiAFcAYQBzAHQAZQB3AGEAdABlAHIAXwBTAG8AdQByAGMAZQBEAGEAdABhAC4AVwBhAHMAdABlAF8ATQBlAHQAaABhAG4AZQBFAG0AaQBzAHMAaQBvAG4ARgBhAGMAdABvAHIAUwBsAHUAZABnAGUAQgBpAG8AZwBhAHMARgBsAGEAcgBlAGQAXwBUAGkAdABsAGUAIgAsACIAVwBhAHMAdABlAHcAYQB0AGUAcgBfAFMAbwB1AHIAYwBlAEQAYQB0AGEALgBXAGEAcwB0AGUAXwBNAGUAdABoAGEAbgBlAEUAbQBpAHMAcwBpAG8AbgBGAGEAYwB0AG8AcgBTAGwAdQBkAGcAZQBCAGkAbwBnAGEAcwBGAGwAYQByAGUAZABfAFYAYQByAGkAYQBiAGwAZQAiACwAIgBXAGEAcwB0AGUAdwBhAHQAZQByAF8AUwBvAHUAcgBjAGUARABhAHQAYQAuAFcAYQBzAHQAZQBfAE0AZQB0AGgAYQBuAGUARQBtAGkAcwBzAGkAbwBuAEYAYQBjAHQAbwByAFMAbAB1AGQAZwBlAEIAaQBvAGcAYQBzAEYAbABhAHIAZQBkAF8AVQBuAGkAdAAiACwAIgBXAGEAcwB0AGUAdwBhAHQAZQByAF8AUwBvAHUAcgBjAGUARABhAHQAYQAuAFcAYQBzAHQAZQBfAE0AZQB0AGgAYQBuAGUARQBtAGkAcwBzAGkAbwBuAEYAYQBjAHQAbwByAFMAbAB1AGQAZwBlAEIAaQBvAGcAYQBzAEYAbABhAHIAZQBkAF8AUwBvAHUAcgBjAGUAIgAsACIAVwBhAHMAdABlAHcAYQB0AGUAcgBfAFMAbwB1AHIAYwBlAEQAYQB0AGEALgBXAGEAcwB0AGUAXwBNAGUAdABoAGEAbgBlAEUAbQBpAHMAcwBpAG8AbgBGAGEAYwB0AG8AcgBTAGwAdQBkAGcAZQBCAGkAbwBnAGEAcwBGAGwAYQByAGUAZABfAEQAYQB0AGEAIgAsACIAVwBhAHMAdABlAHcAYQB0AGUAcgBfAFMAbwB1AHIAYwBlAEQAYQB0AGEALgBXAGEAcwB0AGUAXwBOAGkAdAByAG8AdQBzAE8AeABpAGQAZQBFAG0AaQBzAHMAaQBvAG4ARgBhAGMAdABvAHIAUwBsAHUAZABnAGUAQgBpAG8AZwBhAHMARgBsAGEAcgBlAGQAXwBUAGkAdABsAGUAIgAsACIAVwBhAHMAdABlAHcAYQB0AGUAcgBfAFMAbwB1AHIAYwBlAEQAYQB0AGEALgBXAGEAcwB0AGUAXwBOAGkAdAByAG8AdQBzAE8AeABpAGQAZQBFAG0AaQBzAHMAaQBvAG4ARgBhAGMAdABvAHIAUwBsAHUAZABnAGUAQgBpAG8AZwBhAHMARgBsAGEAcgBlAGQAXwBWAGEAcgBpAGEAYgBsAGUAIgAsACIAVwBhAHMAdABlAHcAYQB0AGUAcgBfAFMAbwB1AHIAYwBlAEQAYQB0AGEALgBXAGEAcwB0AGUAXwBOAGkAdAByAG8AdQBzAE8AeABpAGQAZQBFAG0AaQBzAHMAaQBvAG4ARgBhAGMAdABvAHIAUwBsAHUAZABnAGUAQgBpAG8AZwBhAHMARgBsAGEAcgBlAGQAXwBVAG4AaQB0ACIALAAiAFcAYQBzAHQAZQB3AGEAdABlAHIAXwBTAG8AdQByAGMAZQBEAGEAdABhAC4AVwBhAHMAdABlAF8ATgBpAHQAcgBvAHUAcwBPAHgAaQBkAGUARQBtAGkAcwBzAGkAbwBuAEYAYQBjAHQAbwByAFMAbAB1AGQAZwBlAEIAaQBvAGcAYQBzAEYAbABhAHIAZQBkAF8AUwBvAHUAcgBjAGUAIgAsACIAVwBhAHMAdABlAHcAYQB0AGUAcgBfAFMAbwB1AHIAYwBlAEQAYQB0AGEALgBXAGEAcwB0AGUAXwBOAGkAdAByAG8AdQBzAE8AeABpAGQAZQBFAG0AaQBzAHMAaQBvAG4ARgBhAGMAdABvAHIAUwBsAHUAZABnAGUAQgBpAG8AZwBhAHMARgBsAGEAcgBlAGQAXwBEAGEAdABhACIALAAiAFcAYQBzAHQAZQB3AGEAdABlAHIAXwBOADIATwBfAEUAcQB1AGEAdABpAG8AbgBzAC4AVgBFAEUAUgBHAF8AMQAxAF8AMQBfADMAXwAxAF8AXwAxAF8ATgBpAHQAcgBvAHUAcwBPAHgAaQBkAGUARQBtAGkAcwBzAGkAbwBuAHMARgByAG8AbQBGAGwAYQByAGUAZABCAGkAbwBnAGEAcwAiACwAIgBXAGEAcwB0AGUAdwBhAHQAZQByAF8ATgAyAE8AXwBFAHEAdQBhAHQAaQBvAG4AcwAuAFYARQBFAFIARwBfADEAMQBfADEAXwAzAF8AMQBfAF8AMQBfAE4AaQB0AHIAbwB1AHMATwB4AGkAZABlAEUAbQBpAHMAcwBpAG8AbgBzAEYAcgBvAG0ARgBsAGEAcgBlAGQAQgBpAG8AZwBhAHMAXwBUAGkAdABsAGUAIgAsACIAVwBhAHMAdABlAHcAYQB0AGUAcgBfAE4AMgBPAF8ARQBxAHUAYQB0AGkAbwBuAHMALgBWAEUARQBSAEcAXwAxADEAXwAxAF8AMwBfADEAXwBfADEAXwBOAGkAdAByAG8AdQBzAE8AeABpAGQAZQBFAG0AaQBzAHMAaQBvAG4AcwBGAHIAbwBtAEYAbABhAHIAZQBkAEIAaQBvAGcAYQBzAF8AVgBhAHIAaQBhAGIAbABlACIALAAiAFcAYQBzAHQAZQB3AGEAdABlAHIAXwBOADIATwBfAEUAcQB1AGEAdABpAG8AbgBzAC4AVgBFAEUAUgBHAF8AMQAxAF8AMQBfADMAXwAxAF8AXwAxAF8ATgBpAHQAcgBvAHUAcwBPAHgAaQBkAGUARQBtAGkAcwBzAGkAbwBuAHMARgByAG8AbQBGAGwAYQByAGUAZABCAGkAbwBnAGEAcwBfAFUAbgBpAHQAIgAsACIAVwBhAHMAdABlAHcAYQB0AGUAcgBfAE4AMgBPAF8ARQBxAHUAYQB0AGkAbwBuAHMALgBWAEUARQBSAEcAXwAxADEAXwAxAF8AMwBfADEAXwBfADEAXwBOAGkAdAByAG8AdQBzAE8AeABpAGQAZQBFAG0AaQBzAHMAaQBvAG4AcwBGAHIAbwBtAEYAbABhAHIAZQBkAEIAaQBvAGcAYQBzAF8AUwBvAHUAcgBjAGUAIgAsACIAVwBhAHMAdABlAHcAYQB0AGUAcgBfAE4AMgBPAF8ARQBxAHUAYQB0AGkAbwBuAHMALgBWAEUARQBSAEcAXwAxADEAXwAxAF8AMwBfADEAXwBfADEAXwBOAGkAdAByAG8AdQBzAE8AeABpAGQAZQBFAG0AaQBzAHMAaQBvAG4AcwBGAHIAbwBtAEYAbABhAHIAZQBkAEIAaQBvAGcAYQBzAF8ATgBJAFIAUgBlAGYAZQByAGUAbgBjAGUAIgAsACIAVwBhAHMAdABlAHcAYQB0AGUAcgBfAE4AMgBPAF8ARQBxAHUAYQB0AGkAbwBuAHMALgBWAEUARQBSAEcAXwAxADEAXwAxAF8AMwBfADEAXwBfADEAXwBOAGkAdAByAG8AdQBzAE8AeABpAGQAZQBFAG0AaQBzAHMAaQBvAG4AcwBGAHIAbwBtAEYAbABhAHIAZQBkAEIAaQBvAGcAYQBzAF8ATABhAHQAZQB4AEUAcQB1AGEAdABpAG8AbgAiACwAIgBXAGEAcwB0AGUAdwBhAHQAZQByAF8ATgAyAE8AXwBFAHEAdQBhAHQAaQBvAG4AcwAuAFYARQBFAFIARwBfADEAMQBfADEAXwAzAF8AMQBfAF8AMQBfAE4AaQB0AHIAbwB1AHMATwB4AGkAZABlAEUAbQBpAHMAcwBpAG8AbgBzAEYAcgBvAG0ARgBsAGEAcgBlAGQAQgBpAG8AZwBh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Overview</vt:lpstr>
      <vt:lpstr>Results</vt:lpstr>
      <vt:lpstr>Input - Wastewater</vt:lpstr>
      <vt:lpstr>11.1.1-2 Wastewater CH4</vt:lpstr>
      <vt:lpstr>11.1.3-4 Wastewater N2O</vt:lpstr>
      <vt:lpstr>Constants - Wastewater</vt:lpstr>
      <vt:lpstr>Constants - Common</vt:lpstr>
      <vt:lpstr>Common_SourceData_DensityOfMethane_Data</vt:lpstr>
      <vt:lpstr>VEERG_11_1_1_1__1_MethaneEmissionsFromWastewaterTreatment_Result_Method1</vt:lpstr>
      <vt:lpstr>VEERG_11_1_3_1__1_NitrousOxideEmissionsFromFlaredBiogas_Result_Method1</vt:lpstr>
      <vt:lpstr>Waste_EnergyContentFactorSludgeBiogasFlared_Data</vt:lpstr>
      <vt:lpstr>Waste_MethaneEmissionFactorSludge_Data</vt:lpstr>
      <vt:lpstr>Waste_MethaneEmissionFactorSludgeBiogasFlared_Data</vt:lpstr>
      <vt:lpstr>Waste_MethaneEmissionFactorWastewater_Data</vt:lpstr>
      <vt:lpstr>Waste_NitrousOxideEmissionFactorSludgeBiogasFlared_Data</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2026-08-02T23:51:42Z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