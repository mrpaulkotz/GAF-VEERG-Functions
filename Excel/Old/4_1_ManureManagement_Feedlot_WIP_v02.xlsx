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F9180A42-A07C-47F8-B108-AB0B9CFF5156}" xr6:coauthVersionLast="47" xr6:coauthVersionMax="47" xr10:uidLastSave="{00000000-0000-0000-0000-000000000000}"/>
  <bookViews>
    <workbookView xWindow="4290" yWindow="4290" windowWidth="28800" windowHeight="15345" firstSheet="12" activeTab="12" xr2:uid="{992023F3-CAB7-4E5B-A348-08D563A0EF40}"/>
  </bookViews>
  <sheets>
    <sheet name="Tab template" sheetId="74" r:id="rId1"/>
    <sheet name="Home" sheetId="71" r:id="rId2"/>
    <sheet name="Results" sheetId="13" r:id="rId3"/>
    <sheet name="Input - Site" sheetId="15" r:id="rId4"/>
    <sheet name="Input - MMS - Feedlot" sheetId="70" r:id="rId5"/>
    <sheet name="4.1.1.1-2 Methane" sheetId="69" r:id="rId6"/>
    <sheet name="4.1.1.3-4 Direct N20" sheetId="76" r:id="rId7"/>
    <sheet name="4.1.1.5-6 Atmos Deposition" sheetId="82" r:id="rId8"/>
    <sheet name="4.1.1.9 Manure applied to soils" sheetId="81" r:id="rId9"/>
    <sheet name="Source Data - Feedlot" sheetId="79" r:id="rId10"/>
    <sheet name="Constants - Livestock" sheetId="43" r:id="rId11"/>
    <sheet name="Acknowledgements" sheetId="72" r:id="rId12"/>
    <sheet name="Constants - Common" sheetId="105" r:id="rId13"/>
  </sheets>
  <externalReferences>
    <externalReference r:id="rId14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[0]!Common_InputFunctions.Utility_LookupValueInTableNumber(_xlpm.LeachingZone, _xlpm.LeachingZoneLookup, _xlpm.LeachingZoneFracWETLookup), _xlpm.ProductionSystemFracWET, [0]!Common_InputFunctions.Utility_LookupValueInTableNumber(_xlpm.ProductionSystem,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7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 localSheetId="8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 localSheetId="12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 localSheetId="9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_xlfn.LAMBDA(_xlfn.MAKEARRAY(14,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_xlfn.LAMBDA(_xlfn.MAKEARRAY(4, 1, _xlfn.LAMBDA(_xlpm.r,_xlpm.c, INDEX({"VARIATION OF SOURCE DATA:";"Removed duplicate 'Aquaculture' row.";"Removed asterisks to aid lookup.";"Added 'production system only', 'rainfall zone' and 'irrigation method' columns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2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2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_xlfn.LAMBDA(_xlfn.MAKEARRAY(5, 2, _xlfn.LAMBDA(_xlpm.r,_xlpm.c, INDEX({"MMS_ATMOS","mass of N volatilised from MMS : kg N";"EF_N2O","nitrous oxide emission factor for atmospheric deposition : kg N2O-N/kg N";"C_N2O","factor to convert elemental mass of nitrous oxide to molecular mass : ratio";"p","production system";"r","rainfall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_Direct_Equations.VEERG_4_1_1_3__1_TotalAnnualDirectNitrousOxideEmissions">_xlfn.LAMBDA(_xlpm.MN_jmT,_xlpm.EF_jm,_xlpm.C_N2O, SUMPRODUCT(_xlpm.MN_jmT, _xlpm.EF_jm, _xlpm.C_N2O) * 10 ^ -3)</definedName>
    <definedName name="MMS_Feedlot_N2O_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_Direct_Equations.VEERG_4_1_1_3__1_TotalAnnualDirectNitrousOxideEmissions_LatexEquation">_xlfn.LAMBDA("E_{N2O,dir}=\sum_{j}\sum_{m}\sum_{T}(MN_{jmT}\times EF_{jm}\times C_{N2O})\times10^{-3}")</definedName>
    <definedName name="MMS_Feedlot_N2O_Direct_Equations.VEERG_4_1_1_3__1_TotalAnnualDirectNitrousOxideEmissions_NIRReference">_xlfn.LAMBDA("")</definedName>
    <definedName name="MMS_Feedlot_N2O_Direct_Equations.VEERG_4_1_1_3__1_TotalAnnualDirectNitrousOxideEmissions_Source">_xlfn.LAMBDA("VEERG 2026: 4.1.1.3, Equation (1)")</definedName>
    <definedName name="MMS_Feedlot_N2O_Direct_Equations.VEERG_4_1_1_3__1_TotalAnnualDirectNitrousOxideEmissions_Title">_xlfn.LAMBDA("Total annual direct nitrous oxide emissions from manure management systems")</definedName>
    <definedName name="MMS_Feedlot_N2O_Direct_Equations.VEERG_4_1_1_3__1_TotalAnnualDirectNitrousOxideEmissions_Unit">_xlfn.LAMBDA("t N2O")</definedName>
    <definedName name="MMS_Feedlot_N2O_Direct_Equations.VEERG_4_1_1_3__1_TotalAnnualDirectNitrousOxideEmissions_Variable">_xlfn.LAMBDA("E_N2Odir")</definedName>
    <definedName name="MMS_Feedlot_N2O_Direct_Equations.VEERG_4_1_1_3__2_Stage1NitrogenInMMSDrylot">_xlfn.LAMBDA(_xlpm.AE_j,_xlpm.MMS_jm5T1, _xlpm.AE_j * _xlpm.MMS_jm5T1)</definedName>
    <definedName name="MMS_Feedlot_N2O_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_Direct_Equations.VEERG_4_1_1_3__2_Stage1NitrogenInMMSDrylot_LatexEquation">_xlfn.LAMBDA("MN_{jm=5,T=1}=AE_{j}\times MMS_{jm=5,T=1}")</definedName>
    <definedName name="MMS_Feedlot_N2O_Direct_Equations.VEERG_4_1_1_3__2_Stage1NitrogenInMMSDrylot_NIRReference">_xlfn.LAMBDA("")</definedName>
    <definedName name="MMS_Feedlot_N2O_Direct_Equations.VEERG_4_1_1_3__2_Stage1NitrogenInMMSDrylot_Source">_xlfn.LAMBDA("VEERG 2026: 4.1.1.3, Equation (2)")</definedName>
    <definedName name="MMS_Feedlot_N2O_Direct_Equations.VEERG_4_1_1_3__2_Stage1NitrogenInMMSDrylot_Title">_xlfn.LAMBDA("Nitrogen in treatment stage 1 MMS")</definedName>
    <definedName name="MMS_Feedlot_N2O_Direct_Equations.VEERG_4_1_1_3__2_Stage1NitrogenInMMSDrylot_Unit">_xlfn.LAMBDA("kg N")</definedName>
    <definedName name="MMS_Feedlot_N2O_Direct_Equations.VEERG_4_1_1_3__2_Stage1NitrogenInMMSDrylot_Variable">_xlfn.LAMBDA("MN_jm5T1")</definedName>
    <definedName name="MMS_Feedlot_N2O_Direct_Equations.VEERG_4_1_1_3__3_AnnualNitrogenExcretion">_xlfn.LAMBDA(_xlpm.N_j,_xlpm.NE_j,_xlpm.D_j, _xlpm.N_j * _xlpm.NE_j * _xlpm.D_j)</definedName>
    <definedName name="MMS_Feedlot_N2O_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_Direct_Equations.VEERG_4_1_1_3__3_AnnualNitrogenExcretion_LatexEquation">_xlfn.LAMBDA("AE_{j}=N_{j}\times NE_{j}\times D_{j}")</definedName>
    <definedName name="MMS_Feedlot_N2O_Direct_Equations.VEERG_4_1_1_3__3_AnnualNitrogenExcretion_NIRReference">_xlfn.LAMBDA("")</definedName>
    <definedName name="MMS_Feedlot_N2O_Direct_Equations.VEERG_4_1_1_3__3_AnnualNitrogenExcretion_Source">_xlfn.LAMBDA("VEERG 2026: 4.1.1.3, Equation (3)")</definedName>
    <definedName name="MMS_Feedlot_N2O_Direct_Equations.VEERG_4_1_1_3__3_AnnualNitrogenExcretion_Title">_xlfn.LAMBDA("Annual nitrogen excretion from each feedlot cattle group")</definedName>
    <definedName name="MMS_Feedlot_N2O_Direct_Equations.VEERG_4_1_1_3__3_AnnualNitrogenExcretion_Unit">_xlfn.LAMBDA("kg N")</definedName>
    <definedName name="MMS_Feedlot_N2O_Direct_Equations.VEERG_4_1_1_3__3_AnnualNitrogenExcretion_Variable">_xlfn.LAMBDA("AE_j")</definedName>
    <definedName name="MMS_Feedlot_N2O_Direct_Equations.VEERG_4_1_1_3__4_NitrogenExcretionPerHead">_xlfn.LAMBDA(_xlpm.NI_j,_xlpm.NR_j, _xlpm.NI_j * (1 - _xlpm.NR_j))</definedName>
    <definedName name="MMS_Feedlot_N2O_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_Direct_Equations.VEERG_4_1_1_3__4_NitrogenExcretionPerHead_LatexEquation">_xlfn.LAMBDA("NE_{j}=NI_{j}\times(1-NR_{j})")</definedName>
    <definedName name="MMS_Feedlot_N2O_Direct_Equations.VEERG_4_1_1_3__4_NitrogenExcretionPerHead_NIRReference">_xlfn.LAMBDA("")</definedName>
    <definedName name="MMS_Feedlot_N2O_Direct_Equations.VEERG_4_1_1_3__4_NitrogenExcretionPerHead_Source">_xlfn.LAMBDA("VEERG 2026: 4.1.1.3, Equation (4)")</definedName>
    <definedName name="MMS_Feedlot_N2O_Direct_Equations.VEERG_4_1_1_3__4_NitrogenExcretionPerHead_Title">_xlfn.LAMBDA("Nitrogen excretion per head per day")</definedName>
    <definedName name="MMS_Feedlot_N2O_Direct_Equations.VEERG_4_1_1_3__4_NitrogenExcretionPerHead_Unit">_xlfn.LAMBDA("kg N/head/day")</definedName>
    <definedName name="MMS_Feedlot_N2O_Direct_Equations.VEERG_4_1_1_3__4_NitrogenExcretionPerHead_Variable">_xlfn.LAMBDA("NE_j")</definedName>
    <definedName name="MMS_Feedlot_N2O_Direct_Equations.VEERG_4_1_1_3__5_NitrogenIntake">_xlfn.LAMBDA(_xlpm.I_j,_xlpm.CP_j, _xlpm.I_j * _xlpm.CP_j / 6.25)</definedName>
    <definedName name="MMS_Feedlot_N2O_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_Direct_Equations.VEERG_4_1_1_3__5_NitrogenIntake_LatexEquation">_xlfn.LAMBDA("NI_{j}=I_{j}\times CP_{j}\div 6.25")</definedName>
    <definedName name="MMS_Feedlot_N2O_Direct_Equations.VEERG_4_1_1_3__5_NitrogenIntake_NIRReference">_xlfn.LAMBDA("")</definedName>
    <definedName name="MMS_Feedlot_N2O_Direct_Equations.VEERG_4_1_1_3__5_NitrogenIntake_Source">_xlfn.LAMBDA("VEERG 2026: 4.1.1.3, Equation (5)")</definedName>
    <definedName name="MMS_Feedlot_N2O_Direct_Equations.VEERG_4_1_1_3__5_NitrogenIntake_Title">_xlfn.LAMBDA("Nitrogen intake of feedlot cattle")</definedName>
    <definedName name="MMS_Feedlot_N2O_Direct_Equations.VEERG_4_1_1_3__5_NitrogenIntake_Unit">_xlfn.LAMBDA("kg N/head/day")</definedName>
    <definedName name="MMS_Feedlot_N2O_Direct_Equations.VEERG_4_1_1_3__5_NitrogenIntake_Variable">_xlfn.LAMBDA("NI_j")</definedName>
    <definedName name="MMS_Feedlot_N2O_Direct_Equations.VEERG_4_1_1_3__6_Stage2NitrogenInMMS">_xlfn.LAMBDA(_xlpm.NT_jmT2,_xlpm.MMS_jmT2, _xlpm.NT_jmT2 * _xlpm.MMS_jmT2)</definedName>
    <definedName name="MMS_Feedlot_N2O_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_Direct_Equations.VEERG_4_1_1_3__6_Stage2NitrogenInMMS_LatexEquation">_xlfn.LAMBDA("MN_{jm,T=2}=NT_{jm,T=2}\times MMS_{jm,T=2}")</definedName>
    <definedName name="MMS_Feedlot_N2O_Direct_Equations.VEERG_4_1_1_3__6_Stage2NitrogenInMMS_NIRReference">_xlfn.LAMBDA("")</definedName>
    <definedName name="MMS_Feedlot_N2O_Direct_Equations.VEERG_4_1_1_3__6_Stage2NitrogenInMMS_Source">_xlfn.LAMBDA("VEERG 2026: 4.1.1.3, Equation (6)")</definedName>
    <definedName name="MMS_Feedlot_N2O_Direct_Equations.VEERG_4_1_1_3__6_Stage2NitrogenInMMS_Title">_xlfn.LAMBDA("Nitrogen in treatment stage 2 MMS")</definedName>
    <definedName name="MMS_Feedlot_N2O_Direct_Equations.VEERG_4_1_1_3__6_Stage2NitrogenInMMS_Unit">_xlfn.LAMBDA("kg N")</definedName>
    <definedName name="MMS_Feedlot_N2O_Direct_Equations.VEERG_4_1_1_3__6_Stage2NitrogenInMMS_Variable">_xlfn.LAMBDA("MN_jmT2")</definedName>
    <definedName name="MMS_Feedlot_N2O_Direct_Equations.VEERG_4_1_1_3__7_NitrogenTransferredToStage2">_xlfn.LAMBDA(_xlpm.MN_jm5T1,_xlpm.FracGASM_m5,_xlpm.EF_m5,_xlpm.MN_jmT3, (_xlpm.MN_jm5T1 * (1 - _xlpm.FracGASM_m5 - _xlpm.EF_m5)) - _xlpm.MN_jmT3)</definedName>
    <definedName name="MMS_Feedlot_N2O_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_Direct_Equations.VEERG_4_1_1_3__7_NitrogenTransferredToStage2_LatexEquation">_xlfn.LAMBDA("NT_{jm,T=2}=(MN_{jm=5,T=1}\times(1-FracGASM_{m=5}-EF_{m=5}))-MN_{jm,T=3}")</definedName>
    <definedName name="MMS_Feedlot_N2O_Direct_Equations.VEERG_4_1_1_3__7_NitrogenTransferredToStage2_NIRReference">_xlfn.LAMBDA("")</definedName>
    <definedName name="MMS_Feedlot_N2O_Direct_Equations.VEERG_4_1_1_3__7_NitrogenTransferredToStage2_Source">_xlfn.LAMBDA("VEERG 2026: 4.1.1.3, Equation (7)")</definedName>
    <definedName name="MMS_Feedlot_N2O_Direct_Equations.VEERG_4_1_1_3__7_NitrogenTransferredToStage2_Title">_xlfn.LAMBDA("Nitrogen transferred to treatment stage 2 MMS")</definedName>
    <definedName name="MMS_Feedlot_N2O_Direct_Equations.VEERG_4_1_1_3__7_NitrogenTransferredToStage2_Unit">_xlfn.LAMBDA("kg N")</definedName>
    <definedName name="MMS_Feedlot_N2O_Direct_Equations.VEERG_4_1_1_3__7_NitrogenTransferredToStage2_Variable">_xlfn.LAMBDA("NT_jmT2")</definedName>
    <definedName name="MMS_Feedlot_N2O_Direct_Equations.VEERG_4_1_1_3__8_Stage3NitrogenInMMSAnaerobicLagoon">_xlfn.LAMBDA(_xlpm.AE_j,_xlpm.MMS_jm1T3, _xlpm.AE_j * _xlpm.MMS_jm1T3)</definedName>
    <definedName name="MMS_Feedlot_N2O_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_Direct_Equations.VEERG_4_1_1_3__8_Stage3NitrogenInMMSAnaerobicLagoon_LatexEquation">_xlfn.LAMBDA("MN_{jm=1,T=3}=AE_{j}\times MMS_{jm=1,T=3}")</definedName>
    <definedName name="MMS_Feedlot_N2O_Direct_Equations.VEERG_4_1_1_3__8_Stage3NitrogenInMMSAnaerobicLagoon_NIRReference">_xlfn.LAMBDA("")</definedName>
    <definedName name="MMS_Feedlot_N2O_Direct_Equations.VEERG_4_1_1_3__8_Stage3NitrogenInMMSAnaerobicLagoon_Source">_xlfn.LAMBDA("VEERG 2026: 4.1.1.3, Equation (8)")</definedName>
    <definedName name="MMS_Feedlot_N2O_Direct_Equations.VEERG_4_1_1_3__8_Stage3NitrogenInMMSAnaerobicLagoon_Title">_xlfn.LAMBDA("Nitrogen in treatment stage 3 MMS")</definedName>
    <definedName name="MMS_Feedlot_N2O_Direct_Equations.VEERG_4_1_1_3__8_Stage3NitrogenInMMSAnaerobicLagoon_Unit">_xlfn.LAMBDA("kg N")</definedName>
    <definedName name="MMS_Feedlot_N2O_Direct_Equations.VEERG_4_1_1_3__8_Stage3NitrogenInMMSAnaerobicLagoon_Variable">_xlfn.LAMBDA("MN_jm1T3")</definedName>
    <definedName name="Range_LivestockStartingValues">#REF!</definedName>
    <definedName name="SourceData_Feedlot.SourceData_Feedlot_AnimalCharacteristics_Data">_xlfn.LAMBDA(_xlfn.MAKEARRAY(10, 7, _xlfn.LAMBDA(_xlpm.r,_xlpm.c, INDEX({"Feedlot type","Characteristic","Unit","2005-2009","2010-2014","2015-2019","2020-2023";"Domestic","Days on feed","days",70,70,70,75;"Domestic","Feed intake","kg DM/day",10,10,10.4,10.4;"Domestic","N retention","per cent of intake",21.1,20.4,20.4,20.4;"Mid-fed","Days on feed","days",115,115,120,150;"Mid-fed","Feed intake","kg DM/day",11.2,10.8,10.8,10.8;"Mid-fed","N retention","per cent of intake",12.5,12.7,12.7,12.7;"Long-fed","Days on feed","days",250,250,250,250;"Long-fed","Feed intake","kg DM/day",9,8.5,8.2,8.2;"Long-fed","N retention","per cent of intake",6.6,7,7,7}, _xlpm.r, _xlpm.c))))</definedName>
    <definedName name="SourceData_Feedlot.SourceData_Feedlot_AnimalCharacteristics_Source">_xlfn.LAMBDA("VEERG 2026: Table A.1.1.2: Beef feedlot cattle - Animal characteristics")</definedName>
    <definedName name="SourceData_Feedlot.SourceData_Feedlot_AnimalCharacteristics_Title">_xlfn.LAMBDA("Beef feedlot cattle - Animal characteristics")</definedName>
    <definedName name="SourceData_Feedlot.SourceData_Feedlot_AnimalCharacteristics_Unit">_xlfn.LAMBDA("")</definedName>
    <definedName name="SourceData_Feedlot.SourceData_Feedlot_AnimalCharacteristics_Variation">_xlfn.LAMBDA(_xlfn.MAKEARRAY(3, 1, _xlfn.LAMBDA(_xlpm.r,_xlpm.c, INDEX({"VARIATION ON SOURCE:";"Moved feedlot types to a separate column to aid lookup.";"Named 'characteristic' column - original has header 'Unit' which covers two columns)"}, _xlpm.r, _xlpm.c))))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DietProperties_Data">_xlfn.LAMBDA(_xlfn.MAKEARRAY(13, 8, _xlfn.LAMBDA(_xlpm.r,_xlpm.c, INDEX({"Feedlot type","Nutrient analysis","Unit","2005-2009","2010-2014","2015-2019","2020-2023","Converted to fraction";"Domestic","Dry matter digestibility","fraction",0.81,0.81,0.81,0.81,0.81;"Domestic","Crude protein","fraction",0.14,0.14,0.14,0.14,0.14;"Domestic","NDF","per cent",23,22,22,22,0.22;"Domestic","Ether Extract","per cent",4.5,4.5,4.8,4.8,0.048;"Mid-fed","Dry matter digestibility","fraction",0.81,0.81,0.81,0.81,0.81;"Mid-fed","Crude protein","fraction",0.13,0.125,0.12,0.12,0.12;"Mid-fed","NDF","per cent",24,22,22,22,0.22;"Mid-fed","Ether Extract","per cent",5,5,5,5,0.05;"Long-Fed","Dry matter digestibility","fraction",0.81,0.81,0.81,0.81,0.81;"Long-Fed","Crude protein","fraction",0.13,0.125,0.12,0.12,0.12;"Long-Fed","NDF","per cent",24,24,24,24,0.24;"Long-Fed","Ether Extract","per cent",5,5,5.5,5.5,0.055}, _xlpm.r, _xlpm.c))))</definedName>
    <definedName name="SourceData_Feedlot.SourceData_Feedlot_DietProperties_Source">_xlfn.LAMBDA("VEERG 2026: Table A.1.1.3: Beef feedlot cattle - Diet properties")</definedName>
    <definedName name="SourceData_Feedlot.SourceData_Feedlot_DietProperties_Title">_xlfn.LAMBDA("Beef feedlot cattle - Diet properties")</definedName>
    <definedName name="SourceData_Feedlot.SourceData_Feedlot_DietProperties_Unit">_xlfn.LAMBDA("")</definedName>
    <definedName name="SourceData_Feedlot.SourceData_Feedlot_DietProperties_Variation">_xlfn.LAMBDA(_xlfn.MAKEARRAY(3, 1, _xlfn.LAMBDA(_xlpm.r,_xlpm.c, INDEX({"VARIATION ON SOURCE:";"Added 'Converted to fraction column and converted NDF and Ether extract values to fractions.";"Moved feedlot types to a separate column to aid lookup."}, _xlpm.r, _xlpm.c))))</definedName>
    <definedName name="SourceData_Feedlot.SourceData_Feedlot_DurationOfStay_Data">_xlfn.LAMBDA(_xlfn.MAKEARRAY(4, 2, _xlfn.LAMBDA(_xlpm.r,_xlpm.c, INDEX({"Feedlot type","Length of Stay";"Domestic","1-80 days";"Mid-fed","81-200 days";"Long-fed","201+ days"}, _xlpm.r, _xlpm.c))))</definedName>
    <definedName name="SourceData_Feedlot.SourceData_Feedlot_DurationOfStay_Source">_xlfn.LAMBDA("VEERG 2026: Table A.1.1.1: Beef feedlot cattle - Duration of stay (days)")</definedName>
    <definedName name="SourceData_Feedlot.SourceData_Feedlot_DurationOfStay_Title">_xlfn.LAMBDA("Beef feedlot cattle - Duration of stay (days)")</definedName>
    <definedName name="SourceData_Feedlot.SourceData_Feedlot_DurationOfStay_Unit">_xlfn.LAMBDA("")</definedName>
    <definedName name="SourceData_Feedlot.SourceData_Feedlot_DurationOfStay_Variation">_xlfn.LAMBDA("")</definedName>
    <definedName name="SourceData_Feedlot.SourceData_Feedlot_FracNVolatilised_Data">_xlfn.LAMBDA(_xlfn.MAKEARRAY(6, 4, _xlfn.LAMBDA(_xlpm.r,_xlpm.c, INDEX({"Treatment stage T","MMS m","FracGASMmT (kg NH3-N + NOx-N)/kg N","NIR definition";"Primary","Dry lot (Feedpad)",0.6,"Drylot (feed pad)";"Secondary","Solid Storage (Stockpile)",0.25,"Solid storage";"Secondary","Composting (Passive Windrow)",0.4,"Composting (passive windrow)";"Secondary","Direct Application to soil",0,"Direct application";"Tertiary","Uncovered anaerobic lagoon (Effluent pond)",0.35,"Anaerobic lagoon"}, _xlpm.r, _xlpm.c))))</definedName>
    <definedName name="SourceData_Feedlot.SourceData_Feedlot_FracNVolatilised_Source">_xlfn.LAMBDA("VEERG 2026: Table A.1.1.6: Beef feedlot cattle - Fraction of N volatilised by MMS (FracGASMmT)")</definedName>
    <definedName name="SourceData_Feedlot.SourceData_Feedlot_FracNVolatilised_Title">_xlfn.LAMBDA("Feedlot - Fraction of N volatilised by MMS (FracGASMmT)")</definedName>
    <definedName name="SourceData_Feedlot.SourceData_Feedlot_FracNVolatilised_Unit">_xlfn.LAMBDA("")</definedName>
    <definedName name="SourceData_Feedlot.SourceData_Feedlot_FracNVolatilised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LivestockClasses">_xlfn.LAMBDA(_xlfn.MAKEARRAY(3, 1, _xlfn.LAMBDA(_xlpm.r,_xlpm.c, INDEX({"Domestic";"Export mid fed";"Export long fed"},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A.1.1.4: Beef feedlot cattle - MCFs (fraction) (MCFimT)")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NitrousOxideEFs_Data">_xlfn.LAMBDA(_xlfn.MAKEARRAY(6, 4, _xlfn.LAMBDA(_xlpm.r,_xlpm.c, INDEX({"Treatment stage T","MMS m","EFmT (kg N2O-N/kg N)","NIR definition";"Primary","Dry lot (Feedpad)",0.0054,"Drylot (feed pad)";"Secondary","Solid Storage (Stockpile)",0.005,"Solid storage";"Secondary","Composting (Passive Windrow)",0.01,"Composting (passive windrow)";"Secondary","Direct Application to soil",0,"Direct application";"Tertiary","Uncovered anaerobic lagoon (Effluent Pond)",0,"Anaerobic lagoon"}, _xlpm.r, _xlpm.c))))</definedName>
    <definedName name="SourceData_Feedlot.SourceData_Feedlot_NitrousOxideEFs_Source">_xlfn.LAMBDA("VEERG 2026: Table A.1.1.5: Beef feedlot cattle - Nitrous oxide EFs (EFmT)")</definedName>
    <definedName name="SourceData_Feedlot.SourceData_Feedlot_NitrousOxideEFs_Title">_xlfn.LAMBDA("Feedlot - Nitrous oxide EFs")</definedName>
    <definedName name="SourceData_Feedlot.SourceData_Feedlot_NitrousOxideEFs_Unit">_xlfn.LAMBDA("")</definedName>
    <definedName name="SourceData_Feedlot.SourceData_Feedlot_NitrousOxideEFs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5" l="1"/>
  <c r="H188" i="105" a="1"/>
  <c r="H188" i="105" s="1"/>
  <c r="G188" i="105" a="1"/>
  <c r="G188" i="105" s="1"/>
  <c r="F188" i="105" a="1"/>
  <c r="F188" i="105" s="1"/>
  <c r="E188" i="105" a="1"/>
  <c r="E188" i="105" s="1"/>
  <c r="D188" i="105" a="1"/>
  <c r="D188" i="105" s="1"/>
  <c r="H187" i="105" a="1"/>
  <c r="H187" i="105" s="1"/>
  <c r="G187" i="105" a="1"/>
  <c r="G187" i="105" s="1"/>
  <c r="F187" i="105" a="1"/>
  <c r="F187" i="105" s="1"/>
  <c r="E187" i="105" a="1"/>
  <c r="E187" i="105" s="1"/>
  <c r="D187" i="105" a="1"/>
  <c r="D187" i="105" s="1"/>
  <c r="H186" i="105" a="1"/>
  <c r="H186" i="105" s="1"/>
  <c r="G186" i="105" a="1"/>
  <c r="G186" i="105" s="1"/>
  <c r="F186" i="105" a="1"/>
  <c r="F186" i="105" s="1"/>
  <c r="E186" i="105" a="1"/>
  <c r="E186" i="105" s="1"/>
  <c r="D186" i="105" a="1"/>
  <c r="D186" i="105" s="1"/>
  <c r="H185" i="105" a="1"/>
  <c r="H185" i="105" s="1"/>
  <c r="G185" i="105" a="1"/>
  <c r="G185" i="105" s="1"/>
  <c r="F185" i="105" a="1"/>
  <c r="F185" i="105" s="1"/>
  <c r="E185" i="105" a="1"/>
  <c r="E185" i="105" s="1"/>
  <c r="D185" i="105" a="1"/>
  <c r="D185" i="105" s="1"/>
  <c r="H184" i="105" a="1"/>
  <c r="H184" i="105" s="1"/>
  <c r="G184" i="105" a="1"/>
  <c r="G184" i="105" s="1"/>
  <c r="F184" i="105" a="1"/>
  <c r="F184" i="105" s="1"/>
  <c r="E184" i="105" a="1"/>
  <c r="E184" i="105" s="1"/>
  <c r="D184" i="105" a="1"/>
  <c r="D184" i="105" s="1"/>
  <c r="H183" i="105" a="1"/>
  <c r="H183" i="105" s="1"/>
  <c r="G183" i="105" a="1"/>
  <c r="G183" i="105" s="1"/>
  <c r="F183" i="105" a="1"/>
  <c r="F183" i="105" s="1"/>
  <c r="E183" i="105" a="1"/>
  <c r="E183" i="105" s="1"/>
  <c r="D183" i="105" a="1"/>
  <c r="D183" i="105" s="1"/>
  <c r="H182" i="105" a="1"/>
  <c r="H182" i="105" s="1"/>
  <c r="G182" i="105" a="1"/>
  <c r="G182" i="105" s="1"/>
  <c r="F182" i="105" a="1"/>
  <c r="F182" i="105" s="1"/>
  <c r="E182" i="105" a="1"/>
  <c r="E182" i="105" s="1"/>
  <c r="D182" i="105" a="1"/>
  <c r="D182" i="105" s="1"/>
  <c r="H181" i="105" a="1"/>
  <c r="H181" i="105" s="1"/>
  <c r="G181" i="105" a="1"/>
  <c r="G181" i="105" s="1"/>
  <c r="F181" i="105" a="1"/>
  <c r="F181" i="105" s="1"/>
  <c r="E181" i="105" a="1"/>
  <c r="E181" i="105" s="1"/>
  <c r="D181" i="105" a="1"/>
  <c r="D181" i="105" s="1"/>
  <c r="H180" i="105" a="1"/>
  <c r="H180" i="105" s="1"/>
  <c r="G180" i="105" a="1"/>
  <c r="G180" i="105" s="1"/>
  <c r="F180" i="105" a="1"/>
  <c r="F180" i="105" s="1"/>
  <c r="E180" i="105" a="1"/>
  <c r="E180" i="105" s="1"/>
  <c r="D180" i="105" a="1"/>
  <c r="D180" i="105" s="1"/>
  <c r="H179" i="105" a="1"/>
  <c r="H179" i="105" s="1"/>
  <c r="G179" i="105" a="1"/>
  <c r="G179" i="105" s="1"/>
  <c r="F179" i="105" a="1"/>
  <c r="F179" i="105" s="1"/>
  <c r="E179" i="105" a="1"/>
  <c r="E179" i="105" s="1"/>
  <c r="D179" i="105" a="1"/>
  <c r="D179" i="105" s="1"/>
  <c r="H178" i="105" a="1"/>
  <c r="H178" i="105" s="1"/>
  <c r="G178" i="105" a="1"/>
  <c r="G178" i="105" s="1"/>
  <c r="F178" i="105" a="1"/>
  <c r="F178" i="105" s="1"/>
  <c r="E178" i="105" a="1"/>
  <c r="E178" i="105" s="1"/>
  <c r="D178" i="105" a="1"/>
  <c r="D178" i="105" s="1"/>
  <c r="H177" i="105" a="1"/>
  <c r="H177" i="105" s="1"/>
  <c r="G177" i="105" a="1"/>
  <c r="G177" i="105" s="1"/>
  <c r="F177" i="105" a="1"/>
  <c r="F177" i="105" s="1"/>
  <c r="E177" i="105" a="1"/>
  <c r="E177" i="105" s="1"/>
  <c r="D177" i="105" a="1"/>
  <c r="D177" i="105" s="1"/>
  <c r="H176" i="105" a="1"/>
  <c r="H176" i="105" s="1"/>
  <c r="G176" i="105" a="1"/>
  <c r="G176" i="105" s="1"/>
  <c r="F176" i="105" a="1"/>
  <c r="F176" i="105" s="1"/>
  <c r="E176" i="105" a="1"/>
  <c r="E176" i="105" s="1"/>
  <c r="D176" i="105" a="1"/>
  <c r="D176" i="105" s="1"/>
  <c r="D170" i="105" a="1"/>
  <c r="D170" i="105" s="1"/>
  <c r="D169" i="105" a="1"/>
  <c r="D169" i="105" s="1"/>
  <c r="D168" i="105" a="1"/>
  <c r="D168" i="105" s="1"/>
  <c r="D167" i="105" a="1"/>
  <c r="D167" i="105" s="1"/>
  <c r="E164" i="105" a="1"/>
  <c r="E164" i="105" s="1"/>
  <c r="D164" i="105" a="1"/>
  <c r="D164" i="105" s="1"/>
  <c r="D163" i="105" a="1"/>
  <c r="D163" i="105" s="1"/>
  <c r="D162" i="105" a="1"/>
  <c r="D162" i="105" s="1"/>
  <c r="D159" i="105" a="1"/>
  <c r="D159" i="105" s="1"/>
  <c r="D158" i="105" a="1"/>
  <c r="D158" i="105" s="1"/>
  <c r="D157" i="105" a="1"/>
  <c r="D157" i="105" s="1"/>
  <c r="D156" i="105" a="1"/>
  <c r="D156" i="105" s="1"/>
  <c r="D153" i="105" a="1"/>
  <c r="D153" i="105" s="1"/>
  <c r="D152" i="105" a="1"/>
  <c r="D152" i="105" s="1"/>
  <c r="D151" i="105" a="1"/>
  <c r="D151" i="105" s="1"/>
  <c r="D150" i="105" a="1"/>
  <c r="D150" i="105" s="1"/>
  <c r="E147" i="105" a="1"/>
  <c r="E147" i="105" s="1"/>
  <c r="D147" i="105" a="1"/>
  <c r="D147" i="105" s="1"/>
  <c r="E146" i="105" a="1"/>
  <c r="E146" i="105" s="1"/>
  <c r="D146" i="105" a="1"/>
  <c r="D146" i="105" s="1"/>
  <c r="E145" i="105" a="1"/>
  <c r="E145" i="105" s="1"/>
  <c r="D145" i="105" a="1"/>
  <c r="D145" i="105" s="1"/>
  <c r="E144" i="105" a="1"/>
  <c r="E144" i="105" s="1"/>
  <c r="D144" i="105" a="1"/>
  <c r="D144" i="105" s="1"/>
  <c r="E143" i="105" a="1"/>
  <c r="E143" i="105" s="1"/>
  <c r="D143" i="105" a="1"/>
  <c r="D143" i="105" s="1"/>
  <c r="D140" i="105" a="1"/>
  <c r="D140" i="105" s="1"/>
  <c r="D139" i="105" a="1"/>
  <c r="D139" i="105" s="1"/>
  <c r="E136" i="105" a="1"/>
  <c r="E136" i="105" s="1"/>
  <c r="D136" i="105" a="1"/>
  <c r="D136" i="105" s="1"/>
  <c r="E135" i="105" a="1"/>
  <c r="E135" i="105" s="1"/>
  <c r="D135" i="105" a="1"/>
  <c r="D135" i="105" s="1"/>
  <c r="D133" i="105" a="1"/>
  <c r="D133" i="105" s="1"/>
  <c r="D132" i="105" a="1"/>
  <c r="D132" i="105" s="1"/>
  <c r="E129" i="105" a="1"/>
  <c r="E129" i="105" s="1"/>
  <c r="D129" i="105" a="1"/>
  <c r="D129" i="105" s="1"/>
  <c r="E128" i="105" a="1"/>
  <c r="E128" i="105" s="1"/>
  <c r="D128" i="105" a="1"/>
  <c r="D128" i="105" s="1"/>
  <c r="D125" i="105" a="1"/>
  <c r="D125" i="105" s="1"/>
  <c r="D124" i="105" a="1"/>
  <c r="D124" i="105" s="1"/>
  <c r="G121" i="105" a="1"/>
  <c r="G121" i="105" s="1"/>
  <c r="F121" i="105" a="1"/>
  <c r="F121" i="105" s="1"/>
  <c r="E121" i="105" a="1"/>
  <c r="E121" i="105" s="1"/>
  <c r="D121" i="105" a="1"/>
  <c r="D121" i="105" s="1"/>
  <c r="G120" i="105" a="1"/>
  <c r="G120" i="105" s="1"/>
  <c r="F120" i="105" a="1"/>
  <c r="F120" i="105" s="1"/>
  <c r="E120" i="105" a="1"/>
  <c r="E120" i="105" s="1"/>
  <c r="D120" i="105" a="1"/>
  <c r="D120" i="105" s="1"/>
  <c r="D117" i="105" a="1"/>
  <c r="D117" i="105" s="1"/>
  <c r="D116" i="105" a="1"/>
  <c r="D116" i="105" s="1"/>
  <c r="D115" i="105" a="1"/>
  <c r="D115" i="105" s="1"/>
  <c r="G112" i="105" a="1"/>
  <c r="G112" i="105" s="1"/>
  <c r="F112" i="105" a="1"/>
  <c r="F112" i="105" s="1"/>
  <c r="E112" i="105" a="1"/>
  <c r="E112" i="105" s="1"/>
  <c r="D112" i="105" a="1"/>
  <c r="D112" i="105" s="1"/>
  <c r="G111" i="105" a="1"/>
  <c r="G111" i="105" s="1"/>
  <c r="F111" i="105" a="1"/>
  <c r="F111" i="105" s="1"/>
  <c r="E111" i="105" a="1"/>
  <c r="E111" i="105" s="1"/>
  <c r="D111" i="105" a="1"/>
  <c r="D111" i="105" s="1"/>
  <c r="G110" i="105" a="1"/>
  <c r="G110" i="105" s="1"/>
  <c r="F110" i="105" a="1"/>
  <c r="F110" i="105" s="1"/>
  <c r="E110" i="105" a="1"/>
  <c r="E110" i="105" s="1"/>
  <c r="D110" i="105" a="1"/>
  <c r="D110" i="105" s="1"/>
  <c r="D107" i="105" a="1"/>
  <c r="D107" i="105" s="1"/>
  <c r="D106" i="105" a="1"/>
  <c r="D106" i="105" s="1"/>
  <c r="D105" i="105" a="1"/>
  <c r="D105" i="105" s="1"/>
  <c r="D98" i="105" a="1"/>
  <c r="D98" i="105" s="1"/>
  <c r="S97" i="105" a="1"/>
  <c r="S97" i="105" s="1"/>
  <c r="R97" i="105" a="1"/>
  <c r="R97" i="105" s="1"/>
  <c r="Q97" i="105" a="1"/>
  <c r="Q97" i="105" s="1"/>
  <c r="P97" i="105" a="1"/>
  <c r="P97" i="105" s="1"/>
  <c r="O97" i="105" a="1"/>
  <c r="O97" i="105" s="1"/>
  <c r="N97" i="105" a="1"/>
  <c r="N97" i="105" s="1"/>
  <c r="M97" i="105" a="1"/>
  <c r="M97" i="105" s="1"/>
  <c r="L97" i="105" a="1"/>
  <c r="L97" i="105" s="1"/>
  <c r="K97" i="105" a="1"/>
  <c r="K97" i="105" s="1"/>
  <c r="J97" i="105" a="1"/>
  <c r="J97" i="105" s="1"/>
  <c r="I97" i="105" a="1"/>
  <c r="I97" i="105" s="1"/>
  <c r="H97" i="105" a="1"/>
  <c r="H97" i="105" s="1"/>
  <c r="G97" i="105" a="1"/>
  <c r="G97" i="105" s="1"/>
  <c r="F97" i="105" a="1"/>
  <c r="F97" i="105" s="1"/>
  <c r="E97" i="105" a="1"/>
  <c r="E97" i="105" s="1"/>
  <c r="D97" i="105" a="1"/>
  <c r="D97" i="105" s="1"/>
  <c r="S96" i="105" a="1"/>
  <c r="S96" i="105" s="1"/>
  <c r="R96" i="105" a="1"/>
  <c r="R96" i="105" s="1"/>
  <c r="Q96" i="105" a="1"/>
  <c r="Q96" i="105" s="1"/>
  <c r="P96" i="105" a="1"/>
  <c r="P96" i="105" s="1"/>
  <c r="O96" i="105" a="1"/>
  <c r="O96" i="105" s="1"/>
  <c r="N96" i="105" a="1"/>
  <c r="N96" i="105" s="1"/>
  <c r="M96" i="105" a="1"/>
  <c r="M96" i="105" s="1"/>
  <c r="L96" i="105" a="1"/>
  <c r="L96" i="105" s="1"/>
  <c r="K96" i="105" a="1"/>
  <c r="K96" i="105" s="1"/>
  <c r="J96" i="105" a="1"/>
  <c r="J96" i="105" s="1"/>
  <c r="I96" i="105" a="1"/>
  <c r="I96" i="105" s="1"/>
  <c r="H96" i="105" a="1"/>
  <c r="H96" i="105" s="1"/>
  <c r="G96" i="105" a="1"/>
  <c r="G96" i="105" s="1"/>
  <c r="F96" i="105" a="1"/>
  <c r="F96" i="105" s="1"/>
  <c r="E96" i="105" a="1"/>
  <c r="E96" i="105" s="1"/>
  <c r="D96" i="105" a="1"/>
  <c r="D96" i="105" s="1"/>
  <c r="S95" i="105" a="1"/>
  <c r="S95" i="105" s="1"/>
  <c r="R95" i="105" a="1"/>
  <c r="R95" i="105" s="1"/>
  <c r="Q95" i="105" a="1"/>
  <c r="Q95" i="105" s="1"/>
  <c r="P95" i="105" a="1"/>
  <c r="P95" i="105" s="1"/>
  <c r="O95" i="105" a="1"/>
  <c r="O95" i="105" s="1"/>
  <c r="N95" i="105" a="1"/>
  <c r="N95" i="105" s="1"/>
  <c r="M95" i="105" a="1"/>
  <c r="M95" i="105" s="1"/>
  <c r="L95" i="105" a="1"/>
  <c r="L95" i="105" s="1"/>
  <c r="K95" i="105" a="1"/>
  <c r="K95" i="105" s="1"/>
  <c r="J95" i="105" a="1"/>
  <c r="J95" i="105" s="1"/>
  <c r="I95" i="105" a="1"/>
  <c r="I95" i="105" s="1"/>
  <c r="H95" i="105" a="1"/>
  <c r="H95" i="105" s="1"/>
  <c r="G95" i="105" a="1"/>
  <c r="G95" i="105" s="1"/>
  <c r="F95" i="105" a="1"/>
  <c r="F95" i="105" s="1"/>
  <c r="E95" i="105" a="1"/>
  <c r="E95" i="105" s="1"/>
  <c r="D95" i="105" a="1"/>
  <c r="D95" i="105" s="1"/>
  <c r="S94" i="105" a="1"/>
  <c r="S94" i="105" s="1"/>
  <c r="R94" i="105" a="1"/>
  <c r="R94" i="105" s="1"/>
  <c r="Q94" i="105" a="1"/>
  <c r="Q94" i="105" s="1"/>
  <c r="P94" i="105" a="1"/>
  <c r="P94" i="105" s="1"/>
  <c r="O94" i="105" a="1"/>
  <c r="O94" i="105" s="1"/>
  <c r="N94" i="105" a="1"/>
  <c r="N94" i="105" s="1"/>
  <c r="M94" i="105" a="1"/>
  <c r="M94" i="105" s="1"/>
  <c r="L94" i="105" a="1"/>
  <c r="L94" i="105" s="1"/>
  <c r="K94" i="105" a="1"/>
  <c r="K94" i="105" s="1"/>
  <c r="J94" i="105" a="1"/>
  <c r="J94" i="105" s="1"/>
  <c r="I94" i="105" a="1"/>
  <c r="I94" i="105" s="1"/>
  <c r="H94" i="105" a="1"/>
  <c r="H94" i="105" s="1"/>
  <c r="G94" i="105" a="1"/>
  <c r="G94" i="105" s="1"/>
  <c r="F94" i="105" a="1"/>
  <c r="F94" i="105" s="1"/>
  <c r="E94" i="105" a="1"/>
  <c r="E94" i="105" s="1"/>
  <c r="D94" i="105" a="1"/>
  <c r="D94" i="105" s="1"/>
  <c r="S93" i="105" a="1"/>
  <c r="S93" i="105" s="1"/>
  <c r="R93" i="105" a="1"/>
  <c r="R93" i="105" s="1"/>
  <c r="Q93" i="105" a="1"/>
  <c r="Q93" i="105" s="1"/>
  <c r="P93" i="105" a="1"/>
  <c r="P93" i="105" s="1"/>
  <c r="O93" i="105" a="1"/>
  <c r="O93" i="105" s="1"/>
  <c r="N93" i="105" a="1"/>
  <c r="N93" i="105" s="1"/>
  <c r="M93" i="105" a="1"/>
  <c r="M93" i="105" s="1"/>
  <c r="L93" i="105" a="1"/>
  <c r="L93" i="105" s="1"/>
  <c r="K93" i="105" a="1"/>
  <c r="K93" i="105" s="1"/>
  <c r="J93" i="105" a="1"/>
  <c r="J93" i="105" s="1"/>
  <c r="I93" i="105" a="1"/>
  <c r="I93" i="105" s="1"/>
  <c r="H93" i="105" a="1"/>
  <c r="H93" i="105" s="1"/>
  <c r="G93" i="105" a="1"/>
  <c r="G93" i="105" s="1"/>
  <c r="F93" i="105" a="1"/>
  <c r="F93" i="105" s="1"/>
  <c r="E93" i="105" a="1"/>
  <c r="E93" i="105" s="1"/>
  <c r="D93" i="105" a="1"/>
  <c r="D93" i="105" s="1"/>
  <c r="S92" i="105" a="1"/>
  <c r="S92" i="105" s="1"/>
  <c r="R92" i="105" a="1"/>
  <c r="R92" i="105" s="1"/>
  <c r="Q92" i="105" a="1"/>
  <c r="Q92" i="105" s="1"/>
  <c r="P92" i="105" a="1"/>
  <c r="P92" i="105" s="1"/>
  <c r="O92" i="105" a="1"/>
  <c r="O92" i="105" s="1"/>
  <c r="N92" i="105" a="1"/>
  <c r="N92" i="105" s="1"/>
  <c r="M92" i="105" a="1"/>
  <c r="M92" i="105" s="1"/>
  <c r="L92" i="105" a="1"/>
  <c r="L92" i="105" s="1"/>
  <c r="K92" i="105" a="1"/>
  <c r="K92" i="105" s="1"/>
  <c r="J92" i="105" a="1"/>
  <c r="J92" i="105" s="1"/>
  <c r="I92" i="105" a="1"/>
  <c r="I92" i="105" s="1"/>
  <c r="H92" i="105" a="1"/>
  <c r="H92" i="105" s="1"/>
  <c r="G92" i="105" a="1"/>
  <c r="G92" i="105" s="1"/>
  <c r="F92" i="105" a="1"/>
  <c r="F92" i="105" s="1"/>
  <c r="E92" i="105" a="1"/>
  <c r="E92" i="105" s="1"/>
  <c r="D92" i="105" a="1"/>
  <c r="D92" i="105" s="1"/>
  <c r="S91" i="105" a="1"/>
  <c r="S91" i="105" s="1"/>
  <c r="R91" i="105" a="1"/>
  <c r="R91" i="105" s="1"/>
  <c r="Q91" i="105" a="1"/>
  <c r="Q91" i="105" s="1"/>
  <c r="P91" i="105" a="1"/>
  <c r="P91" i="105" s="1"/>
  <c r="O91" i="105" a="1"/>
  <c r="O91" i="105" s="1"/>
  <c r="N91" i="105" a="1"/>
  <c r="N91" i="105" s="1"/>
  <c r="M91" i="105" a="1"/>
  <c r="M91" i="105" s="1"/>
  <c r="L91" i="105" a="1"/>
  <c r="L91" i="105" s="1"/>
  <c r="K91" i="105" a="1"/>
  <c r="K91" i="105" s="1"/>
  <c r="J91" i="105" a="1"/>
  <c r="J91" i="105" s="1"/>
  <c r="I91" i="105" a="1"/>
  <c r="I91" i="105" s="1"/>
  <c r="H91" i="105" a="1"/>
  <c r="H91" i="105" s="1"/>
  <c r="G91" i="105" a="1"/>
  <c r="G91" i="105" s="1"/>
  <c r="F91" i="105" a="1"/>
  <c r="F91" i="105" s="1"/>
  <c r="E91" i="105" a="1"/>
  <c r="E91" i="105" s="1"/>
  <c r="D91" i="105" a="1"/>
  <c r="D91" i="105" s="1"/>
  <c r="S90" i="105" a="1"/>
  <c r="S90" i="105" s="1"/>
  <c r="R90" i="105" a="1"/>
  <c r="R90" i="105" s="1"/>
  <c r="Q90" i="105" a="1"/>
  <c r="Q90" i="105" s="1"/>
  <c r="P90" i="105" a="1"/>
  <c r="P90" i="105" s="1"/>
  <c r="O90" i="105" a="1"/>
  <c r="O90" i="105" s="1"/>
  <c r="N90" i="105" a="1"/>
  <c r="N90" i="105" s="1"/>
  <c r="M90" i="105" a="1"/>
  <c r="M90" i="105" s="1"/>
  <c r="L90" i="105" a="1"/>
  <c r="L90" i="105" s="1"/>
  <c r="K90" i="105" a="1"/>
  <c r="K90" i="105" s="1"/>
  <c r="J90" i="105" a="1"/>
  <c r="J90" i="105" s="1"/>
  <c r="I90" i="105" a="1"/>
  <c r="I90" i="105" s="1"/>
  <c r="H90" i="105" a="1"/>
  <c r="H90" i="105" s="1"/>
  <c r="G90" i="105" a="1"/>
  <c r="G90" i="105" s="1"/>
  <c r="F90" i="105" a="1"/>
  <c r="F90" i="105" s="1"/>
  <c r="E90" i="105" a="1"/>
  <c r="E90" i="105" s="1"/>
  <c r="D90" i="105" a="1"/>
  <c r="D90" i="105" s="1"/>
  <c r="D83" i="105" a="1"/>
  <c r="D83" i="105" s="1"/>
  <c r="D82" i="105" a="1"/>
  <c r="D82" i="105" s="1"/>
  <c r="D81" i="105" a="1"/>
  <c r="D81" i="105" s="1"/>
  <c r="E77" i="105" a="1"/>
  <c r="E77" i="105" s="1"/>
  <c r="D77" i="105" a="1"/>
  <c r="D77" i="105" s="1"/>
  <c r="E76" i="105" a="1"/>
  <c r="E76" i="105" s="1"/>
  <c r="D76" i="105" a="1"/>
  <c r="D76" i="105" s="1"/>
  <c r="E75" i="105" a="1"/>
  <c r="E75" i="105" s="1"/>
  <c r="D75" i="105" a="1"/>
  <c r="D75" i="105" s="1"/>
  <c r="E74" i="105" a="1"/>
  <c r="E74" i="105" s="1"/>
  <c r="D74" i="105" a="1"/>
  <c r="D74" i="105" s="1"/>
  <c r="E73" i="105" a="1"/>
  <c r="E73" i="105" s="1"/>
  <c r="D73" i="105" a="1"/>
  <c r="D73" i="105" s="1"/>
  <c r="E72" i="105" a="1"/>
  <c r="E72" i="105" s="1"/>
  <c r="D72" i="105" a="1"/>
  <c r="D72" i="105" s="1"/>
  <c r="E71" i="105" a="1"/>
  <c r="E71" i="105" s="1"/>
  <c r="D71" i="105" a="1"/>
  <c r="D71" i="105" s="1"/>
  <c r="E70" i="105" a="1"/>
  <c r="E70" i="105" s="1"/>
  <c r="D70" i="105" a="1"/>
  <c r="D70" i="105" s="1"/>
  <c r="E69" i="105" a="1"/>
  <c r="E69" i="105" s="1"/>
  <c r="D69" i="105" a="1"/>
  <c r="D69" i="105" s="1"/>
  <c r="E68" i="105" a="1"/>
  <c r="E68" i="105" s="1"/>
  <c r="D68" i="105" a="1"/>
  <c r="D68" i="105" s="1"/>
  <c r="E67" i="105" a="1"/>
  <c r="E67" i="105" s="1"/>
  <c r="D67" i="105" a="1"/>
  <c r="D67" i="105" s="1"/>
  <c r="E66" i="105" a="1"/>
  <c r="E66" i="105" s="1"/>
  <c r="D66" i="105" a="1"/>
  <c r="D66" i="105" s="1"/>
  <c r="E65" i="105" a="1"/>
  <c r="E65" i="105" s="1"/>
  <c r="D65" i="105" a="1"/>
  <c r="D65" i="105" s="1"/>
  <c r="E64" i="105" a="1"/>
  <c r="E64" i="105" s="1"/>
  <c r="D64" i="105" a="1"/>
  <c r="D64" i="105" s="1"/>
  <c r="D59" i="105" a="1"/>
  <c r="D59" i="105" s="1"/>
  <c r="D58" i="105" a="1"/>
  <c r="D58" i="105" s="1"/>
  <c r="D57" i="105" a="1"/>
  <c r="D57" i="105" s="1"/>
  <c r="G54" i="105" a="1"/>
  <c r="G54" i="105" s="1"/>
  <c r="F54" i="105" a="1"/>
  <c r="F54" i="105" s="1"/>
  <c r="E54" i="105" a="1"/>
  <c r="E54" i="105" s="1"/>
  <c r="D54" i="105" a="1"/>
  <c r="D54" i="105" s="1"/>
  <c r="G53" i="105" a="1"/>
  <c r="G53" i="105" s="1"/>
  <c r="F53" i="105" a="1"/>
  <c r="F53" i="105" s="1"/>
  <c r="E53" i="105" a="1"/>
  <c r="E53" i="105" s="1"/>
  <c r="D53" i="105" a="1"/>
  <c r="D53" i="105" s="1"/>
  <c r="G52" i="105" a="1"/>
  <c r="G52" i="105" s="1"/>
  <c r="F52" i="105" a="1"/>
  <c r="F52" i="105" s="1"/>
  <c r="E52" i="105" a="1"/>
  <c r="E52" i="105" s="1"/>
  <c r="D52" i="105" a="1"/>
  <c r="D52" i="105" s="1"/>
  <c r="G51" i="105" a="1"/>
  <c r="G51" i="105" s="1"/>
  <c r="F51" i="105" a="1"/>
  <c r="F51" i="105" s="1"/>
  <c r="E51" i="105" a="1"/>
  <c r="E51" i="105" s="1"/>
  <c r="D51" i="105" a="1"/>
  <c r="D51" i="105" s="1"/>
  <c r="G50" i="105" a="1"/>
  <c r="G50" i="105" s="1"/>
  <c r="F50" i="105" a="1"/>
  <c r="F50" i="105" s="1"/>
  <c r="E50" i="105" a="1"/>
  <c r="E50" i="105" s="1"/>
  <c r="D50" i="105" a="1"/>
  <c r="D50" i="105" s="1"/>
  <c r="G49" i="105" a="1"/>
  <c r="G49" i="105" s="1"/>
  <c r="F49" i="105" a="1"/>
  <c r="F49" i="105" s="1"/>
  <c r="E49" i="105" a="1"/>
  <c r="E49" i="105" s="1"/>
  <c r="D49" i="105" a="1"/>
  <c r="D49" i="105" s="1"/>
  <c r="G48" i="105" a="1"/>
  <c r="G48" i="105" s="1"/>
  <c r="F48" i="105" a="1"/>
  <c r="F48" i="105" s="1"/>
  <c r="E48" i="105" a="1"/>
  <c r="E48" i="105" s="1"/>
  <c r="D48" i="105" a="1"/>
  <c r="D48" i="105" s="1"/>
  <c r="D46" i="105"/>
  <c r="D46" i="105" a="1"/>
  <c r="D45" i="105" a="1"/>
  <c r="D45" i="105" s="1"/>
  <c r="E43" i="105" a="1"/>
  <c r="E43" i="105" s="1"/>
  <c r="D43" i="105" a="1"/>
  <c r="D43" i="105" s="1"/>
  <c r="E42" i="105" a="1"/>
  <c r="E42" i="105" s="1"/>
  <c r="D42" i="105" a="1"/>
  <c r="D42" i="105" s="1"/>
  <c r="E41" i="105" a="1"/>
  <c r="E41" i="105" s="1"/>
  <c r="D41" i="105" a="1"/>
  <c r="D41" i="105" s="1"/>
  <c r="E40" i="105" a="1"/>
  <c r="E40" i="105" s="1"/>
  <c r="D40" i="105" a="1"/>
  <c r="D40" i="105" s="1"/>
  <c r="E39" i="105" a="1"/>
  <c r="E39" i="105" s="1"/>
  <c r="D39" i="105" a="1"/>
  <c r="D39" i="105" s="1"/>
  <c r="E38" i="105" a="1"/>
  <c r="E38" i="105" s="1"/>
  <c r="D38" i="105" a="1"/>
  <c r="D38" i="105" s="1"/>
  <c r="E37" i="105" a="1"/>
  <c r="E37" i="105" s="1"/>
  <c r="D37" i="105" a="1"/>
  <c r="D37" i="105" s="1"/>
  <c r="D35" i="105"/>
  <c r="D35" i="105" a="1"/>
  <c r="D34" i="105"/>
  <c r="D34" i="105" a="1"/>
  <c r="D30" i="105" a="1"/>
  <c r="D30" i="105" s="1"/>
  <c r="D29" i="105" a="1"/>
  <c r="D29" i="105" s="1"/>
  <c r="D28" i="105" a="1"/>
  <c r="D28" i="105" s="1"/>
  <c r="D27" i="105" a="1"/>
  <c r="D27" i="105" s="1"/>
  <c r="D26" i="105" a="1"/>
  <c r="D26" i="105" s="1"/>
  <c r="D25" i="105" a="1"/>
  <c r="D25" i="105" s="1"/>
  <c r="D24" i="105" a="1"/>
  <c r="D24" i="105" s="1"/>
  <c r="D23" i="105" a="1"/>
  <c r="D23" i="105" s="1"/>
  <c r="D22" i="105" a="1"/>
  <c r="D22" i="105" s="1"/>
  <c r="D21" i="105" a="1"/>
  <c r="D21" i="105" s="1"/>
  <c r="D19" i="105"/>
  <c r="D19" i="105" a="1"/>
  <c r="D18" i="105" a="1"/>
  <c r="D18" i="105" s="1"/>
  <c r="F14" i="105" a="1"/>
  <c r="F14" i="105" s="1"/>
  <c r="E14" i="105" a="1"/>
  <c r="E14" i="105" s="1"/>
  <c r="D14" i="105" a="1"/>
  <c r="D14" i="105" s="1"/>
  <c r="F13" i="105" a="1"/>
  <c r="F13" i="105" s="1"/>
  <c r="E13" i="105" a="1"/>
  <c r="E13" i="105" s="1"/>
  <c r="D13" i="105" a="1"/>
  <c r="D13" i="105" s="1"/>
  <c r="F12" i="105" a="1"/>
  <c r="F12" i="105" s="1"/>
  <c r="E12" i="105" a="1"/>
  <c r="E12" i="105" s="1"/>
  <c r="D12" i="105" a="1"/>
  <c r="D12" i="105" s="1"/>
  <c r="F11" i="105" a="1"/>
  <c r="F11" i="105" s="1"/>
  <c r="E11" i="105" a="1"/>
  <c r="E11" i="105" s="1"/>
  <c r="D11" i="105" a="1"/>
  <c r="D11" i="105" s="1"/>
  <c r="F10" i="105" a="1"/>
  <c r="F10" i="105" s="1"/>
  <c r="E10" i="105" a="1"/>
  <c r="E10" i="105" s="1"/>
  <c r="D10" i="105" a="1"/>
  <c r="D10" i="105" s="1"/>
  <c r="F9" i="105" a="1"/>
  <c r="F9" i="105" s="1"/>
  <c r="E9" i="105" a="1"/>
  <c r="E9" i="105" s="1"/>
  <c r="D9" i="105" a="1"/>
  <c r="D9" i="105" s="1"/>
  <c r="F8" i="105" a="1"/>
  <c r="F8" i="105" s="1"/>
  <c r="E8" i="105" a="1"/>
  <c r="E8" i="105" s="1"/>
  <c r="D8" i="105" a="1"/>
  <c r="D8" i="105" s="1"/>
  <c r="F7" i="105" a="1"/>
  <c r="F7" i="105" s="1"/>
  <c r="E7" i="105" a="1"/>
  <c r="E7" i="105" s="1"/>
  <c r="D7" i="105" a="1"/>
  <c r="D7" i="105" s="1"/>
  <c r="D5" i="105" a="1"/>
  <c r="D5" i="105" s="1"/>
  <c r="E30" i="15" a="1"/>
  <c r="E30" i="15" s="1"/>
  <c r="G55" i="82" a="1"/>
  <c r="G55" i="82" s="1"/>
  <c r="O210" i="76" a="1"/>
  <c r="O210" i="76" s="1"/>
  <c r="G210" i="76" a="1"/>
  <c r="G210" i="76" s="1"/>
  <c r="G189" i="76" a="1"/>
  <c r="G189" i="76" s="1"/>
  <c r="D46" i="82" a="1"/>
  <c r="D46" i="82" s="1"/>
  <c r="E51" i="82" a="1"/>
  <c r="E51" i="82" s="1"/>
  <c r="E50" i="82" a="1"/>
  <c r="E50" i="82" s="1"/>
  <c r="D53" i="82" a="1"/>
  <c r="D53" i="82" s="1"/>
  <c r="D45" i="82" a="1"/>
  <c r="D45" i="82" s="1"/>
  <c r="L36" i="82"/>
  <c r="L20" i="82"/>
  <c r="D36" i="82"/>
  <c r="G15" i="82"/>
  <c r="D28" i="82"/>
  <c r="G14" i="82"/>
  <c r="D20" i="82"/>
  <c r="D6" i="82" a="1"/>
  <c r="D6" i="82" s="1"/>
  <c r="E11" i="82" a="1"/>
  <c r="E11" i="82" s="1"/>
  <c r="E12" i="82" a="1"/>
  <c r="E12" i="82" s="1"/>
  <c r="F41" i="82" s="1"/>
  <c r="D14" i="82" a="1"/>
  <c r="D14" i="82" s="1"/>
  <c r="D5" i="82" a="1"/>
  <c r="D5" i="82" s="1"/>
  <c r="A39" i="82"/>
  <c r="A38" i="82"/>
  <c r="A37" i="82"/>
  <c r="A36" i="82"/>
  <c r="A33" i="82"/>
  <c r="A30" i="82"/>
  <c r="A29" i="82"/>
  <c r="A28" i="82"/>
  <c r="A27" i="82"/>
  <c r="A26" i="82"/>
  <c r="A25" i="82"/>
  <c r="A24" i="82"/>
  <c r="A19" i="82"/>
  <c r="A18" i="82"/>
  <c r="A15" i="82"/>
  <c r="A14" i="82"/>
  <c r="A13" i="82"/>
  <c r="A12" i="82"/>
  <c r="A11" i="82"/>
  <c r="A10" i="82"/>
  <c r="A9" i="82"/>
  <c r="A8" i="82"/>
  <c r="A7" i="82"/>
  <c r="A4" i="82"/>
  <c r="G114" i="81"/>
  <c r="F114" i="81"/>
  <c r="E114" i="81"/>
  <c r="G113" i="81"/>
  <c r="F113" i="81"/>
  <c r="E113" i="81"/>
  <c r="G112" i="81"/>
  <c r="F112" i="81"/>
  <c r="E112" i="81"/>
  <c r="H72" i="81"/>
  <c r="H71" i="81"/>
  <c r="H70" i="81"/>
  <c r="H69" i="81"/>
  <c r="H17" i="81"/>
  <c r="H16" i="81"/>
  <c r="H15" i="81"/>
  <c r="H14" i="81"/>
  <c r="D61" i="81" a="1"/>
  <c r="D61" i="81" s="1"/>
  <c r="D85" i="81" s="1"/>
  <c r="E66" i="81" a="1"/>
  <c r="E66" i="81" s="1"/>
  <c r="E67" i="81" a="1"/>
  <c r="E67" i="81" s="1"/>
  <c r="D69" i="81" a="1"/>
  <c r="D69" i="81" s="1"/>
  <c r="D60" i="81" a="1"/>
  <c r="D60" i="81" s="1"/>
  <c r="G95" i="81"/>
  <c r="F95" i="81"/>
  <c r="E95" i="81"/>
  <c r="G94" i="81"/>
  <c r="F94" i="81"/>
  <c r="E94" i="81"/>
  <c r="G93" i="81"/>
  <c r="F93" i="81"/>
  <c r="E93" i="81"/>
  <c r="D58" i="70"/>
  <c r="D53" i="70"/>
  <c r="D48" i="70"/>
  <c r="D60" i="70"/>
  <c r="D6" i="81" a="1"/>
  <c r="D6" i="81" s="1"/>
  <c r="G47" i="81"/>
  <c r="F47" i="81"/>
  <c r="G59" i="70"/>
  <c r="F59" i="70"/>
  <c r="E59" i="70"/>
  <c r="E47" i="81" s="1"/>
  <c r="G36" i="70"/>
  <c r="F36" i="70"/>
  <c r="E36" i="70"/>
  <c r="D37" i="81"/>
  <c r="D29" i="81"/>
  <c r="E11" i="81" a="1"/>
  <c r="E11" i="81" s="1"/>
  <c r="E12" i="81" a="1"/>
  <c r="E12" i="81" s="1"/>
  <c r="F81" i="81" s="1"/>
  <c r="D14" i="81" a="1"/>
  <c r="D14" i="81" s="1"/>
  <c r="D5" i="81" a="1"/>
  <c r="D5" i="81" s="1"/>
  <c r="A39" i="81"/>
  <c r="A38" i="81"/>
  <c r="A37" i="81"/>
  <c r="A36" i="81"/>
  <c r="A33" i="81"/>
  <c r="A30" i="81"/>
  <c r="A29" i="81"/>
  <c r="A28" i="81"/>
  <c r="A27" i="81"/>
  <c r="A26" i="81"/>
  <c r="A25" i="81"/>
  <c r="A24" i="81"/>
  <c r="A19" i="81"/>
  <c r="A18" i="81"/>
  <c r="A15" i="81"/>
  <c r="A14" i="81"/>
  <c r="A13" i="81"/>
  <c r="A12" i="81"/>
  <c r="A11" i="81"/>
  <c r="A10" i="81"/>
  <c r="A9" i="81"/>
  <c r="A8" i="81"/>
  <c r="A7" i="81"/>
  <c r="A4" i="81"/>
  <c r="O169" i="69" a="1"/>
  <c r="O169" i="69" s="1"/>
  <c r="H8" i="13" s="1"/>
  <c r="M166" i="69" a="1"/>
  <c r="M166" i="69" s="1"/>
  <c r="N158" i="69"/>
  <c r="N145" i="69"/>
  <c r="M57" i="69"/>
  <c r="N212" i="76" a="1"/>
  <c r="N212" i="76" s="1"/>
  <c r="H10" i="13" s="1"/>
  <c r="L209" i="76" a="1"/>
  <c r="L209" i="76" s="1"/>
  <c r="L202" i="76"/>
  <c r="D209" i="76" a="1"/>
  <c r="D209" i="76" s="1"/>
  <c r="F212" i="76" a="1"/>
  <c r="F212" i="76" s="1"/>
  <c r="H9" i="13" s="1"/>
  <c r="D202" i="76"/>
  <c r="G188" i="76"/>
  <c r="D194" i="76"/>
  <c r="G187" i="76"/>
  <c r="E7" i="82" a="1"/>
  <c r="E7" i="81" a="1"/>
  <c r="E47" i="82" a="1"/>
  <c r="E62" i="81" a="1"/>
  <c r="E180" i="76" a="1"/>
  <c r="H49" i="105" l="1"/>
  <c r="H54" i="105"/>
  <c r="H50" i="105"/>
  <c r="H48" i="105"/>
  <c r="H53" i="105"/>
  <c r="H51" i="105"/>
  <c r="H52" i="105"/>
  <c r="H36" i="82"/>
  <c r="H38" i="82"/>
  <c r="H39" i="82"/>
  <c r="H53" i="81"/>
  <c r="H37" i="82"/>
  <c r="N41" i="82"/>
  <c r="P121" i="81"/>
  <c r="E47" i="82"/>
  <c r="E7" i="82"/>
  <c r="F123" i="81"/>
  <c r="N123" i="81"/>
  <c r="P52" i="81"/>
  <c r="P54" i="81"/>
  <c r="N56" i="81"/>
  <c r="P101" i="81"/>
  <c r="P102" i="81"/>
  <c r="N81" i="81"/>
  <c r="E62" i="81"/>
  <c r="E7" i="81"/>
  <c r="H77" i="81"/>
  <c r="H119" i="81"/>
  <c r="H79" i="81"/>
  <c r="H100" i="81"/>
  <c r="H120" i="81"/>
  <c r="H101" i="81"/>
  <c r="P120" i="81"/>
  <c r="H78" i="81"/>
  <c r="P119" i="81"/>
  <c r="P77" i="81"/>
  <c r="P78" i="81"/>
  <c r="H52" i="81"/>
  <c r="H102" i="81"/>
  <c r="P100" i="81"/>
  <c r="H121" i="81"/>
  <c r="P79" i="81"/>
  <c r="H54" i="81"/>
  <c r="P53" i="81"/>
  <c r="F104" i="81"/>
  <c r="N104" i="81"/>
  <c r="F56" i="81"/>
  <c r="E180" i="76"/>
  <c r="D179" i="76" l="1" a="1"/>
  <c r="D179" i="76" s="1"/>
  <c r="E185" i="76" a="1"/>
  <c r="E185" i="76" s="1"/>
  <c r="E184" i="76" a="1"/>
  <c r="E184" i="76" s="1"/>
  <c r="D187" i="76" a="1"/>
  <c r="D187" i="76" s="1"/>
  <c r="D178" i="76" a="1"/>
  <c r="D178" i="76" s="1"/>
  <c r="G161" i="76"/>
  <c r="G144" i="76"/>
  <c r="D153" i="76" a="1"/>
  <c r="D153" i="76" s="1"/>
  <c r="G119" i="76"/>
  <c r="G118" i="76"/>
  <c r="G95" i="76"/>
  <c r="D111" i="76" a="1"/>
  <c r="D111" i="76" s="1"/>
  <c r="E115" i="76" a="1"/>
  <c r="E115" i="76" s="1"/>
  <c r="E116" i="76" a="1"/>
  <c r="E116" i="76" s="1"/>
  <c r="G149" i="76" s="1"/>
  <c r="D118" i="76" a="1"/>
  <c r="D118" i="76" s="1"/>
  <c r="D110" i="76" a="1"/>
  <c r="D110" i="76" s="1"/>
  <c r="G141" i="76"/>
  <c r="D134" i="76" a="1"/>
  <c r="D134" i="76" s="1"/>
  <c r="E138" i="76" a="1"/>
  <c r="E138" i="76" s="1"/>
  <c r="E139" i="76" a="1"/>
  <c r="E139" i="76" s="1"/>
  <c r="D141" i="76" a="1"/>
  <c r="D141" i="76" s="1"/>
  <c r="D133" i="76" a="1"/>
  <c r="D133" i="76" s="1"/>
  <c r="G162" i="76"/>
  <c r="G168" i="76"/>
  <c r="F168" i="76"/>
  <c r="E168" i="76"/>
  <c r="G167" i="76"/>
  <c r="F167" i="76"/>
  <c r="E167" i="76"/>
  <c r="H81" i="69"/>
  <c r="H80" i="69"/>
  <c r="G81" i="69"/>
  <c r="G80" i="69"/>
  <c r="F81" i="69"/>
  <c r="F80" i="69"/>
  <c r="D154" i="76" a="1"/>
  <c r="D154" i="76" s="1"/>
  <c r="E158" i="76" a="1"/>
  <c r="E158" i="76" s="1"/>
  <c r="E159" i="76" a="1"/>
  <c r="E159" i="76" s="1"/>
  <c r="D161" i="76" a="1"/>
  <c r="D161" i="76" s="1"/>
  <c r="L106" i="76"/>
  <c r="E101" i="76"/>
  <c r="D106" i="76"/>
  <c r="G96" i="76"/>
  <c r="G101" i="76"/>
  <c r="F101" i="76"/>
  <c r="D101" i="76"/>
  <c r="D88" i="76" a="1"/>
  <c r="D88" i="76" s="1"/>
  <c r="E92" i="76" a="1"/>
  <c r="E92" i="76" s="1"/>
  <c r="E93" i="76" a="1"/>
  <c r="E93" i="76" s="1"/>
  <c r="P106" i="76" s="1"/>
  <c r="D95" i="76" a="1"/>
  <c r="D95" i="76" s="1"/>
  <c r="D87" i="76" a="1"/>
  <c r="D87" i="76" s="1"/>
  <c r="G66" i="76"/>
  <c r="F73" i="76"/>
  <c r="E73" i="76"/>
  <c r="D73" i="76"/>
  <c r="G68" i="76"/>
  <c r="F78" i="76"/>
  <c r="E78" i="76"/>
  <c r="D78" i="76"/>
  <c r="G67" i="76"/>
  <c r="D59" i="76" a="1"/>
  <c r="D59" i="76" s="1"/>
  <c r="E63" i="76" a="1"/>
  <c r="E63" i="76" s="1"/>
  <c r="E64" i="76" a="1"/>
  <c r="E64" i="76" s="1"/>
  <c r="O83" i="76" s="1"/>
  <c r="D66" i="76" a="1"/>
  <c r="D66" i="76" s="1"/>
  <c r="D58" i="76" a="1"/>
  <c r="D58" i="76" s="1"/>
  <c r="G44" i="76"/>
  <c r="G43" i="76"/>
  <c r="D35" i="76" a="1"/>
  <c r="D35" i="76" s="1"/>
  <c r="E41" i="76" a="1"/>
  <c r="E41" i="76" s="1"/>
  <c r="O54" i="76" s="1"/>
  <c r="E40" i="76" a="1"/>
  <c r="E40" i="76" s="1"/>
  <c r="D43" i="76" a="1"/>
  <c r="D43" i="76" s="1"/>
  <c r="D34" i="76" a="1"/>
  <c r="D34" i="76" s="1"/>
  <c r="D117" i="79" a="1"/>
  <c r="D117" i="79" s="1"/>
  <c r="E117" i="79" a="1"/>
  <c r="E117" i="79" s="1"/>
  <c r="F117" i="79" a="1"/>
  <c r="F117" i="79" s="1"/>
  <c r="G117" i="79" a="1"/>
  <c r="G117" i="79" s="1"/>
  <c r="D116" i="79" a="1"/>
  <c r="D116" i="79" s="1"/>
  <c r="E116" i="79" a="1"/>
  <c r="E116" i="79" s="1"/>
  <c r="F116" i="79" a="1"/>
  <c r="F116" i="79" s="1"/>
  <c r="G116" i="79" a="1"/>
  <c r="G116" i="79" s="1"/>
  <c r="D115" i="79" a="1"/>
  <c r="D115" i="79" s="1"/>
  <c r="E115" i="79" a="1"/>
  <c r="E115" i="79" s="1"/>
  <c r="F115" i="79" a="1"/>
  <c r="F115" i="79" s="1"/>
  <c r="G115" i="79" a="1"/>
  <c r="G115" i="79" s="1"/>
  <c r="D114" i="79" a="1"/>
  <c r="D114" i="79" s="1"/>
  <c r="E114" i="79" a="1"/>
  <c r="E114" i="79" s="1"/>
  <c r="F114" i="79" a="1"/>
  <c r="F114" i="79" s="1"/>
  <c r="G114" i="79" a="1"/>
  <c r="G114" i="79" s="1"/>
  <c r="G113" i="79" a="1"/>
  <c r="G113" i="79" s="1"/>
  <c r="F113" i="79" a="1"/>
  <c r="F113" i="79" s="1"/>
  <c r="G142" i="76" s="1"/>
  <c r="E113" i="79" a="1"/>
  <c r="E113" i="79" s="1"/>
  <c r="D113" i="79" a="1"/>
  <c r="D113" i="79" s="1"/>
  <c r="D109" i="79" a="1"/>
  <c r="D109" i="79" s="1"/>
  <c r="D110" i="79" a="1"/>
  <c r="D110" i="79" s="1"/>
  <c r="D108" i="79" a="1"/>
  <c r="D108" i="79" s="1"/>
  <c r="G105" i="79" a="1"/>
  <c r="G105" i="79" s="1"/>
  <c r="D105" i="79" a="1"/>
  <c r="D105" i="79" s="1"/>
  <c r="E105" i="79" a="1"/>
  <c r="E105" i="79" s="1"/>
  <c r="F105" i="79" a="1"/>
  <c r="F105" i="79" s="1"/>
  <c r="G104" i="79" a="1"/>
  <c r="G104" i="79" s="1"/>
  <c r="D104" i="79" a="1"/>
  <c r="D104" i="79" s="1"/>
  <c r="E104" i="79" a="1"/>
  <c r="E104" i="79" s="1"/>
  <c r="F104" i="79" a="1"/>
  <c r="F104" i="79" s="1"/>
  <c r="G103" i="79" a="1"/>
  <c r="G103" i="79" s="1"/>
  <c r="D103" i="79" a="1"/>
  <c r="D103" i="79" s="1"/>
  <c r="E103" i="79" a="1"/>
  <c r="E103" i="79" s="1"/>
  <c r="F103" i="79" a="1"/>
  <c r="F103" i="79" s="1"/>
  <c r="G102" i="79" a="1"/>
  <c r="G102" i="79" s="1"/>
  <c r="G101" i="79" a="1"/>
  <c r="G101" i="79" s="1"/>
  <c r="D102" i="79" a="1"/>
  <c r="D102" i="79" s="1"/>
  <c r="E102" i="79" a="1"/>
  <c r="E102" i="79" s="1"/>
  <c r="F102" i="79" a="1"/>
  <c r="F102" i="79" s="1"/>
  <c r="F101" i="79" a="1"/>
  <c r="F101" i="79" s="1"/>
  <c r="G143" i="76" s="1"/>
  <c r="E101" i="79" a="1"/>
  <c r="E101" i="79" s="1"/>
  <c r="D101" i="79" a="1"/>
  <c r="D101" i="79" s="1"/>
  <c r="D97" i="79" a="1"/>
  <c r="D97" i="79" s="1"/>
  <c r="D98" i="79" a="1"/>
  <c r="D98" i="79" s="1"/>
  <c r="D96" i="79" a="1"/>
  <c r="D96" i="79" s="1"/>
  <c r="D41" i="79" a="1"/>
  <c r="D41" i="79" s="1"/>
  <c r="E41" i="79" a="1"/>
  <c r="E41" i="79" s="1"/>
  <c r="D40" i="79" a="1"/>
  <c r="D40" i="79" s="1"/>
  <c r="E40" i="79" a="1"/>
  <c r="E40" i="79" s="1"/>
  <c r="E39" i="79" a="1"/>
  <c r="E39" i="79" s="1"/>
  <c r="D39" i="79" a="1"/>
  <c r="D39" i="79" s="1"/>
  <c r="D37" i="79" a="1"/>
  <c r="D37" i="79" s="1"/>
  <c r="D36" i="79" a="1"/>
  <c r="D36" i="79" s="1"/>
  <c r="D58" i="79" a="1"/>
  <c r="D58" i="79" s="1"/>
  <c r="E58" i="79" a="1"/>
  <c r="E58" i="79" s="1"/>
  <c r="F58" i="79" a="1"/>
  <c r="F58" i="79" s="1"/>
  <c r="G58" i="79" a="1"/>
  <c r="G58" i="79" s="1"/>
  <c r="H58" i="79" a="1"/>
  <c r="H58" i="79" s="1"/>
  <c r="I58" i="79" a="1"/>
  <c r="I58" i="79" s="1"/>
  <c r="J58" i="79" a="1"/>
  <c r="J58" i="79" s="1"/>
  <c r="D57" i="79" a="1"/>
  <c r="D57" i="79" s="1"/>
  <c r="E57" i="79" a="1"/>
  <c r="E57" i="79" s="1"/>
  <c r="F57" i="79" a="1"/>
  <c r="F57" i="79" s="1"/>
  <c r="G57" i="79" a="1"/>
  <c r="G57" i="79" s="1"/>
  <c r="H57" i="79" a="1"/>
  <c r="H57" i="79" s="1"/>
  <c r="I57" i="79" a="1"/>
  <c r="I57" i="79" s="1"/>
  <c r="J57" i="79" a="1"/>
  <c r="J57" i="79" s="1"/>
  <c r="D56" i="79" a="1"/>
  <c r="D56" i="79" s="1"/>
  <c r="E56" i="79" a="1"/>
  <c r="E56" i="79" s="1"/>
  <c r="F56" i="79" a="1"/>
  <c r="F56" i="79" s="1"/>
  <c r="G56" i="79" a="1"/>
  <c r="G56" i="79" s="1"/>
  <c r="H56" i="79" a="1"/>
  <c r="H56" i="79" s="1"/>
  <c r="I56" i="79" a="1"/>
  <c r="I56" i="79" s="1"/>
  <c r="J56" i="79" a="1"/>
  <c r="J56" i="79" s="1"/>
  <c r="D55" i="79" a="1"/>
  <c r="D55" i="79" s="1"/>
  <c r="E55" i="79" a="1"/>
  <c r="E55" i="79" s="1"/>
  <c r="F55" i="79" a="1"/>
  <c r="F55" i="79" s="1"/>
  <c r="G55" i="79" a="1"/>
  <c r="G55" i="79" s="1"/>
  <c r="H55" i="79" a="1"/>
  <c r="H55" i="79" s="1"/>
  <c r="I55" i="79" a="1"/>
  <c r="I55" i="79" s="1"/>
  <c r="J55" i="79" a="1"/>
  <c r="J55" i="79" s="1"/>
  <c r="D54" i="79" a="1"/>
  <c r="D54" i="79" s="1"/>
  <c r="E54" i="79" a="1"/>
  <c r="E54" i="79" s="1"/>
  <c r="F54" i="79" a="1"/>
  <c r="F54" i="79" s="1"/>
  <c r="G54" i="79" a="1"/>
  <c r="G54" i="79" s="1"/>
  <c r="H54" i="79" a="1"/>
  <c r="H54" i="79" s="1"/>
  <c r="I54" i="79" a="1"/>
  <c r="I54" i="79" s="1"/>
  <c r="J54" i="79" a="1"/>
  <c r="J54" i="79" s="1"/>
  <c r="D53" i="79" a="1"/>
  <c r="D53" i="79" s="1"/>
  <c r="E53" i="79" a="1"/>
  <c r="E53" i="79" s="1"/>
  <c r="F53" i="79" a="1"/>
  <c r="F53" i="79" s="1"/>
  <c r="G53" i="79" a="1"/>
  <c r="G53" i="79" s="1"/>
  <c r="H53" i="79" a="1"/>
  <c r="H53" i="79" s="1"/>
  <c r="I53" i="79" a="1"/>
  <c r="I53" i="79" s="1"/>
  <c r="J53" i="79" a="1"/>
  <c r="J53" i="79" s="1"/>
  <c r="D52" i="79" a="1"/>
  <c r="D52" i="79" s="1"/>
  <c r="E52" i="79" a="1"/>
  <c r="E52" i="79" s="1"/>
  <c r="F52" i="79" a="1"/>
  <c r="F52" i="79" s="1"/>
  <c r="G52" i="79" a="1"/>
  <c r="G52" i="79" s="1"/>
  <c r="H52" i="79" a="1"/>
  <c r="H52" i="79" s="1"/>
  <c r="I52" i="79" a="1"/>
  <c r="I52" i="79" s="1"/>
  <c r="J52" i="79" a="1"/>
  <c r="J52" i="79" s="1"/>
  <c r="D51" i="79" a="1"/>
  <c r="D51" i="79" s="1"/>
  <c r="E51" i="79" a="1"/>
  <c r="E51" i="79" s="1"/>
  <c r="F51" i="79" a="1"/>
  <c r="F51" i="79" s="1"/>
  <c r="G51" i="79" a="1"/>
  <c r="G51" i="79" s="1"/>
  <c r="H51" i="79" a="1"/>
  <c r="H51" i="79" s="1"/>
  <c r="I51" i="79" a="1"/>
  <c r="I51" i="79" s="1"/>
  <c r="J51" i="79" a="1"/>
  <c r="J51" i="79" s="1"/>
  <c r="J50" i="79" a="1"/>
  <c r="J50" i="79" s="1"/>
  <c r="I50" i="79" a="1"/>
  <c r="I50" i="79" s="1"/>
  <c r="H50" i="79" a="1"/>
  <c r="H50" i="79" s="1"/>
  <c r="G50" i="79" a="1"/>
  <c r="G50" i="79" s="1"/>
  <c r="F50" i="79" a="1"/>
  <c r="F50" i="79" s="1"/>
  <c r="E50" i="79" a="1"/>
  <c r="E50" i="79" s="1"/>
  <c r="D50" i="79" a="1"/>
  <c r="D50" i="79" s="1"/>
  <c r="D45" i="79" a="1"/>
  <c r="D45" i="79" s="1"/>
  <c r="D46" i="79" a="1"/>
  <c r="D46" i="79" s="1"/>
  <c r="D44" i="79" a="1"/>
  <c r="D44" i="79" s="1"/>
  <c r="G14" i="76"/>
  <c r="G13" i="76"/>
  <c r="D61" i="79" a="1"/>
  <c r="D61" i="79" s="1"/>
  <c r="D62" i="79" a="1"/>
  <c r="D62" i="79" s="1"/>
  <c r="D63" i="79" a="1"/>
  <c r="D63" i="79" s="1"/>
  <c r="D67" i="79" a="1"/>
  <c r="D67" i="79" s="1"/>
  <c r="E67" i="79" a="1"/>
  <c r="E67" i="79" s="1"/>
  <c r="F67" i="79" a="1"/>
  <c r="F67" i="79" s="1"/>
  <c r="G67" i="79" a="1"/>
  <c r="G67" i="79" s="1"/>
  <c r="H67" i="79" a="1"/>
  <c r="H67" i="79" s="1"/>
  <c r="I67" i="79" a="1"/>
  <c r="I67" i="79" s="1"/>
  <c r="J67" i="79" a="1"/>
  <c r="J67" i="79" s="1"/>
  <c r="D68" i="79" a="1"/>
  <c r="D68" i="79" s="1"/>
  <c r="E68" i="79" a="1"/>
  <c r="E68" i="79" s="1"/>
  <c r="F68" i="79" a="1"/>
  <c r="F68" i="79" s="1"/>
  <c r="G68" i="79" a="1"/>
  <c r="G68" i="79" s="1"/>
  <c r="H68" i="79" a="1"/>
  <c r="H68" i="79" s="1"/>
  <c r="I68" i="79" a="1"/>
  <c r="I68" i="79" s="1"/>
  <c r="J68" i="79" a="1"/>
  <c r="J68" i="79" s="1"/>
  <c r="D69" i="79" a="1"/>
  <c r="D69" i="79" s="1"/>
  <c r="E69" i="79" a="1"/>
  <c r="E69" i="79" s="1"/>
  <c r="F69" i="79" a="1"/>
  <c r="F69" i="79" s="1"/>
  <c r="G69" i="79" a="1"/>
  <c r="G69" i="79" s="1"/>
  <c r="H69" i="79" a="1"/>
  <c r="H69" i="79" s="1"/>
  <c r="I69" i="79" a="1"/>
  <c r="I69" i="79" s="1"/>
  <c r="J69" i="79" a="1"/>
  <c r="J69" i="79" s="1"/>
  <c r="D70" i="79" a="1"/>
  <c r="D70" i="79" s="1"/>
  <c r="E70" i="79" a="1"/>
  <c r="E70" i="79" s="1"/>
  <c r="F70" i="79" a="1"/>
  <c r="F70" i="79" s="1"/>
  <c r="G70" i="79" a="1"/>
  <c r="G70" i="79" s="1"/>
  <c r="H70" i="79" a="1"/>
  <c r="H70" i="79" s="1"/>
  <c r="I70" i="79" a="1"/>
  <c r="I70" i="79" s="1"/>
  <c r="J70" i="79" a="1"/>
  <c r="J70" i="79" s="1"/>
  <c r="D71" i="79" a="1"/>
  <c r="D71" i="79" s="1"/>
  <c r="E71" i="79" a="1"/>
  <c r="E71" i="79" s="1"/>
  <c r="F71" i="79" a="1"/>
  <c r="F71" i="79" s="1"/>
  <c r="G71" i="79" a="1"/>
  <c r="G71" i="79" s="1"/>
  <c r="H71" i="79" a="1"/>
  <c r="H71" i="79" s="1"/>
  <c r="I71" i="79" a="1"/>
  <c r="I71" i="79" s="1"/>
  <c r="J71" i="79" a="1"/>
  <c r="J71" i="79" s="1"/>
  <c r="D72" i="79" a="1"/>
  <c r="D72" i="79" s="1"/>
  <c r="E72" i="79" a="1"/>
  <c r="E72" i="79" s="1"/>
  <c r="F72" i="79" a="1"/>
  <c r="F72" i="79" s="1"/>
  <c r="G72" i="79" a="1"/>
  <c r="G72" i="79" s="1"/>
  <c r="H72" i="79" a="1"/>
  <c r="H72" i="79" s="1"/>
  <c r="I72" i="79" a="1"/>
  <c r="I72" i="79" s="1"/>
  <c r="J72" i="79" a="1"/>
  <c r="J72" i="79" s="1"/>
  <c r="D73" i="79" a="1"/>
  <c r="D73" i="79" s="1"/>
  <c r="E73" i="79" a="1"/>
  <c r="E73" i="79" s="1"/>
  <c r="F73" i="79" a="1"/>
  <c r="F73" i="79" s="1"/>
  <c r="G73" i="79" a="1"/>
  <c r="G73" i="79" s="1"/>
  <c r="H73" i="79" a="1"/>
  <c r="H73" i="79" s="1"/>
  <c r="I73" i="79" a="1"/>
  <c r="I73" i="79" s="1"/>
  <c r="J73" i="79" a="1"/>
  <c r="J73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N93" i="79" a="1"/>
  <c r="N93" i="79" s="1"/>
  <c r="M93" i="79" a="1"/>
  <c r="M93" i="79" s="1"/>
  <c r="L93" i="79" a="1"/>
  <c r="L93" i="79" s="1"/>
  <c r="K93" i="79" a="1"/>
  <c r="K93" i="79" s="1"/>
  <c r="J93" i="79" a="1"/>
  <c r="J93" i="79" s="1"/>
  <c r="I93" i="79" a="1"/>
  <c r="I93" i="79" s="1"/>
  <c r="H93" i="79" a="1"/>
  <c r="H93" i="79" s="1"/>
  <c r="G93" i="79" a="1"/>
  <c r="G93" i="79" s="1"/>
  <c r="F93" i="79" a="1"/>
  <c r="F93" i="79" s="1"/>
  <c r="E93" i="79" a="1"/>
  <c r="E93" i="79" s="1"/>
  <c r="D93" i="79" a="1"/>
  <c r="D93" i="79" s="1"/>
  <c r="N92" i="79" a="1"/>
  <c r="N92" i="79" s="1"/>
  <c r="M92" i="79" a="1"/>
  <c r="M92" i="79" s="1"/>
  <c r="L92" i="79" a="1"/>
  <c r="L92" i="79" s="1"/>
  <c r="K92" i="79" a="1"/>
  <c r="K92" i="79" s="1"/>
  <c r="J92" i="79" a="1"/>
  <c r="J92" i="79" s="1"/>
  <c r="I92" i="79" a="1"/>
  <c r="I92" i="79" s="1"/>
  <c r="H92" i="79" a="1"/>
  <c r="H92" i="79" s="1"/>
  <c r="G92" i="79" a="1"/>
  <c r="G92" i="79" s="1"/>
  <c r="F92" i="79" a="1"/>
  <c r="F92" i="79" s="1"/>
  <c r="E92" i="79" a="1"/>
  <c r="E92" i="79" s="1"/>
  <c r="D92" i="79" a="1"/>
  <c r="D92" i="79" s="1"/>
  <c r="N91" i="79" a="1"/>
  <c r="N91" i="79" s="1"/>
  <c r="M91" i="79" a="1"/>
  <c r="M91" i="79" s="1"/>
  <c r="L91" i="79" a="1"/>
  <c r="L91" i="79" s="1"/>
  <c r="K91" i="79" a="1"/>
  <c r="K91" i="79" s="1"/>
  <c r="J91" i="79" a="1"/>
  <c r="J91" i="79" s="1"/>
  <c r="I91" i="79" a="1"/>
  <c r="I91" i="79" s="1"/>
  <c r="H91" i="79" a="1"/>
  <c r="H91" i="79" s="1"/>
  <c r="G91" i="79" a="1"/>
  <c r="G91" i="79" s="1"/>
  <c r="F91" i="79" a="1"/>
  <c r="F91" i="79" s="1"/>
  <c r="E91" i="79" a="1"/>
  <c r="E91" i="79" s="1"/>
  <c r="D91" i="79" a="1"/>
  <c r="D91" i="79" s="1"/>
  <c r="N90" i="79" a="1"/>
  <c r="N90" i="79" s="1"/>
  <c r="M90" i="79" a="1"/>
  <c r="M90" i="79" s="1"/>
  <c r="L90" i="79" a="1"/>
  <c r="L90" i="79" s="1"/>
  <c r="K90" i="79" a="1"/>
  <c r="K90" i="79" s="1"/>
  <c r="J90" i="79" a="1"/>
  <c r="J90" i="79" s="1"/>
  <c r="I90" i="79" a="1"/>
  <c r="I90" i="79" s="1"/>
  <c r="H90" i="79" a="1"/>
  <c r="H90" i="79" s="1"/>
  <c r="G90" i="79" a="1"/>
  <c r="G90" i="79" s="1"/>
  <c r="F90" i="79" a="1"/>
  <c r="F90" i="79" s="1"/>
  <c r="E90" i="79" a="1"/>
  <c r="E90" i="79" s="1"/>
  <c r="D90" i="79" a="1"/>
  <c r="D90" i="79" s="1"/>
  <c r="N89" i="79" a="1"/>
  <c r="N89" i="79" s="1"/>
  <c r="M89" i="79" a="1"/>
  <c r="M89" i="79" s="1"/>
  <c r="L89" i="79" a="1"/>
  <c r="L89" i="79" s="1"/>
  <c r="K89" i="79" a="1"/>
  <c r="K89" i="79" s="1"/>
  <c r="J89" i="79" a="1"/>
  <c r="J89" i="79" s="1"/>
  <c r="I89" i="79" a="1"/>
  <c r="I89" i="79" s="1"/>
  <c r="H89" i="79" a="1"/>
  <c r="H89" i="79" s="1"/>
  <c r="G89" i="79" a="1"/>
  <c r="G89" i="79" s="1"/>
  <c r="F89" i="79" a="1"/>
  <c r="F89" i="79" s="1"/>
  <c r="E89" i="79" a="1"/>
  <c r="E89" i="79" s="1"/>
  <c r="D89" i="79" a="1"/>
  <c r="D89" i="79" s="1"/>
  <c r="D83" i="79" a="1"/>
  <c r="D83" i="79" s="1"/>
  <c r="D82" i="79" a="1"/>
  <c r="D82" i="79" s="1"/>
  <c r="D81" i="79" a="1"/>
  <c r="D81" i="79" s="1"/>
  <c r="F22" i="79" a="1"/>
  <c r="F22" i="79" s="1"/>
  <c r="E22" i="79" a="1"/>
  <c r="E22" i="79" s="1"/>
  <c r="D22" i="79" a="1"/>
  <c r="D22" i="79" s="1"/>
  <c r="D21" i="79" a="1"/>
  <c r="D21" i="79" s="1"/>
  <c r="D20" i="79" a="1"/>
  <c r="D20" i="79" s="1"/>
  <c r="F17" i="79" a="1"/>
  <c r="F17" i="79" s="1"/>
  <c r="E17" i="79" a="1"/>
  <c r="E17" i="79" s="1"/>
  <c r="D17" i="79" a="1"/>
  <c r="D17" i="79" s="1"/>
  <c r="D16" i="79" a="1"/>
  <c r="D16" i="79" s="1"/>
  <c r="D15" i="79" a="1"/>
  <c r="D15" i="79" s="1"/>
  <c r="F12" i="79" a="1"/>
  <c r="F12" i="79" s="1"/>
  <c r="E12" i="79" a="1"/>
  <c r="E12" i="79" s="1"/>
  <c r="D12" i="79" a="1"/>
  <c r="D12" i="79" s="1"/>
  <c r="D11" i="79" a="1"/>
  <c r="D11" i="79" s="1"/>
  <c r="D10" i="79" a="1"/>
  <c r="D10" i="79" s="1"/>
  <c r="F7" i="79" a="1"/>
  <c r="F7" i="79" s="1"/>
  <c r="E7" i="79" a="1"/>
  <c r="E7" i="79" s="1"/>
  <c r="D7" i="79" a="1"/>
  <c r="D7" i="79" s="1"/>
  <c r="D6" i="79" a="1"/>
  <c r="D6" i="79" s="1"/>
  <c r="D5" i="79" a="1"/>
  <c r="D5" i="79" s="1"/>
  <c r="D6" i="76" a="1"/>
  <c r="D6" i="76" s="1"/>
  <c r="E11" i="76" a="1"/>
  <c r="E11" i="76" s="1"/>
  <c r="O30" i="76" s="1"/>
  <c r="E10" i="76" a="1"/>
  <c r="E10" i="76" s="1"/>
  <c r="D13" i="76" a="1"/>
  <c r="D13" i="76" s="1"/>
  <c r="D5" i="76" a="1"/>
  <c r="D5" i="76" s="1"/>
  <c r="A17" i="76"/>
  <c r="A16" i="76"/>
  <c r="A15" i="76"/>
  <c r="A11" i="76"/>
  <c r="A8" i="76"/>
  <c r="A7" i="76"/>
  <c r="A4" i="76"/>
  <c r="A3" i="76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135" i="76" a="1"/>
  <c r="E112" i="76" a="1"/>
  <c r="E89" i="76" a="1"/>
  <c r="E60" i="76" a="1"/>
  <c r="E7" i="76" a="1"/>
  <c r="E155" i="76" a="1"/>
  <c r="E36" i="76" a="1"/>
  <c r="H129" i="76" l="1"/>
  <c r="E28" i="82"/>
  <c r="E194" i="76"/>
  <c r="E29" i="81"/>
  <c r="G17" i="70" a="1"/>
  <c r="G17" i="70" s="1"/>
  <c r="F49" i="76" s="1"/>
  <c r="E20" i="70" a="1"/>
  <c r="E20" i="70" s="1"/>
  <c r="E37" i="81"/>
  <c r="E23" i="70" a="1"/>
  <c r="E23" i="70" s="1"/>
  <c r="L49" i="76" s="1"/>
  <c r="F23" i="70" a="1"/>
  <c r="F23" i="70" s="1"/>
  <c r="M49" i="76" s="1"/>
  <c r="G23" i="70" a="1"/>
  <c r="G23" i="70" s="1"/>
  <c r="N49" i="76" s="1"/>
  <c r="E17" i="70" a="1"/>
  <c r="E17" i="70" s="1"/>
  <c r="D49" i="76" s="1"/>
  <c r="F17" i="70" a="1"/>
  <c r="F17" i="70" s="1"/>
  <c r="E49" i="76" s="1"/>
  <c r="P174" i="76"/>
  <c r="P173" i="76"/>
  <c r="H173" i="76"/>
  <c r="H174" i="76"/>
  <c r="P129" i="76"/>
  <c r="O149" i="76"/>
  <c r="P203" i="76"/>
  <c r="N207" i="76"/>
  <c r="F10" i="13" s="1"/>
  <c r="P205" i="76"/>
  <c r="F207" i="76"/>
  <c r="F9" i="13" s="1"/>
  <c r="P204" i="76"/>
  <c r="H205" i="76"/>
  <c r="H204" i="76"/>
  <c r="H203" i="76"/>
  <c r="H202" i="76"/>
  <c r="P202" i="76"/>
  <c r="E155" i="76"/>
  <c r="E135" i="76"/>
  <c r="E112" i="76"/>
  <c r="H106" i="76"/>
  <c r="E60" i="76"/>
  <c r="E89" i="76"/>
  <c r="G83" i="76"/>
  <c r="G30" i="76"/>
  <c r="G54" i="76"/>
  <c r="E36" i="76"/>
  <c r="E7" i="76"/>
  <c r="G14" i="70" a="1"/>
  <c r="G14" i="70" s="1"/>
  <c r="F20" i="76" s="1"/>
  <c r="E15" i="70" a="1"/>
  <c r="E15" i="70" s="1"/>
  <c r="F14" i="70" a="1"/>
  <c r="F14" i="70" s="1"/>
  <c r="E20" i="76" s="1"/>
  <c r="E14" i="70" a="1"/>
  <c r="E14" i="70" s="1"/>
  <c r="D20" i="76" s="1"/>
  <c r="G22" i="70" a="1"/>
  <c r="G22" i="70" s="1"/>
  <c r="N25" i="76" s="1"/>
  <c r="F20" i="70" a="1"/>
  <c r="F20" i="70" s="1"/>
  <c r="G20" i="70" a="1"/>
  <c r="G20" i="70" s="1"/>
  <c r="G15" i="70" a="1"/>
  <c r="G15" i="70" s="1"/>
  <c r="E16" i="70" a="1"/>
  <c r="E16" i="70" s="1"/>
  <c r="D25" i="76" s="1"/>
  <c r="F16" i="70" a="1"/>
  <c r="F16" i="70" s="1"/>
  <c r="E25" i="76" s="1"/>
  <c r="G16" i="70" a="1"/>
  <c r="G16" i="70" s="1"/>
  <c r="F25" i="76" s="1"/>
  <c r="E21" i="70" a="1"/>
  <c r="E21" i="70" s="1"/>
  <c r="M25" i="69" s="1"/>
  <c r="E22" i="70" a="1"/>
  <c r="E22" i="70" s="1"/>
  <c r="L25" i="76" s="1"/>
  <c r="F22" i="70" a="1"/>
  <c r="F22" i="70" s="1"/>
  <c r="M25" i="76" s="1"/>
  <c r="F15" i="70" a="1"/>
  <c r="F15" i="70" s="1"/>
  <c r="F21" i="70" a="1"/>
  <c r="F21" i="70" s="1"/>
  <c r="N25" i="69" s="1"/>
  <c r="G21" i="70" a="1"/>
  <c r="G21" i="70" s="1"/>
  <c r="O25" i="69" s="1"/>
  <c r="G15" i="76"/>
  <c r="G49" i="70"/>
  <c r="G45" i="81" s="1"/>
  <c r="F49" i="70"/>
  <c r="F45" i="81" s="1"/>
  <c r="E49" i="70"/>
  <c r="E45" i="81" s="1"/>
  <c r="G54" i="70"/>
  <c r="G46" i="81" s="1"/>
  <c r="F54" i="70"/>
  <c r="F46" i="81" s="1"/>
  <c r="E54" i="70"/>
  <c r="E46" i="81" s="1"/>
  <c r="D34" i="70"/>
  <c r="E158" i="69"/>
  <c r="D166" i="69" a="1"/>
  <c r="D166" i="69" s="1"/>
  <c r="F169" i="69" a="1"/>
  <c r="F169" i="69" s="1"/>
  <c r="H7" i="13" s="1"/>
  <c r="E126" i="69" a="1"/>
  <c r="M20" i="69" l="1"/>
  <c r="L20" i="76"/>
  <c r="L30" i="76" s="1" a="1"/>
  <c r="L30" i="76" s="1"/>
  <c r="L54" i="76" s="1" a="1"/>
  <c r="L54" i="76" s="1"/>
  <c r="L83" i="76" s="1" a="1"/>
  <c r="L83" i="76" s="1"/>
  <c r="M106" i="76" s="1" a="1"/>
  <c r="M106" i="76" s="1"/>
  <c r="M20" i="82" s="1"/>
  <c r="M36" i="82" s="1" a="1"/>
  <c r="M36" i="82" s="1"/>
  <c r="N20" i="69"/>
  <c r="M20" i="76"/>
  <c r="M30" i="76" s="1" a="1"/>
  <c r="M30" i="76" s="1"/>
  <c r="M54" i="76" s="1" a="1"/>
  <c r="M54" i="76" s="1"/>
  <c r="M83" i="76" s="1" a="1"/>
  <c r="M83" i="76" s="1"/>
  <c r="N106" i="76" s="1" a="1"/>
  <c r="N106" i="76" s="1"/>
  <c r="N20" i="82" s="1"/>
  <c r="N36" i="82" s="1" a="1"/>
  <c r="N36" i="82" s="1"/>
  <c r="O20" i="69"/>
  <c r="N20" i="76"/>
  <c r="N30" i="76" s="1" a="1"/>
  <c r="N30" i="76" s="1"/>
  <c r="N54" i="76" s="1" a="1"/>
  <c r="N54" i="76" s="1"/>
  <c r="N83" i="76" s="1" a="1"/>
  <c r="N83" i="76" s="1"/>
  <c r="O106" i="76" s="1" a="1"/>
  <c r="O106" i="76" s="1"/>
  <c r="O20" i="82" s="1"/>
  <c r="O36" i="82" s="1" a="1"/>
  <c r="O36" i="82" s="1"/>
  <c r="F30" i="76" a="1"/>
  <c r="F30" i="76" s="1"/>
  <c r="F54" i="76" s="1" a="1"/>
  <c r="F54" i="76" s="1"/>
  <c r="F83" i="76" s="1" a="1"/>
  <c r="F83" i="76" s="1"/>
  <c r="E30" i="76" a="1"/>
  <c r="E30" i="76" s="1"/>
  <c r="E54" i="76" s="1" a="1"/>
  <c r="E54" i="76" s="1"/>
  <c r="E83" i="76" s="1" a="1"/>
  <c r="E83" i="76" s="1"/>
  <c r="D30" i="76" a="1"/>
  <c r="D30" i="76" s="1"/>
  <c r="D54" i="76" s="1" a="1"/>
  <c r="D54" i="76" s="1"/>
  <c r="D83" i="76" s="1" a="1"/>
  <c r="D83" i="76" s="1"/>
  <c r="E126" i="69"/>
  <c r="E106" i="76" l="1" a="1"/>
  <c r="E106" i="76" s="1"/>
  <c r="E20" i="82" s="1"/>
  <c r="E36" i="82" s="1" a="1"/>
  <c r="E36" i="82" s="1"/>
  <c r="G106" i="76" a="1"/>
  <c r="G106" i="76" s="1"/>
  <c r="G20" i="82" s="1"/>
  <c r="G36" i="82" s="1" a="1"/>
  <c r="G36" i="82" s="1"/>
  <c r="F106" i="76" a="1"/>
  <c r="F106" i="76" s="1"/>
  <c r="F20" i="82" s="1"/>
  <c r="F36" i="82" s="1" a="1"/>
  <c r="F36" i="82" s="1"/>
  <c r="E145" i="69"/>
  <c r="F153" i="69"/>
  <c r="E153" i="69"/>
  <c r="D153" i="69"/>
  <c r="H133" i="69"/>
  <c r="H135" i="69"/>
  <c r="H134" i="69"/>
  <c r="F140" i="69"/>
  <c r="E140" i="69"/>
  <c r="D140" i="69"/>
  <c r="D8" i="70"/>
  <c r="D9" i="70"/>
  <c r="E131" i="69" l="1" a="1"/>
  <c r="E131" i="69" s="1"/>
  <c r="E130" i="69" a="1"/>
  <c r="E130" i="69" s="1"/>
  <c r="D125" i="69" a="1"/>
  <c r="D125" i="69" s="1"/>
  <c r="D133" i="69" a="1"/>
  <c r="D133" i="69" s="1"/>
  <c r="D124" i="69" a="1"/>
  <c r="D124" i="69" s="1"/>
  <c r="H107" i="69"/>
  <c r="H105" i="69"/>
  <c r="D98" i="69" a="1"/>
  <c r="D98" i="69" s="1"/>
  <c r="E102" i="69" a="1"/>
  <c r="E102" i="69" s="1"/>
  <c r="E103" i="69" a="1"/>
  <c r="E103" i="69" s="1"/>
  <c r="D105" i="69" a="1"/>
  <c r="D105" i="69" s="1"/>
  <c r="D97" i="69" a="1"/>
  <c r="D97" i="69" s="1"/>
  <c r="G13" i="69"/>
  <c r="G14" i="69"/>
  <c r="G42" i="69"/>
  <c r="G70" i="69"/>
  <c r="G44" i="69"/>
  <c r="G73" i="69"/>
  <c r="G72" i="69"/>
  <c r="A17" i="69"/>
  <c r="A16" i="69"/>
  <c r="A15" i="69"/>
  <c r="A11" i="69"/>
  <c r="A8" i="69"/>
  <c r="A7" i="69"/>
  <c r="A4" i="69"/>
  <c r="A3" i="69"/>
  <c r="A16" i="15"/>
  <c r="A15" i="15"/>
  <c r="A14" i="15"/>
  <c r="A11" i="15"/>
  <c r="A8" i="15"/>
  <c r="A7" i="15"/>
  <c r="A4" i="15"/>
  <c r="A3" i="15"/>
  <c r="A16" i="13"/>
  <c r="A15" i="13"/>
  <c r="A14" i="13"/>
  <c r="A11" i="13"/>
  <c r="A8" i="13"/>
  <c r="A7" i="13"/>
  <c r="A4" i="13"/>
  <c r="A3" i="13"/>
  <c r="A16" i="70"/>
  <c r="A3" i="70"/>
  <c r="H109" i="69"/>
  <c r="A11" i="70"/>
  <c r="A8" i="70"/>
  <c r="A15" i="70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7" i="69"/>
  <c r="D86" i="69"/>
  <c r="E99" i="69" a="1"/>
  <c r="E63" i="69" a="1"/>
  <c r="G30" i="69" l="1"/>
  <c r="P30" i="69"/>
  <c r="G47" i="69" a="1"/>
  <c r="G47" i="69" s="1"/>
  <c r="G45" i="69" s="1"/>
  <c r="R158" i="69"/>
  <c r="H166" i="69"/>
  <c r="Q166" i="69"/>
  <c r="I161" i="69"/>
  <c r="I160" i="69"/>
  <c r="I159" i="69"/>
  <c r="I158" i="69"/>
  <c r="O164" i="69"/>
  <c r="F8" i="13" s="1"/>
  <c r="F164" i="69"/>
  <c r="F7" i="13" s="1"/>
  <c r="R161" i="69"/>
  <c r="R159" i="69"/>
  <c r="R160" i="69"/>
  <c r="H120" i="69"/>
  <c r="Q120" i="69"/>
  <c r="P167" i="69" a="1"/>
  <c r="P167" i="69" s="1"/>
  <c r="H92" i="69"/>
  <c r="Q93" i="69"/>
  <c r="Q92" i="69"/>
  <c r="H57" i="69"/>
  <c r="Q57" i="69"/>
  <c r="G167" i="69" a="1"/>
  <c r="G167" i="69" s="1"/>
  <c r="H93" i="69"/>
  <c r="E63" i="69"/>
  <c r="G75" i="69" a="1"/>
  <c r="G75" i="69" s="1"/>
  <c r="H110" i="69" a="1"/>
  <c r="H110" i="69" s="1"/>
  <c r="E99" i="69"/>
  <c r="E31" i="15" a="1"/>
  <c r="E31" i="15" s="1"/>
  <c r="E32" i="15" s="1" a="1"/>
  <c r="E32" i="15" s="1"/>
  <c r="G57" i="82"/>
  <c r="D81" i="69"/>
  <c r="D80" i="69"/>
  <c r="G74" i="69"/>
  <c r="D57" i="69"/>
  <c r="G52" i="69"/>
  <c r="F52" i="69"/>
  <c r="E52" i="69"/>
  <c r="D52" i="69"/>
  <c r="G46" i="69"/>
  <c r="F25" i="69"/>
  <c r="E25" i="69"/>
  <c r="D25" i="69"/>
  <c r="F20" i="69"/>
  <c r="E20" i="69"/>
  <c r="D20" i="69"/>
  <c r="A14" i="70"/>
  <c r="A7" i="70"/>
  <c r="A4" i="70"/>
  <c r="G15" i="69"/>
  <c r="G69" i="69"/>
  <c r="E7" i="69" a="1"/>
  <c r="E36" i="69" a="1"/>
  <c r="D30" i="69" l="1" a="1"/>
  <c r="D30" i="69" s="1"/>
  <c r="O202" i="76" a="1"/>
  <c r="O202" i="76" s="1"/>
  <c r="N202" i="76" a="1"/>
  <c r="N202" i="76" s="1"/>
  <c r="M202" i="76" a="1"/>
  <c r="M202" i="76" s="1"/>
  <c r="F202" i="76" a="1"/>
  <c r="F202" i="76" s="1"/>
  <c r="G202" i="76" a="1"/>
  <c r="G202" i="76" s="1"/>
  <c r="E202" i="76" a="1"/>
  <c r="E202" i="76" s="1"/>
  <c r="M30" i="69" a="1"/>
  <c r="M30" i="69" s="1"/>
  <c r="O30" i="69" a="1"/>
  <c r="O30" i="69" s="1"/>
  <c r="N30" i="69" a="1"/>
  <c r="N30" i="69" s="1"/>
  <c r="G41" i="70"/>
  <c r="F41" i="70"/>
  <c r="E41" i="70"/>
  <c r="E30" i="69" a="1"/>
  <c r="E30" i="69" s="1"/>
  <c r="G43" i="69"/>
  <c r="H106" i="69"/>
  <c r="F30" i="69" a="1"/>
  <c r="F30" i="69" s="1"/>
  <c r="H108" i="69"/>
  <c r="G71" i="69"/>
  <c r="D58" i="69"/>
  <c r="E36" i="69"/>
  <c r="E7" i="69"/>
  <c r="O57" i="69" l="1" a="1"/>
  <c r="O57" i="69" s="1"/>
  <c r="P145" i="69" s="1"/>
  <c r="P158" i="69" s="1" a="1"/>
  <c r="P158" i="69" s="1"/>
  <c r="P57" i="69" a="1"/>
  <c r="P57" i="69" s="1"/>
  <c r="Q145" i="69" s="1"/>
  <c r="Q158" i="69" s="1" a="1"/>
  <c r="Q158" i="69" s="1"/>
  <c r="N57" i="69" a="1"/>
  <c r="N57" i="69" s="1"/>
  <c r="O145" i="69" s="1"/>
  <c r="O158" i="69" s="1" a="1"/>
  <c r="O158" i="69" s="1"/>
  <c r="E115" i="69"/>
  <c r="N120" i="69" s="1" a="1"/>
  <c r="N120" i="69" s="1"/>
  <c r="O148" i="69" s="1"/>
  <c r="O161" i="69" s="1" a="1"/>
  <c r="O161" i="69" s="1"/>
  <c r="E124" i="76"/>
  <c r="F115" i="69"/>
  <c r="O120" i="69" s="1" a="1"/>
  <c r="O120" i="69" s="1"/>
  <c r="P148" i="69" s="1"/>
  <c r="P161" i="69" s="1" a="1"/>
  <c r="P161" i="69" s="1"/>
  <c r="F124" i="76"/>
  <c r="G115" i="69"/>
  <c r="G120" i="69" s="1" a="1"/>
  <c r="G120" i="69" s="1"/>
  <c r="H148" i="69" s="1"/>
  <c r="H161" i="69" s="1" a="1"/>
  <c r="H161" i="69" s="1"/>
  <c r="G124" i="76"/>
  <c r="G57" i="69" a="1"/>
  <c r="G57" i="69" s="1"/>
  <c r="H145" i="69" s="1"/>
  <c r="H158" i="69" s="1" a="1"/>
  <c r="H158" i="69" s="1"/>
  <c r="E57" i="69" a="1"/>
  <c r="E57" i="69" s="1"/>
  <c r="F145" i="69" s="1"/>
  <c r="F158" i="69" s="1" a="1"/>
  <c r="F158" i="69" s="1"/>
  <c r="F57" i="69" a="1"/>
  <c r="F57" i="69" s="1"/>
  <c r="G145" i="69" s="1"/>
  <c r="G158" i="69" s="1" a="1"/>
  <c r="G158" i="69" s="1"/>
  <c r="A11" i="43"/>
  <c r="A10" i="43"/>
  <c r="F120" i="69" l="1" a="1"/>
  <c r="F120" i="69" s="1"/>
  <c r="G148" i="69" s="1"/>
  <c r="G161" i="69" s="1" a="1"/>
  <c r="G161" i="69" s="1"/>
  <c r="E120" i="69" a="1"/>
  <c r="E120" i="69" s="1"/>
  <c r="F148" i="69" s="1"/>
  <c r="F161" i="69" s="1" a="1"/>
  <c r="F161" i="69" s="1"/>
  <c r="N129" i="76" a="1"/>
  <c r="N129" i="76" s="1"/>
  <c r="F129" i="76" a="1"/>
  <c r="F129" i="76" s="1"/>
  <c r="F23" i="82" s="1"/>
  <c r="O129" i="76" a="1"/>
  <c r="O129" i="76" s="1"/>
  <c r="G129" i="76" a="1"/>
  <c r="G129" i="76" s="1"/>
  <c r="G23" i="82" s="1"/>
  <c r="P120" i="69" a="1"/>
  <c r="P120" i="69" s="1"/>
  <c r="Q148" i="69" s="1"/>
  <c r="Q161" i="69" s="1" a="1"/>
  <c r="Q161" i="69" s="1"/>
  <c r="M129" i="76" a="1"/>
  <c r="M129" i="76" s="1"/>
  <c r="E129" i="76" a="1"/>
  <c r="E129" i="76" s="1"/>
  <c r="E23" i="82" s="1"/>
  <c r="A39" i="43"/>
  <c r="A38" i="43"/>
  <c r="A37" i="43"/>
  <c r="A36" i="43"/>
  <c r="A33" i="43"/>
  <c r="A30" i="43"/>
  <c r="A29" i="43"/>
  <c r="A28" i="43"/>
  <c r="A27" i="43"/>
  <c r="A26" i="43"/>
  <c r="A25" i="43"/>
  <c r="A24" i="43"/>
  <c r="A19" i="43"/>
  <c r="A18" i="43"/>
  <c r="A15" i="43"/>
  <c r="A14" i="43"/>
  <c r="A13" i="43"/>
  <c r="A12" i="43"/>
  <c r="A9" i="43"/>
  <c r="A8" i="43"/>
  <c r="A7" i="43"/>
  <c r="A4" i="43"/>
  <c r="M24" i="81" l="1"/>
  <c r="M23" i="82"/>
  <c r="O24" i="81"/>
  <c r="O23" i="82"/>
  <c r="N24" i="81"/>
  <c r="N23" i="82"/>
  <c r="E24" i="81"/>
  <c r="F24" i="81"/>
  <c r="G24" i="81"/>
  <c r="D149" i="76" a="1"/>
  <c r="D149" i="76" s="1"/>
  <c r="L149" i="76" a="1"/>
  <c r="L149" i="76" s="1"/>
  <c r="F149" i="76" a="1"/>
  <c r="F149" i="76" s="1"/>
  <c r="N149" i="76" a="1"/>
  <c r="N149" i="76" s="1"/>
  <c r="E149" i="76" a="1"/>
  <c r="E149" i="76" s="1"/>
  <c r="M149" i="76" a="1"/>
  <c r="M149" i="76" s="1"/>
  <c r="F27" i="43" a="1"/>
  <c r="F27" i="43" s="1"/>
  <c r="E27" i="43" a="1"/>
  <c r="E27" i="43" s="1"/>
  <c r="D27" i="43" a="1"/>
  <c r="D27" i="43" s="1"/>
  <c r="F26" i="43" a="1"/>
  <c r="F26" i="43" s="1"/>
  <c r="E31" i="79" s="1"/>
  <c r="E26" i="43" a="1"/>
  <c r="E26" i="43" s="1"/>
  <c r="D31" i="7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30" i="79" s="1"/>
  <c r="E17" i="43" a="1"/>
  <c r="E17" i="43" s="1"/>
  <c r="D17" i="43" a="1"/>
  <c r="D17" i="43" s="1"/>
  <c r="F16" i="43" a="1"/>
  <c r="F16" i="43" s="1"/>
  <c r="E28" i="79" s="1"/>
  <c r="E16" i="43" a="1"/>
  <c r="E16" i="43" s="1"/>
  <c r="D28" i="79" s="1"/>
  <c r="D16" i="43" a="1"/>
  <c r="D16" i="43" s="1"/>
  <c r="F15" i="43" a="1"/>
  <c r="F15" i="43" s="1"/>
  <c r="E29" i="79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32" i="79" s="1"/>
  <c r="E10" i="43" a="1"/>
  <c r="E10" i="43" s="1"/>
  <c r="D32" i="79" s="1"/>
  <c r="D10" i="43" a="1"/>
  <c r="D10" i="43" s="1"/>
  <c r="D8" i="43" a="1"/>
  <c r="D8" i="43" s="1"/>
  <c r="D7" i="43" a="1"/>
  <c r="D7" i="43" s="1"/>
  <c r="D6" i="43" a="1"/>
  <c r="D6" i="43" s="1"/>
  <c r="N173" i="76" l="1" a="1"/>
  <c r="N173" i="76" s="1"/>
  <c r="N174" i="76" a="1"/>
  <c r="N174" i="76" s="1"/>
  <c r="F173" i="76" a="1"/>
  <c r="F173" i="76" s="1"/>
  <c r="F174" i="76" a="1"/>
  <c r="F174" i="76" s="1"/>
  <c r="F22" i="82" s="1"/>
  <c r="D29" i="79"/>
  <c r="D35" i="70" s="1"/>
  <c r="O174" i="76" a="1"/>
  <c r="O174" i="76" s="1"/>
  <c r="O173" i="76" a="1"/>
  <c r="O173" i="76" s="1"/>
  <c r="G174" i="76" a="1"/>
  <c r="G174" i="76" s="1"/>
  <c r="G22" i="82" s="1"/>
  <c r="G173" i="76" a="1"/>
  <c r="G173" i="76" s="1"/>
  <c r="M173" i="76" a="1"/>
  <c r="M173" i="76" s="1"/>
  <c r="M174" i="76" a="1"/>
  <c r="M174" i="76" s="1"/>
  <c r="D30" i="79"/>
  <c r="D36" i="70" s="1"/>
  <c r="E174" i="76" a="1"/>
  <c r="E174" i="76" s="1"/>
  <c r="E22" i="82" s="1"/>
  <c r="E173" i="76" a="1"/>
  <c r="E173" i="76" s="1"/>
  <c r="D41" i="70"/>
  <c r="L37" i="82" l="1"/>
  <c r="D21" i="82"/>
  <c r="D29" i="82"/>
  <c r="E29" i="82" s="1"/>
  <c r="L21" i="82"/>
  <c r="D37" i="82"/>
  <c r="G22" i="81"/>
  <c r="G21" i="82"/>
  <c r="F22" i="81"/>
  <c r="F21" i="82"/>
  <c r="N23" i="81"/>
  <c r="N22" i="82"/>
  <c r="M22" i="81"/>
  <c r="M21" i="82"/>
  <c r="O22" i="81"/>
  <c r="O21" i="82"/>
  <c r="N22" i="81"/>
  <c r="N21" i="82"/>
  <c r="E22" i="81"/>
  <c r="E21" i="82"/>
  <c r="M23" i="81"/>
  <c r="M22" i="82"/>
  <c r="O23" i="81"/>
  <c r="O22" i="82"/>
  <c r="L23" i="82"/>
  <c r="D39" i="82"/>
  <c r="D23" i="82"/>
  <c r="L39" i="82"/>
  <c r="D31" i="82"/>
  <c r="E31" i="82" s="1"/>
  <c r="L22" i="82"/>
  <c r="D38" i="82"/>
  <c r="D30" i="82"/>
  <c r="E30" i="82" s="1"/>
  <c r="G38" i="82" s="1" a="1"/>
  <c r="G38" i="82" s="1"/>
  <c r="L38" i="82"/>
  <c r="D22" i="82"/>
  <c r="L100" i="81"/>
  <c r="L52" i="81"/>
  <c r="D52" i="81"/>
  <c r="L77" i="81"/>
  <c r="D100" i="81"/>
  <c r="D93" i="81"/>
  <c r="L119" i="81"/>
  <c r="D119" i="81"/>
  <c r="D77" i="81"/>
  <c r="L22" i="81"/>
  <c r="D112" i="81"/>
  <c r="L79" i="81"/>
  <c r="D121" i="81"/>
  <c r="D102" i="81"/>
  <c r="L54" i="81"/>
  <c r="D79" i="81"/>
  <c r="D95" i="81"/>
  <c r="L24" i="81"/>
  <c r="L102" i="81"/>
  <c r="D54" i="81"/>
  <c r="D114" i="81"/>
  <c r="L121" i="81"/>
  <c r="D56" i="70"/>
  <c r="L120" i="81"/>
  <c r="D101" i="81"/>
  <c r="D120" i="81"/>
  <c r="D94" i="81"/>
  <c r="L78" i="81"/>
  <c r="L53" i="81"/>
  <c r="D113" i="81"/>
  <c r="D53" i="81"/>
  <c r="D78" i="81"/>
  <c r="L23" i="81"/>
  <c r="L101" i="81"/>
  <c r="D23" i="81"/>
  <c r="D46" i="81"/>
  <c r="D39" i="81"/>
  <c r="E39" i="81" s="1"/>
  <c r="D31" i="81"/>
  <c r="E31" i="81" s="1"/>
  <c r="D30" i="81"/>
  <c r="E30" i="81" s="1"/>
  <c r="D22" i="81"/>
  <c r="D45" i="81"/>
  <c r="D38" i="81"/>
  <c r="E38" i="81" s="1"/>
  <c r="D32" i="81"/>
  <c r="E32" i="81" s="1"/>
  <c r="D24" i="81"/>
  <c r="D47" i="81"/>
  <c r="D40" i="81"/>
  <c r="E40" i="81" s="1"/>
  <c r="G23" i="81"/>
  <c r="F23" i="81"/>
  <c r="E23" i="81"/>
  <c r="D51" i="70"/>
  <c r="L204" i="76"/>
  <c r="L174" i="76"/>
  <c r="N147" i="69"/>
  <c r="D196" i="76"/>
  <c r="E196" i="76" s="1"/>
  <c r="F204" i="76" s="1" a="1"/>
  <c r="F204" i="76" s="1"/>
  <c r="M93" i="69"/>
  <c r="D204" i="76"/>
  <c r="N160" i="69"/>
  <c r="D174" i="76"/>
  <c r="D168" i="76"/>
  <c r="D93" i="69"/>
  <c r="E160" i="69"/>
  <c r="E147" i="69"/>
  <c r="E87" i="69"/>
  <c r="F87" i="69" s="1" a="1"/>
  <c r="F87" i="69" s="1"/>
  <c r="G93" i="69" s="1" a="1"/>
  <c r="G93" i="69" s="1"/>
  <c r="H147" i="69" s="1"/>
  <c r="H160" i="69" s="1" a="1"/>
  <c r="H160" i="69" s="1"/>
  <c r="E81" i="69"/>
  <c r="L203" i="76"/>
  <c r="L173" i="76"/>
  <c r="N146" i="69"/>
  <c r="D195" i="76"/>
  <c r="D203" i="76"/>
  <c r="N159" i="69"/>
  <c r="M92" i="69"/>
  <c r="D167" i="76"/>
  <c r="D173" i="76"/>
  <c r="D46" i="70"/>
  <c r="D92" i="69"/>
  <c r="E146" i="69"/>
  <c r="E86" i="69"/>
  <c r="F86" i="69" s="1" a="1"/>
  <c r="F86" i="69" s="1"/>
  <c r="F92" i="69" s="1" a="1"/>
  <c r="F92" i="69" s="1"/>
  <c r="G146" i="69" s="1"/>
  <c r="G159" i="69" s="1" a="1"/>
  <c r="G159" i="69" s="1"/>
  <c r="E80" i="69"/>
  <c r="E159" i="69"/>
  <c r="L205" i="76"/>
  <c r="M120" i="69"/>
  <c r="D120" i="69"/>
  <c r="D115" i="69"/>
  <c r="N148" i="69"/>
  <c r="D197" i="76"/>
  <c r="E197" i="76" s="1"/>
  <c r="L129" i="76"/>
  <c r="D205" i="76"/>
  <c r="N161" i="69"/>
  <c r="D129" i="76"/>
  <c r="D124" i="76"/>
  <c r="E161" i="69"/>
  <c r="E148" i="69"/>
  <c r="M37" i="82" l="1" a="1"/>
  <c r="M37" i="82" s="1"/>
  <c r="N37" i="82" a="1"/>
  <c r="N37" i="82" s="1"/>
  <c r="N38" i="82" a="1"/>
  <c r="N38" i="82" s="1"/>
  <c r="O38" i="82" a="1"/>
  <c r="O38" i="82" s="1"/>
  <c r="G37" i="82" a="1"/>
  <c r="G37" i="82" s="1"/>
  <c r="E37" i="82" a="1"/>
  <c r="E37" i="82" s="1"/>
  <c r="M38" i="82" a="1"/>
  <c r="M38" i="82" s="1"/>
  <c r="E38" i="82" a="1"/>
  <c r="E38" i="82" s="1"/>
  <c r="E119" i="81" a="1"/>
  <c r="E119" i="81" s="1"/>
  <c r="F38" i="82" a="1"/>
  <c r="F38" i="82" s="1"/>
  <c r="F37" i="82" a="1"/>
  <c r="F37" i="82" s="1"/>
  <c r="M120" i="81" a="1"/>
  <c r="M120" i="81" s="1"/>
  <c r="E39" i="82" a="1"/>
  <c r="E39" i="82" s="1"/>
  <c r="G39" i="82" a="1"/>
  <c r="G39" i="82" s="1"/>
  <c r="F39" i="82" a="1"/>
  <c r="F39" i="82" s="1"/>
  <c r="O39" i="82" a="1"/>
  <c r="O39" i="82" s="1"/>
  <c r="N39" i="82" a="1"/>
  <c r="N39" i="82" s="1"/>
  <c r="M39" i="82" a="1"/>
  <c r="M39" i="82" s="1"/>
  <c r="O37" i="82" a="1"/>
  <c r="O37" i="82" s="1"/>
  <c r="F100" i="81" a="1"/>
  <c r="F100" i="81" s="1"/>
  <c r="M121" i="81" a="1"/>
  <c r="M121" i="81" s="1"/>
  <c r="O121" i="81" a="1"/>
  <c r="O121" i="81" s="1"/>
  <c r="N121" i="81" a="1"/>
  <c r="N121" i="81" s="1"/>
  <c r="G121" i="81" a="1"/>
  <c r="G121" i="81" s="1"/>
  <c r="F121" i="81" a="1"/>
  <c r="F121" i="81" s="1"/>
  <c r="E121" i="81" a="1"/>
  <c r="E121" i="81" s="1"/>
  <c r="N100" i="81" a="1"/>
  <c r="N100" i="81" s="1"/>
  <c r="N119" i="81" a="1"/>
  <c r="N119" i="81" s="1"/>
  <c r="N53" i="81" a="1"/>
  <c r="N53" i="81" s="1"/>
  <c r="O119" i="81" a="1"/>
  <c r="O119" i="81" s="1"/>
  <c r="G119" i="81" a="1"/>
  <c r="G119" i="81" s="1"/>
  <c r="N120" i="81" a="1"/>
  <c r="N120" i="81" s="1"/>
  <c r="F119" i="81" a="1"/>
  <c r="F119" i="81" s="1"/>
  <c r="E120" i="81" a="1"/>
  <c r="E120" i="81" s="1"/>
  <c r="O120" i="81" a="1"/>
  <c r="O120" i="81" s="1"/>
  <c r="F120" i="81" a="1"/>
  <c r="F120" i="81" s="1"/>
  <c r="M119" i="81" a="1"/>
  <c r="M119" i="81" s="1"/>
  <c r="G120" i="81" a="1"/>
  <c r="G120" i="81" s="1"/>
  <c r="M78" i="81" a="1"/>
  <c r="M78" i="81" s="1"/>
  <c r="N101" i="81" a="1"/>
  <c r="N101" i="81" s="1"/>
  <c r="O77" i="81" a="1"/>
  <c r="O77" i="81" s="1"/>
  <c r="M52" i="81" a="1"/>
  <c r="M52" i="81" s="1"/>
  <c r="E100" i="81" a="1"/>
  <c r="E100" i="81" s="1"/>
  <c r="F77" i="81" a="1"/>
  <c r="F77" i="81" s="1"/>
  <c r="F78" i="81" a="1"/>
  <c r="F78" i="81" s="1"/>
  <c r="F101" i="81" a="1"/>
  <c r="F101" i="81" s="1"/>
  <c r="G78" i="81" a="1"/>
  <c r="G78" i="81" s="1"/>
  <c r="G101" i="81" a="1"/>
  <c r="G101" i="81" s="1"/>
  <c r="G77" i="81" a="1"/>
  <c r="G77" i="81" s="1"/>
  <c r="N77" i="81" a="1"/>
  <c r="N77" i="81" s="1"/>
  <c r="M102" i="81" a="1"/>
  <c r="M102" i="81" s="1"/>
  <c r="M79" i="81" a="1"/>
  <c r="M79" i="81" s="1"/>
  <c r="O102" i="81" a="1"/>
  <c r="O102" i="81" s="1"/>
  <c r="O79" i="81" a="1"/>
  <c r="O79" i="81" s="1"/>
  <c r="N79" i="81" a="1"/>
  <c r="N79" i="81" s="1"/>
  <c r="N102" i="81" a="1"/>
  <c r="N102" i="81" s="1"/>
  <c r="E79" i="81" a="1"/>
  <c r="E79" i="81" s="1"/>
  <c r="E102" i="81" a="1"/>
  <c r="E102" i="81" s="1"/>
  <c r="G79" i="81" a="1"/>
  <c r="G79" i="81" s="1"/>
  <c r="G102" i="81" a="1"/>
  <c r="G102" i="81" s="1"/>
  <c r="F79" i="81" a="1"/>
  <c r="F79" i="81" s="1"/>
  <c r="F102" i="81" a="1"/>
  <c r="F102" i="81" s="1"/>
  <c r="G100" i="81" a="1"/>
  <c r="G100" i="81" s="1"/>
  <c r="O52" i="81" a="1"/>
  <c r="O52" i="81" s="1"/>
  <c r="O100" i="81" a="1"/>
  <c r="O100" i="81" s="1"/>
  <c r="E101" i="81" a="1"/>
  <c r="E101" i="81" s="1"/>
  <c r="E78" i="81" a="1"/>
  <c r="E78" i="81" s="1"/>
  <c r="M77" i="81" a="1"/>
  <c r="M77" i="81" s="1"/>
  <c r="O101" i="81" a="1"/>
  <c r="O101" i="81" s="1"/>
  <c r="M101" i="81" a="1"/>
  <c r="M101" i="81" s="1"/>
  <c r="N78" i="81" a="1"/>
  <c r="N78" i="81" s="1"/>
  <c r="E77" i="81" a="1"/>
  <c r="E77" i="81" s="1"/>
  <c r="M100" i="81" a="1"/>
  <c r="M100" i="81" s="1"/>
  <c r="O78" i="81" a="1"/>
  <c r="O78" i="81" s="1"/>
  <c r="F53" i="81" a="1"/>
  <c r="F53" i="81" s="1"/>
  <c r="E52" i="81" a="1"/>
  <c r="E52" i="81" s="1"/>
  <c r="G53" i="81" a="1"/>
  <c r="G53" i="81" s="1"/>
  <c r="M53" i="81" a="1"/>
  <c r="M53" i="81" s="1"/>
  <c r="O53" i="81" a="1"/>
  <c r="O53" i="81" s="1"/>
  <c r="N52" i="81" a="1"/>
  <c r="N52" i="81" s="1"/>
  <c r="M54" i="81" a="1"/>
  <c r="M54" i="81" s="1"/>
  <c r="O54" i="81" a="1"/>
  <c r="O54" i="81" s="1"/>
  <c r="N54" i="81" a="1"/>
  <c r="N54" i="81" s="1"/>
  <c r="G54" i="81" a="1"/>
  <c r="G54" i="81" s="1"/>
  <c r="F54" i="81" a="1"/>
  <c r="F54" i="81" s="1"/>
  <c r="E54" i="81" a="1"/>
  <c r="E54" i="81" s="1"/>
  <c r="F52" i="81" a="1"/>
  <c r="F52" i="81" s="1"/>
  <c r="G52" i="81" a="1"/>
  <c r="G52" i="81" s="1"/>
  <c r="E53" i="81" a="1"/>
  <c r="E53" i="81" s="1"/>
  <c r="O204" i="76" a="1"/>
  <c r="O204" i="76" s="1"/>
  <c r="G204" i="76" a="1"/>
  <c r="G204" i="76" s="1"/>
  <c r="E204" i="76" a="1"/>
  <c r="E204" i="76" s="1"/>
  <c r="N204" i="76" a="1"/>
  <c r="N204" i="76" s="1"/>
  <c r="E195" i="76"/>
  <c r="O203" i="76" s="1" a="1"/>
  <c r="O203" i="76" s="1"/>
  <c r="F93" i="69" a="1"/>
  <c r="F93" i="69" s="1"/>
  <c r="G147" i="69" s="1"/>
  <c r="G160" i="69" s="1" a="1"/>
  <c r="G160" i="69" s="1"/>
  <c r="M204" i="76" a="1"/>
  <c r="M204" i="76" s="1"/>
  <c r="E93" i="69" a="1"/>
  <c r="E93" i="69" s="1"/>
  <c r="F147" i="69" s="1"/>
  <c r="F160" i="69" s="1" a="1"/>
  <c r="F160" i="69" s="1"/>
  <c r="G92" i="69" a="1"/>
  <c r="G92" i="69" s="1"/>
  <c r="H146" i="69" s="1"/>
  <c r="H159" i="69" s="1" a="1"/>
  <c r="H159" i="69" s="1"/>
  <c r="E205" i="76" a="1"/>
  <c r="E205" i="76" s="1"/>
  <c r="M205" i="76" a="1"/>
  <c r="M205" i="76" s="1"/>
  <c r="G205" i="76" a="1"/>
  <c r="G205" i="76" s="1"/>
  <c r="O205" i="76" a="1"/>
  <c r="O205" i="76" s="1"/>
  <c r="F205" i="76" a="1"/>
  <c r="F205" i="76" s="1"/>
  <c r="N205" i="76" a="1"/>
  <c r="N205" i="76" s="1"/>
  <c r="E92" i="69" a="1"/>
  <c r="E92" i="69" s="1"/>
  <c r="F146" i="69" s="1"/>
  <c r="F159" i="69" s="1" a="1"/>
  <c r="F159" i="69" s="1"/>
  <c r="O92" i="69" a="1"/>
  <c r="O92" i="69" s="1"/>
  <c r="P146" i="69" s="1"/>
  <c r="P159" i="69" s="1" a="1"/>
  <c r="P159" i="69" s="1"/>
  <c r="N92" i="69" a="1"/>
  <c r="N92" i="69" s="1"/>
  <c r="O146" i="69" s="1"/>
  <c r="O159" i="69" s="1" a="1"/>
  <c r="O159" i="69" s="1"/>
  <c r="P92" i="69" a="1"/>
  <c r="P92" i="69" s="1"/>
  <c r="Q146" i="69" s="1"/>
  <c r="Q159" i="69" s="1" a="1"/>
  <c r="Q159" i="69" s="1"/>
  <c r="O93" i="69" a="1"/>
  <c r="O93" i="69" s="1"/>
  <c r="P147" i="69" s="1"/>
  <c r="P160" i="69" s="1" a="1"/>
  <c r="P160" i="69" s="1"/>
  <c r="N93" i="69" a="1"/>
  <c r="N93" i="69" s="1"/>
  <c r="O147" i="69" s="1"/>
  <c r="O160" i="69" s="1" a="1"/>
  <c r="O160" i="69" s="1"/>
  <c r="P93" i="69" a="1"/>
  <c r="P93" i="69" s="1"/>
  <c r="Q147" i="69" s="1"/>
  <c r="Q160" i="69" s="1" a="1"/>
  <c r="Q160" i="69" s="1"/>
  <c r="M41" i="82" l="1"/>
  <c r="E41" i="82"/>
  <c r="G53" i="82" s="1"/>
  <c r="E123" i="81"/>
  <c r="M123" i="81"/>
  <c r="M56" i="81"/>
  <c r="M104" i="81"/>
  <c r="E81" i="81"/>
  <c r="E104" i="81"/>
  <c r="M81" i="81"/>
  <c r="E56" i="81"/>
  <c r="E203" i="76" a="1"/>
  <c r="E203" i="76" s="1"/>
  <c r="N203" i="76" a="1"/>
  <c r="N203" i="76" s="1"/>
  <c r="F203" i="76" a="1"/>
  <c r="F203" i="76" s="1"/>
  <c r="M203" i="76" a="1"/>
  <c r="M203" i="76" s="1"/>
  <c r="E164" i="69"/>
  <c r="G203" i="76" a="1"/>
  <c r="G203" i="76" s="1"/>
  <c r="N164" i="69"/>
  <c r="E29" i="15"/>
  <c r="P166" i="69" l="1"/>
  <c r="N169" i="69" s="1" a="1"/>
  <c r="N169" i="69" s="1"/>
  <c r="G8" i="13" s="1"/>
  <c r="E8" i="13"/>
  <c r="G166" i="69"/>
  <c r="E169" i="69" s="1" a="1"/>
  <c r="E169" i="69" s="1"/>
  <c r="G7" i="13" s="1"/>
  <c r="E7" i="13"/>
  <c r="M207" i="76"/>
  <c r="E207" i="76"/>
  <c r="G209" i="76" l="1"/>
  <c r="E212" i="76" s="1" a="1"/>
  <c r="E212" i="76" s="1"/>
  <c r="G9" i="13" s="1"/>
  <c r="E9" i="13"/>
  <c r="O209" i="76"/>
  <c r="M212" i="76" s="1" a="1"/>
  <c r="M212" i="76" s="1"/>
  <c r="G10" i="13" s="1"/>
  <c r="E10" i="13"/>
  <c r="E13" i="15"/>
  <c r="C1" i="13" l="1"/>
  <c r="E15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<sst xmlns="http://schemas.openxmlformats.org/spreadsheetml/2006/main" count="843" uniqueCount="322">
  <si>
    <t>Home</t>
  </si>
  <si>
    <t>N2O MMS</t>
  </si>
  <si>
    <t>Sources &amp; acknowledgements</t>
  </si>
  <si>
    <t>INPUTS</t>
  </si>
  <si>
    <t>APPENDICES</t>
  </si>
  <si>
    <t>Total scope 1 emissions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</si>
  <si>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</si>
  <si>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</si>
  <si>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</si>
  <si>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</si>
  <si>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</si>
  <si>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</si>
  <si>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</si>
  <si>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</si>
  <si>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</si>
  <si>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</si>
  <si>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</si>
  <si>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</si>
  <si>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</si>
  <si>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 xml:space="preserve"> </t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</si>
  <si>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</si>
  <si>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</si>
  <si>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</si>
  <si>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</si>
  <si>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</si>
  <si>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</si>
  <si>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</si>
  <si>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</si>
  <si>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</si>
  <si>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</si>
  <si>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</si>
  <si>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</si>
  <si>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</si>
  <si>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</si>
  <si>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</si>
  <si>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</si>
  <si>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</si>
  <si>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</si>
  <si>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</si>
  <si>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</si>
  <si>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</si>
  <si>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</si>
  <si>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</si>
  <si>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</si>
  <si>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</si>
  <si>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</si>
  <si>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</si>
  <si>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</si>
  <si>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</si>
  <si>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</si>
  <si>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</si>
  <si>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</si>
  <si>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</si>
  <si>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</si>
  <si>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</si>
  <si>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</si>
  <si>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</si>
  <si>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</si>
  <si>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</si>
  <si>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</si>
  <si>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</si>
  <si>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</si>
  <si>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</si>
  <si>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</si>
  <si>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</si>
  <si>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</si>
  <si>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</si>
  <si>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</si>
  <si>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</si>
  <si>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</si>
  <si>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</si>
  <si>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</si>
  <si>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</si>
  <si>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</si>
  <si>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</si>
  <si>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</si>
  <si>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</si>
  <si>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</si>
  <si>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</si>
  <si>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</si>
  <si>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</si>
  <si>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</si>
  <si>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</si>
  <si>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</si>
  <si>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</si>
  <si>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</si>
  <si>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</si>
  <si>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</si>
  <si>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</si>
  <si>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</si>
  <si>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</si>
  <si>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</si>
  <si>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</si>
  <si>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</si>
  <si>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</si>
  <si>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</si>
  <si>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</si>
  <si>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</si>
  <si>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</si>
  <si>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</si>
  <si>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</si>
  <si>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</si>
  <si>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</si>
  <si>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Fraction</t>
  </si>
  <si>
    <t>Table_MCF_i_m</t>
  </si>
  <si>
    <t>Drylot (feed pad)</t>
  </si>
  <si>
    <t>Production system 1: Post-treatment destinations</t>
  </si>
  <si>
    <t>Stage 2 MMS</t>
  </si>
  <si>
    <t>Intake</t>
  </si>
  <si>
    <t>kg DM/head/day</t>
  </si>
  <si>
    <t>No MMS</t>
  </si>
  <si>
    <t>MMS m</t>
  </si>
  <si>
    <t>Stage 1 MMS</t>
  </si>
  <si>
    <t>Input - MMS - Feedlot</t>
  </si>
  <si>
    <t>kg dry matter / head  day</t>
  </si>
  <si>
    <t>Fraction of manure in primary system drylot</t>
  </si>
  <si>
    <t>Treatment stage T</t>
  </si>
  <si>
    <t>Table_MMS_m-5_T-1</t>
  </si>
  <si>
    <t>Manure management systems</t>
  </si>
  <si>
    <t>Table_MMS_m_T-2</t>
  </si>
  <si>
    <t>Fraction of manure sent to stage 2 MMS</t>
  </si>
  <si>
    <t>Feedlot manure management systems</t>
  </si>
  <si>
    <t>Methane conversion factor for state and MMS</t>
  </si>
  <si>
    <t>MMS N2O</t>
  </si>
  <si>
    <t>New South Wales</t>
  </si>
  <si>
    <t>Table_MMS_m-1_T-3</t>
  </si>
  <si>
    <t>Stage 3 MMS</t>
  </si>
  <si>
    <t>Fraction of manure sent to tertiary MMS</t>
  </si>
  <si>
    <t>Herd movement</t>
  </si>
  <si>
    <t>Duration of stay</t>
  </si>
  <si>
    <t>head</t>
  </si>
  <si>
    <t>Stage 1</t>
  </si>
  <si>
    <t xml:space="preserve"> Stage 2</t>
  </si>
  <si>
    <t>Stage 3</t>
  </si>
  <si>
    <t>Table_D_j</t>
  </si>
  <si>
    <t>Table_N_j</t>
  </si>
  <si>
    <t>Number of head in each group</t>
  </si>
  <si>
    <t>Head</t>
  </si>
  <si>
    <t>Stage</t>
  </si>
  <si>
    <t>kg CH4/head/day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</si>
  <si>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</si>
  <si>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</si>
  <si>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</si>
  <si>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Sold as fertiliser</t>
  </si>
  <si>
    <t>Formula name</t>
  </si>
  <si>
    <t>Crude protein</t>
  </si>
  <si>
    <t>Feedlot type</t>
  </si>
  <si>
    <t>Nutrient analysis</t>
  </si>
  <si>
    <t>2010-2014</t>
  </si>
  <si>
    <t>2015-2019</t>
  </si>
  <si>
    <t>2020-2023</t>
  </si>
  <si>
    <t>Source Data - Feedlot</t>
  </si>
  <si>
    <t>Domestic</t>
  </si>
  <si>
    <t>Mid-fed</t>
  </si>
  <si>
    <t>Long-fed</t>
  </si>
  <si>
    <t>2020-2023 Converted to fraction</t>
  </si>
  <si>
    <t>Method 1 default values</t>
  </si>
  <si>
    <t>Method 2 custom values</t>
  </si>
  <si>
    <t>Characteristic</t>
  </si>
  <si>
    <t>2005-2009</t>
  </si>
  <si>
    <t>Feed intake</t>
  </si>
  <si>
    <t>Length of stay</t>
  </si>
  <si>
    <t>EF mT</t>
  </si>
  <si>
    <t>FracGASMmT</t>
  </si>
  <si>
    <t>N retention</t>
  </si>
  <si>
    <t>Percent of intake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</si>
  <si>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</si>
  <si>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</si>
  <si>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</si>
  <si>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</si>
  <si>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</si>
  <si>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</si>
  <si>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</si>
  <si>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</si>
  <si>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</si>
  <si>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</si>
  <si>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</si>
  <si>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</si>
  <si>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</si>
  <si>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</si>
  <si>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</si>
  <si>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</si>
  <si>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</si>
  <si>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</si>
  <si>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</si>
  <si>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called MMSjmT2 in N2O calcs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</si>
  <si>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</si>
  <si>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</si>
  <si>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</si>
  <si>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</si>
  <si>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</si>
  <si>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</si>
  <si>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</si>
  <si>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</si>
  <si>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</si>
  <si>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</si>
  <si>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</si>
  <si>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</si>
  <si>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</si>
  <si>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</si>
  <si>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</si>
  <si>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</si>
  <si>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</si>
  <si>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</si>
  <si>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</si>
  <si>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</si>
  <si>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</si>
  <si>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</si>
  <si>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</si>
  <si>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</si>
  <si>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</si>
  <si>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</si>
  <si>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</si>
  <si>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</si>
  <si>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</si>
  <si>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</si>
  <si>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</si>
  <si>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</si>
  <si>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M1_Table_DMD_j</t>
  </si>
  <si>
    <t>M1_Table_VS_j</t>
  </si>
  <si>
    <t>Volatile solid production (Method 1)</t>
  </si>
  <si>
    <t>Dry matter digestibility (Method 1)</t>
  </si>
  <si>
    <t>M2_Table_DMD_j</t>
  </si>
  <si>
    <t>M2_Table_VS_j</t>
  </si>
  <si>
    <t>Volatile solid production (Method 2)</t>
  </si>
  <si>
    <t>M1_Table_M_j_m-5_T-1</t>
  </si>
  <si>
    <t>Production of methane stage 1 MMS (Method 1)</t>
  </si>
  <si>
    <t>M2_Table_M_j_m-5_T-1</t>
  </si>
  <si>
    <t>Production of methane stage 1 MMS (Method 2)</t>
  </si>
  <si>
    <t>M1_Table_M_j_m_T-2</t>
  </si>
  <si>
    <t>Production of methane in stage 2 MMS (Method 1)</t>
  </si>
  <si>
    <t>M2_Table_M_j_m_T-2</t>
  </si>
  <si>
    <t>Production of methane in stage 2 MMS (Method 2)</t>
  </si>
  <si>
    <t>M1_Table_M_j_m-1_T-3</t>
  </si>
  <si>
    <t>Production of methane in stage 3 MMS (Method 1)</t>
  </si>
  <si>
    <t>M2_Table_M_j_m-1_T-3</t>
  </si>
  <si>
    <t>Production of methane in stage 3 MMS (Method 2)</t>
  </si>
  <si>
    <t>M1_Table_M_j_m_T</t>
  </si>
  <si>
    <t>Methane production for all livestock groups, MMS and treatment stages (Method 1)</t>
  </si>
  <si>
    <t>M2_Table_M_j_m_T</t>
  </si>
  <si>
    <t>Methane production for all livestock groups, MMS and treatment stages (Method 2)</t>
  </si>
  <si>
    <t>ECH4 (Method 1)</t>
  </si>
  <si>
    <t>ECH4 (Method 2)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</si>
  <si>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</si>
  <si>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2)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</si>
  <si>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</si>
  <si>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</si>
  <si>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</si>
  <si>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</si>
  <si>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</si>
  <si>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</si>
  <si>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</si>
  <si>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</si>
  <si>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</si>
  <si>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</si>
  <si>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</si>
  <si>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</si>
  <si>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</si>
  <si>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</si>
  <si>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</si>
  <si>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</si>
  <si>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</si>
  <si>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</si>
  <si>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</si>
  <si>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</si>
  <si>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</si>
  <si>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</si>
  <si>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</si>
  <si>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</si>
  <si>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</si>
  <si>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</si>
  <si>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</si>
  <si>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</si>
  <si>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</si>
  <si>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</si>
  <si>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</si>
  <si>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Table_PF_sold</t>
  </si>
  <si>
    <t>Fraction of manure sold</t>
  </si>
  <si>
    <t>M1_Table_MNSoil_scope3_sold</t>
  </si>
  <si>
    <t>M2_Table_MNSoil_scope3_sold</t>
  </si>
  <si>
    <t>Mass of N sold as fertiliser (Method 2)</t>
  </si>
  <si>
    <t>Mass of N sold as fertiliser (Method 1)</t>
  </si>
  <si>
    <t>Mass of nitrogen applied as fertiliser on own farm</t>
  </si>
  <si>
    <t>Mass of nitrogen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</si>
  <si>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scope3,sold</t>
    </r>
  </si>
  <si>
    <t>* Manure that is removed from stage 2 and 3 MMS and used as fertiliser on the farm, for other enterprises (eg crops)</t>
  </si>
  <si>
    <t>* Manure that is removed from stage 2 and 3 MMS that is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</si>
  <si>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</si>
  <si>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4.1.1.1 Method 1 Manure methane</t>
  </si>
  <si>
    <t>4.1.1.2 Method 2 Manure methane</t>
  </si>
  <si>
    <t>4.1.1.3 Method 1 Manure direct N2O</t>
  </si>
  <si>
    <t>4.1.1.4 Method 2 Manure direct N2O</t>
  </si>
  <si>
    <t>4.1.1.5 Method 1 Manure atmospheric deposition</t>
  </si>
  <si>
    <t>4.1.1.6 Method 2 Manure atmospheric deposition</t>
  </si>
  <si>
    <t>4.1.1.7 Method 1 Manure leaching and runoff</t>
  </si>
  <si>
    <t>4.1.1.8 Method 1 Manure leaching and runoff</t>
  </si>
  <si>
    <t>GHG emissions</t>
  </si>
  <si>
    <t>CO2-e emissions</t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</si>
  <si>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</si>
  <si>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</si>
  <si>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</si>
  <si>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</si>
  <si>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</si>
  <si>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</si>
  <si>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</si>
  <si>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</si>
  <si>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</si>
  <si>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</si>
  <si>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Where deposited on farm soils as waste, what is the closest match?</t>
  </si>
  <si>
    <t>WARNING: There are XXX kg of nitrogen idenified as deposited on the farm as fertiliser</t>
  </si>
  <si>
    <t>There are YYY kg of nitrogen identified as applied to soils as waste</t>
  </si>
  <si>
    <t>Apply the atmospheric deposition EF that best represent the production systems immediately surrounding the feedlot.</t>
  </si>
  <si>
    <t>For non-irrigated cropping systems, the emission factor varies depending on whether the agricultural system is in a high rainfall or low rainfall zone. Refer to Chapter 1 Section 1.8.2 for guidance on determining the relevant rainfall zone.</t>
  </si>
  <si>
    <t>lacking subscripts</t>
  </si>
  <si>
    <t>Production system j</t>
  </si>
  <si>
    <t>EFN2O</t>
  </si>
  <si>
    <t>Production system only</t>
  </si>
  <si>
    <t>Irrigation method</t>
  </si>
  <si>
    <t>Acknowledgements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</si>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</sst>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9.5"/>
      <name val="Arial"/>
      <family val="2"/>
    </font>
    <font>
      <sz val="9.5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4F4789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</borders>
  <cellStyleXfs count="63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3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7" fillId="14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7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0" fillId="4" borderId="0">
      <alignment horizontal="left" vertical="center"/>
    </xf>
    <xf numFmtId="0" fontId="51" fillId="4" borderId="0">
      <alignment horizontal="left" vertical="center"/>
    </xf>
    <xf numFmtId="0" fontId="58" fillId="4" borderId="0">
      <alignment horizontal="left" vertical="center"/>
    </xf>
  </cellStyleXfs>
  <cellXfs count="137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7" fillId="14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17" fillId="11" borderId="0" xfId="4" applyFill="1">
      <alignment vertical="center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3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7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6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7" fillId="14" borderId="11" xfId="41" applyBorder="1">
      <alignment horizontal="left" vertical="center"/>
    </xf>
    <xf numFmtId="0" fontId="47" fillId="14" borderId="13" xfId="41" applyBorder="1">
      <alignment horizontal="left" vertical="center"/>
    </xf>
    <xf numFmtId="0" fontId="47" fillId="14" borderId="15" xfId="41" applyBorder="1">
      <alignment horizontal="left" vertical="center"/>
    </xf>
    <xf numFmtId="0" fontId="47" fillId="14" borderId="14" xfId="41" applyBorder="1">
      <alignment horizontal="left" vertical="center"/>
    </xf>
    <xf numFmtId="0" fontId="47" fillId="14" borderId="16" xfId="41" applyBorder="1">
      <alignment horizontal="left" vertical="center"/>
    </xf>
    <xf numFmtId="0" fontId="47" fillId="14" borderId="18" xfId="41" applyBorder="1">
      <alignment horizontal="left" vertical="center"/>
    </xf>
    <xf numFmtId="0" fontId="47" fillId="14" borderId="12" xfId="41" applyBorder="1">
      <alignment horizontal="left" vertical="center"/>
    </xf>
    <xf numFmtId="0" fontId="47" fillId="14" borderId="17" xfId="41" applyBorder="1">
      <alignment horizontal="left" vertical="center"/>
    </xf>
    <xf numFmtId="0" fontId="47" fillId="14" borderId="19" xfId="41" applyBorder="1">
      <alignment horizontal="left" vertical="center"/>
    </xf>
    <xf numFmtId="0" fontId="48" fillId="14" borderId="10" xfId="41" applyFont="1" applyBorder="1">
      <alignment horizontal="left" vertical="center"/>
    </xf>
    <xf numFmtId="0" fontId="45" fillId="6" borderId="0" xfId="30" applyFont="1" applyProtection="1">
      <alignment horizontal="center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1" fillId="4" borderId="0" xfId="61">
      <alignment horizontal="left" vertical="center"/>
    </xf>
    <xf numFmtId="0" fontId="50" fillId="4" borderId="0" xfId="60">
      <alignment horizontal="left" vertical="center"/>
    </xf>
    <xf numFmtId="0" fontId="52" fillId="4" borderId="0" xfId="57" applyFont="1">
      <alignment horizontal="left" vertical="center"/>
    </xf>
    <xf numFmtId="0" fontId="22" fillId="12" borderId="0" xfId="38" applyFill="1">
      <alignment horizontal="left" vertical="center" indent="1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3" fillId="4" borderId="1" xfId="8" applyFont="1" applyBorder="1">
      <alignment horizontal="left" vertical="center"/>
    </xf>
    <xf numFmtId="0" fontId="54" fillId="4" borderId="1" xfId="8" applyFont="1" applyBorder="1">
      <alignment horizontal="left" vertical="center"/>
    </xf>
    <xf numFmtId="0" fontId="55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8" fillId="4" borderId="0" xfId="62">
      <alignment horizontal="left" vertical="center"/>
    </xf>
    <xf numFmtId="0" fontId="59" fillId="2" borderId="0" xfId="8" applyFont="1" applyFill="1">
      <alignment horizontal="left" vertical="center"/>
    </xf>
    <xf numFmtId="0" fontId="40" fillId="15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7" fillId="14" borderId="0" xfId="41" applyBorder="1">
      <alignment horizontal="left" vertical="center"/>
    </xf>
    <xf numFmtId="0" fontId="47" fillId="14" borderId="10" xfId="41" applyBorder="1">
      <alignment horizontal="left" vertical="center"/>
    </xf>
    <xf numFmtId="0" fontId="47" fillId="14" borderId="21" xfId="41" applyBorder="1">
      <alignment horizontal="left" vertical="center"/>
    </xf>
    <xf numFmtId="0" fontId="47" fillId="14" borderId="22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9" fillId="11" borderId="0" xfId="4" applyFont="1" applyFill="1" applyAlignment="1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0" fontId="62" fillId="0" borderId="0" xfId="0" applyFont="1" applyAlignment="1">
      <alignment vertical="center"/>
    </xf>
    <xf numFmtId="0" fontId="63" fillId="0" borderId="0" xfId="0" applyFont="1"/>
  </cellXfs>
  <cellStyles count="63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56"/>
      <tableStyleElement type="headerRow" dxfId="55"/>
      <tableStyleElement type="totalRow" dxfId="54"/>
      <tableStyleElement type="firstColumn" dxfId="53"/>
      <tableStyleElement type="firstRowStripe" dxfId="52"/>
      <tableStyleElement type="secondRowStripe" dxfId="51"/>
    </tableStyle>
    <tableStyle name="Equation table" pivot="0" count="6" xr9:uid="{B247698E-E41D-4CCD-AA0A-C14817E9DE65}">
      <tableStyleElement type="wholeTable" dxfId="50"/>
      <tableStyleElement type="headerRow" dxfId="49"/>
      <tableStyleElement type="totalRow" dxfId="48"/>
      <tableStyleElement type="firstColumn" dxfId="47"/>
      <tableStyleElement type="firstRowStripe" dxfId="46"/>
      <tableStyleElement type="secondRowStripe" dxfId="45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99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126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𝐸_𝐶𝐻4=∑_𝑗▒∑_𝑚▒∑_𝑇▒(𝐷_𝑗×𝑀_𝑗𝑚𝑇×𝑁_𝑗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180</xdr:row>
      <xdr:rowOff>138112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47</xdr:row>
      <xdr:rowOff>138112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62</xdr:row>
      <xdr:rowOff>147637</xdr:rowOff>
    </xdr:from>
    <xdr:ext cx="5445080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𝑀𝑁𝑆𝑜𝑖𝑙_𝑠𝑐𝑜𝑝𝑒3=∑8_𝑗▒∑8_𝑚▒∑8_𝑇▒(𝑀𝑁_(𝑗𝑚𝑇=2,3)×(1−𝐸𝐹_(𝑚𝑇=2,3)−𝐹𝑟𝑎𝑐𝐺𝐴𝑆𝑀_(𝑚𝑇=2,3)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stants - Common"/>
      <sheetName val="Acknowledgements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D88:N93" totalsRowShown="0">
  <autoFilter ref="D88:N93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4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4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4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4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4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3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3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3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3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3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D27:E33" totalsRowShown="0">
  <autoFilter ref="D27:E33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34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318E90-60C0-4182-A7EC-FD8430FACD15}" name="Table_SourceData_Feedlot_DietProperties" displayName="Table_SourceData_Feedlot_DietProperties" ref="D66:J78" totalsRowShown="0">
  <autoFilter ref="D66:J78" xr:uid="{8B318E90-60C0-4182-A7EC-FD8430FAC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CB848C-205F-48EA-BACF-F54BCD324E05}" name="Feedlot type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2" xr3:uid="{3306F917-B06C-4CC9-B1B1-D97D858E6DAA}" name="Nutrient analysis" dataDxfId="33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3" xr3:uid="{F162F7C2-B0FA-499A-BD58-855C4DF97FA8}" name="Unit" dataDxfId="32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4" xr3:uid="{D395A9F5-9A85-4032-A7C1-EC470516DD87}" name="2010-2014" dataDxfId="31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5" xr3:uid="{B149E561-7044-4839-B850-C751ABC364C9}" name="2015-2019" dataDxfId="30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6" xr3:uid="{ECEB8E53-4880-43AE-9D36-F969D05BCB18}" name="2020-2023" dataDxfId="29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7" xr3:uid="{3B7FAEA4-08D7-48B2-9062-7D93639222CC}" name="2020-2023 Converted to fraction" dataDxfId="28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7C83-F195-4AEF-95F6-F63A097B09DF}" name="Table_SourceData_Feedlot_AnimalCharacteristics" displayName="Table_SourceData_Feedlot_AnimalCharacteristics" ref="D49:J58" totalsRowShown="0">
  <autoFilter ref="D49:J58" xr:uid="{F6817C83-F195-4AEF-95F6-F63A097B09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6F6B4E3-E1EE-445F-9BCE-628B89FC3727}" name="Feedlot type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2" xr3:uid="{6B651FD0-BCF6-4081-8A93-6B21A1D6CA99}" name="Characteristic" dataDxfId="27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3" xr3:uid="{3F266A2B-76EA-4E95-B049-75B8E4AB351F}" name="Unit" dataDxfId="26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4" xr3:uid="{15472767-3F72-4A65-88AC-C3242A8E1662}" name="2005-2009" dataDxfId="25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5" xr3:uid="{5F74A8B9-7EFB-4457-8ADA-5E1ABA9DA889}" name="2010-2014" dataDxfId="24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6" xr3:uid="{E54F2812-2E8B-41EB-98A8-46890B5B4E13}" name="2015-2019" dataDxfId="23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7" xr3:uid="{88EEE0E3-F5D0-41DF-80EF-59472377C29A}" name="2020-2023" dataDxfId="22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4F7E2-67E4-43CB-A279-981A74F5A716}" name="Table_SourceData_Feedlot_LengthOfStay" displayName="Table_SourceData_Feedlot_LengthOfStay" ref="D38:E41" totalsRowShown="0">
  <autoFilter ref="D38:E41" xr:uid="{BC14F7E2-67E4-43CB-A279-981A74F5A716}">
    <filterColumn colId="0" hiddenButton="1"/>
    <filterColumn colId="1" hiddenButton="1"/>
  </autoFilter>
  <tableColumns count="2">
    <tableColumn id="1" xr3:uid="{9D472457-4D8B-44ED-9567-B889D058C2F1}" name="Feedlot type">
      <calculatedColumnFormula array="1">Common_InputFunctions.Utility_DisplayArrayInTable(SourceData_Feedlot.SourceData_Feedlot_DurationOfStay_Data(), Table_SourceData_Feedlot_LengthOfStay[[#Headers],[Feedlot type]], 0)</calculatedColumnFormula>
    </tableColumn>
    <tableColumn id="2" xr3:uid="{DA3DA009-634B-4C70-926B-C8FB255EB4DC}" name="Length of stay" dataDxfId="21" dataCellStyle="Content normal">
      <calculatedColumnFormula array="1">Common_InputFunctions.Utility_DisplayArrayInTable(SourceData_Feedlot.SourceData_Feedlot_DurationOfStay_Data(), Table_SourceData_Feedlot_LengthOfStay[[#Headers],[Feedlot type]],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B4578-E7E8-4AF2-A03C-33ADCE6CD603}" name="Table_SourceData_Feedlot_NO2EFs" displayName="Table_SourceData_Feedlot_NO2EFs" ref="D100:G105" totalsRowShown="0">
  <autoFilter ref="D100:G105" xr:uid="{3CEB4578-E7E8-4AF2-A03C-33ADCE6CD603}">
    <filterColumn colId="0" hiddenButton="1"/>
    <filterColumn colId="1" hiddenButton="1"/>
    <filterColumn colId="2" hiddenButton="1"/>
    <filterColumn colId="3" hiddenButton="1"/>
  </autoFilter>
  <tableColumns count="4">
    <tableColumn id="1" xr3:uid="{C80C08D8-3F48-4E18-98E3-9B53ACB6C6D9}" name="Treatment stage T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2" xr3:uid="{2BCD8589-5CB8-4ED1-AF2B-2866CEF779A8}" name="MMS m" dataDxfId="20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3" xr3:uid="{51E876CD-83B6-49C8-85DD-E2F427A3DCD0}" name="EF mT" dataDxfId="19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4" xr3:uid="{BEDEE6BB-8013-495A-8D74-2C8D37558C98}" name="NIR definition" dataDxfId="18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0A8309-C0D3-4638-A47B-72840A042D9A}" name="Table_SourceData_Feedlot_FracGASMmT" displayName="Table_SourceData_Feedlot_FracGASMmT" ref="D112:G117" totalsRowShown="0" headerRowDxfId="17" headerRowCellStyle="Content normal" dataCellStyle="Content normal">
  <autoFilter ref="D112:G117" xr:uid="{100A8309-C0D3-4638-A47B-72840A042D9A}">
    <filterColumn colId="0" hiddenButton="1"/>
    <filterColumn colId="1" hiddenButton="1"/>
    <filterColumn colId="2" hiddenButton="1"/>
    <filterColumn colId="3" hiddenButton="1"/>
  </autoFilter>
  <tableColumns count="4">
    <tableColumn id="1" xr3:uid="{C942D71F-5344-4EC8-8256-848EACA75914}" name="Treatment stage 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2" xr3:uid="{2E6FFC59-11A3-4321-8787-BFA864D074E6}" name="MMS m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3" xr3:uid="{D988373F-1DDE-4103-A79F-7BFD8CB1A36F}" name="FracGASMm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4" xr3:uid="{792AD32E-175F-4DB9-BD9C-D3841F52A638}" name="NIR definition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F54F12-BB53-4399-BECA-F4B537D13F82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3723C9E3-764D-4AF8-A0A3-9DEC6418B159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2BAFEF0-FD3C-4A3D-9D7F-754D410EABCB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9F9B1021-91CF-480E-A36D-CF72D77AB312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122D21-D0E8-45D7-B398-5CA9A7FF4100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3C05F8D3-7A16-4747-8C19-0D2F1EBC4012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3989BBC-8F85-451F-B3C2-D5135EF9049C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37E1E111-A471-403D-9F63-0D5FBE808B92}" name="Gas">
      <calculatedColumnFormula array="1">Common_InputFunctions.Utility_DisplayArrayInTable(Common_SourceData.Common_SourceData_GWP_Data(), Table_GWPData[[#Headers],[Gas]], 0)</calculatedColumnFormula>
    </tableColumn>
    <tableColumn id="2" xr3:uid="{4937555F-38B4-47A6-A416-74AD1A080209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2FAB5B0-A833-45B7-B4F2-7C6C468C5906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A23AEF4-E49B-498F-9199-BFA228F47E69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EB50DA46-EE05-4408-BFA5-C832E7D3F653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732F87CC-0DFC-44EE-A00E-4C0FECB19820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6791EA3A-71F2-48A2-A1CE-43F64AE3059F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210A72D5-B903-416D-AE63-E7F26C693D10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87DE6EC-A3BE-4BA6-8614-9F94A5C13B1C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B90AC0ED-A155-4FDC-8BA2-ABBA12F61C12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80CC16DA-C2CB-42C2-811E-F220BA62FD3A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810D0A82-B137-4217-B9D7-1FF20E7C981C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7CE5629F-BA98-4476-A6D0-03D94BB4EEE4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6477FD6F-24F2-4833-B6C6-CDE2830D4288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C8F8F17B-F424-4412-999E-631948065A32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0D672F82-6157-4924-96EE-46446938E5CA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4709DD4D-1473-4717-9D23-653AE8088BDD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B032107E-ADED-454D-9657-A8A6235A9014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B6D1E8D3-122A-441A-8F6D-FCD27113C0DE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22DA6AD1-29F4-471C-808C-3A8FDE6767B1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2BDEBF5-C932-4604-9E22-0B432AAADE16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34FA74B9-8B0D-4F78-A19A-D761C472AA6F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D07B8A7A-41E3-4536-B7DF-2A5E0F0567A2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EC4DB453-B945-4EBA-9BB9-3FDBBFE377B4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171E3DE5-57A3-4906-A3BD-622328CCAE6B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10DFAF1-EA4E-4FA4-AD28-1D09BB8052D3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55A6A346-CFF6-4361-8D5F-001C87A182FF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838D724-23AC-4597-B440-913287072FFA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A448DBA-0728-4625-B82F-5C54B75617D2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868DF7CA-F20A-4FA9-9377-0209936178D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4FB08ED8-E8E0-492E-B16D-7E83B25AFA4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722A71A0-1C03-4DCC-9092-843E913DB878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504A854B-BD4D-4B45-BBD5-358D480990E6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995987-3300-4752-903F-6F7AF0F8AA66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FFF0D8D1-E6A5-4583-8DC4-8932DCEE96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5B2060B5-E986-453B-BEF6-D0A8B9A66C98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9230D0F5-D654-431E-AFD9-20D7F2644391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65F0BAB6-1C3C-4C05-BEC4-4172E5275238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03C5B31-9994-443D-A134-153CDDEE1B44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5189C2DF-638D-46C1-80E3-16DE6931A86C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CEFD692E-C707-4BDA-96BB-337F512F94F7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33A816F-2ED2-4924-9F42-0A65CF33A130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B235572D-7C00-4E28-8934-3249C10B6A5F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754F8FEC-AE6D-464C-A355-A1CAD1B2EA7D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254E3D2-EC4A-481C-BDFD-7F41D8AFACB8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627FD67A-D596-407E-87F2-D365ABD905E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D5C8EE7F-8615-4B0E-A32A-A90A524CD005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1BB3E00-50DC-49B5-9ED0-89301B9FB08E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EF30555-9924-4814-A1DF-30A6B9621510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13E9F70F-4254-42CC-819F-AE5B7661A763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8481A947-F37A-401B-8B1F-D09F2DACE689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D885F18-3EC6-4E81-B709-CC47AA0CB36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FDD58D6C-027B-4E77-85A9-4FEED3F90F1E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0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H18" sqref="H1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1" t="s">
        <v>81</v>
      </c>
    </row>
    <row r="17" spans="1:1" ht="20.100000000000001" customHeight="1" x14ac:dyDescent="0.25">
      <c r="A17" s="71" t="s">
        <v>77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79</v>
      </c>
    </row>
    <row r="22" spans="1:1" ht="20.100000000000001" customHeight="1" x14ac:dyDescent="0.25">
      <c r="A22" s="71" t="s">
        <v>1</v>
      </c>
    </row>
    <row r="23" spans="1:1" ht="20.100000000000001" customHeight="1" x14ac:dyDescent="0.25">
      <c r="A23" s="71" t="s">
        <v>78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1" t="s">
        <v>81</v>
      </c>
    </row>
    <row r="32" spans="1:1" ht="20.100000000000001" customHeight="1" x14ac:dyDescent="0.25">
      <c r="A32" s="71" t="s">
        <v>77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1" t="s">
        <v>2</v>
      </c>
    </row>
    <row r="41" spans="1:1" ht="20.100000000000001" customHeight="1" x14ac:dyDescent="0.25">
      <c r="A41" s="48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C1" sqref="C1"/>
    </sheetView>
  </sheetViews>
  <sheetFormatPr defaultRowHeight="15" x14ac:dyDescent="0.25"/>
  <cols>
    <col min="1" max="1" width="30.7109375" customWidth="1"/>
    <col min="2" max="3" width="2.7109375" customWidth="1"/>
    <col min="4" max="4" width="60.7109375" customWidth="1"/>
    <col min="5" max="6" width="28.7109375" customWidth="1"/>
    <col min="7" max="7" width="28" customWidth="1"/>
    <col min="8" max="8" width="27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72" t="e" vm="1">
        <v>#VALUE!</v>
      </c>
      <c r="C1" s="8" t="e">
        <f>#REF!</f>
        <v>#REF!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0.100000000000001" customHeight="1" x14ac:dyDescent="0.25">
      <c r="A4" s="108" t="str">
        <f>HYPERLINK("#'Results'!A1", "Results")</f>
        <v>Results</v>
      </c>
      <c r="C4" s="24"/>
      <c r="D4" s="6" t="s">
        <v>6</v>
      </c>
      <c r="E4" s="26"/>
      <c r="F4" s="26"/>
      <c r="G4" s="26"/>
      <c r="H4" s="6"/>
      <c r="I4" s="6"/>
      <c r="J4" s="6"/>
      <c r="K4" s="27"/>
    </row>
    <row r="5" spans="1:11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</row>
    <row r="6" spans="1:11" ht="20.100000000000001" customHeight="1" x14ac:dyDescent="0.25">
      <c r="A6" s="20" t="s">
        <v>3</v>
      </c>
      <c r="C6" s="24"/>
      <c r="D6" s="31" t="s">
        <v>298</v>
      </c>
      <c r="E6" s="131" t="s">
        <v>296</v>
      </c>
      <c r="F6" s="58"/>
      <c r="G6" s="131" t="s">
        <v>297</v>
      </c>
      <c r="H6" s="24"/>
      <c r="I6" s="1"/>
      <c r="J6" s="24"/>
      <c r="K6" s="24"/>
    </row>
    <row r="7" spans="1:11" ht="20.100000000000001" customHeight="1" x14ac:dyDescent="0.25">
      <c r="A7" s="17" t="str">
        <f>HYPERLINK("#'Input - Site'!A1", "Site")</f>
        <v>Site</v>
      </c>
      <c r="C7" s="24"/>
      <c r="D7" s="1" t="s">
        <v>288</v>
      </c>
      <c r="E7" s="130" t="e">
        <f>'4.1.1.1-2 Methane'!E164</f>
        <v>#REF!</v>
      </c>
      <c r="F7" s="58" t="str">
        <f>'4.1.1.1-2 Methane'!F164</f>
        <v>t CH4</v>
      </c>
      <c r="G7" s="130" t="e">
        <f>'4.1.1.1-2 Methane'!E169</f>
        <v>#REF!</v>
      </c>
      <c r="H7" s="58" t="str">
        <f>'4.1.1.1-2 Methane'!F169</f>
        <v>t CO2e</v>
      </c>
      <c r="I7" s="1"/>
      <c r="J7" s="24"/>
      <c r="K7" s="24"/>
    </row>
    <row r="8" spans="1:11" ht="20.100000000000001" customHeight="1" x14ac:dyDescent="0.25">
      <c r="A8" s="17" t="str">
        <f>HYPERLINK("#'Input - MMS - Feedlot'!A1", "MMS - Feedlot")</f>
        <v>MMS - Feedlot</v>
      </c>
      <c r="C8" s="24"/>
      <c r="D8" s="1" t="s">
        <v>289</v>
      </c>
      <c r="E8" s="130" t="e">
        <f>'4.1.1.1-2 Methane'!N164</f>
        <v>#REF!</v>
      </c>
      <c r="F8" s="58" t="str">
        <f>'4.1.1.1-2 Methane'!O164</f>
        <v>t CH4</v>
      </c>
      <c r="G8" s="130" t="e">
        <f>'4.1.1.1-2 Methane'!N169</f>
        <v>#REF!</v>
      </c>
      <c r="H8" s="58" t="str">
        <f>'4.1.1.1-2 Methane'!O169</f>
        <v>t CO2e</v>
      </c>
      <c r="I8" s="1"/>
      <c r="J8" s="24"/>
      <c r="K8" s="24"/>
    </row>
    <row r="9" spans="1:11" ht="20.100000000000001" customHeight="1" x14ac:dyDescent="0.25">
      <c r="A9" s="17"/>
      <c r="C9" s="24"/>
      <c r="D9" s="1" t="s">
        <v>290</v>
      </c>
      <c r="E9" s="130">
        <f>'4.1.1.3-4 Direct N20'!E207</f>
        <v>0</v>
      </c>
      <c r="F9" s="58" t="str">
        <f>'4.1.1.3-4 Direct N20'!F207</f>
        <v>t N2O</v>
      </c>
      <c r="G9" s="130">
        <f>'4.1.1.3-4 Direct N20'!E212</f>
        <v>0</v>
      </c>
      <c r="H9" s="58" t="str">
        <f>'4.1.1.3-4 Direct N20'!F212</f>
        <v>t CO2e</v>
      </c>
      <c r="I9" s="1"/>
      <c r="J9" s="24"/>
      <c r="K9" s="24"/>
    </row>
    <row r="10" spans="1:11" ht="20.100000000000001" customHeight="1" x14ac:dyDescent="0.25">
      <c r="A10" s="19" t="s">
        <v>79</v>
      </c>
      <c r="C10" s="24"/>
      <c r="D10" s="1" t="s">
        <v>291</v>
      </c>
      <c r="E10" s="130">
        <f>'4.1.1.3-4 Direct N20'!M207</f>
        <v>0</v>
      </c>
      <c r="F10" s="58" t="str">
        <f>'4.1.1.3-4 Direct N20'!N207</f>
        <v>t N2O</v>
      </c>
      <c r="G10" s="130">
        <f>'4.1.1.3-4 Direct N20'!M212</f>
        <v>0</v>
      </c>
      <c r="H10" s="58" t="str">
        <f>'4.1.1.3-4 Direct N20'!N212</f>
        <v>t CO2e</v>
      </c>
      <c r="I10" s="1"/>
      <c r="J10" s="24"/>
      <c r="K10" s="24"/>
    </row>
    <row r="11" spans="1:11" ht="20.100000000000001" customHeight="1" x14ac:dyDescent="0.25">
      <c r="A11" s="17" t="str">
        <f>HYPERLINK("#'Calcs - CH4 MMS Feedlot'!A1", "MMS Methane")</f>
        <v>MMS Methane</v>
      </c>
      <c r="C11" s="24"/>
      <c r="D11" s="1" t="s">
        <v>292</v>
      </c>
      <c r="E11" s="130"/>
      <c r="F11" s="58"/>
      <c r="G11" s="130"/>
      <c r="H11" s="58"/>
      <c r="I11" s="1"/>
      <c r="J11" s="24"/>
      <c r="K11" s="24"/>
    </row>
    <row r="12" spans="1:11" ht="20.100000000000001" customHeight="1" x14ac:dyDescent="0.25">
      <c r="A12" s="17"/>
      <c r="C12" s="24"/>
      <c r="D12" s="1" t="s">
        <v>293</v>
      </c>
      <c r="E12" s="130"/>
      <c r="F12" s="58"/>
      <c r="G12" s="130"/>
      <c r="H12" s="58"/>
      <c r="I12" s="1"/>
      <c r="J12" s="24"/>
      <c r="K12" s="24"/>
    </row>
    <row r="13" spans="1:11" ht="20.100000000000001" customHeight="1" x14ac:dyDescent="0.25">
      <c r="A13" s="18" t="s">
        <v>4</v>
      </c>
      <c r="C13" s="24"/>
      <c r="D13" s="1" t="s">
        <v>294</v>
      </c>
      <c r="E13" s="130"/>
      <c r="F13" s="58"/>
      <c r="G13" s="130"/>
      <c r="H13" s="58"/>
      <c r="I13" s="1"/>
      <c r="J13" s="24"/>
      <c r="K13" s="24"/>
    </row>
    <row r="14" spans="1:11" ht="20.100000000000001" customHeight="1" x14ac:dyDescent="0.25">
      <c r="A14" s="17" t="str">
        <f>HYPERLINK("#'Constants - Common'!A1", "Constants - Common")</f>
        <v>Constants - Common</v>
      </c>
      <c r="C14" s="24"/>
      <c r="D14" s="1" t="s">
        <v>295</v>
      </c>
      <c r="E14" s="130"/>
      <c r="F14" s="58"/>
      <c r="G14" s="130"/>
      <c r="H14" s="58"/>
      <c r="I14" s="1"/>
      <c r="J14" s="24"/>
      <c r="K14" s="24"/>
    </row>
    <row r="15" spans="1:11" ht="20.100000000000001" customHeight="1" x14ac:dyDescent="0.3">
      <c r="A15" s="17" t="str">
        <f>HYPERLINK("#'Constants - Livestock'!A1", "Constants - Livestock")</f>
        <v>Constants - Livestock</v>
      </c>
      <c r="C15" s="24"/>
      <c r="D15" s="32" t="s">
        <v>5</v>
      </c>
      <c r="E15" s="25">
        <f>SUM(E17:E52)</f>
        <v>0</v>
      </c>
      <c r="F15" s="129"/>
      <c r="G15" s="24"/>
      <c r="H15" s="24"/>
      <c r="I15" s="1"/>
      <c r="J15" s="24"/>
      <c r="K15" s="24"/>
    </row>
    <row r="16" spans="1:11" ht="20.100000000000001" customHeight="1" x14ac:dyDescent="0.25">
      <c r="A16" s="17" t="str">
        <f>HYPERLINK("#'Acknowledgements'!A1", "Acknowledgements")</f>
        <v>Acknowledgements</v>
      </c>
      <c r="C16" s="24"/>
      <c r="D16" s="1"/>
      <c r="E16" s="1"/>
      <c r="F16" s="1"/>
      <c r="G16" s="26"/>
      <c r="H16" s="24"/>
      <c r="I16" s="1"/>
      <c r="J16" s="24"/>
      <c r="K16" s="24"/>
    </row>
    <row r="17" spans="1:11" ht="20.100000000000001" customHeight="1" x14ac:dyDescent="0.25">
      <c r="A17" s="71"/>
      <c r="C17" s="24"/>
      <c r="D17" s="1"/>
      <c r="E17" s="1"/>
      <c r="F17" s="1"/>
      <c r="G17" s="1"/>
      <c r="H17" s="26"/>
      <c r="I17" s="24"/>
      <c r="J17" s="24"/>
      <c r="K17" s="24"/>
    </row>
    <row r="18" spans="1:11" ht="20.100000000000001" customHeight="1" x14ac:dyDescent="0.25">
      <c r="A18" s="17"/>
      <c r="C18" s="24"/>
      <c r="D18" s="1"/>
      <c r="E18" s="1"/>
      <c r="F18" s="1"/>
      <c r="G18" s="1"/>
      <c r="H18" s="26"/>
      <c r="I18" s="24"/>
      <c r="J18" s="24"/>
      <c r="K18" s="24"/>
    </row>
    <row r="19" spans="1:11" ht="20.100000000000001" customHeight="1" x14ac:dyDescent="0.25">
      <c r="A19" s="17"/>
      <c r="C19" s="24"/>
      <c r="D19" s="1" t="s">
        <v>309</v>
      </c>
      <c r="E19" s="1"/>
      <c r="F19" s="1"/>
      <c r="G19" s="1"/>
      <c r="H19" s="24"/>
      <c r="I19" s="24"/>
      <c r="J19" s="24"/>
      <c r="K19" s="24"/>
    </row>
    <row r="20" spans="1:11" ht="20.100000000000001" customHeight="1" x14ac:dyDescent="0.25">
      <c r="C20" s="24"/>
      <c r="D20" s="1" t="s">
        <v>310</v>
      </c>
      <c r="E20" s="1"/>
      <c r="F20" s="1"/>
      <c r="G20" s="1"/>
      <c r="H20" s="24"/>
      <c r="I20" s="24"/>
      <c r="J20" s="24"/>
      <c r="K20" s="24"/>
    </row>
    <row r="21" spans="1:11" ht="20.100000000000001" customHeight="1" x14ac:dyDescent="0.25">
      <c r="C21" s="24"/>
      <c r="D21" s="1"/>
      <c r="E21" s="1"/>
      <c r="F21" s="1"/>
      <c r="G21" s="1"/>
      <c r="H21" s="24"/>
      <c r="I21" s="24"/>
      <c r="J21" s="24"/>
      <c r="K21" s="24"/>
    </row>
    <row r="22" spans="1:11" ht="20.100000000000001" customHeight="1" x14ac:dyDescent="0.25">
      <c r="C22" s="24"/>
      <c r="D22" s="1"/>
      <c r="E22" s="1"/>
      <c r="F22" s="1"/>
      <c r="G22" s="1"/>
      <c r="H22" s="24"/>
      <c r="I22" s="24"/>
      <c r="J22" s="24"/>
      <c r="K22" s="24"/>
    </row>
    <row r="23" spans="1:11" ht="20.100000000000001" customHeight="1" x14ac:dyDescent="0.25">
      <c r="C23" s="24"/>
      <c r="D23" s="1"/>
      <c r="E23" s="1"/>
      <c r="F23" s="1"/>
      <c r="G23" s="1"/>
      <c r="H23" s="24"/>
      <c r="I23" s="24"/>
      <c r="J23" s="24"/>
      <c r="K23" s="24"/>
    </row>
    <row r="24" spans="1:11" ht="20.100000000000001" customHeight="1" x14ac:dyDescent="0.25">
      <c r="C24" s="24"/>
      <c r="D24" s="1"/>
      <c r="E24" s="1"/>
      <c r="F24" s="1"/>
      <c r="G24" s="1"/>
      <c r="H24" s="24"/>
      <c r="I24" s="24"/>
      <c r="J24" s="24"/>
      <c r="K24" s="24"/>
    </row>
    <row r="25" spans="1:11" ht="20.100000000000001" customHeight="1" x14ac:dyDescent="0.25">
      <c r="C25" s="24"/>
      <c r="D25" s="1"/>
      <c r="E25" s="1"/>
      <c r="F25" s="1"/>
      <c r="G25" s="1"/>
      <c r="H25" s="24"/>
      <c r="I25" s="24"/>
      <c r="J25" s="24"/>
      <c r="K25" s="24"/>
    </row>
    <row r="26" spans="1:11" ht="20.100000000000001" customHeight="1" x14ac:dyDescent="0.25">
      <c r="C26" s="24"/>
      <c r="D26" s="1"/>
      <c r="E26" s="1"/>
      <c r="F26" s="1"/>
      <c r="G26" s="1"/>
      <c r="H26" s="24"/>
      <c r="I26" s="24"/>
      <c r="J26" s="24"/>
      <c r="K26" s="24"/>
    </row>
    <row r="27" spans="1:11" ht="20.100000000000001" customHeight="1" x14ac:dyDescent="0.25">
      <c r="C27" s="24"/>
      <c r="D27" s="1"/>
      <c r="E27" s="1"/>
      <c r="F27" s="1"/>
      <c r="G27" s="1"/>
      <c r="H27" s="26"/>
      <c r="I27" s="24"/>
      <c r="J27" s="24"/>
      <c r="K27" s="24"/>
    </row>
    <row r="28" spans="1:11" ht="20.100000000000001" customHeight="1" x14ac:dyDescent="0.3">
      <c r="C28" s="24"/>
      <c r="D28" s="1"/>
      <c r="E28" s="1"/>
      <c r="F28" s="1"/>
      <c r="G28" s="1"/>
      <c r="H28" s="29"/>
      <c r="I28" s="24"/>
      <c r="J28" s="24"/>
      <c r="K28" s="24"/>
    </row>
    <row r="29" spans="1:11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</row>
    <row r="30" spans="1:11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</row>
    <row r="31" spans="1:11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</row>
    <row r="32" spans="1:11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</row>
    <row r="33" spans="3:11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</row>
    <row r="34" spans="3:11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</row>
    <row r="35" spans="3:11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</row>
    <row r="36" spans="3:11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</row>
    <row r="37" spans="3:11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</row>
    <row r="38" spans="3:11" ht="20.100000000000001" customHeight="1" x14ac:dyDescent="0.25">
      <c r="C38" s="24"/>
      <c r="D38" s="1"/>
      <c r="E38" s="1"/>
      <c r="F38" s="1"/>
      <c r="G38" s="1"/>
      <c r="H38" s="1"/>
      <c r="I38" s="129"/>
      <c r="J38" s="129"/>
      <c r="K38" s="24"/>
    </row>
    <row r="39" spans="3:11" ht="20.100000000000001" customHeight="1" x14ac:dyDescent="0.25">
      <c r="C39" s="24"/>
      <c r="D39" s="1"/>
      <c r="E39" s="1"/>
      <c r="F39" s="1"/>
      <c r="G39" s="1"/>
      <c r="H39" s="1"/>
      <c r="I39" s="129"/>
      <c r="J39" s="129"/>
      <c r="K39" s="24"/>
    </row>
    <row r="40" spans="3:11" ht="20.100000000000001" customHeight="1" x14ac:dyDescent="0.25">
      <c r="C40" s="24"/>
      <c r="D40" s="1"/>
      <c r="E40" s="1"/>
      <c r="F40" s="1"/>
      <c r="G40" s="1"/>
      <c r="H40" s="1"/>
      <c r="I40" s="129"/>
      <c r="J40" s="129"/>
      <c r="K40" s="24"/>
    </row>
    <row r="41" spans="3:11" ht="20.100000000000001" customHeight="1" x14ac:dyDescent="0.25">
      <c r="C41" s="24"/>
      <c r="D41" s="1"/>
      <c r="E41" s="1"/>
      <c r="F41" s="1"/>
      <c r="G41" s="1"/>
      <c r="H41" s="1"/>
      <c r="I41" s="129"/>
      <c r="J41" s="129"/>
      <c r="K41" s="24"/>
    </row>
    <row r="42" spans="3:11" ht="20.100000000000001" customHeight="1" x14ac:dyDescent="0.25">
      <c r="C42" s="24"/>
      <c r="D42" s="1"/>
      <c r="E42" s="1"/>
      <c r="F42" s="1"/>
      <c r="G42" s="1"/>
      <c r="H42" s="1"/>
      <c r="I42" s="129"/>
      <c r="J42" s="129"/>
      <c r="K42" s="24"/>
    </row>
    <row r="43" spans="3:11" ht="20.100000000000001" customHeight="1" x14ac:dyDescent="0.25">
      <c r="C43" s="24"/>
      <c r="D43" s="1"/>
      <c r="E43" s="1"/>
      <c r="F43" s="1"/>
      <c r="G43" s="1"/>
      <c r="H43" s="1"/>
      <c r="I43" s="129"/>
      <c r="J43" s="129"/>
      <c r="K43" s="24"/>
    </row>
    <row r="44" spans="3:11" ht="20.100000000000001" customHeight="1" x14ac:dyDescent="0.25">
      <c r="C44" s="24"/>
      <c r="D44" s="1"/>
      <c r="E44" s="1"/>
      <c r="F44" s="1"/>
      <c r="G44" s="1"/>
      <c r="H44" s="1"/>
      <c r="I44" s="129"/>
      <c r="J44" s="129"/>
      <c r="K44" s="24"/>
    </row>
    <row r="45" spans="3:11" ht="20.100000000000001" customHeight="1" x14ac:dyDescent="0.25">
      <c r="C45" s="24"/>
      <c r="D45" s="1"/>
      <c r="E45" s="1"/>
      <c r="F45" s="1"/>
      <c r="G45" s="1"/>
      <c r="H45" s="1"/>
      <c r="I45" s="129"/>
      <c r="J45" s="129"/>
      <c r="K45" s="24"/>
    </row>
    <row r="46" spans="3:11" ht="20.100000000000001" customHeight="1" x14ac:dyDescent="0.25">
      <c r="C46" s="24"/>
      <c r="D46" s="1"/>
      <c r="E46" s="1"/>
      <c r="F46" s="1"/>
      <c r="G46" s="1"/>
      <c r="H46" s="1"/>
      <c r="I46" s="129"/>
      <c r="J46" s="129"/>
      <c r="K46" s="24"/>
    </row>
    <row r="47" spans="3:11" ht="20.100000000000001" customHeight="1" x14ac:dyDescent="0.25">
      <c r="C47" s="24"/>
      <c r="D47" s="1"/>
      <c r="E47" s="1"/>
      <c r="F47" s="1"/>
      <c r="G47" s="1"/>
      <c r="H47" s="1"/>
      <c r="I47" s="129"/>
      <c r="J47" s="129"/>
      <c r="K47" s="24"/>
    </row>
    <row r="48" spans="3:11" ht="20.100000000000001" customHeight="1" x14ac:dyDescent="0.25">
      <c r="C48" s="24"/>
      <c r="D48" s="1"/>
      <c r="E48" s="1"/>
      <c r="F48" s="1"/>
      <c r="G48" s="1"/>
      <c r="H48" s="1"/>
      <c r="I48" s="129"/>
      <c r="J48" s="129"/>
      <c r="K48" s="24"/>
    </row>
    <row r="49" spans="3:11" ht="20.100000000000001" customHeight="1" x14ac:dyDescent="0.25">
      <c r="C49" s="24"/>
      <c r="D49" s="1"/>
      <c r="E49" s="1"/>
      <c r="F49" s="1"/>
      <c r="G49" s="1"/>
      <c r="H49" s="129"/>
      <c r="I49" s="129"/>
      <c r="J49" s="129"/>
      <c r="K49" s="24"/>
    </row>
    <row r="50" spans="3:11" ht="20.100000000000001" customHeight="1" x14ac:dyDescent="0.25">
      <c r="C50" s="24"/>
      <c r="D50" s="1"/>
      <c r="E50" s="1"/>
      <c r="F50" s="1"/>
      <c r="G50" s="1"/>
      <c r="H50" s="129"/>
      <c r="I50" s="129"/>
      <c r="J50" s="129"/>
      <c r="K50" s="24"/>
    </row>
    <row r="51" spans="3:11" ht="20.100000000000001" customHeight="1" x14ac:dyDescent="0.25">
      <c r="C51" s="24"/>
      <c r="D51" s="1"/>
      <c r="E51" s="1"/>
      <c r="F51" s="1"/>
      <c r="G51" s="1"/>
      <c r="H51" s="129"/>
      <c r="I51" s="129"/>
      <c r="J51" s="129"/>
      <c r="K51" s="24"/>
    </row>
    <row r="52" spans="3:11" ht="20.100000000000001" customHeight="1" x14ac:dyDescent="0.25">
      <c r="C52" s="24"/>
      <c r="D52" s="1"/>
      <c r="E52" s="1"/>
      <c r="F52" s="1"/>
      <c r="G52" s="1"/>
      <c r="H52" s="129"/>
      <c r="I52" s="129"/>
      <c r="J52" s="129"/>
      <c r="K52" s="24"/>
    </row>
    <row r="53" spans="3:11" ht="20.100000000000001" customHeight="1" x14ac:dyDescent="0.25">
      <c r="C53" s="24"/>
      <c r="D53" s="1"/>
      <c r="E53" s="1"/>
      <c r="F53" s="1"/>
      <c r="G53" s="1"/>
      <c r="H53" s="129"/>
      <c r="I53" s="129"/>
      <c r="J53" s="129"/>
      <c r="K53" s="24"/>
    </row>
    <row r="54" spans="3:11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</row>
    <row r="55" spans="3:11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</row>
    <row r="56" spans="3:11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</row>
    <row r="57" spans="3:11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</row>
    <row r="58" spans="3:11" ht="20.100000000000001" customHeight="1" x14ac:dyDescent="0.25">
      <c r="C58" s="24"/>
      <c r="D58" s="1"/>
      <c r="E58" s="33"/>
      <c r="F58" s="30"/>
      <c r="G58" s="24"/>
      <c r="H58" s="24"/>
      <c r="I58" s="24"/>
      <c r="J58" s="24"/>
      <c r="K58" s="24"/>
    </row>
    <row r="59" spans="3:11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24"/>
    </row>
    <row r="60" spans="3:11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24"/>
    </row>
    <row r="61" spans="3:11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24"/>
    </row>
    <row r="62" spans="3:11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24"/>
    </row>
    <row r="63" spans="3:11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24"/>
    </row>
    <row r="64" spans="3:11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24"/>
    </row>
    <row r="65" spans="3:11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24"/>
    </row>
    <row r="66" spans="3:11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24"/>
    </row>
    <row r="67" spans="3:11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24"/>
    </row>
    <row r="68" spans="3:11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24"/>
    </row>
    <row r="69" spans="3:11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24"/>
    </row>
    <row r="70" spans="3:11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24"/>
    </row>
    <row r="71" spans="3:11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24"/>
    </row>
    <row r="72" spans="3:11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24"/>
    </row>
    <row r="73" spans="3:11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24"/>
    </row>
    <row r="74" spans="3:11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24"/>
    </row>
    <row r="75" spans="3:11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24"/>
    </row>
    <row r="76" spans="3:11" ht="15.75" x14ac:dyDescent="0.25">
      <c r="C76" s="24"/>
      <c r="D76" s="1"/>
      <c r="E76" s="1"/>
      <c r="F76" s="1"/>
      <c r="G76" s="1"/>
      <c r="H76" s="1"/>
      <c r="I76" s="1"/>
      <c r="J76" s="1"/>
      <c r="K76" s="24"/>
    </row>
    <row r="77" spans="3:11" ht="15.75" x14ac:dyDescent="0.25">
      <c r="C77" s="24"/>
      <c r="D77" s="1"/>
      <c r="E77" s="1"/>
      <c r="F77" s="1"/>
      <c r="G77" s="1"/>
      <c r="H77" s="1"/>
      <c r="I77" s="1"/>
      <c r="J77" s="1"/>
      <c r="K77" s="24"/>
    </row>
    <row r="78" spans="3:11" ht="15.75" x14ac:dyDescent="0.25">
      <c r="C78" s="24"/>
      <c r="D78" s="1"/>
      <c r="E78" s="1"/>
      <c r="F78" s="1"/>
      <c r="G78" s="1"/>
      <c r="H78" s="1"/>
      <c r="I78" s="1"/>
      <c r="J78" s="1"/>
      <c r="K78" s="24"/>
    </row>
    <row r="79" spans="3:11" ht="15.75" x14ac:dyDescent="0.25">
      <c r="C79" s="24"/>
      <c r="D79" s="1"/>
      <c r="E79" s="1"/>
      <c r="F79" s="1"/>
      <c r="G79" s="1"/>
      <c r="H79" s="1"/>
      <c r="I79" s="1"/>
      <c r="J79" s="1"/>
      <c r="K79" s="24"/>
    </row>
    <row r="80" spans="3:11" ht="15.75" x14ac:dyDescent="0.25">
      <c r="C80" s="24"/>
      <c r="D80" s="1"/>
      <c r="E80" s="1"/>
      <c r="F80" s="1"/>
      <c r="G80" s="1"/>
      <c r="H80" s="1"/>
      <c r="I80" s="1"/>
      <c r="J80" s="1"/>
      <c r="K80" s="24"/>
    </row>
    <row r="81" spans="3:11" ht="15.75" x14ac:dyDescent="0.25">
      <c r="C81" s="24"/>
      <c r="D81" s="1"/>
      <c r="E81" s="1"/>
      <c r="F81" s="1"/>
      <c r="G81" s="1"/>
      <c r="H81" s="1"/>
      <c r="I81" s="1"/>
      <c r="J81" s="1"/>
      <c r="K81" s="24"/>
    </row>
    <row r="82" spans="3:11" ht="15.75" x14ac:dyDescent="0.25">
      <c r="C82" s="24"/>
      <c r="D82" s="1"/>
      <c r="E82" s="1"/>
      <c r="F82" s="1"/>
      <c r="G82" s="1"/>
      <c r="H82" s="1"/>
      <c r="I82" s="1"/>
      <c r="J82" s="1"/>
      <c r="K82" s="24"/>
    </row>
    <row r="83" spans="3:11" ht="15.75" x14ac:dyDescent="0.25">
      <c r="C83" s="24"/>
      <c r="D83" s="1"/>
      <c r="E83" s="1"/>
      <c r="F83" s="1"/>
      <c r="G83" s="1"/>
      <c r="H83" s="1"/>
      <c r="I83" s="1"/>
      <c r="J83" s="1"/>
      <c r="K83" s="24"/>
    </row>
    <row r="84" spans="3:11" ht="15.75" x14ac:dyDescent="0.25">
      <c r="C84" s="24"/>
      <c r="D84" s="1"/>
      <c r="E84" s="1"/>
      <c r="F84" s="1"/>
      <c r="G84" s="1"/>
      <c r="H84" s="1"/>
      <c r="I84" s="1"/>
      <c r="J84" s="1"/>
      <c r="K84" s="24"/>
    </row>
    <row r="85" spans="3:11" ht="15.75" x14ac:dyDescent="0.25">
      <c r="C85" s="24"/>
      <c r="D85" s="1"/>
      <c r="E85" s="1"/>
      <c r="F85" s="1"/>
      <c r="G85" s="1"/>
      <c r="H85" s="1"/>
      <c r="I85" s="1"/>
      <c r="J85" s="1"/>
      <c r="K85" s="24"/>
    </row>
    <row r="86" spans="3:11" x14ac:dyDescent="0.25">
      <c r="C86" s="24"/>
      <c r="D86" s="24"/>
      <c r="E86" s="24"/>
      <c r="F86" s="24"/>
      <c r="G86" s="24"/>
      <c r="H86" s="24"/>
      <c r="I86" s="24"/>
      <c r="J86" s="24"/>
      <c r="K86" s="24"/>
    </row>
    <row r="87" spans="3:11" x14ac:dyDescent="0.25">
      <c r="C87" s="24"/>
      <c r="D87" s="24"/>
      <c r="E87" s="24"/>
      <c r="F87" s="24"/>
      <c r="G87" s="24"/>
      <c r="H87" s="24"/>
      <c r="I87" s="24"/>
      <c r="J87" s="24"/>
      <c r="K87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E34" sqref="E34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2" t="e" vm="1">
        <v>#VALUE!</v>
      </c>
      <c r="C1" s="12" t="s">
        <v>94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4"/>
      <c r="D4" s="74"/>
      <c r="E4" s="74"/>
      <c r="F4" s="74"/>
      <c r="G4" s="74"/>
      <c r="H4" s="74"/>
      <c r="I4" s="74"/>
      <c r="J4" s="74"/>
      <c r="K4" s="74"/>
    </row>
    <row r="5" spans="1:24" ht="20.100000000000001" customHeight="1" x14ac:dyDescent="0.25">
      <c r="D5" s="6" t="s">
        <v>16</v>
      </c>
      <c r="N5" s="44"/>
    </row>
    <row r="6" spans="1:24" ht="20.100000000000001" customHeight="1" x14ac:dyDescent="0.25">
      <c r="A6" s="20" t="s">
        <v>3</v>
      </c>
      <c r="D6" s="14"/>
      <c r="N6" s="45"/>
    </row>
    <row r="7" spans="1:24" ht="20.100000000000001" customHeight="1" x14ac:dyDescent="0.25">
      <c r="A7" s="21" t="str">
        <f>HYPERLINK("#'Input - Site'!A1", "Site")</f>
        <v>Site</v>
      </c>
      <c r="D7" s="1" t="s">
        <v>8</v>
      </c>
      <c r="E7" s="36" t="s">
        <v>7</v>
      </c>
      <c r="F7" s="2"/>
    </row>
    <row r="8" spans="1:24" ht="20.100000000000001" customHeight="1" x14ac:dyDescent="0.25">
      <c r="A8" s="17" t="str">
        <f>HYPERLINK("#'Input - MMS - Feedlot'!A1", "MMS - Feedlot")</f>
        <v>MMS - Feedlot</v>
      </c>
      <c r="D8" s="10" t="s">
        <v>75</v>
      </c>
      <c r="E8" s="36" t="s">
        <v>76</v>
      </c>
    </row>
    <row r="9" spans="1:24" ht="20.100000000000001" customHeight="1" x14ac:dyDescent="0.25">
      <c r="A9" s="17"/>
      <c r="N9" s="46"/>
    </row>
    <row r="10" spans="1:24" ht="20.100000000000001" customHeight="1" x14ac:dyDescent="0.25">
      <c r="A10" s="19" t="s">
        <v>79</v>
      </c>
      <c r="D10" s="99" t="s">
        <v>93</v>
      </c>
      <c r="E10" s="97"/>
      <c r="F10" s="100"/>
      <c r="G10" s="94"/>
      <c r="N10" s="46"/>
    </row>
    <row r="11" spans="1:24" ht="20.100000000000001" customHeight="1" x14ac:dyDescent="0.25">
      <c r="A11" s="17" t="str">
        <f>HYPERLINK("#'Calcs - CH4 MMS Feedlot'!A1", "MMS Methane")</f>
        <v>MMS Methane</v>
      </c>
      <c r="N11" s="47"/>
    </row>
    <row r="12" spans="1:24" ht="20.100000000000001" customHeight="1" x14ac:dyDescent="0.25">
      <c r="A12" s="17"/>
      <c r="D12" s="10" t="s">
        <v>99</v>
      </c>
      <c r="E12" s="68">
        <v>45292</v>
      </c>
      <c r="F12" s="2" t="s">
        <v>73</v>
      </c>
    </row>
    <row r="13" spans="1:24" ht="20.100000000000001" customHeight="1" x14ac:dyDescent="0.25">
      <c r="A13" s="18" t="s">
        <v>4</v>
      </c>
      <c r="D13" s="10" t="s">
        <v>100</v>
      </c>
      <c r="E13" s="75">
        <f>DATE(YEAR(E12)+1,MONTH(E12),DAY(E12))-1</f>
        <v>45657</v>
      </c>
      <c r="F13" s="2" t="s">
        <v>18</v>
      </c>
      <c r="N13" s="41"/>
      <c r="O13" s="41"/>
    </row>
    <row r="14" spans="1:24" ht="20.100000000000001" customHeight="1" x14ac:dyDescent="0.25">
      <c r="A14" s="17" t="str">
        <f>HYPERLINK("#'Constants - Common'!A1", "Constants - Common")</f>
        <v>Constants - Common</v>
      </c>
      <c r="N14" s="41"/>
      <c r="O14" s="41"/>
    </row>
    <row r="15" spans="1:24" ht="20.100000000000001" customHeight="1" x14ac:dyDescent="0.25">
      <c r="A15" s="17" t="str">
        <f>HYPERLINK("#'Constants - Livestock'!A1", "Constants - Livestock")</f>
        <v>Constants - Livestock</v>
      </c>
      <c r="N15" s="41"/>
      <c r="O15" s="41"/>
    </row>
    <row r="16" spans="1:24" ht="20.100000000000001" customHeight="1" x14ac:dyDescent="0.25">
      <c r="A16" s="17" t="str">
        <f>HYPERLINK("#'Acknowledgements'!A1", "Acknowledgements")</f>
        <v>Acknowledgements</v>
      </c>
      <c r="D16" s="6" t="s">
        <v>15</v>
      </c>
      <c r="N16" s="41"/>
      <c r="O16" s="41"/>
    </row>
    <row r="17" spans="1:25" ht="20.100000000000001" customHeight="1" x14ac:dyDescent="0.25">
      <c r="A17" s="71"/>
    </row>
    <row r="18" spans="1:25" ht="20.100000000000001" customHeight="1" x14ac:dyDescent="0.25">
      <c r="A18" s="17"/>
      <c r="D18" s="101" t="s">
        <v>17</v>
      </c>
      <c r="E18" s="96"/>
      <c r="F18" s="96"/>
      <c r="G18" s="92"/>
    </row>
    <row r="19" spans="1:25" ht="20.100000000000001" customHeight="1" x14ac:dyDescent="0.25">
      <c r="A19"/>
      <c r="D19" s="98" t="s">
        <v>74</v>
      </c>
      <c r="E19" s="95"/>
      <c r="F19" s="95"/>
      <c r="G19" s="93"/>
      <c r="N19" s="44"/>
    </row>
    <row r="20" spans="1:25" ht="20.100000000000001" customHeight="1" x14ac:dyDescent="0.25">
      <c r="A20"/>
      <c r="D20" s="1"/>
      <c r="E20" s="34"/>
      <c r="F20" s="2"/>
      <c r="N20" s="45"/>
    </row>
    <row r="21" spans="1:25" ht="20.100000000000001" customHeight="1" x14ac:dyDescent="0.25">
      <c r="A21"/>
      <c r="D21" s="1" t="s">
        <v>9</v>
      </c>
      <c r="E21" s="43" t="s">
        <v>124</v>
      </c>
      <c r="F21" s="2" t="s">
        <v>12</v>
      </c>
    </row>
    <row r="22" spans="1:25" ht="20.100000000000001" customHeight="1" x14ac:dyDescent="0.25">
      <c r="A22"/>
      <c r="D22" s="1" t="s">
        <v>28</v>
      </c>
      <c r="E22" s="43" t="s">
        <v>37</v>
      </c>
      <c r="F22" s="2" t="s">
        <v>12</v>
      </c>
      <c r="G22" s="1"/>
    </row>
    <row r="23" spans="1:25" ht="20.100000000000001" customHeight="1" x14ac:dyDescent="0.25">
      <c r="A23"/>
      <c r="D23" s="1" t="s">
        <v>10</v>
      </c>
      <c r="E23" s="43" t="s">
        <v>98</v>
      </c>
      <c r="F23" s="2" t="s">
        <v>12</v>
      </c>
    </row>
    <row r="24" spans="1:25" ht="20.100000000000001" customHeight="1" x14ac:dyDescent="0.25">
      <c r="A24"/>
      <c r="D24" s="1" t="s">
        <v>42</v>
      </c>
      <c r="E24" s="36">
        <v>307.7</v>
      </c>
      <c r="F24" s="2" t="s">
        <v>56</v>
      </c>
    </row>
    <row r="25" spans="1:25" ht="20.100000000000001" customHeight="1" x14ac:dyDescent="0.25">
      <c r="A25"/>
      <c r="D25" s="1" t="s">
        <v>64</v>
      </c>
      <c r="E25" s="36">
        <v>18</v>
      </c>
      <c r="F25" s="2" t="s">
        <v>13</v>
      </c>
      <c r="N25" s="45"/>
    </row>
    <row r="26" spans="1:25" ht="20.100000000000001" customHeight="1" x14ac:dyDescent="0.25">
      <c r="A26"/>
      <c r="D26" s="1" t="s">
        <v>65</v>
      </c>
      <c r="E26" s="36">
        <v>3000</v>
      </c>
      <c r="F26" s="2" t="s">
        <v>14</v>
      </c>
    </row>
    <row r="27" spans="1:25" ht="20.100000000000001" customHeight="1" x14ac:dyDescent="0.25">
      <c r="A27"/>
      <c r="D27" s="10" t="s">
        <v>66</v>
      </c>
      <c r="E27" s="36">
        <v>1326</v>
      </c>
      <c r="F27" s="2" t="s">
        <v>14</v>
      </c>
    </row>
    <row r="28" spans="1:25" ht="20.100000000000001" customHeight="1" x14ac:dyDescent="0.25">
      <c r="A28"/>
      <c r="D28" s="1" t="s">
        <v>67</v>
      </c>
      <c r="E28" s="36">
        <v>7</v>
      </c>
      <c r="F28" s="2" t="s">
        <v>57</v>
      </c>
    </row>
    <row r="29" spans="1:25" ht="20.100000000000001" customHeight="1" x14ac:dyDescent="0.25">
      <c r="A29"/>
      <c r="D29" s="10" t="s">
        <v>63</v>
      </c>
      <c r="E29" s="56">
        <f>E26/E27</f>
        <v>2.2624434389140271</v>
      </c>
      <c r="F29" s="2"/>
    </row>
    <row r="30" spans="1:25" ht="20.100000000000001" customHeight="1" x14ac:dyDescent="0.25">
      <c r="A30"/>
      <c r="D30" s="10" t="s">
        <v>38</v>
      </c>
      <c r="E30" s="56" t="e" cm="1">
        <f t="array" ref="E30">Common_InputFunctions.Utility_LookupItemFromMinMax(E26,#REF!,#REF!,#REF!)</f>
        <v>#REF!</v>
      </c>
      <c r="G30" s="35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ht="20.100000000000001" customHeight="1" x14ac:dyDescent="0.25">
      <c r="A31"/>
      <c r="D31" s="1" t="s">
        <v>11</v>
      </c>
      <c r="E31" s="56" t="e" cm="1">
        <f t="array" ref="E31">Common_InputFunctions.Utility_GetClimateZone(E25,E26,E28,E24,E29)</f>
        <v>#REF!</v>
      </c>
      <c r="F31" s="1"/>
      <c r="G31" s="34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ht="20.100000000000001" customHeight="1" x14ac:dyDescent="0.25">
      <c r="A32"/>
      <c r="D32" s="1" t="s">
        <v>95</v>
      </c>
      <c r="E32" s="56" t="e" cm="1">
        <f t="array" ref="E32">Common_InputFunctions.Utility_LookupValueInTable($E$31,#REF!,#REF!)</f>
        <v>#REF!</v>
      </c>
      <c r="F32" s="1"/>
      <c r="G32" s="34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ht="20.100000000000001" customHeight="1" x14ac:dyDescent="0.25">
      <c r="A33"/>
      <c r="D33" s="1" t="s">
        <v>55</v>
      </c>
      <c r="E33" s="56" t="str">
        <f>Common_InputFunctions.Utility_LookupItemFromMinMax(E25,Table_SourceData_TemperatureZones[Min MAT],Table_SourceData_TemperatureZones[Max MAT],Table_SourceData_TemperatureZones[Temperature Zone])</f>
        <v>Temperate</v>
      </c>
      <c r="G33" s="76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ht="20.100000000000001" customHeight="1" x14ac:dyDescent="0.25">
      <c r="A34"/>
      <c r="J34" s="65"/>
      <c r="K34" s="79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ht="20.100000000000001" customHeight="1" x14ac:dyDescent="0.25">
      <c r="A35"/>
      <c r="J35" s="65"/>
      <c r="K35" s="79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 ht="20.100000000000001" customHeight="1" x14ac:dyDescent="0.25">
      <c r="A36"/>
      <c r="D36" s="77"/>
      <c r="E36" s="77"/>
      <c r="F36" s="78"/>
      <c r="G36" s="65"/>
      <c r="H36" s="65"/>
      <c r="I36" s="66"/>
      <c r="J36" s="65"/>
      <c r="K36" s="79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 ht="20.100000000000001" customHeight="1" x14ac:dyDescent="0.25">
      <c r="A37"/>
      <c r="D37" s="77"/>
      <c r="E37" s="77"/>
      <c r="F37" s="78"/>
      <c r="G37" s="65"/>
      <c r="H37" s="65"/>
      <c r="I37" s="66"/>
      <c r="J37" s="65"/>
      <c r="K37" s="79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ht="20.100000000000001" customHeight="1" x14ac:dyDescent="0.25">
      <c r="A38"/>
      <c r="D38" s="77"/>
      <c r="E38" s="77"/>
      <c r="F38" s="78"/>
      <c r="G38" s="65"/>
      <c r="H38" s="65"/>
      <c r="I38" s="66"/>
      <c r="J38" s="65"/>
      <c r="K38" s="79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ht="20.100000000000001" customHeight="1" x14ac:dyDescent="0.25">
      <c r="A39"/>
      <c r="D39" s="77"/>
      <c r="E39" s="77"/>
      <c r="F39" s="78"/>
      <c r="G39" s="65"/>
      <c r="H39" s="65"/>
      <c r="I39" s="66"/>
      <c r="J39" s="65"/>
      <c r="K39" s="79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ht="20.100000000000001" customHeight="1" x14ac:dyDescent="0.25">
      <c r="A40"/>
      <c r="D40" s="80"/>
      <c r="E40" s="80"/>
      <c r="F40" s="80"/>
      <c r="G40" s="81"/>
      <c r="H40" s="82"/>
      <c r="I40" s="82"/>
      <c r="J40" s="82"/>
      <c r="K40" s="82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3"/>
      <c r="E47" s="83"/>
      <c r="F47" s="83"/>
      <c r="G47" s="83"/>
      <c r="H47" s="83"/>
    </row>
    <row r="48" spans="1:25" ht="20.100000000000001" customHeight="1" x14ac:dyDescent="0.25">
      <c r="D48" s="37"/>
      <c r="E48" s="37"/>
      <c r="F48" s="38"/>
      <c r="G48" s="38"/>
      <c r="H48" s="37"/>
    </row>
    <row r="49" spans="4:8" ht="20.100000000000001" customHeight="1" x14ac:dyDescent="0.25">
      <c r="D49" s="37"/>
      <c r="E49" s="37"/>
      <c r="F49" s="38"/>
      <c r="G49" s="38"/>
      <c r="H49" s="37"/>
    </row>
    <row r="50" spans="4:8" ht="20.100000000000001" customHeight="1" x14ac:dyDescent="0.25">
      <c r="D50" s="37"/>
      <c r="E50" s="37"/>
      <c r="F50" s="38"/>
      <c r="G50" s="38"/>
      <c r="H50" s="37"/>
    </row>
    <row r="51" spans="4:8" ht="20.100000000000001" customHeight="1" x14ac:dyDescent="0.25">
      <c r="D51" s="84"/>
      <c r="E51" s="85"/>
      <c r="F51" s="85"/>
      <c r="G51" s="85"/>
      <c r="H51" s="86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7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8"/>
    </row>
    <row r="58" spans="4:8" ht="20.100000000000001" customHeight="1" x14ac:dyDescent="0.25">
      <c r="D58" s="1"/>
      <c r="E58" s="89"/>
    </row>
    <row r="59" spans="4:8" ht="20.100000000000001" customHeight="1" x14ac:dyDescent="0.25">
      <c r="D59" s="1"/>
      <c r="E59" s="89"/>
    </row>
    <row r="60" spans="4:8" ht="20.100000000000001" customHeight="1" x14ac:dyDescent="0.25">
      <c r="D60" s="1"/>
      <c r="E60" s="90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9"/>
    </row>
    <row r="65" spans="4:9" ht="20.100000000000001" customHeight="1" x14ac:dyDescent="0.25">
      <c r="D65" s="1"/>
      <c r="E65" s="89"/>
    </row>
    <row r="66" spans="4:9" ht="20.100000000000001" customHeight="1" x14ac:dyDescent="0.25">
      <c r="D66" s="1"/>
      <c r="E66" s="90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4"/>
      <c r="E69" s="64"/>
      <c r="F69" s="64"/>
      <c r="G69" s="64"/>
      <c r="H69" s="64"/>
      <c r="I69" s="64"/>
    </row>
    <row r="70" spans="4:9" ht="20.100000000000001" customHeight="1" x14ac:dyDescent="0.25">
      <c r="D70" s="64"/>
      <c r="E70" s="64"/>
      <c r="F70" s="64"/>
      <c r="G70" s="64"/>
      <c r="H70" s="64"/>
      <c r="I70" s="64"/>
    </row>
    <row r="71" spans="4:9" ht="20.100000000000001" customHeight="1" x14ac:dyDescent="0.25">
      <c r="D71" s="64"/>
      <c r="E71" s="64"/>
      <c r="F71" s="64"/>
      <c r="G71" s="64"/>
      <c r="H71" s="64"/>
      <c r="I71" s="64"/>
    </row>
    <row r="72" spans="4:9" ht="20.100000000000001" customHeight="1" x14ac:dyDescent="0.25">
      <c r="D72" s="64"/>
      <c r="E72" s="64"/>
      <c r="F72" s="64"/>
      <c r="G72" s="64"/>
      <c r="H72" s="64"/>
      <c r="I72" s="64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1"/>
    </row>
    <row r="79" spans="4:9" ht="20.100000000000001" customHeight="1" x14ac:dyDescent="0.25">
      <c r="D79" s="91"/>
    </row>
    <row r="80" spans="4:9" ht="20.100000000000001" customHeight="1" x14ac:dyDescent="0.25">
      <c r="D80" s="91"/>
    </row>
    <row r="81" spans="4:4" ht="20.100000000000001" customHeight="1" x14ac:dyDescent="0.25">
      <c r="D81" s="91"/>
    </row>
    <row r="82" spans="4:4" ht="20.100000000000001" customHeight="1" x14ac:dyDescent="0.25">
      <c r="D82" s="91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topLeftCell="A34" workbookViewId="0">
      <selection activeCell="D63" sqref="D6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60" customWidth="1"/>
    <col min="12" max="17" width="30.7109375" style="60" customWidth="1"/>
    <col min="18" max="18" width="4.7109375" style="60" customWidth="1"/>
  </cols>
  <sheetData>
    <row r="1" spans="1:18" s="72" customFormat="1" ht="30" customHeight="1" x14ac:dyDescent="0.35">
      <c r="A1" s="72" t="e" vm="1">
        <v>#VALUE!</v>
      </c>
      <c r="C1" s="72" t="s">
        <v>113</v>
      </c>
      <c r="K1" s="60"/>
      <c r="L1" s="60"/>
      <c r="M1" s="60"/>
      <c r="N1" s="60"/>
      <c r="O1" s="60"/>
      <c r="P1" s="60"/>
      <c r="Q1" s="60"/>
      <c r="R1" s="60"/>
    </row>
    <row r="2" spans="1:18" s="9" customFormat="1" ht="20.100000000000001" customHeight="1" x14ac:dyDescent="0.25">
      <c r="K2" s="60"/>
      <c r="L2" s="60"/>
      <c r="M2" s="60"/>
      <c r="N2" s="60"/>
      <c r="O2" s="60"/>
      <c r="P2" s="60"/>
      <c r="Q2" s="60"/>
      <c r="R2" s="60"/>
    </row>
    <row r="3" spans="1:18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</row>
    <row r="4" spans="1:18" ht="20.100000000000001" customHeight="1" x14ac:dyDescent="0.25">
      <c r="A4" s="17" t="str">
        <f>HYPERLINK("#'Results'!A1", "Results")</f>
        <v>Results</v>
      </c>
    </row>
    <row r="5" spans="1:18" ht="20.100000000000001" customHeight="1" x14ac:dyDescent="0.25">
      <c r="A5" s="16"/>
      <c r="D5" s="6" t="s">
        <v>128</v>
      </c>
    </row>
    <row r="6" spans="1:18" ht="20.100000000000001" customHeight="1" x14ac:dyDescent="0.25">
      <c r="A6" s="20" t="s">
        <v>3</v>
      </c>
    </row>
    <row r="7" spans="1:18" ht="20.100000000000001" customHeight="1" x14ac:dyDescent="0.25">
      <c r="A7" s="17" t="str">
        <f>HYPERLINK("#'Input - Site'!A1", "Site")</f>
        <v>Site</v>
      </c>
      <c r="D7" s="67"/>
      <c r="E7" s="42" t="s">
        <v>152</v>
      </c>
      <c r="F7" s="42" t="s">
        <v>153</v>
      </c>
      <c r="G7" s="42" t="s">
        <v>154</v>
      </c>
    </row>
    <row r="8" spans="1:18" ht="20.100000000000001" customHeight="1" x14ac:dyDescent="0.25">
      <c r="A8" s="21" t="str">
        <f>HYPERLINK("#'Input - MMS - Feedlot'!A1", "MMS - Feedlot")</f>
        <v>MMS - 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10">
        <v>4300</v>
      </c>
      <c r="F8" s="110">
        <v>100</v>
      </c>
      <c r="G8" s="110">
        <v>100</v>
      </c>
      <c r="H8" s="2" t="s">
        <v>130</v>
      </c>
    </row>
    <row r="9" spans="1:18" ht="20.100000000000001" customHeight="1" x14ac:dyDescent="0.25">
      <c r="A9" s="17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10">
        <v>90</v>
      </c>
      <c r="F9" s="110">
        <v>140</v>
      </c>
      <c r="G9" s="110">
        <v>250</v>
      </c>
      <c r="H9" s="2" t="s">
        <v>57</v>
      </c>
    </row>
    <row r="10" spans="1:18" ht="20.100000000000001" customHeight="1" x14ac:dyDescent="0.25">
      <c r="A10" s="19" t="s">
        <v>79</v>
      </c>
    </row>
    <row r="11" spans="1:18" ht="20.100000000000001" customHeight="1" x14ac:dyDescent="0.25">
      <c r="A11" s="17" t="str">
        <f>HYPERLINK("#'Calcs - CH4 MMS Feedlot'!A1", "MMS Methane")</f>
        <v>MMS Methane</v>
      </c>
      <c r="D11" s="6" t="s">
        <v>108</v>
      </c>
    </row>
    <row r="12" spans="1:18" ht="20.100000000000001" customHeight="1" x14ac:dyDescent="0.25">
      <c r="A12" s="17"/>
    </row>
    <row r="13" spans="1:18" ht="20.100000000000001" customHeight="1" x14ac:dyDescent="0.25">
      <c r="A13" s="18" t="s">
        <v>4</v>
      </c>
      <c r="D13" s="67" t="s">
        <v>156</v>
      </c>
      <c r="E13" s="42" t="s">
        <v>152</v>
      </c>
      <c r="F13" s="42" t="s">
        <v>153</v>
      </c>
      <c r="G13" s="42" t="s">
        <v>154</v>
      </c>
    </row>
    <row r="14" spans="1:18" ht="20.100000000000001" customHeight="1" x14ac:dyDescent="0.25">
      <c r="A14" s="17" t="str">
        <f>HYPERLINK("#'Constants - Common'!A1", "Constants - Common")</f>
        <v>Constants - Common</v>
      </c>
      <c r="D14" s="1" t="s">
        <v>160</v>
      </c>
      <c r="E14" s="56" cm="1">
        <f t="array" ref="E14">_xlfn.XLOOKUP(1, (Table_SourceData_Feedlot_AnimalCharacteristics[Feedlot type] = E$13) * (Table_SourceData_Feedlot_AnimalCharacteristics[Characteristic] = $D$14), Table_SourceData_Feedlot_AnimalCharacteristics[2020-2023], "Not Found")</f>
        <v>10.4</v>
      </c>
      <c r="F14" s="56" cm="1">
        <f t="array" ref="F14">_xlfn.XLOOKUP(1, (Table_SourceData_Feedlot_AnimalCharacteristics[Feedlot type] = F$13) * (Table_SourceData_Feedlot_AnimalCharacteristics[Characteristic] = $D$14), Table_SourceData_Feedlot_AnimalCharacteristics[2020-2023], "Not Found")</f>
        <v>10.8</v>
      </c>
      <c r="G14" s="56" cm="1">
        <f t="array" ref="G14">_xlfn.XLOOKUP(1, (Table_SourceData_Feedlot_AnimalCharacteristics[Feedlot type] = G$13) * (Table_SourceData_Feedlot_AnimalCharacteristics[Characteristic] = $D$14), Table_SourceData_Feedlot_AnimalCharacteristics[2020-2023], "Not Found")</f>
        <v>8.1999999999999993</v>
      </c>
      <c r="H14" s="2" t="s">
        <v>114</v>
      </c>
    </row>
    <row r="15" spans="1:18" ht="20.100000000000001" customHeight="1" x14ac:dyDescent="0.25">
      <c r="A15" s="17" t="str">
        <f>HYPERLINK("#'Constants - Livestock'!A1", "Constants - Livestock")</f>
        <v>Constants - Livestock</v>
      </c>
      <c r="D15" s="1" t="s">
        <v>20</v>
      </c>
      <c r="E15" s="56" cm="1">
        <f t="array" ref="E15">_xlfn.XLOOKUP(1, (Table_SourceData_Feedlot_DietProperties[Feedlot type] = E$13) * (Table_SourceData_Feedlot_DietProperties[Nutrient analysis] = $D$15), Table_SourceData_Feedlot_DietProperties[2020-2023 Converted to fraction], "Not Found")</f>
        <v>0.81</v>
      </c>
      <c r="F15" s="56" cm="1">
        <f t="array" ref="F15">_xlfn.XLOOKUP(1, (Table_SourceData_Feedlot_DietProperties[Feedlot type] = F$13) * (Table_SourceData_Feedlot_DietProperties[Nutrient analysis] = $D$15), Table_SourceData_Feedlot_DietProperties[2020-2023 Converted to fraction], "Not Found")</f>
        <v>0.81</v>
      </c>
      <c r="G15" s="56" cm="1">
        <f t="array" ref="G15">_xlfn.XLOOKUP(1, (Table_SourceData_Feedlot_DietProperties[Feedlot type] = G$13) * (Table_SourceData_Feedlot_DietProperties[Nutrient analysis] = $D$15), Table_SourceData_Feedlot_DietProperties[2020-2023 Converted to fraction], "Not Found")</f>
        <v>0.81</v>
      </c>
      <c r="H15" s="2" t="s">
        <v>103</v>
      </c>
    </row>
    <row r="16" spans="1:18" ht="20.100000000000001" customHeight="1" x14ac:dyDescent="0.25">
      <c r="A16" s="17" t="str">
        <f>HYPERLINK("#'Acknowledgements'!A1", "Acknowledgements")</f>
        <v>Acknowledgements</v>
      </c>
      <c r="D16" s="1" t="s">
        <v>145</v>
      </c>
      <c r="E16" s="56" cm="1">
        <f t="array" ref="E16">_xlfn.XLOOKUP(1, (Table_SourceData_Feedlot_DietProperties[Feedlot type] = E$13) * (Table_SourceData_Feedlot_DietProperties[Nutrient analysis] = $D$16), Table_SourceData_Feedlot_DietProperties[2020-2023 Converted to fraction], "Not Found")</f>
        <v>0.14000000000000001</v>
      </c>
      <c r="F16" s="56" cm="1">
        <f t="array" ref="F16">_xlfn.XLOOKUP(1, (Table_SourceData_Feedlot_DietProperties[Feedlot type] = F$13) * (Table_SourceData_Feedlot_DietProperties[Nutrient analysis] = $D$16), Table_SourceData_Feedlot_DietProperties[2020-2023 Converted to fraction], "Not Found")</f>
        <v>0.12</v>
      </c>
      <c r="G16" s="56" cm="1">
        <f t="array" ref="G16">_xlfn.XLOOKUP(1, (Table_SourceData_Feedlot_DietProperties[Feedlot type] = G$13) * (Table_SourceData_Feedlot_DietProperties[Nutrient analysis] = $D$16), Table_SourceData_Feedlot_DietProperties[2020-2023 Converted to fraction], "Not Found")</f>
        <v>0.12</v>
      </c>
      <c r="H16" s="2" t="s">
        <v>103</v>
      </c>
    </row>
    <row r="17" spans="1:8" ht="20.100000000000001" customHeight="1" x14ac:dyDescent="0.25">
      <c r="A17" s="71"/>
      <c r="D17" s="1" t="s">
        <v>164</v>
      </c>
      <c r="E17" s="56" cm="1">
        <f t="array" ref="E17">_xlfn.XLOOKUP(1, (Table_SourceData_Feedlot_AnimalCharacteristics[Feedlot type] = E$13) * (Table_SourceData_Feedlot_AnimalCharacteristics[Characteristic] = $D$17), Table_SourceData_Feedlot_AnimalCharacteristics[2020-2023], "Not Found")</f>
        <v>20.399999999999999</v>
      </c>
      <c r="F17" s="56" cm="1">
        <f t="array" ref="F17">_xlfn.XLOOKUP(1, (Table_SourceData_Feedlot_AnimalCharacteristics[Feedlot type] = F$13) * (Table_SourceData_Feedlot_AnimalCharacteristics[Characteristic] = $D$17), Table_SourceData_Feedlot_AnimalCharacteristics[2020-2023], "Not Found")</f>
        <v>12.7</v>
      </c>
      <c r="G17" s="56" cm="1">
        <f t="array" ref="G17">_xlfn.XLOOKUP(1, (Table_SourceData_Feedlot_AnimalCharacteristics[Feedlot type] = G$13) * (Table_SourceData_Feedlot_AnimalCharacteristics[Characteristic] = $D$17), Table_SourceData_Feedlot_AnimalCharacteristics[2020-2023], "Not Found")</f>
        <v>7</v>
      </c>
      <c r="H17" s="2" t="s">
        <v>165</v>
      </c>
    </row>
    <row r="18" spans="1:8" ht="20.100000000000001" customHeight="1" x14ac:dyDescent="0.25">
      <c r="A18" s="17"/>
    </row>
    <row r="19" spans="1:8" ht="20.100000000000001" customHeight="1" x14ac:dyDescent="0.25">
      <c r="A19" s="17"/>
      <c r="D19" s="67" t="s">
        <v>157</v>
      </c>
      <c r="E19" s="42" t="s">
        <v>152</v>
      </c>
      <c r="F19" s="42" t="s">
        <v>153</v>
      </c>
      <c r="G19" s="42" t="s">
        <v>154</v>
      </c>
    </row>
    <row r="20" spans="1:8" ht="20.100000000000001" customHeight="1" x14ac:dyDescent="0.25">
      <c r="D20" s="1" t="s">
        <v>160</v>
      </c>
      <c r="E20" s="70" cm="1">
        <f t="array" ref="E20">_xlfn.XLOOKUP(1, (Table_SourceData_Feedlot_AnimalCharacteristics[Feedlot type] = E$19) * (Table_SourceData_Feedlot_AnimalCharacteristics[Characteristic] = $D$20), Table_SourceData_Feedlot_AnimalCharacteristics[2020-2023], "Not Found")</f>
        <v>10.4</v>
      </c>
      <c r="F20" s="70" cm="1">
        <f t="array" ref="F20">_xlfn.XLOOKUP(1, (Table_SourceData_Feedlot_AnimalCharacteristics[Feedlot type] = F$19) * (Table_SourceData_Feedlot_AnimalCharacteristics[Characteristic] = $D$20), Table_SourceData_Feedlot_AnimalCharacteristics[2020-2023], "Not Found")</f>
        <v>10.8</v>
      </c>
      <c r="G20" s="70" cm="1">
        <f t="array" ref="G20">_xlfn.XLOOKUP(1, (Table_SourceData_Feedlot_AnimalCharacteristics[Feedlot type] = G$19) * (Table_SourceData_Feedlot_AnimalCharacteristics[Characteristic] = $D$20), Table_SourceData_Feedlot_AnimalCharacteristics[2020-2023], "Not Found")</f>
        <v>8.1999999999999993</v>
      </c>
      <c r="H20" s="2" t="s">
        <v>114</v>
      </c>
    </row>
    <row r="21" spans="1:8" ht="20.100000000000001" customHeight="1" x14ac:dyDescent="0.25">
      <c r="D21" s="1" t="s">
        <v>20</v>
      </c>
      <c r="E21" s="70" cm="1">
        <f t="array" ref="E21">_xlfn.XLOOKUP(1, (Table_SourceData_Feedlot_DietProperties[Feedlot type] = E$19) * (Table_SourceData_Feedlot_DietProperties[Nutrient analysis] = $D$21), Table_SourceData_Feedlot_DietProperties[2020-2023 Converted to fraction], "Not Found")</f>
        <v>0.81</v>
      </c>
      <c r="F21" s="70" cm="1">
        <f t="array" ref="F21">_xlfn.XLOOKUP(1, (Table_SourceData_Feedlot_DietProperties[Feedlot type] = F$19) * (Table_SourceData_Feedlot_DietProperties[Nutrient analysis] = $D$21), Table_SourceData_Feedlot_DietProperties[2020-2023 Converted to fraction], "Not Found")</f>
        <v>0.81</v>
      </c>
      <c r="G21" s="70" cm="1">
        <f t="array" ref="G21">_xlfn.XLOOKUP(1, (Table_SourceData_Feedlot_DietProperties[Feedlot type] = G$19) * (Table_SourceData_Feedlot_DietProperties[Nutrient analysis] = $D$21), Table_SourceData_Feedlot_DietProperties[2020-2023 Converted to fraction], "Not Found")</f>
        <v>0.81</v>
      </c>
      <c r="H21" s="2" t="s">
        <v>103</v>
      </c>
    </row>
    <row r="22" spans="1:8" ht="20.100000000000001" customHeight="1" x14ac:dyDescent="0.25">
      <c r="D22" s="1" t="s">
        <v>145</v>
      </c>
      <c r="E22" s="70" cm="1">
        <f t="array" ref="E22">_xlfn.XLOOKUP(1, (Table_SourceData_Feedlot_DietProperties[Feedlot type] = E$19) * (Table_SourceData_Feedlot_DietProperties[Nutrient analysis] = $D$22), Table_SourceData_Feedlot_DietProperties[2020-2023 Converted to fraction], "Not Found")</f>
        <v>0.14000000000000001</v>
      </c>
      <c r="F22" s="70" cm="1">
        <f t="array" ref="F22">_xlfn.XLOOKUP(1, (Table_SourceData_Feedlot_DietProperties[Feedlot type] = F$19) * (Table_SourceData_Feedlot_DietProperties[Nutrient analysis] = $D$22), Table_SourceData_Feedlot_DietProperties[2020-2023 Converted to fraction], "Not Found")</f>
        <v>0.12</v>
      </c>
      <c r="G22" s="70" cm="1">
        <f t="array" ref="G22">_xlfn.XLOOKUP(1, (Table_SourceData_Feedlot_DietProperties[Feedlot type] = G$19) * (Table_SourceData_Feedlot_DietProperties[Nutrient analysis] = $D$22), Table_SourceData_Feedlot_DietProperties[2020-2023 Converted to fraction], "Not Found")</f>
        <v>0.12</v>
      </c>
      <c r="H22" s="2" t="s">
        <v>103</v>
      </c>
    </row>
    <row r="23" spans="1:8" ht="20.100000000000001" customHeight="1" x14ac:dyDescent="0.25">
      <c r="A23" s="71"/>
      <c r="D23" s="1" t="s">
        <v>164</v>
      </c>
      <c r="E23" s="70" cm="1">
        <f t="array" ref="E23">_xlfn.XLOOKUP(1, (Table_SourceData_Feedlot_AnimalCharacteristics[Feedlot type] = E$19) * (Table_SourceData_Feedlot_AnimalCharacteristics[Characteristic] = $D$23), Table_SourceData_Feedlot_AnimalCharacteristics[2020-2023], "Not Found")</f>
        <v>20.399999999999999</v>
      </c>
      <c r="F23" s="70" cm="1">
        <f t="array" ref="F23">_xlfn.XLOOKUP(1, (Table_SourceData_Feedlot_AnimalCharacteristics[Feedlot type] = F$19) * (Table_SourceData_Feedlot_AnimalCharacteristics[Characteristic] = $D$23), Table_SourceData_Feedlot_AnimalCharacteristics[2020-2023], "Not Found")</f>
        <v>12.7</v>
      </c>
      <c r="G23" s="70" cm="1">
        <f t="array" ref="G23">_xlfn.XLOOKUP(1, (Table_SourceData_Feedlot_AnimalCharacteristics[Feedlot type] = G$19) * (Table_SourceData_Feedlot_AnimalCharacteristics[Characteristic] = $D$23), Table_SourceData_Feedlot_AnimalCharacteristics[2020-2023], "Not Found")</f>
        <v>7</v>
      </c>
      <c r="H23" s="2" t="s">
        <v>165</v>
      </c>
    </row>
    <row r="24" spans="1:8" ht="20.100000000000001" customHeight="1" x14ac:dyDescent="0.25"/>
    <row r="25" spans="1:8" ht="20.100000000000001" customHeight="1" x14ac:dyDescent="0.25">
      <c r="A25" s="17"/>
      <c r="D25" s="6" t="s">
        <v>118</v>
      </c>
    </row>
    <row r="26" spans="1:8" ht="20.100000000000001" customHeight="1" x14ac:dyDescent="0.25">
      <c r="A26" s="17"/>
    </row>
    <row r="27" spans="1:8" ht="20.100000000000001" customHeight="1" x14ac:dyDescent="0.25">
      <c r="A27" s="17"/>
      <c r="D27" s="52" t="s">
        <v>131</v>
      </c>
    </row>
    <row r="28" spans="1:8" ht="20.100000000000001" customHeight="1" x14ac:dyDescent="0.25">
      <c r="A28" s="17"/>
      <c r="D28" s="67" t="s">
        <v>112</v>
      </c>
      <c r="E28" s="102" t="s">
        <v>152</v>
      </c>
      <c r="F28" s="102" t="s">
        <v>153</v>
      </c>
      <c r="G28" s="102" t="s">
        <v>154</v>
      </c>
    </row>
    <row r="29" spans="1:8" ht="20.100000000000001" customHeight="1" x14ac:dyDescent="0.25">
      <c r="A29" s="17"/>
      <c r="D29" s="1" t="s">
        <v>105</v>
      </c>
      <c r="E29" s="103">
        <v>1</v>
      </c>
      <c r="F29" s="103">
        <v>1</v>
      </c>
      <c r="G29" s="103">
        <v>1</v>
      </c>
      <c r="H29" s="2" t="s">
        <v>21</v>
      </c>
    </row>
    <row r="30" spans="1:8" ht="20.100000000000001" customHeight="1" x14ac:dyDescent="0.25">
      <c r="A30" s="17"/>
    </row>
    <row r="31" spans="1:8" ht="20.100000000000001" customHeight="1" x14ac:dyDescent="0.25">
      <c r="A31" s="71"/>
    </row>
    <row r="32" spans="1:8" ht="20.100000000000001" customHeight="1" x14ac:dyDescent="0.25">
      <c r="A32" s="71"/>
      <c r="D32" s="52" t="s">
        <v>132</v>
      </c>
    </row>
    <row r="33" spans="1:8" ht="20.100000000000001" customHeight="1" x14ac:dyDescent="0.25">
      <c r="A33" s="17"/>
      <c r="D33" s="102" t="s">
        <v>107</v>
      </c>
      <c r="E33" s="102" t="s">
        <v>152</v>
      </c>
      <c r="F33" s="102" t="s">
        <v>153</v>
      </c>
      <c r="G33" s="102" t="s">
        <v>154</v>
      </c>
    </row>
    <row r="34" spans="1:8" ht="20.100000000000001" customHeight="1" x14ac:dyDescent="0.25">
      <c r="D34" s="57" t="str">
        <f>"Sent from Stage 1: " &amp; $D$29 &amp; " to:"</f>
        <v>Sent from Stage 1: Drylot (feed pad) to:</v>
      </c>
      <c r="E34" s="59"/>
    </row>
    <row r="35" spans="1:8" ht="20.100000000000001" customHeight="1" x14ac:dyDescent="0.25">
      <c r="D35" s="1" t="str">
        <f>'Source Data - Feedlot'!D29</f>
        <v>Solid storage</v>
      </c>
      <c r="E35" s="50">
        <v>0.2</v>
      </c>
      <c r="F35" s="50">
        <v>0.2</v>
      </c>
      <c r="G35" s="50">
        <v>0.2</v>
      </c>
      <c r="H35" s="2" t="s">
        <v>21</v>
      </c>
    </row>
    <row r="36" spans="1:8" ht="20.100000000000001" customHeight="1" x14ac:dyDescent="0.25">
      <c r="D36" s="1" t="str">
        <f>'Source Data - Feedlot'!D30</f>
        <v>Composting (passive windrow)</v>
      </c>
      <c r="E36" s="103">
        <f>1-E35</f>
        <v>0.8</v>
      </c>
      <c r="F36" s="103">
        <f t="shared" ref="F36:G36" si="0">1-F35</f>
        <v>0.8</v>
      </c>
      <c r="G36" s="103">
        <f t="shared" si="0"/>
        <v>0.8</v>
      </c>
      <c r="H36" s="2" t="s">
        <v>21</v>
      </c>
    </row>
    <row r="37" spans="1:8" ht="20.100000000000001" customHeight="1" x14ac:dyDescent="0.25"/>
    <row r="38" spans="1:8" ht="20.100000000000001" customHeight="1" x14ac:dyDescent="0.25"/>
    <row r="39" spans="1:8" ht="20.100000000000001" customHeight="1" x14ac:dyDescent="0.25">
      <c r="A39" s="17"/>
      <c r="D39" s="52" t="s">
        <v>133</v>
      </c>
    </row>
    <row r="40" spans="1:8" ht="20.100000000000001" customHeight="1" x14ac:dyDescent="0.25">
      <c r="D40" s="67" t="s">
        <v>126</v>
      </c>
      <c r="E40" s="102" t="s">
        <v>152</v>
      </c>
      <c r="F40" s="102" t="s">
        <v>153</v>
      </c>
      <c r="G40" s="102" t="s">
        <v>154</v>
      </c>
    </row>
    <row r="41" spans="1:8" ht="20.100000000000001" customHeight="1" x14ac:dyDescent="0.25">
      <c r="A41" s="48"/>
      <c r="D41" s="1" t="str">
        <f>'Source Data - Feedlot'!$D$32</f>
        <v>Anaerobic lagoon</v>
      </c>
      <c r="E41" s="103">
        <f>'Source Data - Feedlot'!$E$12</f>
        <v>0.02</v>
      </c>
      <c r="F41" s="103">
        <f>'Source Data - Feedlot'!$E$12</f>
        <v>0.02</v>
      </c>
      <c r="G41" s="103">
        <f>'Source Data - Feedlot'!$E$12</f>
        <v>0.02</v>
      </c>
      <c r="H41" s="2" t="s">
        <v>21</v>
      </c>
    </row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>
      <c r="D44" s="52" t="s">
        <v>106</v>
      </c>
    </row>
    <row r="45" spans="1:8" ht="20.100000000000001" customHeight="1" x14ac:dyDescent="0.25">
      <c r="D45" s="67" t="s">
        <v>126</v>
      </c>
      <c r="E45" s="102" t="s">
        <v>152</v>
      </c>
      <c r="F45" s="102" t="s">
        <v>153</v>
      </c>
      <c r="G45" s="102" t="s">
        <v>154</v>
      </c>
    </row>
    <row r="46" spans="1:8" ht="20.100000000000001" customHeight="1" x14ac:dyDescent="0.25">
      <c r="D46" s="57" t="str">
        <f>"Sent from stage 2: " &amp; $D$35 &amp; " to:"</f>
        <v>Sent from stage 2: Solid storage to:</v>
      </c>
      <c r="E46" s="59"/>
    </row>
    <row r="47" spans="1:8" ht="20.100000000000001" customHeight="1" x14ac:dyDescent="0.25">
      <c r="D47" s="1" t="s">
        <v>143</v>
      </c>
      <c r="E47" s="50">
        <v>0.25</v>
      </c>
      <c r="F47" s="50">
        <v>0.25</v>
      </c>
      <c r="G47" s="50">
        <v>0.25</v>
      </c>
      <c r="H47" s="2" t="s">
        <v>21</v>
      </c>
    </row>
    <row r="48" spans="1:8" ht="20.100000000000001" customHeight="1" x14ac:dyDescent="0.25">
      <c r="D48" s="1" t="str">
        <f>"Applied to farm soils as fertiliser" &amp; IF(SUM($E$48:$G$48)&gt;0, "⚠️", "")</f>
        <v>Applied to farm soils as fertiliser⚠️</v>
      </c>
      <c r="E48" s="50">
        <v>0.25</v>
      </c>
      <c r="F48" s="50">
        <v>0.25</v>
      </c>
      <c r="G48" s="50">
        <v>0.25</v>
      </c>
      <c r="H48" s="2" t="s">
        <v>21</v>
      </c>
    </row>
    <row r="49" spans="4:8" ht="20.100000000000001" customHeight="1" x14ac:dyDescent="0.25">
      <c r="D49" s="1" t="s">
        <v>261</v>
      </c>
      <c r="E49" s="103">
        <f t="shared" ref="E49:G49" si="1">1-SUM(E47:E48)</f>
        <v>0.5</v>
      </c>
      <c r="F49" s="103">
        <f t="shared" si="1"/>
        <v>0.5</v>
      </c>
      <c r="G49" s="103">
        <f t="shared" si="1"/>
        <v>0.5</v>
      </c>
      <c r="H49" s="2" t="s">
        <v>21</v>
      </c>
    </row>
    <row r="50" spans="4:8" ht="20.100000000000001" customHeight="1" x14ac:dyDescent="0.25"/>
    <row r="51" spans="4:8" ht="20.100000000000001" customHeight="1" x14ac:dyDescent="0.25">
      <c r="D51" s="57" t="str">
        <f>"Sent from stage 2: " &amp; $D$36 &amp; " to:"</f>
        <v>Sent from stage 2: Composting (passive windrow) to:</v>
      </c>
    </row>
    <row r="52" spans="4:8" ht="20.100000000000001" customHeight="1" x14ac:dyDescent="0.25">
      <c r="D52" s="1" t="s">
        <v>143</v>
      </c>
      <c r="E52" s="50">
        <v>0.25</v>
      </c>
      <c r="F52" s="50">
        <v>0.25</v>
      </c>
      <c r="G52" s="50">
        <v>0.25</v>
      </c>
      <c r="H52" s="2" t="s">
        <v>21</v>
      </c>
    </row>
    <row r="53" spans="4:8" ht="20.100000000000001" customHeight="1" x14ac:dyDescent="0.25">
      <c r="D53" s="1" t="str">
        <f>"Applied to farm soils as fertiliser" &amp; IF(SUM($E$53:$G$53)&gt;0, "⚠️", "")</f>
        <v>Applied to farm soils as fertiliser⚠️</v>
      </c>
      <c r="E53" s="50">
        <v>0.25</v>
      </c>
      <c r="F53" s="50">
        <v>0.25</v>
      </c>
      <c r="G53" s="50">
        <v>0.25</v>
      </c>
      <c r="H53" s="2" t="s">
        <v>21</v>
      </c>
    </row>
    <row r="54" spans="4:8" ht="20.100000000000001" customHeight="1" x14ac:dyDescent="0.25">
      <c r="D54" s="1" t="s">
        <v>261</v>
      </c>
      <c r="E54" s="103">
        <f>1-SUM(E52:E53)</f>
        <v>0.5</v>
      </c>
      <c r="F54" s="103">
        <f t="shared" ref="F54:G54" si="2">1-SUM(F52:F53)</f>
        <v>0.5</v>
      </c>
      <c r="G54" s="103">
        <f t="shared" si="2"/>
        <v>0.5</v>
      </c>
      <c r="H54" s="2" t="s">
        <v>21</v>
      </c>
    </row>
    <row r="55" spans="4:8" ht="20.100000000000001" customHeight="1" x14ac:dyDescent="0.25"/>
    <row r="56" spans="4:8" ht="20.100000000000001" customHeight="1" x14ac:dyDescent="0.25">
      <c r="D56" s="57" t="str">
        <f>"Sent from stage 3: " &amp; $D$41 &amp; " to:"</f>
        <v>Sent from stage 3: Anaerobic lagoon to:</v>
      </c>
    </row>
    <row r="57" spans="4:8" ht="20.100000000000001" customHeight="1" x14ac:dyDescent="0.25">
      <c r="D57" s="1" t="s">
        <v>143</v>
      </c>
      <c r="E57" s="50">
        <v>0.25</v>
      </c>
      <c r="F57" s="50">
        <v>0.25</v>
      </c>
      <c r="G57" s="50">
        <v>0.25</v>
      </c>
      <c r="H57" s="2" t="s">
        <v>21</v>
      </c>
    </row>
    <row r="58" spans="4:8" ht="20.100000000000001" customHeight="1" x14ac:dyDescent="0.25">
      <c r="D58" s="1" t="str">
        <f>"Applied to farm soils as fertiliser" &amp; IF(SUM($E$53:$G$53)&gt;0, "⚠️", "")</f>
        <v>Applied to farm soils as fertiliser⚠️</v>
      </c>
      <c r="E58" s="50">
        <v>0.25</v>
      </c>
      <c r="F58" s="50">
        <v>0.25</v>
      </c>
      <c r="G58" s="50">
        <v>0.25</v>
      </c>
      <c r="H58" s="2" t="s">
        <v>21</v>
      </c>
    </row>
    <row r="59" spans="4:8" ht="20.100000000000001" customHeight="1" x14ac:dyDescent="0.25">
      <c r="D59" s="1" t="s">
        <v>261</v>
      </c>
      <c r="E59" s="103">
        <f>1-SUM(E57:E58)</f>
        <v>0.5</v>
      </c>
      <c r="F59" s="103">
        <f t="shared" ref="F59:G59" si="3">1-SUM(F57:F58)</f>
        <v>0.5</v>
      </c>
      <c r="G59" s="103">
        <f t="shared" si="3"/>
        <v>0.5</v>
      </c>
      <c r="H59" s="2" t="s">
        <v>21</v>
      </c>
    </row>
    <row r="60" spans="4:8" ht="20.100000000000001" customHeight="1" x14ac:dyDescent="0.25">
      <c r="D60" s="117" t="str">
        <f>IF((SUM(E48:G48)+SUM($E$53:$G$53)+SUM($E$58:$G$58))&gt;0,"⚠️ Alert: manure applied to farm soils as fertiliser needs to be accounted for against the relevant crop or herd","")</f>
        <v>⚠️ Alert: manure applied to farm soils as fertiliser needs to be accounted for against the relevant crop or herd</v>
      </c>
    </row>
    <row r="61" spans="4:8" ht="20.100000000000001" customHeight="1" x14ac:dyDescent="0.25"/>
    <row r="62" spans="4:8" ht="20.100000000000001" customHeight="1" x14ac:dyDescent="0.25"/>
    <row r="63" spans="4:8" ht="20.100000000000001" customHeight="1" x14ac:dyDescent="0.25">
      <c r="D63" s="1" t="s">
        <v>308</v>
      </c>
    </row>
    <row r="64" spans="4:8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disablePrompts="1" count="3">
    <dataValidation type="list" allowBlank="1" showInputMessage="1" showErrorMessage="1" sqref="D30" xr:uid="{4E913AB3-F90B-4C35-BCE1-5DBB8FC05107}">
      <formula1>INDIRECT("Table_SourceData_PoultryMMSStage1[MMS]")</formula1>
    </dataValidation>
    <dataValidation type="whole" operator="equal" allowBlank="1" showInputMessage="1" showErrorMessage="1" sqref="E29:G29" xr:uid="{AD2F5710-950E-4169-B1DB-B494F727C0BB}">
      <formula1>1</formula1>
    </dataValidation>
    <dataValidation operator="equal" allowBlank="1" showInputMessage="1" showErrorMessage="1" sqref="E41:G41" xr:uid="{C4745536-8208-45E9-8F7A-99B1E2C943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D29</xm:sqref>
        </x14:dataValidation>
        <x14:dataValidation type="list" allowBlank="1" showInputMessage="1" showErrorMessage="1" xr:uid="{E07FB3AA-F53C-4B65-95CE-912A14C9716E}">
          <x14:formula1>
            <xm:f>'Source Data - Feedlot'!$D$32</xm:f>
          </x14:formula1>
          <xm:sqref>D41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69"/>
  <sheetViews>
    <sheetView showGridLines="0" topLeftCell="A34" workbookViewId="0">
      <selection activeCell="G45" sqref="G4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72" t="e" vm="1">
        <v>#VALUE!</v>
      </c>
      <c r="C1" s="8" t="s">
        <v>299</v>
      </c>
    </row>
    <row r="2" spans="1:24" s="9" customFormat="1" ht="20.100000000000001" customHeight="1" x14ac:dyDescent="0.25"/>
    <row r="3" spans="1:24" ht="20.100000000000001" customHeight="1" x14ac:dyDescent="0.25">
      <c r="A3" s="17" t="str">
        <f>HYPERLINK("#'Home'!A1", "Home")</f>
        <v>Home</v>
      </c>
      <c r="C3" s="4"/>
      <c r="D3" s="4" t="s">
        <v>176</v>
      </c>
      <c r="E3" s="4"/>
      <c r="F3" s="4"/>
      <c r="G3" s="4"/>
      <c r="H3" s="4"/>
      <c r="I3" s="4"/>
      <c r="J3" s="4"/>
      <c r="L3" s="4"/>
      <c r="M3" s="4" t="s">
        <v>177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7" t="str">
        <f>HYPERLINK("#'Results'!A1", "Results")</f>
        <v>Results</v>
      </c>
    </row>
    <row r="5" spans="1:24" ht="20.100000000000001" customHeight="1" x14ac:dyDescent="0.25">
      <c r="A5" s="16"/>
      <c r="D5" s="6" t="str" cm="1">
        <f t="array" ref="D5">MMS_Feedlot_Methane_Equations.VEERG_4_1_1_1__5_VolatileSolidProduction_Title()</f>
        <v>Volatile solid production</v>
      </c>
    </row>
    <row r="6" spans="1:24" ht="20.100000000000001" customHeight="1" x14ac:dyDescent="0.25">
      <c r="A6" s="20" t="s">
        <v>3</v>
      </c>
      <c r="D6" s="5" t="str" cm="1">
        <f t="array" ref="D6">MMS_Feedlot_Methane_Equations.VEERG_4_1_1_1__5_VolatileSolidProduction_Source()</f>
        <v>VEERG 2026: 4.1.1.1, Equation (5)</v>
      </c>
    </row>
    <row r="7" spans="1:24" ht="20.100000000000001" customHeight="1" x14ac:dyDescent="0.25">
      <c r="A7" s="17" t="str">
        <f>HYPERLINK("#'Input - Site'!A1", "Site")</f>
        <v>Site</v>
      </c>
      <c r="D7" s="13" t="s">
        <v>29</v>
      </c>
      <c r="E7" s="13" t="str" cm="1">
        <f t="array" aca="1" ref="E7" ca="1">Common_InputFunctions.Utility_DisplayFunctionName(D30)</f>
        <v>=MMS_Feedlot_Methane_Equations.VEERG_4_1_1_1__5_VolatileSolidProduction</v>
      </c>
    </row>
    <row r="8" spans="1:24" ht="20.100000000000001" customHeight="1" x14ac:dyDescent="0.25">
      <c r="A8" s="17" t="str">
        <f>HYPERLINK("#'Input - MMS - Feedlot'!A1", "MMS - Feedlot")</f>
        <v>MMS - Feedlot</v>
      </c>
    </row>
    <row r="9" spans="1:24" ht="20.100000000000001" customHeight="1" x14ac:dyDescent="0.25">
      <c r="A9" s="17"/>
    </row>
    <row r="10" spans="1:24" ht="20.100000000000001" customHeight="1" x14ac:dyDescent="0.25">
      <c r="A10" s="19" t="s">
        <v>79</v>
      </c>
      <c r="D10" s="57" t="s">
        <v>32</v>
      </c>
      <c r="E10" s="1" t="str" cm="1">
        <f t="array" ref="E10">MMS_Feedlot_Methane_Equations.VEERG_4_1_1_1__5_VolatileSolidProduction_Variable()</f>
        <v>VS_j</v>
      </c>
    </row>
    <row r="11" spans="1:24" ht="20.100000000000001" customHeight="1" x14ac:dyDescent="0.25">
      <c r="A11" s="22" t="str">
        <f>HYPERLINK("#'Calcs - CH4 MMS Feedlot'!A1", "MMS Methane")</f>
        <v>MMS Methane</v>
      </c>
      <c r="D11" s="57" t="s">
        <v>22</v>
      </c>
      <c r="E11" s="58" t="str" cm="1">
        <f t="array" ref="E11">MMS_Feedlot_Methane_Equations.VEERG_4_1_1_1__5_VolatileSolidProduction_Unit()</f>
        <v>kg/head/day</v>
      </c>
    </row>
    <row r="12" spans="1:24" ht="20.100000000000001" customHeight="1" x14ac:dyDescent="0.25">
      <c r="A12" s="17" t="s">
        <v>123</v>
      </c>
    </row>
    <row r="13" spans="1:24" ht="20.100000000000001" customHeight="1" x14ac:dyDescent="0.25">
      <c r="D13" s="61" t="str" cm="1">
        <f t="array" ref="D13:E15">MMS_Feedlot_Methane_Equations.VEERG_4_1_1_1__5_VolatileSolidProduction_Arguments()</f>
        <v>I_j</v>
      </c>
      <c r="E13" s="62" t="str">
        <v>dry matter intake for each group j : kg DM/head/day</v>
      </c>
      <c r="F13" s="63"/>
      <c r="G13" s="61" t="str">
        <f>"See " &amp; D17</f>
        <v>See M1_Table_I_j</v>
      </c>
    </row>
    <row r="14" spans="1:24" ht="20.100000000000001" customHeight="1" x14ac:dyDescent="0.25">
      <c r="A14" s="18" t="s">
        <v>4</v>
      </c>
      <c r="D14" s="61" t="str">
        <v>DMD_j</v>
      </c>
      <c r="E14" s="62" t="str">
        <v>dry matter digestibility for each group j : fraction</v>
      </c>
      <c r="F14" s="63"/>
      <c r="G14" s="61" t="str">
        <f>"See " &amp; D22</f>
        <v>See M1_Table_DMD_j</v>
      </c>
    </row>
    <row r="15" spans="1:24" ht="20.100000000000001" customHeight="1" x14ac:dyDescent="0.25">
      <c r="A15" s="17" t="str">
        <f>HYPERLINK("#'Constants - Common'!A1", "Constants - Common")</f>
        <v>Constants - Common</v>
      </c>
      <c r="D15" s="61" t="str">
        <v>A</v>
      </c>
      <c r="E15" s="62" t="str">
        <v>ash content of manure : fraction</v>
      </c>
      <c r="F15" s="63"/>
      <c r="G15" s="56">
        <f>'Source Data - Feedlot'!$E$17</f>
        <v>0.16</v>
      </c>
    </row>
    <row r="16" spans="1:24" ht="20.100000000000001" customHeight="1" x14ac:dyDescent="0.25">
      <c r="A16" s="17" t="str">
        <f>HYPERLINK("#'Constants - Livestock'!A1", "Constants - Livestock")</f>
        <v>Constants - Livestock</v>
      </c>
    </row>
    <row r="17" spans="1:16" ht="20.100000000000001" customHeight="1" x14ac:dyDescent="0.25">
      <c r="A17" s="17" t="str">
        <f>HYPERLINK("#'Acknowledgements'!A1", "Acknowledgements")</f>
        <v>Acknowledgements</v>
      </c>
      <c r="D17" s="106" t="s">
        <v>166</v>
      </c>
      <c r="M17" s="106" t="s">
        <v>169</v>
      </c>
    </row>
    <row r="18" spans="1:16" ht="20.100000000000001" customHeight="1" x14ac:dyDescent="0.25">
      <c r="A18" s="71"/>
      <c r="D18" s="105" t="s">
        <v>214</v>
      </c>
      <c r="M18" s="105" t="s">
        <v>215</v>
      </c>
    </row>
    <row r="19" spans="1:16" ht="20.100000000000001" customHeight="1" x14ac:dyDescent="0.25">
      <c r="A19" s="17"/>
      <c r="D19" s="55" t="s">
        <v>152</v>
      </c>
      <c r="E19" s="55" t="s">
        <v>153</v>
      </c>
      <c r="F19" s="55" t="s">
        <v>154</v>
      </c>
      <c r="M19" s="55" t="s">
        <v>152</v>
      </c>
      <c r="N19" s="55" t="s">
        <v>153</v>
      </c>
      <c r="O19" s="55" t="s">
        <v>154</v>
      </c>
    </row>
    <row r="20" spans="1:16" ht="20.100000000000001" customHeight="1" x14ac:dyDescent="0.25">
      <c r="A20" s="17"/>
      <c r="D20" s="56">
        <f>'Input - MMS - Feedlot'!$E$14</f>
        <v>10.4</v>
      </c>
      <c r="E20" s="56">
        <f>'Input - MMS - Feedlot'!$F$14</f>
        <v>10.8</v>
      </c>
      <c r="F20" s="56">
        <f>'Input - MMS - Feedlot'!$G$14</f>
        <v>8.1999999999999993</v>
      </c>
      <c r="G20" s="2" t="s">
        <v>109</v>
      </c>
      <c r="M20" s="56">
        <f>'Input - MMS - Feedlot'!$E$20</f>
        <v>10.4</v>
      </c>
      <c r="N20" s="56">
        <f>'Input - MMS - Feedlot'!$F$20</f>
        <v>10.8</v>
      </c>
      <c r="O20" s="56">
        <f>'Input - MMS - Feedlot'!$G$20</f>
        <v>8.1999999999999993</v>
      </c>
      <c r="P20" s="2" t="s">
        <v>109</v>
      </c>
    </row>
    <row r="21" spans="1:16" ht="20.100000000000001" customHeight="1" x14ac:dyDescent="0.25">
      <c r="A21" t="s">
        <v>19</v>
      </c>
    </row>
    <row r="22" spans="1:16" ht="20.100000000000001" customHeight="1" x14ac:dyDescent="0.25">
      <c r="D22" s="106" t="s">
        <v>218</v>
      </c>
      <c r="M22" s="106" t="s">
        <v>222</v>
      </c>
    </row>
    <row r="23" spans="1:16" ht="20.100000000000001" customHeight="1" x14ac:dyDescent="0.25">
      <c r="D23" s="105" t="s">
        <v>221</v>
      </c>
      <c r="M23" s="105" t="s">
        <v>221</v>
      </c>
    </row>
    <row r="24" spans="1:16" ht="20.100000000000001" customHeight="1" x14ac:dyDescent="0.25">
      <c r="D24" s="55" t="s">
        <v>152</v>
      </c>
      <c r="E24" s="55" t="s">
        <v>153</v>
      </c>
      <c r="F24" s="55" t="s">
        <v>154</v>
      </c>
      <c r="M24" s="55" t="s">
        <v>152</v>
      </c>
      <c r="N24" s="55" t="s">
        <v>153</v>
      </c>
      <c r="O24" s="55" t="s">
        <v>154</v>
      </c>
    </row>
    <row r="25" spans="1:16" ht="20.100000000000001" customHeight="1" x14ac:dyDescent="0.25">
      <c r="D25" s="56">
        <f>'Input - MMS - Feedlot'!$E$15</f>
        <v>0.81</v>
      </c>
      <c r="E25" s="56">
        <f>'Input - MMS - Feedlot'!$F$15</f>
        <v>0.81</v>
      </c>
      <c r="F25" s="56">
        <f>'Input - MMS - Feedlot'!$G$15</f>
        <v>0.81</v>
      </c>
      <c r="G25" s="2" t="s">
        <v>103</v>
      </c>
      <c r="M25" s="56">
        <f>'Input - MMS - Feedlot'!$E$21</f>
        <v>0.81</v>
      </c>
      <c r="N25" s="56">
        <f>'Input - MMS - Feedlot'!$F$21</f>
        <v>0.81</v>
      </c>
      <c r="O25" s="56">
        <f>'Input - MMS - Feedlot'!$G$21</f>
        <v>0.81</v>
      </c>
      <c r="P25" s="2" t="s">
        <v>103</v>
      </c>
    </row>
    <row r="26" spans="1:16" ht="20.100000000000001" customHeight="1" x14ac:dyDescent="0.25"/>
    <row r="27" spans="1:16" ht="20.100000000000001" customHeight="1" x14ac:dyDescent="0.25">
      <c r="D27" s="106" t="s">
        <v>219</v>
      </c>
      <c r="M27" s="106" t="s">
        <v>223</v>
      </c>
    </row>
    <row r="28" spans="1:16" ht="20.100000000000001" customHeight="1" x14ac:dyDescent="0.25">
      <c r="D28" s="105" t="s">
        <v>220</v>
      </c>
      <c r="M28" s="105" t="s">
        <v>224</v>
      </c>
    </row>
    <row r="29" spans="1:16" ht="20.100000000000001" customHeight="1" x14ac:dyDescent="0.25">
      <c r="D29" s="55" t="s">
        <v>152</v>
      </c>
      <c r="E29" s="55" t="s">
        <v>153</v>
      </c>
      <c r="F29" s="55" t="s">
        <v>154</v>
      </c>
      <c r="M29" s="55" t="s">
        <v>152</v>
      </c>
      <c r="N29" s="55" t="s">
        <v>153</v>
      </c>
      <c r="O29" s="55" t="s">
        <v>154</v>
      </c>
    </row>
    <row r="30" spans="1:16" ht="20.100000000000001" customHeight="1" x14ac:dyDescent="0.25">
      <c r="D30" s="56" cm="1">
        <f t="array" ref="D30">MMS_Feedlot_Methane_Equations.VEERG_4_1_1_1__5_VolatileSolidProduction(D20,D25,$G$15)</f>
        <v>1.6598399999999995</v>
      </c>
      <c r="E30" s="56" cm="1">
        <f t="array" ref="E30">MMS_Feedlot_Methane_Equations.VEERG_4_1_1_1__5_VolatileSolidProduction(E20,E25,$G$15)</f>
        <v>1.7236799999999997</v>
      </c>
      <c r="F30" s="56" cm="1">
        <f t="array" ref="F30">MMS_Feedlot_Methane_Equations.VEERG_4_1_1_1__5_VolatileSolidProduction(F20,F25,$G$15)</f>
        <v>1.3087199999999994</v>
      </c>
      <c r="G30" s="2" t="str">
        <f>$E$11</f>
        <v>kg/head/day</v>
      </c>
      <c r="M30" s="56" cm="1">
        <f t="array" ref="M30">MMS_Feedlot_Methane_Equations.VEERG_4_1_1_1__5_VolatileSolidProduction(M20,M25,$G$15)</f>
        <v>1.6598399999999995</v>
      </c>
      <c r="N30" s="56" cm="1">
        <f t="array" ref="N30">MMS_Feedlot_Methane_Equations.VEERG_4_1_1_1__5_VolatileSolidProduction(N20,N25,$G$15)</f>
        <v>1.7236799999999997</v>
      </c>
      <c r="O30" s="56" cm="1">
        <f t="array" ref="O30">MMS_Feedlot_Methane_Equations.VEERG_4_1_1_1__5_VolatileSolidProduction(O20,O25,$G$15)</f>
        <v>1.3087199999999994</v>
      </c>
      <c r="P30" s="2" t="str">
        <f>$E$11</f>
        <v>kg/head/day</v>
      </c>
    </row>
    <row r="31" spans="1:16" ht="20.100000000000001" customHeight="1" x14ac:dyDescent="0.25"/>
    <row r="32" spans="1:16" ht="20.100000000000001" customHeight="1" x14ac:dyDescent="0.25"/>
    <row r="33" spans="3:19" ht="20.100000000000001" customHeight="1" x14ac:dyDescent="0.25">
      <c r="C33" s="49"/>
      <c r="D33" s="49"/>
      <c r="E33" s="49"/>
      <c r="F33" s="49"/>
      <c r="G33" s="49"/>
      <c r="H33" s="49"/>
      <c r="I33" s="49"/>
      <c r="J33" s="49"/>
      <c r="L33" s="49"/>
      <c r="M33" s="49"/>
      <c r="N33" s="49"/>
      <c r="O33" s="49"/>
      <c r="P33" s="49"/>
      <c r="Q33" s="49"/>
      <c r="R33" s="49"/>
      <c r="S33" s="49"/>
    </row>
    <row r="34" spans="3:19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</row>
    <row r="35" spans="3:19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</row>
    <row r="36" spans="3:19" ht="20.100000000000001" customHeight="1" x14ac:dyDescent="0.25">
      <c r="D36" s="13" t="s">
        <v>29</v>
      </c>
      <c r="E36" s="13" t="str" cm="1">
        <f t="array" aca="1" ref="E36" ca="1">Common_InputFunctions.Utility_DisplayFunctionName(E57)</f>
        <v>=MMS_Feedlot_Methane_Equations.VEERG_4_1_1_1__2_Stage1MethaneProductionDrylot</v>
      </c>
    </row>
    <row r="37" spans="3:19" ht="20.100000000000001" customHeight="1" x14ac:dyDescent="0.25"/>
    <row r="38" spans="3:19" ht="20.100000000000001" customHeight="1" x14ac:dyDescent="0.25"/>
    <row r="39" spans="3:19" ht="20.100000000000001" customHeight="1" x14ac:dyDescent="0.25">
      <c r="D39" s="57" t="s">
        <v>32</v>
      </c>
      <c r="E39" s="1" t="str" cm="1">
        <f t="array" ref="E39">MMS_Feedlot_Methane_Equations.VEERG_4_1_1_1__2_Stage1MethaneProductionDrylot_Variable()</f>
        <v>M_jm5T1</v>
      </c>
    </row>
    <row r="40" spans="3:19" ht="20.100000000000001" customHeight="1" x14ac:dyDescent="0.25">
      <c r="D40" s="57" t="s">
        <v>22</v>
      </c>
      <c r="E40" s="58" t="str" cm="1">
        <f t="array" ref="E40">MMS_Feedlot_Methane_Equations.VEERG_4_1_1_1__2_Stage1MethaneProductionDrylot_Unit()</f>
        <v>kg CH4/head/day</v>
      </c>
    </row>
    <row r="41" spans="3:19" ht="20.100000000000001" customHeight="1" x14ac:dyDescent="0.25"/>
    <row r="42" spans="3:19" ht="20.100000000000001" customHeight="1" x14ac:dyDescent="0.25">
      <c r="D42" s="61" t="str" cm="1">
        <f t="array" ref="D42:E47">MMS_Feedlot_Methane_Equations.VEERG_4_1_1_1__2_Stage1MethaneProductionDrylot_Arguments()</f>
        <v>VS_j</v>
      </c>
      <c r="E42" s="62" t="str">
        <v>volatile solid production from feedlot cattle in each group : kg/head/day</v>
      </c>
      <c r="F42" s="63"/>
      <c r="G42" s="61" t="str">
        <f>"See " &amp; $D$27</f>
        <v>See M1_Table_VS_j</v>
      </c>
    </row>
    <row r="43" spans="3:19" ht="20.100000000000001" customHeight="1" x14ac:dyDescent="0.25">
      <c r="D43" s="61" t="str">
        <v>BO</v>
      </c>
      <c r="E43" s="62" t="str">
        <v>emissions potential : m3 CH4/kg VS</v>
      </c>
      <c r="F43" s="63"/>
      <c r="G43" s="61">
        <f>'Source Data - Feedlot'!$E$22</f>
        <v>0.19</v>
      </c>
    </row>
    <row r="44" spans="3:19" ht="20.100000000000001" customHeight="1" x14ac:dyDescent="0.25">
      <c r="D44" s="61" t="str">
        <v>MMS_m5T1</v>
      </c>
      <c r="E44" s="62" t="str">
        <v>fraction of manure in primary system drylot MMS : fraction</v>
      </c>
      <c r="F44" s="63"/>
      <c r="G44" s="61" t="str">
        <f>"See" &amp; D49</f>
        <v>SeeTable_MMS_m-5_T-1</v>
      </c>
    </row>
    <row r="45" spans="3:19" ht="20.100000000000001" customHeight="1" x14ac:dyDescent="0.25">
      <c r="D45" s="61" t="str">
        <v>MCF_im5</v>
      </c>
      <c r="E45" s="62" t="str">
        <v>methane conversion factor for temperature zone and drylot system : fraction</v>
      </c>
      <c r="F45" s="63"/>
      <c r="G45" s="61" t="e">
        <f>HLOOKUP(G47, Table_SourceData_Feedlot_MCF[#All], 2, FALSE)</f>
        <v>#REF!</v>
      </c>
    </row>
    <row r="46" spans="3:19" ht="20.100000000000001" customHeight="1" x14ac:dyDescent="0.25">
      <c r="D46" s="61" t="str">
        <v>rho</v>
      </c>
      <c r="E46" s="62" t="str">
        <v>density of methane : kg/m3</v>
      </c>
      <c r="F46" s="63"/>
      <c r="G46" s="61" t="e">
        <f>#REF!</f>
        <v>#REF!</v>
      </c>
    </row>
    <row r="47" spans="3:19" ht="20.100000000000001" customHeight="1" x14ac:dyDescent="0.25">
      <c r="D47" s="61" t="str">
        <v>i</v>
      </c>
      <c r="E47" s="62" t="str">
        <v>state</v>
      </c>
      <c r="F47" s="63"/>
      <c r="G47" s="61" t="e" cm="1">
        <f t="array" ref="G47">Common_InputFunctions.Utility_LookupValueInTable('Input - Site'!$E$21,#REF!,#REF!)</f>
        <v>#REF!</v>
      </c>
    </row>
    <row r="48" spans="3:19" ht="20.100000000000001" customHeight="1" x14ac:dyDescent="0.25"/>
    <row r="49" spans="3:20" ht="20.100000000000001" customHeight="1" x14ac:dyDescent="0.25">
      <c r="D49" s="106" t="s">
        <v>117</v>
      </c>
    </row>
    <row r="50" spans="3:20" ht="20.100000000000001" customHeight="1" x14ac:dyDescent="0.25">
      <c r="D50" s="105" t="s">
        <v>115</v>
      </c>
    </row>
    <row r="51" spans="3:20" ht="20.100000000000001" customHeight="1" x14ac:dyDescent="0.25">
      <c r="D51" s="55" t="s">
        <v>112</v>
      </c>
      <c r="E51" s="55" t="s">
        <v>152</v>
      </c>
      <c r="F51" s="55" t="s">
        <v>153</v>
      </c>
      <c r="G51" s="55" t="s">
        <v>154</v>
      </c>
    </row>
    <row r="52" spans="3:20" ht="20.100000000000001" customHeight="1" x14ac:dyDescent="0.25">
      <c r="D52" s="56" t="str">
        <f>'Input - MMS - Feedlot'!$D$29</f>
        <v>Drylot (feed pad)</v>
      </c>
      <c r="E52" s="56">
        <f>'Input - MMS - Feedlot'!$E$29</f>
        <v>1</v>
      </c>
      <c r="F52" s="56">
        <f>'Input - MMS - Feedlot'!$F$29</f>
        <v>1</v>
      </c>
      <c r="G52" s="56">
        <f>'Input - MMS - Feedlot'!$G$29</f>
        <v>1</v>
      </c>
      <c r="H52" s="2" t="s">
        <v>103</v>
      </c>
    </row>
    <row r="53" spans="3:20" ht="20.100000000000001" customHeight="1" x14ac:dyDescent="0.25"/>
    <row r="54" spans="3:20" ht="20.100000000000001" customHeight="1" x14ac:dyDescent="0.25">
      <c r="D54" s="106" t="s">
        <v>225</v>
      </c>
      <c r="M54" s="106" t="s">
        <v>227</v>
      </c>
    </row>
    <row r="55" spans="3:20" ht="20.100000000000001" customHeight="1" x14ac:dyDescent="0.25">
      <c r="D55" s="105" t="s">
        <v>226</v>
      </c>
      <c r="M55" s="105" t="s">
        <v>228</v>
      </c>
    </row>
    <row r="56" spans="3:20" ht="20.100000000000001" customHeight="1" x14ac:dyDescent="0.25">
      <c r="D56" s="55" t="s">
        <v>112</v>
      </c>
      <c r="E56" s="55" t="s">
        <v>152</v>
      </c>
      <c r="F56" s="55" t="s">
        <v>153</v>
      </c>
      <c r="G56" s="55" t="s">
        <v>154</v>
      </c>
      <c r="M56" s="55" t="s">
        <v>112</v>
      </c>
      <c r="N56" s="55" t="s">
        <v>152</v>
      </c>
      <c r="O56" s="55" t="s">
        <v>153</v>
      </c>
      <c r="P56" s="55" t="s">
        <v>154</v>
      </c>
    </row>
    <row r="57" spans="3:20" ht="20.100000000000001" customHeight="1" x14ac:dyDescent="0.25">
      <c r="D57" s="56" t="str">
        <f>'Input - MMS - Feedlot'!$D$29</f>
        <v>Drylot (feed pad)</v>
      </c>
      <c r="E57" s="56" t="e" cm="1">
        <f t="array" ref="E57">MMS_Feedlot_Methane_Equations.VEERG_4_1_1_1__2_Stage1MethaneProductionDrylot(D30,$G$43,E52,$G$45,$G$46)</f>
        <v>#REF!</v>
      </c>
      <c r="F57" s="56" t="e" cm="1">
        <f t="array" ref="F57">MMS_Feedlot_Methane_Equations.VEERG_4_1_1_1__2_Stage1MethaneProductionDrylot(E30,$G$43,F52,$G$45,$G$46)</f>
        <v>#REF!</v>
      </c>
      <c r="G57" s="56" t="e" cm="1">
        <f t="array" ref="G57">MMS_Feedlot_Methane_Equations.VEERG_4_1_1_1__2_Stage1MethaneProductionDrylot(F30,$G$43,G52,$G$45,$G$46)</f>
        <v>#REF!</v>
      </c>
      <c r="H57" s="2" t="str">
        <f>$E$40</f>
        <v>kg CH4/head/day</v>
      </c>
      <c r="M57" s="56" t="str">
        <f>'Input - MMS - Feedlot'!$D$29</f>
        <v>Drylot (feed pad)</v>
      </c>
      <c r="N57" s="56" t="e" cm="1">
        <f t="array" ref="N57">MMS_Feedlot_Methane_Equations.VEERG_4_1_1_1__2_Stage1MethaneProductionDrylot(M30,$G$43,E52,$G$45,$G$46)</f>
        <v>#REF!</v>
      </c>
      <c r="O57" s="56" t="e" cm="1">
        <f t="array" ref="O57">MMS_Feedlot_Methane_Equations.VEERG_4_1_1_1__2_Stage1MethaneProductionDrylot(N30,$G$43,F52,$G$45,$G$46)</f>
        <v>#REF!</v>
      </c>
      <c r="P57" s="56" t="e" cm="1">
        <f t="array" ref="P57">MMS_Feedlot_Methane_Equations.VEERG_4_1_1_1__2_Stage1MethaneProductionDrylot(O30,$G$43,G52,$G$45,$G$46)</f>
        <v>#REF!</v>
      </c>
      <c r="Q57" s="2" t="str">
        <f>$E$40</f>
        <v>kg CH4/head/day</v>
      </c>
    </row>
    <row r="58" spans="3:20" ht="20.100000000000001" customHeight="1" x14ac:dyDescent="0.25">
      <c r="D58" s="107" t="str">
        <f>IF(ISNUMBER($G$45),"", "⚠️ ALERT: No MCFim5 data provided. Zero is used instead.")</f>
        <v>⚠️ ALERT: No MCFim5 data provided. Zero is used instead.</v>
      </c>
    </row>
    <row r="59" spans="3:20" ht="20.100000000000001" customHeight="1" x14ac:dyDescent="0.25"/>
    <row r="60" spans="3:20" ht="20.100000000000001" customHeight="1" x14ac:dyDescent="0.25">
      <c r="C60" s="49"/>
      <c r="D60" s="49"/>
      <c r="E60" s="49"/>
      <c r="F60" s="49"/>
      <c r="G60" s="49"/>
      <c r="H60" s="49"/>
      <c r="I60" s="49"/>
      <c r="J60" s="49"/>
      <c r="L60" s="49"/>
      <c r="M60" s="49"/>
      <c r="N60" s="49"/>
      <c r="O60" s="49"/>
      <c r="P60" s="49"/>
      <c r="Q60" s="49"/>
      <c r="R60" s="49"/>
      <c r="S60" s="49"/>
      <c r="T60" s="49"/>
    </row>
    <row r="61" spans="3:20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20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20" ht="20.100000000000001" customHeight="1" x14ac:dyDescent="0.25">
      <c r="D63" s="13" t="s">
        <v>29</v>
      </c>
      <c r="E63" s="13" t="str" cm="1">
        <f t="array" aca="1" ref="E63" ca="1">Common_InputFunctions.Utility_DisplayFunctionName(E92)</f>
        <v>=MMS_Feedlot_Methane_Equations.VEERG_4_1_1_1__3_Stage2MethaneProduction</v>
      </c>
    </row>
    <row r="64" spans="3:20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57" t="s">
        <v>32</v>
      </c>
      <c r="E66" s="1" t="str" cm="1">
        <f t="array" ref="E66">MMS_Feedlot_Methane_Equations.VEERG_4_1_1_1__3_Stage2MethaneProduction_Variable()</f>
        <v>M_jmT2</v>
      </c>
    </row>
    <row r="67" spans="4:9" ht="20.100000000000001" customHeight="1" x14ac:dyDescent="0.25">
      <c r="D67" s="57" t="s">
        <v>22</v>
      </c>
      <c r="E67" s="58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61" t="str" cm="1">
        <f t="array" ref="D69:E75">MMS_Feedlot_Methane_Equations.VEERG_4_1_1_1__3_Stage2MethaneProduction_Arguments()</f>
        <v>VSL</v>
      </c>
      <c r="E69" s="62" t="str">
        <v>fraction of volatile solids lost during storage in the primary system : fraction</v>
      </c>
      <c r="F69" s="63"/>
      <c r="G69" s="61">
        <f>'Source Data - Feedlot'!$E$7</f>
        <v>0.5</v>
      </c>
    </row>
    <row r="70" spans="4:9" ht="20.100000000000001" customHeight="1" x14ac:dyDescent="0.25">
      <c r="D70" s="61" t="str">
        <v>VS_j</v>
      </c>
      <c r="E70" s="62" t="str">
        <v>volatile solid production from feedlot cattle in each group : kg/head/day</v>
      </c>
      <c r="F70" s="63"/>
      <c r="G70" s="61" t="str">
        <f>"See " &amp; $D$27</f>
        <v>See M1_Table_VS_j</v>
      </c>
    </row>
    <row r="71" spans="4:9" ht="20.100000000000001" customHeight="1" x14ac:dyDescent="0.25">
      <c r="D71" s="61" t="str">
        <v>BO</v>
      </c>
      <c r="E71" s="62" t="str">
        <v>emissions potential : m3 CH4/kg VS</v>
      </c>
      <c r="F71" s="63"/>
      <c r="G71" s="61">
        <f>'Source Data - Feedlot'!$E$22</f>
        <v>0.19</v>
      </c>
    </row>
    <row r="72" spans="4:9" ht="20.100000000000001" customHeight="1" x14ac:dyDescent="0.25">
      <c r="D72" s="61" t="str">
        <v>MMS_mT2</v>
      </c>
      <c r="E72" s="62" t="str">
        <v>fraction of manure in each secondary system : fraction</v>
      </c>
      <c r="F72" s="63"/>
      <c r="G72" s="61" t="str">
        <f>"See " &amp; D77</f>
        <v>See Table_MMS_m_T-2</v>
      </c>
      <c r="H72" s="119" t="s">
        <v>185</v>
      </c>
    </row>
    <row r="73" spans="4:9" ht="20.100000000000001" customHeight="1" x14ac:dyDescent="0.25">
      <c r="D73" s="61" t="str">
        <v>MCF_im</v>
      </c>
      <c r="E73" s="62" t="str">
        <v>methane conversion factor for temperature zone and MMS : fraction</v>
      </c>
      <c r="F73" s="63"/>
      <c r="G73" s="61" t="str">
        <f>"See " &amp; D83</f>
        <v>See Table_MCF_i_m</v>
      </c>
    </row>
    <row r="74" spans="4:9" ht="20.100000000000001" customHeight="1" x14ac:dyDescent="0.25">
      <c r="D74" s="61" t="str">
        <v>rho</v>
      </c>
      <c r="E74" s="62" t="str">
        <v>density of methane : kg/m3</v>
      </c>
      <c r="F74" s="63"/>
      <c r="G74" s="61" t="e">
        <f>#REF!</f>
        <v>#REF!</v>
      </c>
    </row>
    <row r="75" spans="4:9" ht="20.100000000000001" customHeight="1" x14ac:dyDescent="0.25">
      <c r="D75" s="61" t="str">
        <v>i</v>
      </c>
      <c r="E75" s="62" t="str">
        <v>state</v>
      </c>
      <c r="F75" s="63"/>
      <c r="G75" s="61" t="e" cm="1">
        <f t="array" ref="G75">Common_InputFunctions.Utility_LookupValueInTable('Input - Site'!$E$21,#REF!,#REF!)</f>
        <v>#REF!</v>
      </c>
    </row>
    <row r="76" spans="4:9" ht="20.100000000000001" customHeight="1" x14ac:dyDescent="0.25"/>
    <row r="77" spans="4:9" ht="20.100000000000001" customHeight="1" x14ac:dyDescent="0.25">
      <c r="D77" s="106" t="s">
        <v>119</v>
      </c>
    </row>
    <row r="78" spans="4:9" ht="20.100000000000001" customHeight="1" x14ac:dyDescent="0.25">
      <c r="D78" s="105" t="s">
        <v>120</v>
      </c>
    </row>
    <row r="79" spans="4:9" ht="20.100000000000001" customHeight="1" x14ac:dyDescent="0.25">
      <c r="D79" s="55" t="s">
        <v>112</v>
      </c>
      <c r="E79" s="55" t="s">
        <v>107</v>
      </c>
      <c r="F79" s="55" t="s">
        <v>152</v>
      </c>
      <c r="G79" s="55" t="s">
        <v>153</v>
      </c>
      <c r="H79" s="55" t="s">
        <v>154</v>
      </c>
    </row>
    <row r="80" spans="4:9" ht="20.100000000000001" customHeight="1" x14ac:dyDescent="0.25">
      <c r="D80" s="56" t="str">
        <f>'Input - MMS - Feedlot'!$D$29</f>
        <v>Drylot (feed pad)</v>
      </c>
      <c r="E80" s="56" t="str">
        <f>'Input - MMS - Feedlot'!$D$35</f>
        <v>Solid storage</v>
      </c>
      <c r="F80" s="56">
        <f>'Input - MMS - Feedlot'!$E$35</f>
        <v>0.2</v>
      </c>
      <c r="G80" s="56">
        <f>'Input - MMS - Feedlot'!$F$35</f>
        <v>0.2</v>
      </c>
      <c r="H80" s="56">
        <f>'Input - MMS - Feedlot'!$G$35</f>
        <v>0.2</v>
      </c>
      <c r="I80" s="2" t="s">
        <v>103</v>
      </c>
    </row>
    <row r="81" spans="3:19" ht="20.100000000000001" customHeight="1" x14ac:dyDescent="0.25">
      <c r="D81" s="56" t="str">
        <f>'Input - MMS - Feedlot'!$D$29</f>
        <v>Drylot (feed pad)</v>
      </c>
      <c r="E81" s="56" t="str">
        <f>'Input - MMS - Feedlot'!$D$36</f>
        <v>Composting (passive windrow)</v>
      </c>
      <c r="F81" s="56">
        <f>'Input - MMS - Feedlot'!$E$36</f>
        <v>0.8</v>
      </c>
      <c r="G81" s="56">
        <f>'Input - MMS - Feedlot'!$F$36</f>
        <v>0.8</v>
      </c>
      <c r="H81" s="56">
        <f>'Input - MMS - Feedlot'!$G$36</f>
        <v>0.8</v>
      </c>
      <c r="I81" s="2" t="s">
        <v>103</v>
      </c>
    </row>
    <row r="82" spans="3:19" ht="20.100000000000001" customHeight="1" x14ac:dyDescent="0.25"/>
    <row r="83" spans="3:19" ht="20.100000000000001" customHeight="1" x14ac:dyDescent="0.25">
      <c r="D83" s="106" t="s">
        <v>104</v>
      </c>
    </row>
    <row r="84" spans="3:19" ht="20.100000000000001" customHeight="1" x14ac:dyDescent="0.25">
      <c r="D84" s="105" t="s">
        <v>122</v>
      </c>
    </row>
    <row r="85" spans="3:19" ht="20.100000000000001" customHeight="1" x14ac:dyDescent="0.25">
      <c r="D85" s="55" t="s">
        <v>112</v>
      </c>
      <c r="E85" s="55" t="s">
        <v>107</v>
      </c>
      <c r="F85" s="55" t="s">
        <v>101</v>
      </c>
    </row>
    <row r="86" spans="3:19" ht="20.100000000000001" customHeight="1" x14ac:dyDescent="0.25">
      <c r="D86" s="56" t="str">
        <f>'Input - MMS - Feedlot'!$D$29</f>
        <v>Drylot (feed pad)</v>
      </c>
      <c r="E86" s="56" t="str">
        <f>'Input - MMS - Feedlot'!$D$35</f>
        <v>Solid storage</v>
      </c>
      <c r="F86" s="56" t="e" cm="1">
        <f t="array" ref="F86">_xlfn.XLOOKUP($G$75, Table_SourceData_Feedlot_MCF[#Headers], _xlfn.XLOOKUP(E86, Table_SourceData_Feedlot_MCF[NIR definition], Table_SourceData_Feedlot_MCF[]))</f>
        <v>#REF!</v>
      </c>
      <c r="G86" s="2" t="s">
        <v>103</v>
      </c>
    </row>
    <row r="87" spans="3:19" ht="20.100000000000001" customHeight="1" x14ac:dyDescent="0.25">
      <c r="D87" s="56" t="str">
        <f>'Input - MMS - Feedlot'!$D$29</f>
        <v>Drylot (feed pad)</v>
      </c>
      <c r="E87" s="56" t="str">
        <f>'Input - MMS - Feedlot'!$D$36</f>
        <v>Composting (passive windrow)</v>
      </c>
      <c r="F87" s="56" t="e" cm="1">
        <f t="array" ref="F87">_xlfn.XLOOKUP($G$75, Table_SourceData_Feedlot_MCF[#Headers], _xlfn.XLOOKUP(E87, Table_SourceData_Feedlot_MCF[NIR definition], Table_SourceData_Feedlot_MCF[]))</f>
        <v>#REF!</v>
      </c>
      <c r="G87" s="2" t="s">
        <v>103</v>
      </c>
    </row>
    <row r="88" spans="3:19" ht="20.100000000000001" customHeight="1" x14ac:dyDescent="0.25"/>
    <row r="89" spans="3:19" ht="20.100000000000001" customHeight="1" x14ac:dyDescent="0.25">
      <c r="D89" s="106" t="s">
        <v>229</v>
      </c>
      <c r="M89" s="106" t="s">
        <v>231</v>
      </c>
    </row>
    <row r="90" spans="3:19" ht="20.100000000000001" customHeight="1" x14ac:dyDescent="0.25">
      <c r="D90" s="105" t="s">
        <v>230</v>
      </c>
      <c r="M90" s="105" t="s">
        <v>232</v>
      </c>
    </row>
    <row r="91" spans="3:19" ht="20.100000000000001" customHeight="1" x14ac:dyDescent="0.25">
      <c r="D91" s="55" t="s">
        <v>107</v>
      </c>
      <c r="E91" s="55" t="s">
        <v>152</v>
      </c>
      <c r="F91" s="55" t="s">
        <v>153</v>
      </c>
      <c r="G91" s="55" t="s">
        <v>154</v>
      </c>
      <c r="M91" s="55" t="s">
        <v>107</v>
      </c>
      <c r="N91" s="55" t="s">
        <v>152</v>
      </c>
      <c r="O91" s="55" t="s">
        <v>153</v>
      </c>
      <c r="P91" s="55" t="s">
        <v>154</v>
      </c>
    </row>
    <row r="92" spans="3:19" ht="20.100000000000001" customHeight="1" x14ac:dyDescent="0.25">
      <c r="D92" s="56" t="str">
        <f>'Input - MMS - Feedlot'!$D$35</f>
        <v>Solid storage</v>
      </c>
      <c r="E92" s="56" t="e" cm="1">
        <f t="array" ref="E92">MMS_Feedlot_Methane_Equations.VEERG_4_1_1_1__3_Stage2MethaneProduction($G$69,D$30,$G$71,F80,$F86,$G$74)</f>
        <v>#REF!</v>
      </c>
      <c r="F92" s="56" t="e" cm="1">
        <f t="array" ref="F92">MMS_Feedlot_Methane_Equations.VEERG_4_1_1_1__3_Stage2MethaneProduction($G$69,E$30,$G$71,G80,$F86,$G$74)</f>
        <v>#REF!</v>
      </c>
      <c r="G92" s="56" t="e" cm="1">
        <f t="array" ref="G92">MMS_Feedlot_Methane_Equations.VEERG_4_1_1_1__3_Stage2MethaneProduction($G$69,F$30,$G$71,H80,$F86,$G$74)</f>
        <v>#REF!</v>
      </c>
      <c r="H92" s="2" t="str">
        <f>$E$67</f>
        <v>kg CH4/head/day</v>
      </c>
      <c r="M92" s="56" t="str">
        <f>'Input - MMS - Feedlot'!$D$35</f>
        <v>Solid storage</v>
      </c>
      <c r="N92" s="56" t="e" cm="1">
        <f t="array" ref="N92">MMS_Feedlot_Methane_Equations.VEERG_4_1_1_1__3_Stage2MethaneProduction($G$69,M$30,$G$71,F80,$F86,$G$74)</f>
        <v>#REF!</v>
      </c>
      <c r="O92" s="56" t="e" cm="1">
        <f t="array" ref="O92">MMS_Feedlot_Methane_Equations.VEERG_4_1_1_1__3_Stage2MethaneProduction($G$69,N$30,$G$71,G80,$F86,$G$74)</f>
        <v>#REF!</v>
      </c>
      <c r="P92" s="56" t="e" cm="1">
        <f t="array" ref="P92">MMS_Feedlot_Methane_Equations.VEERG_4_1_1_1__3_Stage2MethaneProduction($G$69,O$30,$G$71,H80,$F86,$G$74)</f>
        <v>#REF!</v>
      </c>
      <c r="Q92" s="2" t="str">
        <f>$E$67</f>
        <v>kg CH4/head/day</v>
      </c>
    </row>
    <row r="93" spans="3:19" ht="20.100000000000001" customHeight="1" x14ac:dyDescent="0.25">
      <c r="D93" s="56" t="str">
        <f>'Input - MMS - Feedlot'!$D$36</f>
        <v>Composting (passive windrow)</v>
      </c>
      <c r="E93" s="56" t="e" cm="1">
        <f t="array" ref="E93">MMS_Feedlot_Methane_Equations.VEERG_4_1_1_1__3_Stage2MethaneProduction($G$69,D$30,$G$71,F81,$F87,$G$74)</f>
        <v>#REF!</v>
      </c>
      <c r="F93" s="56" t="e" cm="1">
        <f t="array" ref="F93">MMS_Feedlot_Methane_Equations.VEERG_4_1_1_1__3_Stage2MethaneProduction($G$69,E$30,$G$71,G81,$F87,$G$74)</f>
        <v>#REF!</v>
      </c>
      <c r="G93" s="56" t="e" cm="1">
        <f t="array" ref="G93">MMS_Feedlot_Methane_Equations.VEERG_4_1_1_1__3_Stage2MethaneProduction($G$69,F$30,$G$71,H81,$F87,$G$74)</f>
        <v>#REF!</v>
      </c>
      <c r="H93" s="2" t="str">
        <f t="shared" ref="H93" si="0">$E$67</f>
        <v>kg CH4/head/day</v>
      </c>
      <c r="M93" s="56" t="str">
        <f>'Input - MMS - Feedlot'!$D$36</f>
        <v>Composting (passive windrow)</v>
      </c>
      <c r="N93" s="56" t="e" cm="1">
        <f t="array" ref="N93">MMS_Feedlot_Methane_Equations.VEERG_4_1_1_1__3_Stage2MethaneProduction($G$69,M$30,$G$71,F81,$F87,$G$74)</f>
        <v>#REF!</v>
      </c>
      <c r="O93" s="56" t="e" cm="1">
        <f t="array" ref="O93">MMS_Feedlot_Methane_Equations.VEERG_4_1_1_1__3_Stage2MethaneProduction($G$69,N$30,$G$71,G81,$F87,$G$74)</f>
        <v>#REF!</v>
      </c>
      <c r="P93" s="56" t="e" cm="1">
        <f t="array" ref="P93">MMS_Feedlot_Methane_Equations.VEERG_4_1_1_1__3_Stage2MethaneProduction($G$69,O$30,$G$71,H81,$F87,$G$74)</f>
        <v>#REF!</v>
      </c>
      <c r="Q93" s="2" t="str">
        <f t="shared" ref="Q93" si="1">$E$67</f>
        <v>kg CH4/head/day</v>
      </c>
    </row>
    <row r="94" spans="3:19" ht="20.100000000000001" customHeight="1" x14ac:dyDescent="0.25"/>
    <row r="95" spans="3:19" ht="20.100000000000001" customHeight="1" x14ac:dyDescent="0.25"/>
    <row r="96" spans="3:19" ht="20.100000000000001" customHeight="1" x14ac:dyDescent="0.25">
      <c r="C96" s="49"/>
      <c r="D96" s="49"/>
      <c r="E96" s="49"/>
      <c r="F96" s="49"/>
      <c r="G96" s="49"/>
      <c r="H96" s="49"/>
      <c r="I96" s="49"/>
      <c r="J96" s="49"/>
      <c r="L96" s="49"/>
      <c r="M96" s="49"/>
      <c r="N96" s="49"/>
      <c r="O96" s="49"/>
      <c r="P96" s="49"/>
      <c r="Q96" s="49"/>
      <c r="R96" s="49"/>
      <c r="S96" s="49"/>
    </row>
    <row r="97" spans="4:8" ht="20.100000000000001" customHeight="1" x14ac:dyDescent="0.25">
      <c r="D97" s="6" t="str" cm="1">
        <f t="array" ref="D97">MMS_Feedlot_Methane_Equations.VEERG_4_1_1_1__4_Stage3MethaneProductionAnaerobicLagoon_Title()</f>
        <v>Production of methane in treatment stage 3 MMS</v>
      </c>
    </row>
    <row r="98" spans="4:8" ht="20.100000000000001" customHeight="1" x14ac:dyDescent="0.25">
      <c r="D98" s="5" t="str" cm="1">
        <f t="array" ref="D98">MMS_Feedlot_Methane_Equations.VEERG_4_1_1_1__4_Stage3MethaneProductionAnaerobicLagoon_Source()</f>
        <v>VEERG 2026: 4.1.1.1, Equation (4)</v>
      </c>
    </row>
    <row r="99" spans="4:8" ht="20.100000000000001" customHeight="1" x14ac:dyDescent="0.25">
      <c r="D99" s="13" t="s">
        <v>29</v>
      </c>
      <c r="E99" s="13" t="str" cm="1">
        <f t="array" aca="1" ref="E99" ca="1">Common_InputFunctions.Utility_DisplayFunctionName(E120)</f>
        <v>=MMS_Feedlot_Methane_Equations.VEERG_4_1_1_1__4_Stage3MethaneProductionAnaerobicLagoon</v>
      </c>
    </row>
    <row r="100" spans="4:8" ht="20.100000000000001" customHeight="1" x14ac:dyDescent="0.25"/>
    <row r="101" spans="4:8" ht="20.100000000000001" customHeight="1" x14ac:dyDescent="0.25">
      <c r="D101" s="6"/>
    </row>
    <row r="102" spans="4:8" ht="20.100000000000001" customHeight="1" x14ac:dyDescent="0.25">
      <c r="D102" s="57" t="s">
        <v>32</v>
      </c>
      <c r="E102" s="1" t="str" cm="1">
        <f t="array" ref="E102">MMS_Feedlot_Methane_Equations.VEERG_4_1_1_1__4_Stage3MethaneProductionAnaerobicLagoon_Variable()</f>
        <v>M_jm1T3</v>
      </c>
    </row>
    <row r="103" spans="4:8" ht="20.100000000000001" customHeight="1" x14ac:dyDescent="0.25">
      <c r="D103" s="57" t="s">
        <v>22</v>
      </c>
      <c r="E103" s="58" t="str" cm="1">
        <f t="array" ref="E103">MMS_Feedlot_Methane_Equations.VEERG_4_1_1_1__4_Stage3MethaneProductionAnaerobicLagoon_Unit()</f>
        <v>kg CH4/head/day</v>
      </c>
    </row>
    <row r="104" spans="4:8" ht="20.100000000000001" customHeight="1" x14ac:dyDescent="0.25"/>
    <row r="105" spans="4:8" ht="20.100000000000001" customHeight="1" x14ac:dyDescent="0.25">
      <c r="D105" s="61" t="str" cm="1">
        <f t="array" ref="D105:E110">MMS_Feedlot_Methane_Equations.VEERG_4_1_1_1__4_Stage3MethaneProductionAnaerobicLagoon_Arguments()</f>
        <v>VS_j</v>
      </c>
      <c r="E105" s="62" t="str">
        <v>volatile solid production from feedlot cattle in each group j : kg/head/day</v>
      </c>
      <c r="F105" s="109"/>
      <c r="G105" s="63"/>
      <c r="H105" s="61" t="str">
        <f>"See " &amp; $D$27</f>
        <v>See M1_Table_VS_j</v>
      </c>
    </row>
    <row r="106" spans="4:8" ht="20.100000000000001" customHeight="1" x14ac:dyDescent="0.25">
      <c r="D106" s="61" t="str">
        <v>BO</v>
      </c>
      <c r="E106" s="62" t="str">
        <v>emissions potential : m3 CH4/kg VS</v>
      </c>
      <c r="F106" s="109"/>
      <c r="G106" s="63"/>
      <c r="H106" s="61">
        <f>'Source Data - Feedlot'!$E$22</f>
        <v>0.19</v>
      </c>
    </row>
    <row r="107" spans="4:8" ht="20.100000000000001" customHeight="1" x14ac:dyDescent="0.25">
      <c r="D107" s="61" t="str">
        <v>MMS_m1T3</v>
      </c>
      <c r="E107" s="62" t="str">
        <v>fraction of manure to tertiary anaerobic lagoon system : fraction</v>
      </c>
      <c r="F107" s="109"/>
      <c r="G107" s="63"/>
      <c r="H107" s="61" t="str">
        <f>"See " &amp; D112</f>
        <v>See Table_MMS_m-1_T-3</v>
      </c>
    </row>
    <row r="108" spans="4:8" ht="20.100000000000001" customHeight="1" x14ac:dyDescent="0.25">
      <c r="D108" s="61" t="str">
        <v>MCF_im1</v>
      </c>
      <c r="E108" s="62" t="str">
        <v>methane conversion factor for temperature zone and anaerobic lagoon system : fraction</v>
      </c>
      <c r="F108" s="109"/>
      <c r="G108" s="63"/>
      <c r="H108" s="61" t="e">
        <f>HLOOKUP(H110, Table_SourceData_Feedlot_MCF[#All], 6, FALSE)</f>
        <v>#REF!</v>
      </c>
    </row>
    <row r="109" spans="4:8" ht="20.100000000000001" customHeight="1" x14ac:dyDescent="0.25">
      <c r="D109" s="61" t="str">
        <v>rho</v>
      </c>
      <c r="E109" s="62" t="str">
        <v>density of methane : kg/m3</v>
      </c>
      <c r="F109" s="109"/>
      <c r="G109" s="63"/>
      <c r="H109" s="61" t="e">
        <f>#REF!</f>
        <v>#REF!</v>
      </c>
    </row>
    <row r="110" spans="4:8" ht="20.100000000000001" customHeight="1" x14ac:dyDescent="0.25">
      <c r="D110" s="61" t="str">
        <v>i</v>
      </c>
      <c r="E110" s="62" t="str">
        <v>state</v>
      </c>
      <c r="F110" s="109"/>
      <c r="G110" s="63"/>
      <c r="H110" s="61" t="e" cm="1">
        <f t="array" ref="H110">Common_InputFunctions.Utility_LookupValueInTable('Input - Site'!$E$21,#REF!,#REF!)</f>
        <v>#REF!</v>
      </c>
    </row>
    <row r="111" spans="4:8" ht="20.100000000000001" customHeight="1" x14ac:dyDescent="0.25"/>
    <row r="112" spans="4:8" ht="20.100000000000001" customHeight="1" x14ac:dyDescent="0.25">
      <c r="D112" s="106" t="s">
        <v>125</v>
      </c>
    </row>
    <row r="113" spans="3:20" ht="20.100000000000001" customHeight="1" x14ac:dyDescent="0.25">
      <c r="D113" s="105" t="s">
        <v>127</v>
      </c>
    </row>
    <row r="114" spans="3:20" ht="20.100000000000001" customHeight="1" x14ac:dyDescent="0.25">
      <c r="D114" s="55" t="s">
        <v>126</v>
      </c>
      <c r="E114" s="55" t="s">
        <v>152</v>
      </c>
      <c r="F114" s="55" t="s">
        <v>153</v>
      </c>
      <c r="G114" s="55" t="s">
        <v>154</v>
      </c>
    </row>
    <row r="115" spans="3:20" ht="20.100000000000001" customHeight="1" x14ac:dyDescent="0.25">
      <c r="D115" s="56" t="str">
        <f>'Input - MMS - Feedlot'!$D$41</f>
        <v>Anaerobic lagoon</v>
      </c>
      <c r="E115" s="56">
        <f>'Input - MMS - Feedlot'!E41</f>
        <v>0.02</v>
      </c>
      <c r="F115" s="56">
        <f>'Input - MMS - Feedlot'!F41</f>
        <v>0.02</v>
      </c>
      <c r="G115" s="56">
        <f>'Input - MMS - Feedlot'!G41</f>
        <v>0.02</v>
      </c>
      <c r="H115" s="2" t="s">
        <v>103</v>
      </c>
    </row>
    <row r="116" spans="3:20" ht="20.100000000000001" customHeight="1" x14ac:dyDescent="0.25"/>
    <row r="117" spans="3:20" ht="20.100000000000001" customHeight="1" x14ac:dyDescent="0.25">
      <c r="D117" s="106" t="s">
        <v>233</v>
      </c>
      <c r="M117" s="106" t="s">
        <v>235</v>
      </c>
    </row>
    <row r="118" spans="3:20" ht="20.100000000000001" customHeight="1" x14ac:dyDescent="0.25">
      <c r="D118" s="105" t="s">
        <v>234</v>
      </c>
      <c r="M118" s="105" t="s">
        <v>236</v>
      </c>
    </row>
    <row r="119" spans="3:20" ht="20.100000000000001" customHeight="1" x14ac:dyDescent="0.25">
      <c r="D119" s="55" t="s">
        <v>126</v>
      </c>
      <c r="E119" s="55" t="s">
        <v>152</v>
      </c>
      <c r="F119" s="55" t="s">
        <v>153</v>
      </c>
      <c r="G119" s="55" t="s">
        <v>154</v>
      </c>
      <c r="M119" s="55" t="s">
        <v>126</v>
      </c>
      <c r="N119" s="55" t="s">
        <v>152</v>
      </c>
      <c r="O119" s="55" t="s">
        <v>153</v>
      </c>
      <c r="P119" s="55" t="s">
        <v>154</v>
      </c>
    </row>
    <row r="120" spans="3:20" ht="20.100000000000001" customHeight="1" x14ac:dyDescent="0.25">
      <c r="D120" s="56" t="str">
        <f>'Input - MMS - Feedlot'!$D$41</f>
        <v>Anaerobic lagoon</v>
      </c>
      <c r="E120" s="56" t="e" cm="1">
        <f t="array" ref="E120">MMS_Feedlot_Methane_Equations.VEERG_4_1_1_1__4_Stage3MethaneProductionAnaerobicLagoon(D$30, $H$106,E115,$H$108,$H$109)</f>
        <v>#REF!</v>
      </c>
      <c r="F120" s="56" t="e" cm="1">
        <f t="array" ref="F120">MMS_Feedlot_Methane_Equations.VEERG_4_1_1_1__4_Stage3MethaneProductionAnaerobicLagoon(E$30, $H$106,F115,$H$108,$H$109)</f>
        <v>#REF!</v>
      </c>
      <c r="G120" s="56" t="e" cm="1">
        <f t="array" ref="G120">MMS_Feedlot_Methane_Equations.VEERG_4_1_1_1__4_Stage3MethaneProductionAnaerobicLagoon(F$30, $H$106,G115,$H$108,$H$109)</f>
        <v>#REF!</v>
      </c>
      <c r="H120" s="2" t="str">
        <f>$E$103</f>
        <v>kg CH4/head/day</v>
      </c>
      <c r="M120" s="56" t="str">
        <f>'Input - MMS - Feedlot'!$D$41</f>
        <v>Anaerobic lagoon</v>
      </c>
      <c r="N120" s="56" t="e" cm="1">
        <f t="array" ref="N120">MMS_Feedlot_Methane_Equations.VEERG_4_1_1_1__4_Stage3MethaneProductionAnaerobicLagoon(M$30, $H$106,E115,$H$108,$H$109)</f>
        <v>#REF!</v>
      </c>
      <c r="O120" s="56" t="e" cm="1">
        <f t="array" ref="O120">MMS_Feedlot_Methane_Equations.VEERG_4_1_1_1__4_Stage3MethaneProductionAnaerobicLagoon(N$30, $H$106,F115,$H$108,$H$109)</f>
        <v>#REF!</v>
      </c>
      <c r="P120" s="56" t="e" cm="1">
        <f t="array" ref="P120">MMS_Feedlot_Methane_Equations.VEERG_4_1_1_1__4_Stage3MethaneProductionAnaerobicLagoon(O$30, $H$106,G115,$H$108,$H$109)</f>
        <v>#REF!</v>
      </c>
      <c r="Q120" s="2" t="str">
        <f>$E$103</f>
        <v>kg CH4/head/day</v>
      </c>
    </row>
    <row r="121" spans="3:20" ht="20.100000000000001" customHeight="1" x14ac:dyDescent="0.25"/>
    <row r="122" spans="3:20" ht="20.100000000000001" customHeight="1" x14ac:dyDescent="0.25"/>
    <row r="123" spans="3:20" ht="20.100000000000001" customHeight="1" x14ac:dyDescent="0.25">
      <c r="C123" s="49"/>
      <c r="D123" s="49"/>
      <c r="E123" s="49"/>
      <c r="F123" s="49"/>
      <c r="G123" s="49"/>
      <c r="H123" s="49"/>
      <c r="I123" s="49"/>
      <c r="J123" s="49"/>
      <c r="L123" s="49"/>
      <c r="M123" s="49"/>
      <c r="N123" s="49"/>
      <c r="O123" s="49"/>
      <c r="P123" s="49"/>
      <c r="Q123" s="49"/>
      <c r="R123" s="49"/>
      <c r="S123" s="49"/>
      <c r="T123" s="49"/>
    </row>
    <row r="124" spans="3:20" ht="20.100000000000001" customHeight="1" x14ac:dyDescent="0.25">
      <c r="D124" s="6" t="str" cm="1">
        <f t="array" ref="D124">MMS_Feedlot_Methane_Equations.VEERG_4_1_1_1__1_TotalAnnualMethaneEmissions_Title()</f>
        <v>Total annual methane emissions from manure management</v>
      </c>
    </row>
    <row r="125" spans="3:20" ht="20.100000000000001" customHeight="1" x14ac:dyDescent="0.25">
      <c r="D125" s="5" t="str" cm="1">
        <f t="array" ref="D125">MMS_Feedlot_Methane_Equations.VEERG_4_1_1_1__1_TotalAnnualMethaneEmissions_Source()</f>
        <v>VEERG 2026: 4.1.1.1, Equation (1)</v>
      </c>
    </row>
    <row r="126" spans="3:20" ht="20.100000000000001" customHeight="1" x14ac:dyDescent="0.25">
      <c r="D126" s="13" t="s">
        <v>29</v>
      </c>
      <c r="E126" s="13" t="str" cm="1">
        <f t="array" aca="1" ref="E126" ca="1">Common_InputFunctions.Utility_DisplayFunctionName(F158)</f>
        <v>=MMS_Feedlot_Methane_Equations.VEERG_4_1_1_1__1_TotalAnnualMethaneEmissions</v>
      </c>
    </row>
    <row r="127" spans="3:20" ht="20.100000000000001" customHeight="1" x14ac:dyDescent="0.25"/>
    <row r="128" spans="3:20" ht="20.100000000000001" customHeight="1" x14ac:dyDescent="0.25">
      <c r="D128" s="6"/>
    </row>
    <row r="129" spans="4:17" ht="20.100000000000001" customHeight="1" x14ac:dyDescent="0.25"/>
    <row r="130" spans="4:17" ht="20.100000000000001" customHeight="1" x14ac:dyDescent="0.25">
      <c r="D130" s="57" t="s">
        <v>32</v>
      </c>
      <c r="E130" s="1" t="str" cm="1">
        <f t="array" ref="E130">MMS_Feedlot_Methane_Equations.VEERG_4_1_1_1__1_TotalAnnualMethaneEmissions_Variable()</f>
        <v>E_CH4</v>
      </c>
    </row>
    <row r="131" spans="4:17" ht="20.100000000000001" customHeight="1" x14ac:dyDescent="0.25">
      <c r="D131" s="57" t="s">
        <v>22</v>
      </c>
      <c r="E131" s="58" t="str" cm="1">
        <f t="array" ref="E131">MMS_Feedlot_Methane_Equations.VEERG_4_1_1_1__1_TotalAnnualMethaneEmissions_Unit()</f>
        <v>t CH4</v>
      </c>
    </row>
    <row r="132" spans="4:17" ht="20.100000000000001" customHeight="1" x14ac:dyDescent="0.25"/>
    <row r="133" spans="4:17" ht="20.100000000000001" customHeight="1" x14ac:dyDescent="0.25">
      <c r="D133" s="61" t="str" cm="1">
        <f t="array" ref="D133:E135">MMS_Feedlot_Methane_Equations.VEERG_4_1_1_1__1_TotalAnnualMethaneEmissions_Arguments()</f>
        <v>D_j</v>
      </c>
      <c r="E133" s="62" t="str">
        <v>length of stay of each cattle group : days</v>
      </c>
      <c r="F133" s="109"/>
      <c r="G133" s="63"/>
      <c r="H133" s="61" t="str">
        <f>"See " &amp; $D$137</f>
        <v>See Table_D_j</v>
      </c>
    </row>
    <row r="134" spans="4:17" ht="20.100000000000001" customHeight="1" x14ac:dyDescent="0.25">
      <c r="D134" s="61" t="str">
        <v>M_jmT</v>
      </c>
      <c r="E134" s="62" t="str">
        <v>methane production from manure per cattle group, MMS, and treatment stage : kg CH4/head/day</v>
      </c>
      <c r="F134" s="109"/>
      <c r="G134" s="63"/>
      <c r="H134" s="61" t="str">
        <f>"See " &amp; $D$142</f>
        <v>See M1_Table_M_j_m_T</v>
      </c>
    </row>
    <row r="135" spans="4:17" ht="20.100000000000001" customHeight="1" x14ac:dyDescent="0.25">
      <c r="D135" s="61" t="str">
        <v>N_j</v>
      </c>
      <c r="E135" s="62" t="str">
        <v>numbers of beef cattle in each group : head</v>
      </c>
      <c r="F135" s="109"/>
      <c r="G135" s="63"/>
      <c r="H135" s="61" t="str">
        <f>"See " &amp; $D$150</f>
        <v>See Table_N_j</v>
      </c>
    </row>
    <row r="136" spans="4:17" ht="20.100000000000001" customHeight="1" x14ac:dyDescent="0.25"/>
    <row r="137" spans="4:17" ht="20.100000000000001" customHeight="1" x14ac:dyDescent="0.25">
      <c r="D137" s="106" t="s">
        <v>134</v>
      </c>
    </row>
    <row r="138" spans="4:17" ht="20.100000000000001" customHeight="1" x14ac:dyDescent="0.25">
      <c r="D138" s="105" t="s">
        <v>129</v>
      </c>
    </row>
    <row r="139" spans="4:17" ht="20.100000000000001" customHeight="1" x14ac:dyDescent="0.25">
      <c r="D139" s="55" t="s">
        <v>152</v>
      </c>
      <c r="E139" s="55" t="s">
        <v>153</v>
      </c>
      <c r="F139" s="55" t="s">
        <v>154</v>
      </c>
    </row>
    <row r="140" spans="4:17" ht="20.100000000000001" customHeight="1" x14ac:dyDescent="0.25">
      <c r="D140" s="111">
        <f>'Input - MMS - Feedlot'!$E$9</f>
        <v>90</v>
      </c>
      <c r="E140" s="111">
        <f>'Input - MMS - Feedlot'!$F$9</f>
        <v>140</v>
      </c>
      <c r="F140" s="111">
        <f>'Input - MMS - Feedlot'!$G$9</f>
        <v>250</v>
      </c>
      <c r="G140" s="2" t="s">
        <v>57</v>
      </c>
    </row>
    <row r="141" spans="4:17" ht="20.100000000000001" customHeight="1" x14ac:dyDescent="0.25"/>
    <row r="142" spans="4:17" ht="20.100000000000001" customHeight="1" x14ac:dyDescent="0.25">
      <c r="D142" s="106" t="s">
        <v>237</v>
      </c>
      <c r="M142" s="106" t="s">
        <v>239</v>
      </c>
    </row>
    <row r="143" spans="4:17" ht="20.100000000000001" customHeight="1" x14ac:dyDescent="0.25">
      <c r="D143" s="105" t="s">
        <v>238</v>
      </c>
      <c r="M143" s="105" t="s">
        <v>240</v>
      </c>
    </row>
    <row r="144" spans="4:17" ht="20.100000000000001" customHeight="1" x14ac:dyDescent="0.25">
      <c r="D144" s="55" t="s">
        <v>138</v>
      </c>
      <c r="E144" s="55" t="s">
        <v>70</v>
      </c>
      <c r="F144" s="55" t="s">
        <v>152</v>
      </c>
      <c r="G144" s="55" t="s">
        <v>153</v>
      </c>
      <c r="H144" s="55" t="s">
        <v>154</v>
      </c>
      <c r="M144" s="55" t="s">
        <v>138</v>
      </c>
      <c r="N144" s="55" t="s">
        <v>70</v>
      </c>
      <c r="O144" s="55" t="s">
        <v>152</v>
      </c>
      <c r="P144" s="55" t="s">
        <v>153</v>
      </c>
      <c r="Q144" s="55" t="s">
        <v>154</v>
      </c>
    </row>
    <row r="145" spans="4:18" ht="20.100000000000001" customHeight="1" x14ac:dyDescent="0.25">
      <c r="D145" s="56">
        <v>1</v>
      </c>
      <c r="E145" s="56" t="str">
        <f>'Input - MMS - Feedlot'!$D$29</f>
        <v>Drylot (feed pad)</v>
      </c>
      <c r="F145" s="56" t="e">
        <f>$E$57</f>
        <v>#REF!</v>
      </c>
      <c r="G145" s="56" t="e">
        <f>$F$57</f>
        <v>#REF!</v>
      </c>
      <c r="H145" s="56" t="e">
        <f>$G$57</f>
        <v>#REF!</v>
      </c>
      <c r="I145" s="2" t="s">
        <v>139</v>
      </c>
      <c r="M145" s="56">
        <v>1</v>
      </c>
      <c r="N145" s="56" t="str">
        <f>'Input - MMS - Feedlot'!$D$29</f>
        <v>Drylot (feed pad)</v>
      </c>
      <c r="O145" s="56" t="e">
        <f>$N$57</f>
        <v>#REF!</v>
      </c>
      <c r="P145" s="56" t="e">
        <f>$O$57</f>
        <v>#REF!</v>
      </c>
      <c r="Q145" s="56" t="e">
        <f>$P$57</f>
        <v>#REF!</v>
      </c>
      <c r="R145" s="2" t="s">
        <v>139</v>
      </c>
    </row>
    <row r="146" spans="4:18" ht="20.100000000000001" customHeight="1" x14ac:dyDescent="0.25">
      <c r="D146" s="56">
        <v>2</v>
      </c>
      <c r="E146" s="56" t="str">
        <f>'Input - MMS - Feedlot'!$D$35</f>
        <v>Solid storage</v>
      </c>
      <c r="F146" s="56" t="e">
        <f>$E$92</f>
        <v>#REF!</v>
      </c>
      <c r="G146" s="56" t="e">
        <f>$F$92</f>
        <v>#REF!</v>
      </c>
      <c r="H146" s="56" t="e">
        <f>$G$92</f>
        <v>#REF!</v>
      </c>
      <c r="I146" s="2" t="s">
        <v>139</v>
      </c>
      <c r="M146" s="56">
        <v>2</v>
      </c>
      <c r="N146" s="56" t="str">
        <f>'Input - MMS - Feedlot'!$D$35</f>
        <v>Solid storage</v>
      </c>
      <c r="O146" s="56" t="e">
        <f>$N$92</f>
        <v>#REF!</v>
      </c>
      <c r="P146" s="56" t="e">
        <f>$O$92</f>
        <v>#REF!</v>
      </c>
      <c r="Q146" s="56" t="e">
        <f>$P$92</f>
        <v>#REF!</v>
      </c>
      <c r="R146" s="2" t="s">
        <v>139</v>
      </c>
    </row>
    <row r="147" spans="4:18" ht="20.100000000000001" customHeight="1" x14ac:dyDescent="0.25">
      <c r="D147" s="56">
        <v>2</v>
      </c>
      <c r="E147" s="56" t="str">
        <f>'Input - MMS - Feedlot'!$D$36</f>
        <v>Composting (passive windrow)</v>
      </c>
      <c r="F147" s="56" t="e">
        <f>$E$93</f>
        <v>#REF!</v>
      </c>
      <c r="G147" s="56" t="e">
        <f>$F$93</f>
        <v>#REF!</v>
      </c>
      <c r="H147" s="56" t="e">
        <f>$G$93</f>
        <v>#REF!</v>
      </c>
      <c r="I147" s="2" t="s">
        <v>139</v>
      </c>
      <c r="M147" s="56">
        <v>2</v>
      </c>
      <c r="N147" s="56" t="str">
        <f>'Input - MMS - Feedlot'!$D$36</f>
        <v>Composting (passive windrow)</v>
      </c>
      <c r="O147" s="56" t="e">
        <f>$N$93</f>
        <v>#REF!</v>
      </c>
      <c r="P147" s="56" t="e">
        <f>$O$93</f>
        <v>#REF!</v>
      </c>
      <c r="Q147" s="56" t="e">
        <f>$P$93</f>
        <v>#REF!</v>
      </c>
      <c r="R147" s="2" t="s">
        <v>139</v>
      </c>
    </row>
    <row r="148" spans="4:18" ht="20.100000000000001" customHeight="1" x14ac:dyDescent="0.25">
      <c r="D148" s="56">
        <v>3</v>
      </c>
      <c r="E148" s="56" t="str">
        <f>'Input - MMS - Feedlot'!$D$41</f>
        <v>Anaerobic lagoon</v>
      </c>
      <c r="F148" s="56" t="e">
        <f>$E$120</f>
        <v>#REF!</v>
      </c>
      <c r="G148" s="56" t="e">
        <f>$F$120</f>
        <v>#REF!</v>
      </c>
      <c r="H148" s="56" t="e">
        <f>$G$120</f>
        <v>#REF!</v>
      </c>
      <c r="I148" s="2" t="s">
        <v>139</v>
      </c>
      <c r="M148" s="56">
        <v>3</v>
      </c>
      <c r="N148" s="56" t="str">
        <f>'Input - MMS - Feedlot'!$D$41</f>
        <v>Anaerobic lagoon</v>
      </c>
      <c r="O148" s="56" t="e">
        <f>$N$120</f>
        <v>#REF!</v>
      </c>
      <c r="P148" s="56" t="e">
        <f>$O$120</f>
        <v>#REF!</v>
      </c>
      <c r="Q148" s="56" t="e">
        <f>$P$120</f>
        <v>#REF!</v>
      </c>
      <c r="R148" s="2" t="s">
        <v>139</v>
      </c>
    </row>
    <row r="149" spans="4:18" ht="20.100000000000001" customHeight="1" x14ac:dyDescent="0.25"/>
    <row r="150" spans="4:18" ht="20.100000000000001" customHeight="1" x14ac:dyDescent="0.25">
      <c r="D150" s="106" t="s">
        <v>135</v>
      </c>
    </row>
    <row r="151" spans="4:18" ht="20.100000000000001" customHeight="1" x14ac:dyDescent="0.25">
      <c r="D151" s="105" t="s">
        <v>136</v>
      </c>
    </row>
    <row r="152" spans="4:18" ht="20.100000000000001" customHeight="1" x14ac:dyDescent="0.25">
      <c r="D152" s="55" t="s">
        <v>152</v>
      </c>
      <c r="E152" s="55" t="s">
        <v>153</v>
      </c>
      <c r="F152" s="55" t="s">
        <v>154</v>
      </c>
    </row>
    <row r="153" spans="4:18" ht="20.100000000000001" customHeight="1" x14ac:dyDescent="0.25">
      <c r="D153" s="111">
        <f>'Input - MMS - Feedlot'!$E$8</f>
        <v>4300</v>
      </c>
      <c r="E153" s="111">
        <f>'Input - MMS - Feedlot'!$F$8</f>
        <v>100</v>
      </c>
      <c r="F153" s="111">
        <f>'Input - MMS - Feedlot'!$G$8</f>
        <v>100</v>
      </c>
      <c r="G153" s="2" t="s">
        <v>137</v>
      </c>
    </row>
    <row r="154" spans="4:18" ht="20.100000000000001" customHeight="1" x14ac:dyDescent="0.25"/>
    <row r="155" spans="4:18" ht="20.100000000000001" customHeight="1" x14ac:dyDescent="0.25">
      <c r="D155" s="106" t="s">
        <v>141</v>
      </c>
      <c r="M155" s="106" t="s">
        <v>141</v>
      </c>
    </row>
    <row r="156" spans="4:18" ht="20.100000000000001" customHeight="1" x14ac:dyDescent="0.25">
      <c r="D156" s="105" t="s">
        <v>142</v>
      </c>
      <c r="M156" s="105" t="s">
        <v>142</v>
      </c>
    </row>
    <row r="157" spans="4:18" ht="20.100000000000001" customHeight="1" x14ac:dyDescent="0.25">
      <c r="D157" s="55" t="s">
        <v>138</v>
      </c>
      <c r="E157" s="55" t="s">
        <v>70</v>
      </c>
      <c r="F157" s="55" t="s">
        <v>152</v>
      </c>
      <c r="G157" s="55" t="s">
        <v>153</v>
      </c>
      <c r="H157" s="55" t="s">
        <v>154</v>
      </c>
      <c r="M157" s="55" t="s">
        <v>138</v>
      </c>
      <c r="N157" s="55" t="s">
        <v>70</v>
      </c>
      <c r="O157" s="55" t="s">
        <v>152</v>
      </c>
      <c r="P157" s="55" t="s">
        <v>153</v>
      </c>
      <c r="Q157" s="55" t="s">
        <v>154</v>
      </c>
    </row>
    <row r="158" spans="4:18" ht="20.100000000000001" customHeight="1" x14ac:dyDescent="0.25">
      <c r="D158" s="56">
        <v>1</v>
      </c>
      <c r="E158" s="56" t="str">
        <f>'Input - MMS - Feedlot'!$D$29</f>
        <v>Drylot (feed pad)</v>
      </c>
      <c r="F158" s="56" t="e" cm="1">
        <f t="array" ref="F158">MMS_Feedlot_Methane_Equations.VEERG_4_1_1_1__1_TotalAnnualMethaneEmissions(D$140, F145, D$153)</f>
        <v>#REF!</v>
      </c>
      <c r="G158" s="56" t="e" cm="1">
        <f t="array" ref="G158">MMS_Feedlot_Methane_Equations.VEERG_4_1_1_1__1_TotalAnnualMethaneEmissions(E$140, G145, E$153)</f>
        <v>#REF!</v>
      </c>
      <c r="H158" s="56" t="e" cm="1">
        <f t="array" ref="H158">MMS_Feedlot_Methane_Equations.VEERG_4_1_1_1__1_TotalAnnualMethaneEmissions(F$140, H145, F$153)</f>
        <v>#REF!</v>
      </c>
      <c r="I158" s="2" t="str">
        <f>$E$131</f>
        <v>t CH4</v>
      </c>
      <c r="M158" s="56">
        <v>1</v>
      </c>
      <c r="N158" s="56" t="str">
        <f>'Input - MMS - Feedlot'!$D$29</f>
        <v>Drylot (feed pad)</v>
      </c>
      <c r="O158" s="56" t="e" cm="1">
        <f t="array" ref="O158">MMS_Feedlot_Methane_Equations.VEERG_4_1_1_1__1_TotalAnnualMethaneEmissions(D$140, O145, D$153)</f>
        <v>#REF!</v>
      </c>
      <c r="P158" s="56" t="e" cm="1">
        <f t="array" ref="P158">MMS_Feedlot_Methane_Equations.VEERG_4_1_1_1__1_TotalAnnualMethaneEmissions(E$140, P145, E$153)</f>
        <v>#REF!</v>
      </c>
      <c r="Q158" s="56" t="e" cm="1">
        <f t="array" ref="Q158">MMS_Feedlot_Methane_Equations.VEERG_4_1_1_1__1_TotalAnnualMethaneEmissions(F$140, Q145, F$153)</f>
        <v>#REF!</v>
      </c>
      <c r="R158" s="2" t="str">
        <f t="shared" ref="R158:R161" si="2">$E$131</f>
        <v>t CH4</v>
      </c>
    </row>
    <row r="159" spans="4:18" ht="20.100000000000001" customHeight="1" x14ac:dyDescent="0.25">
      <c r="D159" s="56">
        <v>2</v>
      </c>
      <c r="E159" s="56" t="str">
        <f>'Input - MMS - Feedlot'!$D$35</f>
        <v>Solid storage</v>
      </c>
      <c r="F159" s="56" t="e" cm="1">
        <f t="array" ref="F159">MMS_Feedlot_Methane_Equations.VEERG_4_1_1_1__1_TotalAnnualMethaneEmissions(D$140, F146, D$153)</f>
        <v>#REF!</v>
      </c>
      <c r="G159" s="56" t="e" cm="1">
        <f t="array" ref="G159">MMS_Feedlot_Methane_Equations.VEERG_4_1_1_1__1_TotalAnnualMethaneEmissions(E$140, G146, E$153)</f>
        <v>#REF!</v>
      </c>
      <c r="H159" s="56" t="e" cm="1">
        <f t="array" ref="H159">MMS_Feedlot_Methane_Equations.VEERG_4_1_1_1__1_TotalAnnualMethaneEmissions(F$140, H146, F$153)</f>
        <v>#REF!</v>
      </c>
      <c r="I159" s="2" t="str">
        <f t="shared" ref="I159:I161" si="3">$E$131</f>
        <v>t CH4</v>
      </c>
      <c r="M159" s="56">
        <v>2</v>
      </c>
      <c r="N159" s="56" t="str">
        <f>'Input - MMS - Feedlot'!$D$35</f>
        <v>Solid storage</v>
      </c>
      <c r="O159" s="56" t="e" cm="1">
        <f t="array" ref="O159">MMS_Feedlot_Methane_Equations.VEERG_4_1_1_1__1_TotalAnnualMethaneEmissions(D$140, O146, D$153)</f>
        <v>#REF!</v>
      </c>
      <c r="P159" s="56" t="e" cm="1">
        <f t="array" ref="P159">MMS_Feedlot_Methane_Equations.VEERG_4_1_1_1__1_TotalAnnualMethaneEmissions(E$140, P146, E$153)</f>
        <v>#REF!</v>
      </c>
      <c r="Q159" s="56" t="e" cm="1">
        <f t="array" ref="Q159">MMS_Feedlot_Methane_Equations.VEERG_4_1_1_1__1_TotalAnnualMethaneEmissions(F$140, Q146, F$153)</f>
        <v>#REF!</v>
      </c>
      <c r="R159" s="2" t="str">
        <f t="shared" si="2"/>
        <v>t CH4</v>
      </c>
    </row>
    <row r="160" spans="4:18" ht="20.100000000000001" customHeight="1" x14ac:dyDescent="0.25">
      <c r="D160" s="56">
        <v>2</v>
      </c>
      <c r="E160" s="56" t="str">
        <f>'Input - MMS - Feedlot'!$D$36</f>
        <v>Composting (passive windrow)</v>
      </c>
      <c r="F160" s="56" t="e" cm="1">
        <f t="array" ref="F160">MMS_Feedlot_Methane_Equations.VEERG_4_1_1_1__1_TotalAnnualMethaneEmissions(D$140, F147, D$153)</f>
        <v>#REF!</v>
      </c>
      <c r="G160" s="56" t="e" cm="1">
        <f t="array" ref="G160">MMS_Feedlot_Methane_Equations.VEERG_4_1_1_1__1_TotalAnnualMethaneEmissions(E$140, G147, E$153)</f>
        <v>#REF!</v>
      </c>
      <c r="H160" s="56" t="e" cm="1">
        <f t="array" ref="H160">MMS_Feedlot_Methane_Equations.VEERG_4_1_1_1__1_TotalAnnualMethaneEmissions(F$140, H147, F$153)</f>
        <v>#REF!</v>
      </c>
      <c r="I160" s="2" t="str">
        <f t="shared" si="3"/>
        <v>t CH4</v>
      </c>
      <c r="M160" s="56">
        <v>2</v>
      </c>
      <c r="N160" s="56" t="str">
        <f>'Input - MMS - Feedlot'!$D$36</f>
        <v>Composting (passive windrow)</v>
      </c>
      <c r="O160" s="56" t="e" cm="1">
        <f t="array" ref="O160">MMS_Feedlot_Methane_Equations.VEERG_4_1_1_1__1_TotalAnnualMethaneEmissions(D$140, O147, D$153)</f>
        <v>#REF!</v>
      </c>
      <c r="P160" s="56" t="e" cm="1">
        <f t="array" ref="P160">MMS_Feedlot_Methane_Equations.VEERG_4_1_1_1__1_TotalAnnualMethaneEmissions(E$140, P147, E$153)</f>
        <v>#REF!</v>
      </c>
      <c r="Q160" s="56" t="e" cm="1">
        <f t="array" ref="Q160">MMS_Feedlot_Methane_Equations.VEERG_4_1_1_1__1_TotalAnnualMethaneEmissions(F$140, Q147, F$153)</f>
        <v>#REF!</v>
      </c>
      <c r="R160" s="2" t="str">
        <f t="shared" si="2"/>
        <v>t CH4</v>
      </c>
    </row>
    <row r="161" spans="4:18" ht="20.100000000000001" customHeight="1" x14ac:dyDescent="0.25">
      <c r="D161" s="56">
        <v>3</v>
      </c>
      <c r="E161" s="56" t="str">
        <f>'Input - MMS - Feedlot'!$D$41</f>
        <v>Anaerobic lagoon</v>
      </c>
      <c r="F161" s="56" t="e" cm="1">
        <f t="array" ref="F161">MMS_Feedlot_Methane_Equations.VEERG_4_1_1_1__1_TotalAnnualMethaneEmissions(D$140, F148, D$153)</f>
        <v>#REF!</v>
      </c>
      <c r="G161" s="56" t="e" cm="1">
        <f t="array" ref="G161">MMS_Feedlot_Methane_Equations.VEERG_4_1_1_1__1_TotalAnnualMethaneEmissions(E$140, G148, E$153)</f>
        <v>#REF!</v>
      </c>
      <c r="H161" s="56" t="e" cm="1">
        <f t="array" ref="H161">MMS_Feedlot_Methane_Equations.VEERG_4_1_1_1__1_TotalAnnualMethaneEmissions(F$140, H148, F$153)</f>
        <v>#REF!</v>
      </c>
      <c r="I161" s="2" t="str">
        <f t="shared" si="3"/>
        <v>t CH4</v>
      </c>
      <c r="M161" s="56">
        <v>3</v>
      </c>
      <c r="N161" s="56" t="str">
        <f>'Input - MMS - Feedlot'!$D$41</f>
        <v>Anaerobic lagoon</v>
      </c>
      <c r="O161" s="56" t="e" cm="1">
        <f t="array" ref="O161">MMS_Feedlot_Methane_Equations.VEERG_4_1_1_1__1_TotalAnnualMethaneEmissions(D$140, O148, D$153)</f>
        <v>#REF!</v>
      </c>
      <c r="P161" s="56" t="e" cm="1">
        <f t="array" ref="P161">MMS_Feedlot_Methane_Equations.VEERG_4_1_1_1__1_TotalAnnualMethaneEmissions(E$140, P148, E$153)</f>
        <v>#REF!</v>
      </c>
      <c r="Q161" s="56" t="e" cm="1">
        <f t="array" ref="Q161">MMS_Feedlot_Methane_Equations.VEERG_4_1_1_1__1_TotalAnnualMethaneEmissions(F$140, Q148, F$153)</f>
        <v>#REF!</v>
      </c>
      <c r="R161" s="2" t="str">
        <f t="shared" si="2"/>
        <v>t CH4</v>
      </c>
    </row>
    <row r="162" spans="4:18" ht="20.100000000000001" customHeight="1" x14ac:dyDescent="0.25"/>
    <row r="163" spans="4:18" ht="20.100000000000001" customHeight="1" x14ac:dyDescent="0.25"/>
    <row r="164" spans="4:18" ht="20.100000000000001" customHeight="1" x14ac:dyDescent="0.25">
      <c r="D164" s="112" t="s">
        <v>241</v>
      </c>
      <c r="E164" s="113" t="e">
        <f>SUM(F158:H161)</f>
        <v>#REF!</v>
      </c>
      <c r="F164" s="114" t="str">
        <f>$E$131</f>
        <v>t CH4</v>
      </c>
      <c r="M164" s="112" t="s">
        <v>242</v>
      </c>
      <c r="N164" s="113" t="e">
        <f>SUM(O158:Q161)</f>
        <v>#REF!</v>
      </c>
      <c r="O164" s="114" t="str">
        <f>$E$131</f>
        <v>t CH4</v>
      </c>
    </row>
    <row r="165" spans="4:18" ht="20.100000000000001" customHeight="1" x14ac:dyDescent="0.25"/>
    <row r="166" spans="4:18" x14ac:dyDescent="0.25">
      <c r="D166" s="61" t="str" cm="1">
        <f t="array" ref="D166:E167">Common_Equations.Common_ConvertCH4ToCO2e_Arguments()</f>
        <v>ECH4</v>
      </c>
      <c r="E166" s="62" t="str">
        <v>Methane emissions (t CH4)</v>
      </c>
      <c r="F166" s="115"/>
      <c r="G166" s="56" t="e">
        <f>E164</f>
        <v>#REF!</v>
      </c>
      <c r="H166" s="2" t="str">
        <f>$E$131</f>
        <v>t CH4</v>
      </c>
      <c r="M166" s="61" t="str" cm="1">
        <f t="array" ref="M166:N167">Common_Equations.Common_ConvertCH4ToCO2e_Arguments()</f>
        <v>ECH4</v>
      </c>
      <c r="N166" s="62" t="str">
        <v>Methane emissions (t CH4)</v>
      </c>
      <c r="O166" s="115"/>
      <c r="P166" s="56" t="e">
        <f>N164</f>
        <v>#REF!</v>
      </c>
      <c r="Q166" s="2" t="str">
        <f>$E$131</f>
        <v>t CH4</v>
      </c>
    </row>
    <row r="167" spans="4:18" x14ac:dyDescent="0.25">
      <c r="D167" s="61" t="str">
        <v>GWPCH4</v>
      </c>
      <c r="E167" s="62" t="str">
        <v>Global warming potential for methane (t CO2-e / t CH4)</v>
      </c>
      <c r="F167" s="115"/>
      <c r="G167" s="56" cm="1">
        <f t="array" ref="G167">Common_InputFunctions.Utility_LookupValueInTableNumber("CH4",#REF!,#REF!)</f>
        <v>0</v>
      </c>
      <c r="M167" s="61" t="str">
        <v>GWPCH4</v>
      </c>
      <c r="N167" s="62" t="str">
        <v>Global warming potential for methane (t CO2-e / t CH4)</v>
      </c>
      <c r="O167" s="115"/>
      <c r="P167" s="56" cm="1">
        <f t="array" ref="P167">Common_InputFunctions.Utility_LookupValueInTableNumber("CH4",#REF!,#REF!)</f>
        <v>0</v>
      </c>
    </row>
    <row r="169" spans="4:18" ht="18.75" x14ac:dyDescent="0.25">
      <c r="D169" s="49" t="s">
        <v>243</v>
      </c>
      <c r="E169" s="49" t="e" cm="1">
        <f t="array" ref="E169">Common_Equations.Common_ConvertCH4ToCO2e(G166,G167)</f>
        <v>#REF!</v>
      </c>
      <c r="F169" s="116" t="str" cm="1">
        <f t="array" ref="F169">Common_Equations.Common_ConvertN2OToCO2e_Unit()</f>
        <v>t CO2e</v>
      </c>
      <c r="M169" s="49" t="s">
        <v>244</v>
      </c>
      <c r="N169" s="49" t="e" cm="1">
        <f t="array" ref="N169">Common_Equations.Common_ConvertCH4ToCO2e(P166,P167)</f>
        <v>#REF!</v>
      </c>
      <c r="O169" s="116" t="str" cm="1">
        <f t="array" ref="O169">Common_Equations.Common_ConvertN2OToCO2e_Unit()</f>
        <v>t CO2e</v>
      </c>
    </row>
  </sheetData>
  <dataValidations count="1">
    <dataValidation operator="equal" allowBlank="1" showInputMessage="1" showErrorMessage="1" sqref="E52:G52 E57:G57 E115:G115 E120:G120 D140:F140 D153:F153 N57:P57 N120:P120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topLeftCell="A53" workbookViewId="0">
      <selection activeCell="O211" sqref="O2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2" t="e" vm="1">
        <v>#VALUE!</v>
      </c>
      <c r="C1" s="8" t="s">
        <v>300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176</v>
      </c>
      <c r="E3" s="4"/>
      <c r="F3" s="4"/>
      <c r="G3" s="4"/>
      <c r="H3" s="4"/>
      <c r="I3" s="4"/>
      <c r="K3" s="4"/>
      <c r="L3" s="4" t="s">
        <v>177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MMS_Feedlot_N2O_Direct_Equations.VEERG_4_1_1_3__5_NitrogenIntake_Title()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MMS_Feedlot_N2O_Direct_Equations.VEERG_4_1_1_3__5_NitrogenIntake_Source()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144</v>
      </c>
      <c r="E7" s="13" t="str" cm="1">
        <f t="array" aca="1" ref="E7" ca="1">Common_InputFunctions.Utility_DisplayFunctionName(D30)</f>
        <v>=MMS_Feedlot_N2O_Direct_Equations.VEERG_4_1_1_3__5_NitrogenIntake</v>
      </c>
    </row>
    <row r="8" spans="1:17" ht="20.100000000000001" customHeight="1" x14ac:dyDescent="0.25">
      <c r="A8" s="17" t="str">
        <f>HYPERLINK("#'Input - MMS - Feedlot'!A1", "MMS - Feedlot")</f>
        <v>MMS - 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79</v>
      </c>
      <c r="D10" s="57" t="s">
        <v>32</v>
      </c>
      <c r="E10" s="1" t="str" cm="1">
        <f t="array" ref="E10">MMS_Feedlot_N2O_Direct_Equations.VEERG_4_1_1_3__5_NitrogenIntake_Variable()</f>
        <v>NI_j</v>
      </c>
    </row>
    <row r="11" spans="1:17" ht="20.100000000000001" customHeight="1" x14ac:dyDescent="0.25">
      <c r="A11" s="17" t="str">
        <f>HYPERLINK("#'Calcs - CH4 MMS Feedlot'!A1", "MMS Methane")</f>
        <v>MMS Methane</v>
      </c>
      <c r="D11" s="57" t="s">
        <v>22</v>
      </c>
      <c r="E11" s="58" t="str" cm="1">
        <f t="array" ref="E11">MMS_Feedlot_N2O_Direct_Equations.VEERG_4_1_1_3__5_NitrogenIntake_Unit()</f>
        <v>kg N/head/day</v>
      </c>
    </row>
    <row r="12" spans="1:17" ht="20.100000000000001" customHeight="1" x14ac:dyDescent="0.25">
      <c r="A12" s="22" t="s">
        <v>123</v>
      </c>
    </row>
    <row r="13" spans="1:17" ht="20.100000000000001" customHeight="1" x14ac:dyDescent="0.25">
      <c r="D13" s="61" t="str" cm="1">
        <f t="array" ref="D13:E15">MMS_Feedlot_N2O_Direct_Equations.VEERG_4_1_1_3__5_NitrogenIntake_Arguments()</f>
        <v>I_j</v>
      </c>
      <c r="E13" s="62" t="str">
        <v>dry matter intake : kg DM/head/day</v>
      </c>
      <c r="F13" s="63"/>
      <c r="G13" s="61" t="str">
        <f>"See " &amp;D17</f>
        <v>See M1_Table_I_j</v>
      </c>
    </row>
    <row r="14" spans="1:17" ht="20.100000000000001" customHeight="1" x14ac:dyDescent="0.25">
      <c r="A14" s="18" t="s">
        <v>4</v>
      </c>
      <c r="D14" s="61" t="str">
        <v>CP_j</v>
      </c>
      <c r="E14" s="62" t="str">
        <v>crude protein content of feed : fraction</v>
      </c>
      <c r="F14" s="63"/>
      <c r="G14" s="61" t="str">
        <f>"See " &amp; D22</f>
        <v>See M1_Table_CP_j</v>
      </c>
    </row>
    <row r="15" spans="1:17" ht="20.100000000000001" customHeight="1" x14ac:dyDescent="0.25">
      <c r="A15" s="17" t="str">
        <f>HYPERLINK("#'Constants - Common'!A1", "Constants - Common")</f>
        <v>Constants - Common</v>
      </c>
      <c r="D15" s="61" t="str">
        <v>6.25</v>
      </c>
      <c r="E15" s="62" t="str">
        <v>factor for converting crude protein into nitrogen : ratio</v>
      </c>
      <c r="F15" s="63"/>
      <c r="G15" s="61" t="str">
        <f>D15</f>
        <v>6.25</v>
      </c>
    </row>
    <row r="16" spans="1:17" ht="20.100000000000001" customHeight="1" x14ac:dyDescent="0.25">
      <c r="A16" s="17" t="str">
        <f>HYPERLINK("#'Constants - Livestock'!A1", "Constants - Livestock")</f>
        <v>Constants - Livestock</v>
      </c>
    </row>
    <row r="17" spans="1:16" ht="20.100000000000001" customHeight="1" x14ac:dyDescent="0.25">
      <c r="A17" s="17" t="str">
        <f>HYPERLINK("#'Acknowledgements'!A1", "Acknowledgements")</f>
        <v>Acknowledgements</v>
      </c>
      <c r="D17" s="106" t="s">
        <v>166</v>
      </c>
      <c r="L17" s="106" t="s">
        <v>169</v>
      </c>
    </row>
    <row r="18" spans="1:16" ht="20.100000000000001" customHeight="1" x14ac:dyDescent="0.25">
      <c r="A18" s="71"/>
      <c r="D18" s="105" t="s">
        <v>214</v>
      </c>
      <c r="L18" s="105" t="s">
        <v>215</v>
      </c>
    </row>
    <row r="19" spans="1:16" ht="20.100000000000001" customHeight="1" x14ac:dyDescent="0.25">
      <c r="A19" s="17"/>
      <c r="D19" s="55" t="s">
        <v>152</v>
      </c>
      <c r="E19" s="55" t="s">
        <v>153</v>
      </c>
      <c r="F19" s="55" t="s">
        <v>154</v>
      </c>
      <c r="L19" s="55" t="s">
        <v>152</v>
      </c>
      <c r="M19" s="55" t="s">
        <v>153</v>
      </c>
      <c r="N19" s="55" t="s">
        <v>154</v>
      </c>
    </row>
    <row r="20" spans="1:16" ht="20.100000000000001" customHeight="1" x14ac:dyDescent="0.25">
      <c r="A20" s="17"/>
      <c r="D20" s="56">
        <f>'Input - MMS - Feedlot'!$E$14</f>
        <v>10.4</v>
      </c>
      <c r="E20" s="56">
        <f>'Input - MMS - Feedlot'!$F$14</f>
        <v>10.8</v>
      </c>
      <c r="F20" s="56">
        <f>'Input - MMS - Feedlot'!$G$14</f>
        <v>8.1999999999999993</v>
      </c>
      <c r="G20" s="2" t="s">
        <v>109</v>
      </c>
      <c r="H20" s="2"/>
      <c r="L20" s="56">
        <f>'Input - MMS - Feedlot'!$E$20</f>
        <v>10.4</v>
      </c>
      <c r="M20" s="56">
        <f>'Input - MMS - Feedlot'!$F$20</f>
        <v>10.8</v>
      </c>
      <c r="N20" s="56">
        <f>'Input - MMS - Feedlot'!$G$20</f>
        <v>8.1999999999999993</v>
      </c>
      <c r="O20" s="2" t="s">
        <v>109</v>
      </c>
      <c r="P20" s="2"/>
    </row>
    <row r="21" spans="1:16" ht="20.100000000000001" customHeight="1" x14ac:dyDescent="0.25">
      <c r="A21" t="s">
        <v>19</v>
      </c>
    </row>
    <row r="22" spans="1:16" ht="20.100000000000001" customHeight="1" x14ac:dyDescent="0.25">
      <c r="D22" s="106" t="s">
        <v>167</v>
      </c>
      <c r="L22" s="106" t="s">
        <v>170</v>
      </c>
    </row>
    <row r="23" spans="1:16" ht="20.100000000000001" customHeight="1" x14ac:dyDescent="0.25">
      <c r="D23" s="105" t="s">
        <v>213</v>
      </c>
      <c r="L23" s="105" t="s">
        <v>216</v>
      </c>
    </row>
    <row r="24" spans="1:16" ht="20.100000000000001" customHeight="1" x14ac:dyDescent="0.25">
      <c r="D24" s="55" t="s">
        <v>152</v>
      </c>
      <c r="E24" s="55" t="s">
        <v>153</v>
      </c>
      <c r="F24" s="55" t="s">
        <v>154</v>
      </c>
      <c r="L24" s="55" t="s">
        <v>152</v>
      </c>
      <c r="M24" s="55" t="s">
        <v>153</v>
      </c>
      <c r="N24" s="55" t="s">
        <v>154</v>
      </c>
    </row>
    <row r="25" spans="1:16" ht="20.100000000000001" customHeight="1" x14ac:dyDescent="0.25">
      <c r="D25" s="56">
        <f>'Input - MMS - Feedlot'!$E$16</f>
        <v>0.14000000000000001</v>
      </c>
      <c r="E25" s="56">
        <f>'Input - MMS - Feedlot'!$F$16</f>
        <v>0.12</v>
      </c>
      <c r="F25" s="56">
        <f>'Input - MMS - Feedlot'!$G$16</f>
        <v>0.12</v>
      </c>
      <c r="G25" s="2" t="s">
        <v>103</v>
      </c>
      <c r="H25" s="2"/>
      <c r="L25" s="56">
        <f>'Input - MMS - Feedlot'!$E$22</f>
        <v>0.14000000000000001</v>
      </c>
      <c r="M25" s="56">
        <f>'Input - MMS - Feedlot'!$F$22</f>
        <v>0.12</v>
      </c>
      <c r="N25" s="56">
        <f>'Input - MMS - Feedlot'!$G$22</f>
        <v>0.12</v>
      </c>
      <c r="O25" s="2" t="s">
        <v>103</v>
      </c>
      <c r="P25" s="2"/>
    </row>
    <row r="26" spans="1:16" ht="20.100000000000001" customHeight="1" x14ac:dyDescent="0.25"/>
    <row r="27" spans="1:16" ht="20.100000000000001" customHeight="1" x14ac:dyDescent="0.25">
      <c r="D27" s="106" t="s">
        <v>168</v>
      </c>
      <c r="L27" s="106" t="s">
        <v>171</v>
      </c>
    </row>
    <row r="28" spans="1:16" ht="20.100000000000001" customHeight="1" x14ac:dyDescent="0.25">
      <c r="D28" s="105" t="s">
        <v>212</v>
      </c>
      <c r="L28" s="105" t="s">
        <v>217</v>
      </c>
    </row>
    <row r="29" spans="1:16" ht="20.100000000000001" customHeight="1" x14ac:dyDescent="0.25">
      <c r="D29" s="55" t="s">
        <v>152</v>
      </c>
      <c r="E29" s="55" t="s">
        <v>153</v>
      </c>
      <c r="F29" s="55" t="s">
        <v>154</v>
      </c>
      <c r="L29" s="55" t="s">
        <v>152</v>
      </c>
      <c r="M29" s="55" t="s">
        <v>153</v>
      </c>
      <c r="N29" s="55" t="s">
        <v>154</v>
      </c>
    </row>
    <row r="30" spans="1:16" ht="20.100000000000001" customHeight="1" x14ac:dyDescent="0.25">
      <c r="D30" s="56" cm="1">
        <f t="array" ref="D30">MMS_Feedlot_N2O_Direct_Equations.VEERG_4_1_1_3__5_NitrogenIntake(D20,D25)</f>
        <v>0.23296000000000003</v>
      </c>
      <c r="E30" s="56" cm="1">
        <f t="array" ref="E30">MMS_Feedlot_N2O_Direct_Equations.VEERG_4_1_1_3__5_NitrogenIntake(E20,E25)</f>
        <v>0.20736000000000002</v>
      </c>
      <c r="F30" s="56" cm="1">
        <f t="array" ref="F30">MMS_Feedlot_N2O_Direct_Equations.VEERG_4_1_1_3__5_NitrogenIntake(F20,F25)</f>
        <v>0.15743999999999997</v>
      </c>
      <c r="G30" s="2" t="str">
        <f>$E$11</f>
        <v>kg N/head/day</v>
      </c>
      <c r="H30" s="2"/>
      <c r="L30" s="56" cm="1">
        <f t="array" ref="L30">MMS_Feedlot_N2O_Direct_Equations.VEERG_4_1_1_3__5_NitrogenIntake(L20,L25)</f>
        <v>0.23296000000000003</v>
      </c>
      <c r="M30" s="56" cm="1">
        <f t="array" ref="M30">MMS_Feedlot_N2O_Direct_Equations.VEERG_4_1_1_3__5_NitrogenIntake(M20,M25)</f>
        <v>0.20736000000000002</v>
      </c>
      <c r="N30" s="56" cm="1">
        <f t="array" ref="N30">MMS_Feedlot_N2O_Direct_Equations.VEERG_4_1_1_3__5_NitrogenIntake(N20,N25)</f>
        <v>0.15743999999999997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9"/>
      <c r="D33" s="49"/>
      <c r="E33" s="49"/>
      <c r="F33" s="49"/>
      <c r="G33" s="49"/>
      <c r="H33" s="49"/>
      <c r="I33" s="49"/>
      <c r="K33" s="49"/>
      <c r="L33" s="49"/>
      <c r="M33" s="49"/>
      <c r="N33" s="49"/>
      <c r="O33" s="49"/>
      <c r="P33" s="49"/>
      <c r="Q33" s="49"/>
    </row>
    <row r="34" spans="3:17" ht="20.100000000000001" customHeight="1" x14ac:dyDescent="0.25">
      <c r="D34" s="6" t="str" cm="1">
        <f t="array" ref="D34">MMS_Feedlot_N2O_Direct_Equations.VEERG_4_1_1_3__4_NitrogenExcretionPerHead_Title()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MMS_Feedlot_N2O_Direct_Equations.VEERG_4_1_1_3__4_NitrogenExcretionPerHead_Source()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29</v>
      </c>
      <c r="E36" s="13" t="str" cm="1">
        <f t="array" aca="1" ref="E36" ca="1">Common_InputFunctions.Utility_DisplayFunctionName(D54)</f>
        <v>=MMS_Feedlot_N2O_Direct_Equations.VEERG_4_1_1_3__4_NitrogenExcretionPerHead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7" t="s">
        <v>32</v>
      </c>
      <c r="E40" s="1" t="str" cm="1">
        <f t="array" ref="E40">MMS_Feedlot_N2O_Direct_Equations.VEERG_4_1_1_3__4_NitrogenExcretionPerHead_Variable()</f>
        <v>NE_j</v>
      </c>
    </row>
    <row r="41" spans="3:17" ht="20.100000000000001" customHeight="1" x14ac:dyDescent="0.25">
      <c r="D41" s="57" t="s">
        <v>22</v>
      </c>
      <c r="E41" s="58" t="str" cm="1">
        <f t="array" ref="E41">MMS_Feedlot_N2O_Direct_Equations.VEERG_4_1_1_3__4_NitrogenExcretionPerHead_Unit()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1" t="str" cm="1">
        <f t="array" ref="D43:E44">MMS_Feedlot_N2O_Direct_Equations.VEERG_4_1_1_3__4_NitrogenExcretionPerHead_Arguments()</f>
        <v>NI_j</v>
      </c>
      <c r="E43" s="62" t="str">
        <v>nitrogen intake : kg N/head/day</v>
      </c>
      <c r="F43" s="63"/>
      <c r="G43" s="61" t="str">
        <f>"See " &amp; D27</f>
        <v>See M1_Table_NI_j</v>
      </c>
    </row>
    <row r="44" spans="3:17" ht="20.100000000000001" customHeight="1" x14ac:dyDescent="0.25">
      <c r="D44" s="61" t="str">
        <v>NR_j</v>
      </c>
      <c r="E44" s="62" t="str">
        <v>nitrogen retention expressed as a fraction of intake : fraction</v>
      </c>
      <c r="F44" s="63"/>
      <c r="G44" s="61" t="str">
        <f>"See " &amp; D46</f>
        <v>See M1_Table_NR_j</v>
      </c>
    </row>
    <row r="45" spans="3:17" ht="20.100000000000001" customHeight="1" x14ac:dyDescent="0.25"/>
    <row r="46" spans="3:17" ht="20.100000000000001" customHeight="1" x14ac:dyDescent="0.25">
      <c r="D46" s="106" t="s">
        <v>172</v>
      </c>
      <c r="E46" s="119" t="s">
        <v>253</v>
      </c>
      <c r="L46" s="106" t="s">
        <v>173</v>
      </c>
      <c r="M46" s="119" t="s">
        <v>253</v>
      </c>
    </row>
    <row r="47" spans="3:17" ht="20.100000000000001" customHeight="1" x14ac:dyDescent="0.25">
      <c r="D47" s="105" t="s">
        <v>210</v>
      </c>
      <c r="L47" s="105" t="s">
        <v>211</v>
      </c>
    </row>
    <row r="48" spans="3:17" ht="20.100000000000001" customHeight="1" x14ac:dyDescent="0.25">
      <c r="D48" s="55" t="s">
        <v>152</v>
      </c>
      <c r="E48" s="55" t="s">
        <v>153</v>
      </c>
      <c r="F48" s="55" t="s">
        <v>154</v>
      </c>
      <c r="L48" s="55" t="s">
        <v>152</v>
      </c>
      <c r="M48" s="55" t="s">
        <v>153</v>
      </c>
      <c r="N48" s="55" t="s">
        <v>154</v>
      </c>
    </row>
    <row r="49" spans="3:17" ht="20.100000000000001" customHeight="1" x14ac:dyDescent="0.25">
      <c r="D49" s="56">
        <f>'Input - MMS - Feedlot'!$E$17/100</f>
        <v>0.20399999999999999</v>
      </c>
      <c r="E49" s="56">
        <f>'Input - MMS - Feedlot'!$F$17/100</f>
        <v>0.127</v>
      </c>
      <c r="F49" s="56">
        <f>'Input - MMS - Feedlot'!$G$17/100</f>
        <v>7.0000000000000007E-2</v>
      </c>
      <c r="G49" s="2" t="s">
        <v>178</v>
      </c>
      <c r="H49" s="2"/>
      <c r="L49" s="56">
        <f>'Input - MMS - Feedlot'!$E$23/100</f>
        <v>0.20399999999999999</v>
      </c>
      <c r="M49" s="56">
        <f>'Input - MMS - Feedlot'!$F$23/100</f>
        <v>0.127</v>
      </c>
      <c r="N49" s="56">
        <f>'Input - MMS - Feedlot'!$G$23/100</f>
        <v>7.0000000000000007E-2</v>
      </c>
      <c r="O49" s="2" t="s">
        <v>103</v>
      </c>
      <c r="P49" s="2"/>
    </row>
    <row r="50" spans="3:17" ht="20.100000000000001" customHeight="1" x14ac:dyDescent="0.25"/>
    <row r="51" spans="3:17" ht="20.100000000000001" customHeight="1" x14ac:dyDescent="0.25">
      <c r="D51" s="106" t="s">
        <v>174</v>
      </c>
      <c r="L51" s="106" t="s">
        <v>175</v>
      </c>
    </row>
    <row r="52" spans="3:17" ht="20.100000000000001" customHeight="1" x14ac:dyDescent="0.25">
      <c r="D52" s="105" t="s">
        <v>210</v>
      </c>
      <c r="L52" s="105" t="s">
        <v>211</v>
      </c>
    </row>
    <row r="53" spans="3:17" ht="20.100000000000001" customHeight="1" x14ac:dyDescent="0.25">
      <c r="D53" s="55" t="s">
        <v>152</v>
      </c>
      <c r="E53" s="55" t="s">
        <v>153</v>
      </c>
      <c r="F53" s="55" t="s">
        <v>154</v>
      </c>
      <c r="L53" s="55" t="s">
        <v>152</v>
      </c>
      <c r="M53" s="55" t="s">
        <v>153</v>
      </c>
      <c r="N53" s="55" t="s">
        <v>154</v>
      </c>
    </row>
    <row r="54" spans="3:17" ht="20.100000000000001" customHeight="1" x14ac:dyDescent="0.25">
      <c r="D54" s="56" cm="1">
        <f t="array" ref="D54">MMS_Feedlot_N2O_Direct_Equations.VEERG_4_1_1_3__4_NitrogenExcretionPerHead(D30,D49)</f>
        <v>0.18543616000000004</v>
      </c>
      <c r="E54" s="56" cm="1">
        <f t="array" ref="E54">MMS_Feedlot_N2O_Direct_Equations.VEERG_4_1_1_3__4_NitrogenExcretionPerHead(E30,E49)</f>
        <v>0.18102528000000001</v>
      </c>
      <c r="F54" s="56" cm="1">
        <f t="array" ref="F54">MMS_Feedlot_N2O_Direct_Equations.VEERG_4_1_1_3__4_NitrogenExcretionPerHead(F30,F49)</f>
        <v>0.14641919999999997</v>
      </c>
      <c r="G54" s="2" t="str">
        <f>$E$41</f>
        <v>kg N/head/day</v>
      </c>
      <c r="H54" s="2"/>
      <c r="L54" s="56" cm="1">
        <f t="array" ref="L54">MMS_Feedlot_N2O_Direct_Equations.VEERG_4_1_1_3__4_NitrogenExcretionPerHead(L30,L49)</f>
        <v>0.18543616000000004</v>
      </c>
      <c r="M54" s="56" cm="1">
        <f t="array" ref="M54">MMS_Feedlot_N2O_Direct_Equations.VEERG_4_1_1_3__4_NitrogenExcretionPerHead(M30,M49)</f>
        <v>0.18102528000000001</v>
      </c>
      <c r="N54" s="56" cm="1">
        <f t="array" ref="N54">MMS_Feedlot_N2O_Direct_Equations.VEERG_4_1_1_3__4_NitrogenExcretionPerHead(N30,N49)</f>
        <v>0.14641919999999997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9"/>
      <c r="D57" s="49"/>
      <c r="E57" s="49"/>
      <c r="F57" s="49"/>
      <c r="G57" s="49"/>
      <c r="H57" s="49"/>
      <c r="I57" s="49"/>
      <c r="K57" s="49"/>
      <c r="L57" s="49"/>
      <c r="M57" s="49"/>
      <c r="N57" s="49"/>
      <c r="O57" s="49"/>
      <c r="P57" s="49"/>
      <c r="Q57" s="49"/>
    </row>
    <row r="58" spans="3:17" ht="20.100000000000001" customHeight="1" x14ac:dyDescent="0.25">
      <c r="D58" s="6" t="str" cm="1">
        <f t="array" ref="D58">MMS_Feedlot_N2O_Direct_Equations.VEERG_4_1_1_3__3_AnnualNitrogenExcretion_Title()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MMS_Feedlot_N2O_Direct_Equations.VEERG_4_1_1_3__3_AnnualNitrogenExcretion_Source()</f>
        <v>VEERG 2026: 4.1.1.3, Equation (3)</v>
      </c>
    </row>
    <row r="60" spans="3:17" ht="20.100000000000001" customHeight="1" x14ac:dyDescent="0.25">
      <c r="D60" s="13" t="s">
        <v>29</v>
      </c>
      <c r="E60" s="13" t="str" cm="1">
        <f t="array" aca="1" ref="E60" ca="1">Common_InputFunctions.Utility_DisplayFunctionName(D83)</f>
        <v>=MMS_Feedlot_N2O_Direct_Equations.VEERG_4_1_1_3__3_AnnualNitrogenExcretion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7" t="s">
        <v>32</v>
      </c>
      <c r="E63" s="1" t="str" cm="1">
        <f t="array" ref="E63">MMS_Feedlot_N2O_Direct_Equations.VEERG_4_1_1_3__3_AnnualNitrogenExcretion_Variable()</f>
        <v>AE_j</v>
      </c>
    </row>
    <row r="64" spans="3:17" ht="20.100000000000001" customHeight="1" x14ac:dyDescent="0.25">
      <c r="D64" s="57" t="s">
        <v>22</v>
      </c>
      <c r="E64" s="58" t="str" cm="1">
        <f t="array" ref="E64">MMS_Feedlot_N2O_Direct_Equations.VEERG_4_1_1_3__3_AnnualNitrogenExcretion_Unit()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20" t="str" cm="1">
        <f t="array" ref="D66:E68">MMS_Feedlot_N2O_Direct_Equations.VEERG_4_1_1_3__3_AnnualNitrogenExcretion_Arguments()</f>
        <v>N_j</v>
      </c>
      <c r="E66" s="122" t="str">
        <v>number of cattle in each group : head</v>
      </c>
      <c r="F66" s="121"/>
      <c r="G66" s="120" t="str">
        <f>"See " &amp; D70</f>
        <v>See Table_N_j</v>
      </c>
    </row>
    <row r="67" spans="4:12" ht="20.100000000000001" customHeight="1" x14ac:dyDescent="0.25">
      <c r="D67" s="120" t="str">
        <v>NE_j</v>
      </c>
      <c r="E67" s="122" t="str">
        <v>nitrogen excretion : kg N/head/day</v>
      </c>
      <c r="F67" s="121"/>
      <c r="G67" s="120" t="str">
        <f>"See " &amp; D51</f>
        <v>See M1_Table_NE_j</v>
      </c>
    </row>
    <row r="68" spans="4:12" ht="20.100000000000001" customHeight="1" x14ac:dyDescent="0.25">
      <c r="D68" s="120" t="str">
        <v>D_j</v>
      </c>
      <c r="E68" s="122" t="str">
        <v>duration of stay of cattle group : days</v>
      </c>
      <c r="F68" s="121"/>
      <c r="G68" s="120" t="str">
        <f>"See " &amp; D75</f>
        <v>See Table_D_j</v>
      </c>
    </row>
    <row r="69" spans="4:12" ht="20.100000000000001" customHeight="1" x14ac:dyDescent="0.25"/>
    <row r="70" spans="4:12" ht="20.100000000000001" customHeight="1" x14ac:dyDescent="0.25">
      <c r="D70" s="106" t="s">
        <v>135</v>
      </c>
    </row>
    <row r="71" spans="4:12" ht="20.100000000000001" customHeight="1" x14ac:dyDescent="0.25">
      <c r="D71" s="105" t="s">
        <v>136</v>
      </c>
    </row>
    <row r="72" spans="4:12" ht="20.100000000000001" customHeight="1" x14ac:dyDescent="0.25">
      <c r="D72" s="55" t="s">
        <v>152</v>
      </c>
      <c r="E72" s="55" t="s">
        <v>153</v>
      </c>
      <c r="F72" s="55" t="s">
        <v>154</v>
      </c>
    </row>
    <row r="73" spans="4:12" ht="20.100000000000001" customHeight="1" x14ac:dyDescent="0.25">
      <c r="D73" s="111">
        <f>'Input - MMS - Feedlot'!$E$8</f>
        <v>4300</v>
      </c>
      <c r="E73" s="111">
        <f>'Input - MMS - Feedlot'!$F$8</f>
        <v>100</v>
      </c>
      <c r="F73" s="111">
        <f>'Input - MMS - Feedlot'!$G$8</f>
        <v>100</v>
      </c>
      <c r="G73" s="2" t="s">
        <v>137</v>
      </c>
      <c r="H73" s="2"/>
    </row>
    <row r="74" spans="4:12" ht="20.100000000000001" customHeight="1" x14ac:dyDescent="0.25"/>
    <row r="75" spans="4:12" ht="20.100000000000001" customHeight="1" x14ac:dyDescent="0.25">
      <c r="D75" s="106" t="s">
        <v>134</v>
      </c>
    </row>
    <row r="76" spans="4:12" ht="20.100000000000001" customHeight="1" x14ac:dyDescent="0.25">
      <c r="D76" s="105" t="s">
        <v>129</v>
      </c>
    </row>
    <row r="77" spans="4:12" ht="20.100000000000001" customHeight="1" x14ac:dyDescent="0.25">
      <c r="D77" s="55" t="s">
        <v>152</v>
      </c>
      <c r="E77" s="55" t="s">
        <v>153</v>
      </c>
      <c r="F77" s="55" t="s">
        <v>154</v>
      </c>
    </row>
    <row r="78" spans="4:12" ht="20.100000000000001" customHeight="1" x14ac:dyDescent="0.25">
      <c r="D78" s="111">
        <f>'Input - MMS - Feedlot'!$E$9</f>
        <v>90</v>
      </c>
      <c r="E78" s="111">
        <f>'Input - MMS - Feedlot'!$F$9</f>
        <v>140</v>
      </c>
      <c r="F78" s="111">
        <f>'Input - MMS - Feedlot'!$G$9</f>
        <v>250</v>
      </c>
      <c r="G78" s="2" t="s">
        <v>57</v>
      </c>
      <c r="H78" s="2"/>
    </row>
    <row r="79" spans="4:12" ht="20.100000000000001" customHeight="1" x14ac:dyDescent="0.25"/>
    <row r="80" spans="4:12" ht="20.100000000000001" customHeight="1" x14ac:dyDescent="0.25">
      <c r="D80" s="106" t="s">
        <v>179</v>
      </c>
      <c r="L80" s="106" t="s">
        <v>180</v>
      </c>
    </row>
    <row r="81" spans="3:17" ht="20.100000000000001" customHeight="1" x14ac:dyDescent="0.25">
      <c r="D81" s="105" t="s">
        <v>208</v>
      </c>
      <c r="L81" s="105" t="s">
        <v>209</v>
      </c>
    </row>
    <row r="82" spans="3:17" ht="20.100000000000001" customHeight="1" x14ac:dyDescent="0.25">
      <c r="D82" s="55" t="s">
        <v>152</v>
      </c>
      <c r="E82" s="55" t="s">
        <v>153</v>
      </c>
      <c r="F82" s="55" t="s">
        <v>154</v>
      </c>
      <c r="L82" s="55" t="s">
        <v>152</v>
      </c>
      <c r="M82" s="55" t="s">
        <v>153</v>
      </c>
      <c r="N82" s="55" t="s">
        <v>154</v>
      </c>
    </row>
    <row r="83" spans="3:17" ht="20.100000000000001" customHeight="1" x14ac:dyDescent="0.25">
      <c r="D83" s="111" cm="1">
        <f t="array" ref="D83">MMS_Feedlot_N2O_Direct_Equations.VEERG_4_1_1_3__3_AnnualNitrogenExcretion(D73,D54,D78)</f>
        <v>71763.793920000026</v>
      </c>
      <c r="E83" s="111" cm="1">
        <f t="array" ref="E83">MMS_Feedlot_N2O_Direct_Equations.VEERG_4_1_1_3__3_AnnualNitrogenExcretion(E73,E54,E78)</f>
        <v>2534.35392</v>
      </c>
      <c r="F83" s="111" cm="1">
        <f t="array" ref="F83">MMS_Feedlot_N2O_Direct_Equations.VEERG_4_1_1_3__3_AnnualNitrogenExcretion(F73,F54,F78)</f>
        <v>3660.4799999999991</v>
      </c>
      <c r="G83" s="2" t="str">
        <f>$E$64</f>
        <v>kg N</v>
      </c>
      <c r="H83" s="2"/>
      <c r="L83" s="111" cm="1">
        <f t="array" ref="L83">MMS_Feedlot_N2O_Direct_Equations.VEERG_4_1_1_3__3_AnnualNitrogenExcretion(D73,L54,D78)</f>
        <v>71763.793920000026</v>
      </c>
      <c r="M83" s="111" cm="1">
        <f t="array" ref="M83">MMS_Feedlot_N2O_Direct_Equations.VEERG_4_1_1_3__3_AnnualNitrogenExcretion(E73,M54,E78)</f>
        <v>2534.35392</v>
      </c>
      <c r="N83" s="111" cm="1">
        <f t="array" ref="N83">MMS_Feedlot_N2O_Direct_Equations.VEERG_4_1_1_3__3_AnnualNitrogenExcretion(F73,N54,F78)</f>
        <v>3660.4799999999991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9"/>
      <c r="D86" s="49"/>
      <c r="E86" s="49"/>
      <c r="F86" s="49"/>
      <c r="G86" s="49"/>
      <c r="H86" s="49"/>
      <c r="I86" s="49"/>
      <c r="K86" s="49"/>
      <c r="L86" s="49"/>
      <c r="M86" s="49"/>
      <c r="N86" s="49"/>
      <c r="O86" s="49"/>
      <c r="P86" s="49"/>
      <c r="Q86" s="49"/>
    </row>
    <row r="87" spans="3:17" ht="20.100000000000001" customHeight="1" x14ac:dyDescent="0.25">
      <c r="D87" s="6" t="str" cm="1">
        <f t="array" ref="D87">MMS_Feedlot_N2O_Direct_Equations.VEERG_4_1_1_3__2_Stage1NitrogenInMMSDrylot_Title()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MMS_Feedlot_N2O_Direct_Equations.VEERG_4_1_1_3__2_Stage1NitrogenInMMSDrylot_Source()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29</v>
      </c>
      <c r="E89" s="13" t="str" cm="1">
        <f t="array" aca="1" ref="E89" ca="1">Common_InputFunctions.Utility_DisplayFunctionName(E106)</f>
        <v>=MMS_Feedlot_N2O_Direct_Equations.VEERG_4_1_1_3__2_Stage1NitrogenInMMSDrylot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7" t="s">
        <v>32</v>
      </c>
      <c r="E92" s="1" t="str" cm="1">
        <f t="array" ref="E92">MMS_Feedlot_N2O_Direct_Equations.VEERG_4_1_1_3__2_Stage1NitrogenInMMSDrylot_Variable()</f>
        <v>MN_jm5T1</v>
      </c>
    </row>
    <row r="93" spans="3:17" ht="20.100000000000001" customHeight="1" x14ac:dyDescent="0.25">
      <c r="D93" s="57" t="s">
        <v>22</v>
      </c>
      <c r="E93" s="58" t="str" cm="1">
        <f t="array" ref="E93">MMS_Feedlot_N2O_Direct_Equations.VEERG_4_1_1_3__2_Stage1NitrogenInMMSDrylot_Unit()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1" t="str" cm="1">
        <f t="array" ref="D95:E96">MMS_Feedlot_N2O_Direct_Equations.VEERG_4_1_1_3__2_Stage1NitrogenInMMSDrylot_Arguments()</f>
        <v>AE_j</v>
      </c>
      <c r="E95" s="62" t="str">
        <v>total nitrogen excreted by each cattle group : kg N</v>
      </c>
      <c r="F95" s="63"/>
      <c r="G95" s="61" t="str">
        <f>"See " &amp; $D$80</f>
        <v>See M1_Table_AE_j</v>
      </c>
    </row>
    <row r="96" spans="3:17" ht="20.100000000000001" customHeight="1" x14ac:dyDescent="0.25">
      <c r="D96" s="61" t="str">
        <v>MMS_jm5T1</v>
      </c>
      <c r="E96" s="62" t="str">
        <v>fraction of manure in primary system drylot MMS : fraction</v>
      </c>
      <c r="F96" s="63"/>
      <c r="G96" s="61" t="str">
        <f>"See " &amp; D98</f>
        <v>See Table_MMS_j_m-5_T-1</v>
      </c>
    </row>
    <row r="97" spans="3:17" ht="20.100000000000001" customHeight="1" x14ac:dyDescent="0.25"/>
    <row r="98" spans="3:17" ht="20.100000000000001" customHeight="1" x14ac:dyDescent="0.25">
      <c r="D98" s="106" t="s">
        <v>181</v>
      </c>
    </row>
    <row r="99" spans="3:17" ht="20.100000000000001" customHeight="1" x14ac:dyDescent="0.25">
      <c r="D99" s="105" t="s">
        <v>115</v>
      </c>
    </row>
    <row r="100" spans="3:17" ht="20.100000000000001" customHeight="1" x14ac:dyDescent="0.25">
      <c r="D100" s="55" t="s">
        <v>112</v>
      </c>
      <c r="E100" s="55" t="s">
        <v>152</v>
      </c>
      <c r="F100" s="55" t="s">
        <v>153</v>
      </c>
      <c r="G100" s="55" t="s">
        <v>154</v>
      </c>
    </row>
    <row r="101" spans="3:17" ht="20.100000000000001" customHeight="1" x14ac:dyDescent="0.25">
      <c r="D101" s="56" t="str">
        <f>'Input - MMS - Feedlot'!$D$29</f>
        <v>Drylot (feed pad)</v>
      </c>
      <c r="E101" s="56">
        <f>'Input - MMS - Feedlot'!$E$29</f>
        <v>1</v>
      </c>
      <c r="F101" s="56">
        <f>'Input - MMS - Feedlot'!$F$29</f>
        <v>1</v>
      </c>
      <c r="G101" s="56">
        <f>'Input - MMS - Feedlot'!$G$29</f>
        <v>1</v>
      </c>
      <c r="H101" s="2" t="s">
        <v>103</v>
      </c>
    </row>
    <row r="102" spans="3:17" ht="20.100000000000001" customHeight="1" x14ac:dyDescent="0.25"/>
    <row r="103" spans="3:17" ht="20.100000000000001" customHeight="1" x14ac:dyDescent="0.25">
      <c r="D103" s="106" t="s">
        <v>182</v>
      </c>
      <c r="L103" s="106" t="s">
        <v>183</v>
      </c>
    </row>
    <row r="104" spans="3:17" ht="20.100000000000001" customHeight="1" x14ac:dyDescent="0.25">
      <c r="D104" s="105" t="s">
        <v>206</v>
      </c>
      <c r="L104" s="105" t="s">
        <v>207</v>
      </c>
    </row>
    <row r="105" spans="3:17" ht="20.100000000000001" customHeight="1" x14ac:dyDescent="0.25">
      <c r="D105" s="55" t="s">
        <v>112</v>
      </c>
      <c r="E105" s="55" t="s">
        <v>152</v>
      </c>
      <c r="F105" s="55" t="s">
        <v>153</v>
      </c>
      <c r="G105" s="55" t="s">
        <v>154</v>
      </c>
      <c r="L105" s="55" t="s">
        <v>112</v>
      </c>
      <c r="M105" s="55" t="s">
        <v>152</v>
      </c>
      <c r="N105" s="55" t="s">
        <v>153</v>
      </c>
      <c r="O105" s="55" t="s">
        <v>154</v>
      </c>
    </row>
    <row r="106" spans="3:17" ht="20.100000000000001" customHeight="1" x14ac:dyDescent="0.25">
      <c r="D106" s="56" t="str">
        <f>'Input - MMS - Feedlot'!$D$29</f>
        <v>Drylot (feed pad)</v>
      </c>
      <c r="E106" s="56" cm="1">
        <f t="array" ref="E106">MMS_Feedlot_N2O_Direct_Equations.VEERG_4_1_1_3__2_Stage1NitrogenInMMSDrylot(D83,E101)</f>
        <v>71763.793920000026</v>
      </c>
      <c r="F106" s="56" cm="1">
        <f t="array" ref="F106">MMS_Feedlot_N2O_Direct_Equations.VEERG_4_1_1_3__2_Stage1NitrogenInMMSDrylot(E83,F101)</f>
        <v>2534.35392</v>
      </c>
      <c r="G106" s="56" cm="1">
        <f t="array" ref="G106">MMS_Feedlot_N2O_Direct_Equations.VEERG_4_1_1_3__2_Stage1NitrogenInMMSDrylot(F83,G101)</f>
        <v>3660.4799999999991</v>
      </c>
      <c r="H106" s="2" t="str">
        <f>$E$93</f>
        <v>kg N</v>
      </c>
      <c r="L106" s="56" t="str">
        <f>'Input - MMS - Feedlot'!$D$29</f>
        <v>Drylot (feed pad)</v>
      </c>
      <c r="M106" s="56" cm="1">
        <f t="array" ref="M106">MMS_Feedlot_N2O_Direct_Equations.VEERG_4_1_1_3__2_Stage1NitrogenInMMSDrylot(L83,E101)</f>
        <v>71763.793920000026</v>
      </c>
      <c r="N106" s="56" cm="1">
        <f t="array" ref="N106">MMS_Feedlot_N2O_Direct_Equations.VEERG_4_1_1_3__2_Stage1NitrogenInMMSDrylot(M83,F101)</f>
        <v>2534.35392</v>
      </c>
      <c r="O106" s="56" cm="1">
        <f t="array" ref="O106">MMS_Feedlot_N2O_Direct_Equations.VEERG_4_1_1_3__2_Stage1NitrogenInMMSDrylot(N83,G101)</f>
        <v>3660.4799999999991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9"/>
      <c r="D109" s="49"/>
      <c r="E109" s="49"/>
      <c r="F109" s="49"/>
      <c r="G109" s="49"/>
      <c r="H109" s="49"/>
      <c r="I109" s="49"/>
      <c r="K109" s="49"/>
      <c r="L109" s="49"/>
      <c r="M109" s="49"/>
      <c r="N109" s="49"/>
      <c r="O109" s="49"/>
      <c r="P109" s="49"/>
      <c r="Q109" s="49"/>
    </row>
    <row r="110" spans="3:17" ht="20.100000000000001" customHeight="1" x14ac:dyDescent="0.25">
      <c r="D110" s="6" t="str" cm="1">
        <f t="array" ref="D110">MMS_Feedlot_N2O_Direct_Equations.VEERG_4_1_1_3__8_Stage3NitrogenInMMSAnaerobicLagoon_Title()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MMS_Feedlot_N2O_Direct_Equations.VEERG_4_1_1_3__8_Stage3NitrogenInMMSAnaerobicLagoon_Source()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29</v>
      </c>
      <c r="E112" s="13" t="str" cm="1">
        <f t="array" aca="1" ref="E112" ca="1">Common_InputFunctions.Utility_DisplayFunctionName(E138)</f>
        <v>=MMS_Feedlot_N2O_Direct_Equations.VEERG_4_1_1_3__7_NitrogenTransferredToStage2_Variable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7" t="s">
        <v>32</v>
      </c>
      <c r="E115" s="1" t="str" cm="1">
        <f t="array" ref="E115">MMS_Feedlot_N2O_Direct_Equations.VEERG_4_1_1_3__8_Stage3NitrogenInMMSAnaerobicLagoon_Variable()</f>
        <v>MN_jm1T3</v>
      </c>
    </row>
    <row r="116" spans="4:15" ht="20.100000000000001" customHeight="1" x14ac:dyDescent="0.25">
      <c r="D116" s="57" t="s">
        <v>22</v>
      </c>
      <c r="E116" s="58" t="str" cm="1">
        <f t="array" ref="E116">MMS_Feedlot_N2O_Direct_Equations.VEERG_4_1_1_3__8_Stage3NitrogenInMMSAnaerobicLagoon_Unit()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1" t="str" cm="1">
        <f t="array" ref="D118:E119">MMS_Feedlot_N2O_Direct_Equations.VEERG_4_1_1_3__8_Stage3NitrogenInMMSAnaerobicLagoon_Arguments()</f>
        <v>AE_j</v>
      </c>
      <c r="E118" s="62" t="str">
        <v>total nitrogen excreted by each cattle group : kg N</v>
      </c>
      <c r="F118" s="63"/>
      <c r="G118" s="61" t="str">
        <f>"See " &amp; $D$80</f>
        <v>See M1_Table_AE_j</v>
      </c>
    </row>
    <row r="119" spans="4:15" ht="20.100000000000001" customHeight="1" x14ac:dyDescent="0.25">
      <c r="D119" s="61" t="str">
        <v>MMS_jm1T3</v>
      </c>
      <c r="E119" s="62" t="str">
        <v>fraction of manure to tertiary anaerobic lagoon system : fraction</v>
      </c>
      <c r="F119" s="63"/>
      <c r="G119" s="61" t="str">
        <f>"See " &amp; D121</f>
        <v>See Table_MMS_j_m-1_T-3</v>
      </c>
    </row>
    <row r="120" spans="4:15" ht="20.100000000000001" customHeight="1" x14ac:dyDescent="0.25"/>
    <row r="121" spans="4:15" ht="20.100000000000001" customHeight="1" x14ac:dyDescent="0.25">
      <c r="D121" s="106" t="s">
        <v>187</v>
      </c>
    </row>
    <row r="122" spans="4:15" ht="20.100000000000001" customHeight="1" x14ac:dyDescent="0.25">
      <c r="D122" s="105" t="s">
        <v>186</v>
      </c>
    </row>
    <row r="123" spans="4:15" ht="20.100000000000001" customHeight="1" x14ac:dyDescent="0.25">
      <c r="D123" s="55" t="s">
        <v>126</v>
      </c>
      <c r="E123" s="55" t="s">
        <v>152</v>
      </c>
      <c r="F123" s="55" t="s">
        <v>153</v>
      </c>
      <c r="G123" s="55" t="s">
        <v>154</v>
      </c>
    </row>
    <row r="124" spans="4:15" ht="20.100000000000001" customHeight="1" x14ac:dyDescent="0.25">
      <c r="D124" s="56" t="str">
        <f>'Input - MMS - Feedlot'!$D$41</f>
        <v>Anaerobic lagoon</v>
      </c>
      <c r="E124" s="56">
        <f>'Input - MMS - Feedlot'!$E$41</f>
        <v>0.02</v>
      </c>
      <c r="F124" s="56">
        <f>'Input - MMS - Feedlot'!$F$41</f>
        <v>0.02</v>
      </c>
      <c r="G124" s="56">
        <f>'Input - MMS - Feedlot'!$G$41</f>
        <v>0.02</v>
      </c>
      <c r="H124" s="2" t="s">
        <v>103</v>
      </c>
    </row>
    <row r="125" spans="4:15" ht="20.100000000000001" customHeight="1" x14ac:dyDescent="0.25"/>
    <row r="126" spans="4:15" ht="20.100000000000001" customHeight="1" x14ac:dyDescent="0.25">
      <c r="D126" s="106" t="s">
        <v>192</v>
      </c>
      <c r="L126" s="106" t="s">
        <v>193</v>
      </c>
    </row>
    <row r="127" spans="4:15" ht="20.100000000000001" customHeight="1" x14ac:dyDescent="0.25">
      <c r="D127" s="105" t="s">
        <v>204</v>
      </c>
      <c r="L127" s="105" t="s">
        <v>205</v>
      </c>
    </row>
    <row r="128" spans="4:15" ht="20.100000000000001" customHeight="1" x14ac:dyDescent="0.25">
      <c r="D128" s="55" t="s">
        <v>126</v>
      </c>
      <c r="E128" s="55" t="s">
        <v>152</v>
      </c>
      <c r="F128" s="55" t="s">
        <v>153</v>
      </c>
      <c r="G128" s="55" t="s">
        <v>154</v>
      </c>
      <c r="L128" s="55" t="s">
        <v>126</v>
      </c>
      <c r="M128" s="55" t="s">
        <v>152</v>
      </c>
      <c r="N128" s="55" t="s">
        <v>153</v>
      </c>
      <c r="O128" s="55" t="s">
        <v>154</v>
      </c>
    </row>
    <row r="129" spans="3:17" ht="20.100000000000001" customHeight="1" x14ac:dyDescent="0.25">
      <c r="D129" s="56" t="str">
        <f>'Input - MMS - Feedlot'!$D$41</f>
        <v>Anaerobic lagoon</v>
      </c>
      <c r="E129" s="56" cm="1">
        <f t="array" ref="E129">MMS_Feedlot_N2O_Direct_Equations.VEERG_4_1_1_3__8_Stage3NitrogenInMMSAnaerobicLagoon(D83,E124)</f>
        <v>1435.2758784000005</v>
      </c>
      <c r="F129" s="56" cm="1">
        <f t="array" ref="F129">MMS_Feedlot_N2O_Direct_Equations.VEERG_4_1_1_3__8_Stage3NitrogenInMMSAnaerobicLagoon(E83,F124)</f>
        <v>50.687078400000004</v>
      </c>
      <c r="G129" s="56" cm="1">
        <f t="array" ref="G129">MMS_Feedlot_N2O_Direct_Equations.VEERG_4_1_1_3__8_Stage3NitrogenInMMSAnaerobicLagoon(F83,G124)</f>
        <v>73.20959999999998</v>
      </c>
      <c r="H129" s="2" t="str">
        <f>$E$116</f>
        <v>kg N</v>
      </c>
      <c r="L129" s="56" t="str">
        <f>'Input - MMS - Feedlot'!$D$41</f>
        <v>Anaerobic lagoon</v>
      </c>
      <c r="M129" s="56" cm="1">
        <f t="array" ref="M129">MMS_Feedlot_N2O_Direct_Equations.VEERG_4_1_1_3__8_Stage3NitrogenInMMSAnaerobicLagoon(L83,E124)</f>
        <v>1435.2758784000005</v>
      </c>
      <c r="N129" s="56" cm="1">
        <f t="array" ref="N129">MMS_Feedlot_N2O_Direct_Equations.VEERG_4_1_1_3__8_Stage3NitrogenInMMSAnaerobicLagoon(M83,F124)</f>
        <v>50.687078400000004</v>
      </c>
      <c r="O129" s="56" cm="1">
        <f t="array" ref="O129">MMS_Feedlot_N2O_Direct_Equations.VEERG_4_1_1_3__8_Stage3NitrogenInMMSAnaerobicLagoon(N83,G124)</f>
        <v>73.20959999999998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9"/>
      <c r="D132" s="49"/>
      <c r="E132" s="49"/>
      <c r="F132" s="49"/>
      <c r="G132" s="49"/>
      <c r="H132" s="49"/>
      <c r="I132" s="49"/>
      <c r="K132" s="49"/>
      <c r="L132" s="49"/>
      <c r="M132" s="49"/>
      <c r="N132" s="49"/>
      <c r="O132" s="49"/>
      <c r="P132" s="49"/>
      <c r="Q132" s="49"/>
    </row>
    <row r="133" spans="3:17" ht="20.100000000000001" customHeight="1" x14ac:dyDescent="0.25">
      <c r="D133" s="6" t="str" cm="1">
        <f t="array" ref="D133">MMS_Feedlot_N2O_Direct_Equations.VEERG_4_1_1_3__7_NitrogenTransferredToStage2_Title()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MMS_Feedlot_N2O_Direct_Equations.VEERG_4_1_1_3__7_NitrogenTransferredToStage2_Source()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29</v>
      </c>
      <c r="E135" s="13" t="str" cm="1">
        <f t="array" aca="1" ref="E135" ca="1">Common_InputFunctions.Utility_DisplayFunctionName(D149)</f>
        <v>=MMS_Feedlot_N2O_Direct_Equations.VEERG_4_1_1_3__7_NitrogenTransferredToStage2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7" t="s">
        <v>32</v>
      </c>
      <c r="E138" s="1" t="str" cm="1">
        <f t="array" ref="E138">MMS_Feedlot_N2O_Direct_Equations.VEERG_4_1_1_3__7_NitrogenTransferredToStage2_Variable()</f>
        <v>NT_jmT2</v>
      </c>
    </row>
    <row r="139" spans="3:17" ht="20.100000000000001" customHeight="1" x14ac:dyDescent="0.25">
      <c r="D139" s="57" t="s">
        <v>22</v>
      </c>
      <c r="E139" s="58" t="str" cm="1">
        <f t="array" ref="E139">MMS_Feedlot_N2O_Direct_Equations.VEERG_4_1_1_3__7_NitrogenTransferredToStage2_Unit()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1" t="str" cm="1">
        <f t="array" ref="D141:E144">MMS_Feedlot_N2O_Direct_Equations.VEERG_4_1_1_3__7_NitrogenTransferredToStage2_Arguments()</f>
        <v>MN_jm5T1</v>
      </c>
      <c r="E141" s="61" t="str">
        <v>nitrogen in MMS treatment stage 1 : kg N</v>
      </c>
      <c r="F141" s="61"/>
      <c r="G141" s="61" t="str">
        <f>"See " &amp; D103</f>
        <v>See M1_Table_MN_j_m-5_T-1</v>
      </c>
    </row>
    <row r="142" spans="3:17" ht="20.100000000000001" customHeight="1" x14ac:dyDescent="0.25">
      <c r="D142" s="61" t="str">
        <v>FracGASM_m5</v>
      </c>
      <c r="E142" s="61" t="str">
        <v>fraction of N volatilised from drylot MMS : fraction</v>
      </c>
      <c r="F142" s="61"/>
      <c r="G142" s="61">
        <f>'Source Data - Feedlot'!$F$113</f>
        <v>0.6</v>
      </c>
    </row>
    <row r="143" spans="3:17" ht="20.100000000000001" customHeight="1" x14ac:dyDescent="0.25">
      <c r="D143" s="61" t="str">
        <v>EF_m5</v>
      </c>
      <c r="E143" s="61" t="str">
        <v>nitrous oxide emission factor for drylot MMS : kg N2O-N/kg N deposited</v>
      </c>
      <c r="F143" s="61"/>
      <c r="G143" s="61">
        <f>'Source Data - Feedlot'!$F$101</f>
        <v>5.4000000000000003E-3</v>
      </c>
    </row>
    <row r="144" spans="3:17" ht="20.100000000000001" customHeight="1" x14ac:dyDescent="0.25">
      <c r="D144" s="61" t="str">
        <v>MN_jmT3</v>
      </c>
      <c r="E144" s="61" t="str">
        <v>nitrogen in MMS treatment stage 3 : kg N</v>
      </c>
      <c r="F144" s="61"/>
      <c r="G144" s="61" t="str">
        <f>"See " &amp; D126</f>
        <v>See M1_Table_MN_j_m-1_T-3</v>
      </c>
    </row>
    <row r="145" spans="3:17" ht="20.100000000000001" customHeight="1" x14ac:dyDescent="0.25"/>
    <row r="146" spans="3:17" ht="20.100000000000001" customHeight="1" x14ac:dyDescent="0.25">
      <c r="D146" s="106" t="s">
        <v>194</v>
      </c>
      <c r="L146" s="106" t="s">
        <v>195</v>
      </c>
    </row>
    <row r="147" spans="3:17" ht="20.100000000000001" customHeight="1" x14ac:dyDescent="0.25">
      <c r="D147" s="105" t="s">
        <v>202</v>
      </c>
      <c r="L147" s="105" t="s">
        <v>203</v>
      </c>
    </row>
    <row r="148" spans="3:17" ht="20.100000000000001" customHeight="1" x14ac:dyDescent="0.25">
      <c r="D148" s="55" t="s">
        <v>152</v>
      </c>
      <c r="E148" s="55" t="s">
        <v>153</v>
      </c>
      <c r="F148" s="55" t="s">
        <v>154</v>
      </c>
      <c r="L148" s="55" t="s">
        <v>152</v>
      </c>
      <c r="M148" s="55" t="s">
        <v>153</v>
      </c>
      <c r="N148" s="55" t="s">
        <v>154</v>
      </c>
    </row>
    <row r="149" spans="3:17" ht="20.100000000000001" customHeight="1" x14ac:dyDescent="0.25">
      <c r="D149" s="56" cm="1">
        <f t="array" ref="D149">MMS_Feedlot_N2O_Direct_Equations.VEERG_4_1_1_3__7_NitrogenTransferredToStage2(E106,$G$142,$G$143,E129)</f>
        <v>26882.71720243201</v>
      </c>
      <c r="E149" s="56" cm="1">
        <f t="array" ref="E149">MMS_Feedlot_N2O_Direct_Equations.VEERG_4_1_1_3__7_NitrogenTransferredToStage2(F106,$G$142,$G$143,F129)</f>
        <v>949.36897843199995</v>
      </c>
      <c r="F149" s="56" cm="1">
        <f t="array" ref="F149">MMS_Feedlot_N2O_Direct_Equations.VEERG_4_1_1_3__7_NitrogenTransferredToStage2(G106,$G$142,$G$143,G129)</f>
        <v>1371.2158079999997</v>
      </c>
      <c r="G149" s="2" t="str">
        <f>$E$116</f>
        <v>kg N</v>
      </c>
      <c r="L149" s="56" cm="1">
        <f t="array" ref="L149">MMS_Feedlot_N2O_Direct_Equations.VEERG_4_1_1_3__7_NitrogenTransferredToStage2(M106,$G$142,$G$143,M129)</f>
        <v>26882.71720243201</v>
      </c>
      <c r="M149" s="56" cm="1">
        <f t="array" ref="M149">MMS_Feedlot_N2O_Direct_Equations.VEERG_4_1_1_3__7_NitrogenTransferredToStage2(N106,$G$142,$G$143,N129)</f>
        <v>949.36897843199995</v>
      </c>
      <c r="N149" s="56" cm="1">
        <f t="array" ref="N149">MMS_Feedlot_N2O_Direct_Equations.VEERG_4_1_1_3__7_NitrogenTransferredToStage2(O106,$G$142,$G$143,O129)</f>
        <v>1371.2158079999997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9"/>
      <c r="D152" s="49"/>
      <c r="E152" s="49"/>
      <c r="F152" s="49"/>
      <c r="G152" s="49"/>
      <c r="H152" s="49"/>
      <c r="I152" s="49"/>
      <c r="K152" s="49"/>
      <c r="L152" s="49"/>
      <c r="M152" s="49"/>
      <c r="N152" s="49"/>
      <c r="O152" s="49"/>
      <c r="P152" s="49"/>
      <c r="Q152" s="49"/>
    </row>
    <row r="153" spans="3:17" ht="20.100000000000001" customHeight="1" x14ac:dyDescent="0.25">
      <c r="D153" s="6" t="str" cm="1">
        <f t="array" ref="D153">MMS_Feedlot_N2O_Direct_Equations.VEERG_4_1_1_3__6_Stage2NitrogenInMMS_Title()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MMS_Feedlot_N2O_Direct_Equations.VEERG_4_1_1_3__6_Stage2NitrogenInMMS_Source()</f>
        <v>VEERG 2026: 4.1.1.3, Equation (6)</v>
      </c>
    </row>
    <row r="155" spans="3:17" ht="20.100000000000001" customHeight="1" x14ac:dyDescent="0.25">
      <c r="D155" s="13" t="s">
        <v>29</v>
      </c>
      <c r="E155" s="13" t="str" cm="1">
        <f t="array" aca="1" ref="E155" ca="1">Common_InputFunctions.Utility_DisplayFunctionName(E173)</f>
        <v>=MMS_Feedlot_N2O_Direct_Equations.VEERG_4_1_1_3__6_Stage2NitrogenInMMS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7" t="s">
        <v>32</v>
      </c>
      <c r="E158" s="1" t="str" cm="1">
        <f t="array" ref="E158">MMS_Feedlot_N2O_Direct_Equations.VEERG_4_1_1_3__6_Stage2NitrogenInMMS_Variable()</f>
        <v>MN_jmT2</v>
      </c>
    </row>
    <row r="159" spans="3:17" ht="20.100000000000001" customHeight="1" x14ac:dyDescent="0.25">
      <c r="D159" s="57" t="s">
        <v>22</v>
      </c>
      <c r="E159" s="58" t="str" cm="1">
        <f t="array" ref="E159">MMS_Feedlot_N2O_Direct_Equations.VEERG_4_1_1_3__6_Stage2NitrogenInMMS_Unit()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1" t="str" cm="1">
        <f t="array" ref="D161:E162">MMS_Feedlot_N2O_Direct_Equations.VEERG_4_1_1_3__6_Stage2NitrogenInMMS_Arguments()</f>
        <v>NT_jmT2</v>
      </c>
      <c r="E161" s="62" t="str">
        <v>nitrogen transferred to secondary treatment MMS : kg N</v>
      </c>
      <c r="F161" s="63"/>
      <c r="G161" s="61" t="str">
        <f>"See " &amp; D146</f>
        <v>See M1_Table_NT_j_m-_T-2</v>
      </c>
    </row>
    <row r="162" spans="4:16" ht="20.100000000000001" customHeight="1" x14ac:dyDescent="0.25">
      <c r="D162" s="61" t="str">
        <v>MMS_jmT2</v>
      </c>
      <c r="E162" s="62" t="str">
        <v>fraction of manure in each secondary system : fraction</v>
      </c>
      <c r="F162" s="63"/>
      <c r="G162" s="61" t="str">
        <f>"See " &amp; D164</f>
        <v>See Table_MMS_j_m_T-2</v>
      </c>
    </row>
    <row r="163" spans="4:16" ht="20.100000000000001" customHeight="1" x14ac:dyDescent="0.25">
      <c r="I163" s="2"/>
    </row>
    <row r="164" spans="4:16" ht="20.100000000000001" customHeight="1" x14ac:dyDescent="0.25">
      <c r="D164" s="106" t="s">
        <v>184</v>
      </c>
      <c r="I164" s="2"/>
    </row>
    <row r="165" spans="4:16" ht="20.100000000000001" customHeight="1" x14ac:dyDescent="0.25">
      <c r="D165" s="105" t="s">
        <v>120</v>
      </c>
    </row>
    <row r="166" spans="4:16" ht="20.100000000000001" customHeight="1" x14ac:dyDescent="0.25">
      <c r="D166" s="55" t="s">
        <v>107</v>
      </c>
      <c r="E166" s="55" t="s">
        <v>152</v>
      </c>
      <c r="F166" s="55" t="s">
        <v>153</v>
      </c>
      <c r="G166" s="55" t="s">
        <v>154</v>
      </c>
    </row>
    <row r="167" spans="4:16" ht="20.100000000000001" customHeight="1" x14ac:dyDescent="0.25">
      <c r="D167" s="56" t="str">
        <f>'Input - MMS - Feedlot'!$D$35</f>
        <v>Solid storage</v>
      </c>
      <c r="E167" s="56">
        <f>'Input - MMS - Feedlot'!$E$35</f>
        <v>0.2</v>
      </c>
      <c r="F167" s="56">
        <f>'Input - MMS - Feedlot'!$F$35</f>
        <v>0.2</v>
      </c>
      <c r="G167" s="56">
        <f>'Input - MMS - Feedlot'!$G$35</f>
        <v>0.2</v>
      </c>
      <c r="H167" s="2" t="s">
        <v>103</v>
      </c>
    </row>
    <row r="168" spans="4:16" ht="20.100000000000001" customHeight="1" x14ac:dyDescent="0.25">
      <c r="D168" s="56" t="str">
        <f>'Input - MMS - Feedlot'!$D$36</f>
        <v>Composting (passive windrow)</v>
      </c>
      <c r="E168" s="56">
        <f>'Input - MMS - Feedlot'!$E$36</f>
        <v>0.8</v>
      </c>
      <c r="F168" s="56">
        <f>'Input - MMS - Feedlot'!$F$36</f>
        <v>0.8</v>
      </c>
      <c r="G168" s="56">
        <f>'Input - MMS - Feedlot'!$G$36</f>
        <v>0.8</v>
      </c>
      <c r="H168" s="2" t="s">
        <v>103</v>
      </c>
    </row>
    <row r="169" spans="4:16" ht="20.100000000000001" customHeight="1" x14ac:dyDescent="0.25"/>
    <row r="170" spans="4:16" ht="20.100000000000001" customHeight="1" x14ac:dyDescent="0.25">
      <c r="D170" s="106" t="s">
        <v>196</v>
      </c>
      <c r="L170" s="106" t="s">
        <v>196</v>
      </c>
    </row>
    <row r="171" spans="4:16" ht="20.100000000000001" customHeight="1" x14ac:dyDescent="0.25">
      <c r="D171" s="105" t="s">
        <v>200</v>
      </c>
      <c r="L171" s="105" t="s">
        <v>201</v>
      </c>
    </row>
    <row r="172" spans="4:16" ht="20.100000000000001" customHeight="1" x14ac:dyDescent="0.25">
      <c r="D172" s="55" t="s">
        <v>107</v>
      </c>
      <c r="E172" s="55" t="s">
        <v>152</v>
      </c>
      <c r="F172" s="55" t="s">
        <v>153</v>
      </c>
      <c r="G172" s="55" t="s">
        <v>154</v>
      </c>
      <c r="L172" s="55" t="s">
        <v>107</v>
      </c>
      <c r="M172" s="55" t="s">
        <v>152</v>
      </c>
      <c r="N172" s="55" t="s">
        <v>153</v>
      </c>
      <c r="O172" s="55" t="s">
        <v>154</v>
      </c>
    </row>
    <row r="173" spans="4:16" ht="20.100000000000001" customHeight="1" x14ac:dyDescent="0.25">
      <c r="D173" s="56" t="str">
        <f>'Input - MMS - Feedlot'!$D$35</f>
        <v>Solid storage</v>
      </c>
      <c r="E173" s="56" cm="1">
        <f t="array" ref="E173">MMS_Feedlot_N2O_Direct_Equations.VEERG_4_1_1_3__6_Stage2NitrogenInMMS(D$149,E167)</f>
        <v>5376.5434404864027</v>
      </c>
      <c r="F173" s="56" cm="1">
        <f t="array" ref="F173">MMS_Feedlot_N2O_Direct_Equations.VEERG_4_1_1_3__6_Stage2NitrogenInMMS(E$149,F167)</f>
        <v>189.8737956864</v>
      </c>
      <c r="G173" s="56" cm="1">
        <f t="array" ref="G173">MMS_Feedlot_N2O_Direct_Equations.VEERG_4_1_1_3__6_Stage2NitrogenInMMS(F$149,G167)</f>
        <v>274.24316159999995</v>
      </c>
      <c r="H173" s="2" t="str">
        <f>$E$159</f>
        <v>kg N</v>
      </c>
      <c r="L173" s="56" t="str">
        <f>'Input - MMS - Feedlot'!$D$35</f>
        <v>Solid storage</v>
      </c>
      <c r="M173" s="56" cm="1">
        <f t="array" ref="M173">MMS_Feedlot_N2O_Direct_Equations.VEERG_4_1_1_3__6_Stage2NitrogenInMMS(L$149,E167)</f>
        <v>5376.5434404864027</v>
      </c>
      <c r="N173" s="56" cm="1">
        <f t="array" ref="N173">MMS_Feedlot_N2O_Direct_Equations.VEERG_4_1_1_3__6_Stage2NitrogenInMMS(M$149,F167)</f>
        <v>189.8737956864</v>
      </c>
      <c r="O173" s="56" cm="1">
        <f t="array" ref="O173">MMS_Feedlot_N2O_Direct_Equations.VEERG_4_1_1_3__6_Stage2NitrogenInMMS(N$149,G167)</f>
        <v>274.24316159999995</v>
      </c>
      <c r="P173" s="2" t="str">
        <f>$E$159</f>
        <v>kg N</v>
      </c>
    </row>
    <row r="174" spans="4:16" ht="20.100000000000001" customHeight="1" x14ac:dyDescent="0.25">
      <c r="D174" s="56" t="str">
        <f>'Input - MMS - Feedlot'!$D$36</f>
        <v>Composting (passive windrow)</v>
      </c>
      <c r="E174" s="56" cm="1">
        <f t="array" ref="E174">MMS_Feedlot_N2O_Direct_Equations.VEERG_4_1_1_3__6_Stage2NitrogenInMMS(D$149,E168)</f>
        <v>21506.173761945611</v>
      </c>
      <c r="F174" s="56" cm="1">
        <f t="array" ref="F174">MMS_Feedlot_N2O_Direct_Equations.VEERG_4_1_1_3__6_Stage2NitrogenInMMS(E$149,F168)</f>
        <v>759.4951827456</v>
      </c>
      <c r="G174" s="56" cm="1">
        <f t="array" ref="G174">MMS_Feedlot_N2O_Direct_Equations.VEERG_4_1_1_3__6_Stage2NitrogenInMMS(F$149,G168)</f>
        <v>1096.9726463999998</v>
      </c>
      <c r="H174" s="2" t="str">
        <f>$E$159</f>
        <v>kg N</v>
      </c>
      <c r="L174" s="56" t="str">
        <f>'Input - MMS - Feedlot'!$D$36</f>
        <v>Composting (passive windrow)</v>
      </c>
      <c r="M174" s="56" cm="1">
        <f t="array" ref="M174">MMS_Feedlot_N2O_Direct_Equations.VEERG_4_1_1_3__6_Stage2NitrogenInMMS(L$149,E168)</f>
        <v>21506.173761945611</v>
      </c>
      <c r="N174" s="56" cm="1">
        <f t="array" ref="N174">MMS_Feedlot_N2O_Direct_Equations.VEERG_4_1_1_3__6_Stage2NitrogenInMMS(M$149,F168)</f>
        <v>759.4951827456</v>
      </c>
      <c r="O174" s="56" cm="1">
        <f t="array" ref="O174">MMS_Feedlot_N2O_Direct_Equations.VEERG_4_1_1_3__6_Stage2NitrogenInMMS(N$149,G168)</f>
        <v>1096.9726463999998</v>
      </c>
      <c r="P174" s="2" t="str">
        <f>$E$159</f>
        <v>kg N</v>
      </c>
    </row>
    <row r="175" spans="4:16" ht="20.100000000000001" customHeight="1" x14ac:dyDescent="0.25"/>
    <row r="176" spans="4:16" ht="20.100000000000001" customHeight="1" x14ac:dyDescent="0.25"/>
    <row r="177" spans="3:17" ht="20.100000000000001" customHeight="1" x14ac:dyDescent="0.25">
      <c r="C177" s="49"/>
      <c r="D177" s="49"/>
      <c r="E177" s="49"/>
      <c r="F177" s="49"/>
      <c r="G177" s="49"/>
      <c r="H177" s="49"/>
      <c r="I177" s="49"/>
      <c r="K177" s="49"/>
      <c r="L177" s="49"/>
      <c r="M177" s="49"/>
      <c r="N177" s="49"/>
      <c r="O177" s="49"/>
      <c r="P177" s="49"/>
      <c r="Q177" s="49"/>
    </row>
    <row r="178" spans="3:17" ht="20.100000000000001" customHeight="1" x14ac:dyDescent="0.25">
      <c r="D178" s="6" t="str" cm="1">
        <f t="array" ref="D178">MMS_Feedlot_N2O_Direct_Equations.VEERG_4_1_1_3__1_TotalAnnualDirectNitrousOxideEmissions_Title()</f>
        <v>Total annual direct nitrous oxide emissions from manure management systems</v>
      </c>
    </row>
    <row r="179" spans="3:17" ht="20.100000000000001" customHeight="1" x14ac:dyDescent="0.25">
      <c r="D179" s="5" t="str" cm="1">
        <f t="array" ref="D179">MMS_Feedlot_N2O_Direct_Equations.VEERG_4_1_1_3__1_TotalAnnualDirectNitrousOxideEmissions_Source()</f>
        <v>VEERG 2026: 4.1.1.3, Equation (1)</v>
      </c>
    </row>
    <row r="180" spans="3:17" ht="20.100000000000001" customHeight="1" x14ac:dyDescent="0.25">
      <c r="D180" s="13" t="s">
        <v>29</v>
      </c>
      <c r="E180" s="13" t="str" cm="1">
        <f t="array" aca="1" ref="E180" ca="1">Common_InputFunctions.Utility_DisplayFunctionName(E202)</f>
        <v>=MMS_Feedlot_N2O_Direct_Equations.VEERG_4_1_1_3__1_TotalAnnualDirectNitrousOxideEmissions</v>
      </c>
    </row>
    <row r="181" spans="3:17" ht="20.100000000000001" customHeight="1" x14ac:dyDescent="0.25"/>
    <row r="182" spans="3:17" ht="20.100000000000001" customHeight="1" x14ac:dyDescent="0.25">
      <c r="D182" s="6"/>
    </row>
    <row r="183" spans="3:17" ht="20.100000000000001" customHeight="1" x14ac:dyDescent="0.25"/>
    <row r="184" spans="3:17" ht="20.100000000000001" customHeight="1" x14ac:dyDescent="0.25">
      <c r="D184" s="57" t="s">
        <v>32</v>
      </c>
      <c r="E184" s="1" t="str" cm="1">
        <f t="array" ref="E184">MMS_Feedlot_N2O_Direct_Equations.VEERG_4_1_1_3__1_TotalAnnualDirectNitrousOxideEmissions_Variable()</f>
        <v>E_N2Odir</v>
      </c>
    </row>
    <row r="185" spans="3:17" ht="20.100000000000001" customHeight="1" x14ac:dyDescent="0.25">
      <c r="D185" s="57" t="s">
        <v>22</v>
      </c>
      <c r="E185" s="58" t="str" cm="1">
        <f t="array" ref="E185">MMS_Feedlot_N2O_Direct_Equations.VEERG_4_1_1_3__1_TotalAnnualDirectNitrousOxideEmissions_Unit()</f>
        <v>t N2O</v>
      </c>
    </row>
    <row r="186" spans="3:17" ht="20.100000000000001" customHeight="1" x14ac:dyDescent="0.25"/>
    <row r="187" spans="3:17" ht="20.100000000000001" customHeight="1" x14ac:dyDescent="0.25">
      <c r="D187" s="120" t="str" cm="1">
        <f t="array" ref="D187:E189">MMS_Feedlot_N2O_Direct_Equations.VEERG_4_1_1_3__1_TotalAnnualDirectNitrousOxideEmissions_Arguments()</f>
        <v>MN_jmT</v>
      </c>
      <c r="E187" s="122" t="str">
        <v>nitrogen per cattle group, MMS and treatment stage : kg N</v>
      </c>
      <c r="F187" s="121"/>
      <c r="G187" s="62" t="str">
        <f>"See " &amp; D103 &amp; ", " &amp; D170 &amp; ", " &amp; D126</f>
        <v>See M1_Table_MN_j_m-5_T-1, M1_Table_MN_j_m_T-2, M1_Table_MN_j_m-1_T-3</v>
      </c>
      <c r="H187" s="63"/>
    </row>
    <row r="188" spans="3:17" ht="20.100000000000001" customHeight="1" x14ac:dyDescent="0.25">
      <c r="D188" s="120" t="str">
        <v>EF_jm</v>
      </c>
      <c r="E188" s="122" t="str">
        <v>nitrous oxide emission factor for MMS : kg N2O-N/kg N</v>
      </c>
      <c r="F188" s="121"/>
      <c r="G188" s="62" t="str">
        <f>"See " &amp; D191</f>
        <v>See Table_EF_j_m</v>
      </c>
      <c r="H188" s="63"/>
    </row>
    <row r="189" spans="3:17" ht="20.100000000000001" customHeight="1" x14ac:dyDescent="0.25">
      <c r="D189" s="120" t="str">
        <v>C_N2O</v>
      </c>
      <c r="E189" s="122" t="str">
        <v>factor to convert elemental mass of nitrous oxide to molecular mass : ratio</v>
      </c>
      <c r="F189" s="121"/>
      <c r="G189" s="62" cm="1">
        <f t="array" ref="G189">Common_InputFunctions.Utility_LookupValueInTableNumber("N2O",#REF!,#REF!)</f>
        <v>0</v>
      </c>
      <c r="H189" s="63"/>
    </row>
    <row r="190" spans="3:17" ht="20.100000000000001" customHeight="1" x14ac:dyDescent="0.25"/>
    <row r="191" spans="3:17" ht="20.100000000000001" customHeight="1" x14ac:dyDescent="0.25">
      <c r="D191" s="106" t="s">
        <v>188</v>
      </c>
    </row>
    <row r="192" spans="3:17" ht="20.100000000000001" customHeight="1" x14ac:dyDescent="0.25">
      <c r="D192" s="105" t="s">
        <v>189</v>
      </c>
    </row>
    <row r="193" spans="4:16" ht="20.100000000000001" customHeight="1" x14ac:dyDescent="0.25">
      <c r="D193" s="123" t="s">
        <v>70</v>
      </c>
      <c r="E193" s="123" t="s">
        <v>190</v>
      </c>
    </row>
    <row r="194" spans="4:16" ht="20.100000000000001" customHeight="1" x14ac:dyDescent="0.25">
      <c r="D194" s="56" t="str">
        <f>'Input - MMS - Feedlot'!$D$29</f>
        <v>Drylot (feed pad)</v>
      </c>
      <c r="E194" s="56">
        <f>_xlfn.XLOOKUP($D$194, Table_SourceData_Feedlot_NO2EFs[NIR definition], Table_SourceData_Feedlot_NO2EFs[EF mT])</f>
        <v>5.4000000000000003E-3</v>
      </c>
    </row>
    <row r="195" spans="4:16" ht="20.100000000000001" customHeight="1" x14ac:dyDescent="0.25">
      <c r="D195" s="56" t="str">
        <f>'Input - MMS - Feedlot'!$D$35</f>
        <v>Solid storage</v>
      </c>
      <c r="E195" s="56">
        <f>_xlfn.XLOOKUP($D$195, Table_SourceData_Feedlot_NO2EFs[NIR definition], Table_SourceData_Feedlot_NO2EFs[EF mT])</f>
        <v>5.0000000000000001E-3</v>
      </c>
    </row>
    <row r="196" spans="4:16" ht="20.100000000000001" customHeight="1" x14ac:dyDescent="0.25">
      <c r="D196" s="56" t="str">
        <f>'Input - MMS - Feedlot'!$D$36</f>
        <v>Composting (passive windrow)</v>
      </c>
      <c r="E196" s="56">
        <f>_xlfn.XLOOKUP($D$196, Table_SourceData_Feedlot_NO2EFs[NIR definition], Table_SourceData_Feedlot_NO2EFs[EF mT])</f>
        <v>0.01</v>
      </c>
    </row>
    <row r="197" spans="4:16" ht="20.100000000000001" customHeight="1" x14ac:dyDescent="0.25">
      <c r="D197" s="56" t="str">
        <f>'Input - MMS - Feedlot'!$D$41</f>
        <v>Anaerobic lagoon</v>
      </c>
      <c r="E197" s="56">
        <f>_xlfn.XLOOKUP($D$197, Table_SourceData_Feedlot_NO2EFs[NIR definition], Table_SourceData_Feedlot_NO2EFs[EF mT])</f>
        <v>0</v>
      </c>
    </row>
    <row r="198" spans="4:16" ht="20.100000000000001" customHeight="1" x14ac:dyDescent="0.25"/>
    <row r="199" spans="4:16" ht="20.100000000000001" customHeight="1" x14ac:dyDescent="0.25">
      <c r="D199" s="106" t="s">
        <v>197</v>
      </c>
      <c r="L199" s="106" t="s">
        <v>197</v>
      </c>
    </row>
    <row r="200" spans="4:16" ht="20.100000000000001" customHeight="1" x14ac:dyDescent="0.25">
      <c r="D200" s="105" t="s">
        <v>198</v>
      </c>
      <c r="L200" s="105" t="s">
        <v>199</v>
      </c>
    </row>
    <row r="201" spans="4:16" ht="20.100000000000001" customHeight="1" x14ac:dyDescent="0.25">
      <c r="D201" s="123" t="s">
        <v>70</v>
      </c>
      <c r="E201" s="55" t="s">
        <v>152</v>
      </c>
      <c r="F201" s="55" t="s">
        <v>153</v>
      </c>
      <c r="G201" s="55" t="s">
        <v>154</v>
      </c>
      <c r="L201" s="123" t="s">
        <v>70</v>
      </c>
      <c r="M201" s="55" t="s">
        <v>152</v>
      </c>
      <c r="N201" s="55" t="s">
        <v>153</v>
      </c>
      <c r="O201" s="55" t="s">
        <v>154</v>
      </c>
    </row>
    <row r="202" spans="4:16" ht="20.100000000000001" customHeight="1" x14ac:dyDescent="0.25">
      <c r="D202" s="56" t="str">
        <f>'Input - MMS - Feedlot'!$D$29</f>
        <v>Drylot (feed pad)</v>
      </c>
      <c r="E202" s="56" cm="1">
        <f t="array" ref="E202">MMS_Feedlot_N2O_Direct_Equations.VEERG_4_1_1_3__1_TotalAnnualDirectNitrousOxideEmissions(E$106,$E194,$G$189)</f>
        <v>0</v>
      </c>
      <c r="F202" s="56" cm="1">
        <f t="array" ref="F202">MMS_Feedlot_N2O_Direct_Equations.VEERG_4_1_1_3__1_TotalAnnualDirectNitrousOxideEmissions(F$106,$E194,$G$189)</f>
        <v>0</v>
      </c>
      <c r="G202" s="56" cm="1">
        <f t="array" ref="G202">MMS_Feedlot_N2O_Direct_Equations.VEERG_4_1_1_3__1_TotalAnnualDirectNitrousOxideEmissions(G$106,$E194,$G$189)</f>
        <v>0</v>
      </c>
      <c r="H202" s="2" t="str">
        <f>$E$185</f>
        <v>t N2O</v>
      </c>
      <c r="L202" s="56" t="str">
        <f>'Input - MMS - Feedlot'!$D$29</f>
        <v>Drylot (feed pad)</v>
      </c>
      <c r="M202" s="56" cm="1">
        <f t="array" ref="M202">MMS_Feedlot_N2O_Direct_Equations.VEERG_4_1_1_3__1_TotalAnnualDirectNitrousOxideEmissions(M$106,$E194,$G$189)</f>
        <v>0</v>
      </c>
      <c r="N202" s="56" cm="1">
        <f t="array" ref="N202">MMS_Feedlot_N2O_Direct_Equations.VEERG_4_1_1_3__1_TotalAnnualDirectNitrousOxideEmissions(N$106,$E194,$G$189)</f>
        <v>0</v>
      </c>
      <c r="O202" s="56" cm="1">
        <f t="array" ref="O202">MMS_Feedlot_N2O_Direct_Equations.VEERG_4_1_1_3__1_TotalAnnualDirectNitrousOxideEmissions(O$106,$E194,$G$189)</f>
        <v>0</v>
      </c>
      <c r="P202" s="2" t="str">
        <f>$E$185</f>
        <v>t N2O</v>
      </c>
    </row>
    <row r="203" spans="4:16" ht="20.100000000000001" customHeight="1" x14ac:dyDescent="0.25">
      <c r="D203" s="56" t="str">
        <f>'Input - MMS - Feedlot'!$D$35</f>
        <v>Solid storage</v>
      </c>
      <c r="E203" s="56" cm="1">
        <f t="array" ref="E203">MMS_Feedlot_N2O_Direct_Equations.VEERG_4_1_1_3__1_TotalAnnualDirectNitrousOxideEmissions(E$173,$E195,$G$189)</f>
        <v>0</v>
      </c>
      <c r="F203" s="56" cm="1">
        <f t="array" ref="F203">MMS_Feedlot_N2O_Direct_Equations.VEERG_4_1_1_3__1_TotalAnnualDirectNitrousOxideEmissions(F$173,$E195,$G$189)</f>
        <v>0</v>
      </c>
      <c r="G203" s="56" cm="1">
        <f t="array" ref="G203">MMS_Feedlot_N2O_Direct_Equations.VEERG_4_1_1_3__1_TotalAnnualDirectNitrousOxideEmissions(G$173,$E195,$G$189)</f>
        <v>0</v>
      </c>
      <c r="H203" s="2" t="str">
        <f t="shared" ref="H203:H205" si="0">$E$185</f>
        <v>t N2O</v>
      </c>
      <c r="L203" s="56" t="str">
        <f>'Input - MMS - Feedlot'!$D$35</f>
        <v>Solid storage</v>
      </c>
      <c r="M203" s="56" cm="1">
        <f t="array" ref="M203">MMS_Feedlot_N2O_Direct_Equations.VEERG_4_1_1_3__1_TotalAnnualDirectNitrousOxideEmissions(M$173,$E195,$G$189)</f>
        <v>0</v>
      </c>
      <c r="N203" s="56" cm="1">
        <f t="array" ref="N203">MMS_Feedlot_N2O_Direct_Equations.VEERG_4_1_1_3__1_TotalAnnualDirectNitrousOxideEmissions(N$173,$E195,$G$189)</f>
        <v>0</v>
      </c>
      <c r="O203" s="56" cm="1">
        <f t="array" ref="O203">MMS_Feedlot_N2O_Direct_Equations.VEERG_4_1_1_3__1_TotalAnnualDirectNitrousOxideEmissions(O$173,$E195,$G$189)</f>
        <v>0</v>
      </c>
      <c r="P203" s="2" t="str">
        <f t="shared" ref="P203:P205" si="1">$E$185</f>
        <v>t N2O</v>
      </c>
    </row>
    <row r="204" spans="4:16" ht="20.100000000000001" customHeight="1" x14ac:dyDescent="0.25">
      <c r="D204" s="56" t="str">
        <f>'Input - MMS - Feedlot'!$D$36</f>
        <v>Composting (passive windrow)</v>
      </c>
      <c r="E204" s="56" cm="1">
        <f t="array" ref="E204">MMS_Feedlot_N2O_Direct_Equations.VEERG_4_1_1_3__1_TotalAnnualDirectNitrousOxideEmissions(E$174,$E196,$G$189)</f>
        <v>0</v>
      </c>
      <c r="F204" s="56" cm="1">
        <f t="array" ref="F204">MMS_Feedlot_N2O_Direct_Equations.VEERG_4_1_1_3__1_TotalAnnualDirectNitrousOxideEmissions(F$174,$E196,$G$189)</f>
        <v>0</v>
      </c>
      <c r="G204" s="56" cm="1">
        <f t="array" ref="G204">MMS_Feedlot_N2O_Direct_Equations.VEERG_4_1_1_3__1_TotalAnnualDirectNitrousOxideEmissions(G$174,$E196,$G$189)</f>
        <v>0</v>
      </c>
      <c r="H204" s="2" t="str">
        <f t="shared" si="0"/>
        <v>t N2O</v>
      </c>
      <c r="L204" s="56" t="str">
        <f>'Input - MMS - Feedlot'!$D$36</f>
        <v>Composting (passive windrow)</v>
      </c>
      <c r="M204" s="56" cm="1">
        <f t="array" ref="M204">MMS_Feedlot_N2O_Direct_Equations.VEERG_4_1_1_3__1_TotalAnnualDirectNitrousOxideEmissions(M$174,$E196,$G$189)</f>
        <v>0</v>
      </c>
      <c r="N204" s="56" cm="1">
        <f t="array" ref="N204">MMS_Feedlot_N2O_Direct_Equations.VEERG_4_1_1_3__1_TotalAnnualDirectNitrousOxideEmissions(N$174,$E196,$G$189)</f>
        <v>0</v>
      </c>
      <c r="O204" s="56" cm="1">
        <f t="array" ref="O204">MMS_Feedlot_N2O_Direct_Equations.VEERG_4_1_1_3__1_TotalAnnualDirectNitrousOxideEmissions(O$174,$E196,$G$189)</f>
        <v>0</v>
      </c>
      <c r="P204" s="2" t="str">
        <f t="shared" si="1"/>
        <v>t N2O</v>
      </c>
    </row>
    <row r="205" spans="4:16" ht="20.100000000000001" customHeight="1" x14ac:dyDescent="0.25">
      <c r="D205" s="56" t="str">
        <f>'Input - MMS - Feedlot'!$D$41</f>
        <v>Anaerobic lagoon</v>
      </c>
      <c r="E205" s="56" cm="1">
        <f t="array" ref="E205">MMS_Feedlot_N2O_Direct_Equations.VEERG_4_1_1_3__1_TotalAnnualDirectNitrousOxideEmissions(E$129,$E197,$G$189)</f>
        <v>0</v>
      </c>
      <c r="F205" s="56" cm="1">
        <f t="array" ref="F205">MMS_Feedlot_N2O_Direct_Equations.VEERG_4_1_1_3__1_TotalAnnualDirectNitrousOxideEmissions(F$129,$E197,$G$189)</f>
        <v>0</v>
      </c>
      <c r="G205" s="56" cm="1">
        <f t="array" ref="G205">MMS_Feedlot_N2O_Direct_Equations.VEERG_4_1_1_3__1_TotalAnnualDirectNitrousOxideEmissions(G$129,$E197,$G$189)</f>
        <v>0</v>
      </c>
      <c r="H205" s="2" t="str">
        <f t="shared" si="0"/>
        <v>t N2O</v>
      </c>
      <c r="L205" s="56" t="str">
        <f>'Input - MMS - Feedlot'!$D$41</f>
        <v>Anaerobic lagoon</v>
      </c>
      <c r="M205" s="56" cm="1">
        <f t="array" ref="M205">MMS_Feedlot_N2O_Direct_Equations.VEERG_4_1_1_3__1_TotalAnnualDirectNitrousOxideEmissions(M$129,$E197,$G$189)</f>
        <v>0</v>
      </c>
      <c r="N205" s="56" cm="1">
        <f t="array" ref="N205">MMS_Feedlot_N2O_Direct_Equations.VEERG_4_1_1_3__1_TotalAnnualDirectNitrousOxideEmissions(N$129,$E197,$G$189)</f>
        <v>0</v>
      </c>
      <c r="O205" s="56" cm="1">
        <f t="array" ref="O205">MMS_Feedlot_N2O_Direct_Equations.VEERG_4_1_1_3__1_TotalAnnualDirectNitrousOxideEmissions(O$129,$E197,$G$189)</f>
        <v>0</v>
      </c>
      <c r="P205" s="2" t="str">
        <f t="shared" si="1"/>
        <v>t N2O</v>
      </c>
    </row>
    <row r="206" spans="4:16" ht="20.100000000000001" customHeight="1" x14ac:dyDescent="0.25"/>
    <row r="207" spans="4:16" ht="20.100000000000001" customHeight="1" x14ac:dyDescent="0.25">
      <c r="D207" s="112" t="s">
        <v>191</v>
      </c>
      <c r="E207" s="113">
        <f>SUM(E202:G205)</f>
        <v>0</v>
      </c>
      <c r="F207" s="114" t="str">
        <f>$E$185</f>
        <v>t N2O</v>
      </c>
      <c r="L207" s="112" t="s">
        <v>191</v>
      </c>
      <c r="M207" s="113">
        <f>SUM(M202:O205)</f>
        <v>0</v>
      </c>
      <c r="N207" s="114" t="str">
        <f>$E$185</f>
        <v>t N2O</v>
      </c>
    </row>
    <row r="208" spans="4:16" ht="20.100000000000001" customHeight="1" x14ac:dyDescent="0.25"/>
    <row r="209" spans="4:15" ht="20.100000000000001" customHeight="1" x14ac:dyDescent="0.25">
      <c r="D209" s="61" t="str" cm="1">
        <f t="array" ref="D209:E210">Common_Equations.Common_ConvertN2OToCO2e_Arguments()</f>
        <v>EN2O</v>
      </c>
      <c r="E209" s="62" t="str">
        <v>Nitrous oxide emissions (t N2O)</v>
      </c>
      <c r="F209" s="115"/>
      <c r="G209" s="56">
        <f>E207</f>
        <v>0</v>
      </c>
      <c r="L209" s="61" t="str" cm="1">
        <f t="array" ref="L209:M210">Common_Equations.Common_ConvertN2OToCO2e_Arguments()</f>
        <v>EN2O</v>
      </c>
      <c r="M209" s="62" t="str">
        <v>Nitrous oxide emissions (t N2O)</v>
      </c>
      <c r="N209" s="115"/>
      <c r="O209" s="56">
        <f>M207</f>
        <v>0</v>
      </c>
    </row>
    <row r="210" spans="4:15" ht="20.100000000000001" customHeight="1" x14ac:dyDescent="0.25">
      <c r="D210" s="61" t="str">
        <v>GWPN2O</v>
      </c>
      <c r="E210" s="62" t="str">
        <v>Global warming potential for nitrous oxide (t CO2-e / t N2O)</v>
      </c>
      <c r="F210" s="115"/>
      <c r="G210" s="56" cm="1">
        <f t="array" ref="G210">Common_InputFunctions.Utility_LookupValueInTableNumber("N2O",#REF!,#REF!)</f>
        <v>0</v>
      </c>
      <c r="L210" s="61" t="str">
        <v>GWPN2O</v>
      </c>
      <c r="M210" s="62" t="str">
        <v>Global warming potential for nitrous oxide (t CO2-e / t N2O)</v>
      </c>
      <c r="N210" s="115"/>
      <c r="O210" s="56" cm="1">
        <f t="array" ref="O210">Common_InputFunctions.Utility_LookupValueInTableNumber("N2O",#REF!,#REF!)</f>
        <v>0</v>
      </c>
    </row>
    <row r="211" spans="4:15" ht="20.100000000000001" customHeight="1" x14ac:dyDescent="0.25"/>
    <row r="212" spans="4:15" ht="20.100000000000001" customHeight="1" x14ac:dyDescent="0.25">
      <c r="D212" s="49" t="s">
        <v>140</v>
      </c>
      <c r="E212" s="49" cm="1">
        <f t="array" ref="E212">Common_Equations.Common_ConvertN2OToCO2e(G209,G210)</f>
        <v>0</v>
      </c>
      <c r="F212" s="116" t="str" cm="1">
        <f t="array" ref="F212">Common_Equations.Common_ConvertN2OToCO2e_Unit()</f>
        <v>t CO2e</v>
      </c>
      <c r="L212" s="49" t="s">
        <v>140</v>
      </c>
      <c r="M212" s="49" cm="1">
        <f t="array" ref="M212">Common_Equations.Common_ConvertN2OToCO2e(O209,O210)</f>
        <v>0</v>
      </c>
      <c r="N212" s="116" t="str" cm="1">
        <f t="array" ref="N212">Common_Equations.Common_ConvertN2OToCO2e_Unit()</f>
        <v>t CO2e</v>
      </c>
    </row>
    <row r="213" spans="4:15" ht="20.100000000000001" customHeight="1" x14ac:dyDescent="0.25"/>
    <row r="214" spans="4:15" ht="20.100000000000001" customHeight="1" x14ac:dyDescent="0.25"/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disablePrompts="1"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opLeftCell="A33" workbookViewId="0">
      <selection activeCell="G56" sqref="G5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301</v>
      </c>
    </row>
    <row r="2" spans="1:17" s="9" customFormat="1" ht="20.100000000000001" customHeight="1" x14ac:dyDescent="0.25"/>
    <row r="3" spans="1:17" ht="20.100000000000001" customHeight="1" x14ac:dyDescent="0.25">
      <c r="A3" s="17" t="s">
        <v>0</v>
      </c>
      <c r="C3" s="4"/>
      <c r="D3" s="4" t="s">
        <v>176</v>
      </c>
      <c r="E3" s="4"/>
      <c r="F3" s="4"/>
      <c r="G3" s="4"/>
      <c r="H3" s="4"/>
      <c r="I3" s="4"/>
      <c r="K3" s="4"/>
      <c r="L3" s="4" t="s">
        <v>177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29</v>
      </c>
      <c r="E7" s="13" t="str" cm="1">
        <f t="array" aca="1" ref="E7" ca="1">Common_InputFunctions.Utility_DisplayFunctionName(E36)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Production'!A1", "Production and outputs")</f>
        <v>Production and outputs</v>
      </c>
    </row>
    <row r="9" spans="1:17" ht="20.100000000000001" customHeight="1" x14ac:dyDescent="0.25">
      <c r="A9" s="17" t="str">
        <f>HYPERLINK("#'Input - Herd - Dairy'!A1", "Herd - Dairy")</f>
        <v>Herd - Dairy</v>
      </c>
    </row>
    <row r="10" spans="1:17" ht="20.100000000000001" customHeight="1" x14ac:dyDescent="0.25">
      <c r="A10" s="17" t="str">
        <f>HYPERLINK("#'Input - Feed - Dairy'!A1", "Purchased feed - Livestock")</f>
        <v>Purchased feed - Livestock</v>
      </c>
    </row>
    <row r="11" spans="1:17" ht="20.100000000000001" customHeight="1" x14ac:dyDescent="0.25">
      <c r="A11" s="17" t="str">
        <f>HYPERLINK("#'Input - Herd - Feedlot'!A1", "Herd - Feedlot")</f>
        <v>Herd - Feedlot</v>
      </c>
      <c r="D11" s="57" t="s">
        <v>32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HYPERLINK("#'Input - Pasture'!A1", "Pasture")</f>
        <v>Pasture</v>
      </c>
      <c r="D12" s="57" t="s">
        <v>22</v>
      </c>
      <c r="E12" s="58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17" t="str">
        <f>HYPERLINK("#'Input - Grains'!A1", "Crop - Grains")</f>
        <v>Crop - Grains</v>
      </c>
    </row>
    <row r="14" spans="1:17" ht="20.100000000000001" customHeight="1" x14ac:dyDescent="0.25">
      <c r="A14" s="17" t="str">
        <f>HYPERLINK("#'Input - Fert Lime Chem'!A1", "Fertiliser, Lime &amp; Chemicals")</f>
        <v>Fertiliser, Lime &amp; Chemicals</v>
      </c>
      <c r="D14" s="61" t="str" cm="1">
        <f t="array" ref="D14:E15">MMS_Feedlot_AtmosphericDeposition_Equations.VEERG_4_1_1_5__2_VolatilisedNitrogenFromManureManagement_Arguments()</f>
        <v>MN_jmT</v>
      </c>
      <c r="E14" s="62" t="str">
        <v>nitrogen in each treatment stage MMS (excluding MN_ijm13T2) : kg N</v>
      </c>
      <c r="F14" s="63"/>
      <c r="G14" s="61" t="str">
        <f>"See " &amp; D17</f>
        <v>See M1_Table_MN_j_m_T</v>
      </c>
    </row>
    <row r="15" spans="1:17" ht="20.100000000000001" customHeight="1" x14ac:dyDescent="0.25">
      <c r="A15" s="17" t="str">
        <f>HYPERLINK("#'Input - Fuel &amp; Energy'!A1", "Electricity and fuel")</f>
        <v>Electricity and fuel</v>
      </c>
      <c r="D15" s="61" t="str">
        <v>FracGASM_mT</v>
      </c>
      <c r="E15" s="62" t="str">
        <v>fraction of N volatilised in each MMS : (kg NH3-N + NOx-N)/kg N</v>
      </c>
      <c r="F15" s="63"/>
      <c r="G15" s="61" t="str">
        <f>"See " &amp; D25</f>
        <v>See Table_FracGASM_m_T-2-3</v>
      </c>
    </row>
    <row r="16" spans="1:17" ht="20.100000000000001" customHeight="1" x14ac:dyDescent="0.25">
      <c r="A16" s="71" t="s">
        <v>81</v>
      </c>
    </row>
    <row r="17" spans="1:16" ht="20.100000000000001" customHeight="1" x14ac:dyDescent="0.25">
      <c r="A17" s="71" t="s">
        <v>77</v>
      </c>
      <c r="D17" s="106" t="s">
        <v>302</v>
      </c>
      <c r="L17" s="106" t="s">
        <v>305</v>
      </c>
    </row>
    <row r="18" spans="1:16" ht="20.100000000000001" customHeight="1" x14ac:dyDescent="0.25">
      <c r="A18" s="17" t="str">
        <f>HYPERLINK("#'Input - Other Farm Inputs'!A1", "Other farm inputs")</f>
        <v>Other farm inputs</v>
      </c>
      <c r="D18" s="105" t="s">
        <v>304</v>
      </c>
      <c r="L18" s="105" t="s">
        <v>306</v>
      </c>
    </row>
    <row r="19" spans="1:16" ht="20.100000000000001" customHeight="1" x14ac:dyDescent="0.25">
      <c r="A19" s="17" t="str">
        <f>HYPERLINK("#'Input - Data quality'!A1", "Data quality")</f>
        <v>Data quality</v>
      </c>
      <c r="D19" s="123" t="s">
        <v>70</v>
      </c>
      <c r="E19" s="55" t="s">
        <v>152</v>
      </c>
      <c r="F19" s="55" t="s">
        <v>153</v>
      </c>
      <c r="G19" s="55" t="s">
        <v>154</v>
      </c>
      <c r="L19" s="123" t="s">
        <v>70</v>
      </c>
      <c r="M19" s="55" t="s">
        <v>152</v>
      </c>
      <c r="N19" s="55" t="s">
        <v>153</v>
      </c>
      <c r="O19" s="55" t="s">
        <v>154</v>
      </c>
    </row>
    <row r="20" spans="1:16" ht="20.100000000000001" customHeight="1" x14ac:dyDescent="0.25">
      <c r="D20" s="56" t="str">
        <f>'Input - MMS - Feedlot'!$D$29</f>
        <v>Drylot (feed pad)</v>
      </c>
      <c r="E20" s="56">
        <f>'4.1.1.3-4 Direct N20'!$E$106</f>
        <v>71763.793920000026</v>
      </c>
      <c r="F20" s="56">
        <f>'4.1.1.3-4 Direct N20'!$F$106</f>
        <v>2534.35392</v>
      </c>
      <c r="G20" s="56">
        <f>'4.1.1.3-4 Direct N20'!$G$106</f>
        <v>3660.4799999999991</v>
      </c>
      <c r="H20" s="2" t="s">
        <v>246</v>
      </c>
      <c r="L20" s="56" t="str">
        <f>'Input - MMS - Feedlot'!$D$29</f>
        <v>Drylot (feed pad)</v>
      </c>
      <c r="M20" s="56">
        <f>'4.1.1.3-4 Direct N20'!$M$106</f>
        <v>71763.793920000026</v>
      </c>
      <c r="N20" s="56">
        <f>'4.1.1.3-4 Direct N20'!$N$106</f>
        <v>2534.35392</v>
      </c>
      <c r="O20" s="56">
        <f>'4.1.1.3-4 Direct N20'!$O$106</f>
        <v>3660.4799999999991</v>
      </c>
      <c r="P20" s="2" t="s">
        <v>246</v>
      </c>
    </row>
    <row r="21" spans="1:16" ht="20.100000000000001" customHeight="1" x14ac:dyDescent="0.25">
      <c r="A21" s="19" t="s">
        <v>79</v>
      </c>
      <c r="D21" s="56" t="str">
        <f>'Input - MMS - Feedlot'!$D$35</f>
        <v>Solid storage</v>
      </c>
      <c r="E21" s="56">
        <f>'4.1.1.3-4 Direct N20'!$E$173</f>
        <v>5376.5434404864027</v>
      </c>
      <c r="F21" s="56">
        <f>'4.1.1.3-4 Direct N20'!$F$173</f>
        <v>189.8737956864</v>
      </c>
      <c r="G21" s="56">
        <f>'4.1.1.3-4 Direct N20'!$G$173</f>
        <v>274.24316159999995</v>
      </c>
      <c r="H21" s="2" t="s">
        <v>246</v>
      </c>
      <c r="L21" s="56" t="str">
        <f>'Input - MMS - Feedlot'!$D$35</f>
        <v>Solid storage</v>
      </c>
      <c r="M21" s="56">
        <f>'4.1.1.3-4 Direct N20'!$M$173</f>
        <v>5376.5434404864027</v>
      </c>
      <c r="N21" s="56">
        <f>'4.1.1.3-4 Direct N20'!$N$173</f>
        <v>189.8737956864</v>
      </c>
      <c r="O21" s="56">
        <f>'4.1.1.3-4 Direct N20'!$O$173</f>
        <v>274.24316159999995</v>
      </c>
      <c r="P21" s="2" t="s">
        <v>246</v>
      </c>
    </row>
    <row r="22" spans="1:16" ht="20.100000000000001" customHeight="1" x14ac:dyDescent="0.25">
      <c r="A22" s="71" t="s">
        <v>1</v>
      </c>
      <c r="D22" s="56" t="str">
        <f>'Input - MMS - Feedlot'!$D$36</f>
        <v>Composting (passive windrow)</v>
      </c>
      <c r="E22" s="56">
        <f>'4.1.1.3-4 Direct N20'!$E$174</f>
        <v>21506.173761945611</v>
      </c>
      <c r="F22" s="56">
        <f>'4.1.1.3-4 Direct N20'!$F$174</f>
        <v>759.4951827456</v>
      </c>
      <c r="G22" s="56">
        <f>'4.1.1.3-4 Direct N20'!$G$174</f>
        <v>1096.9726463999998</v>
      </c>
      <c r="H22" s="2" t="s">
        <v>246</v>
      </c>
      <c r="L22" s="56" t="str">
        <f>'Input - MMS - Feedlot'!$D$36</f>
        <v>Composting (passive windrow)</v>
      </c>
      <c r="M22" s="56">
        <f>'4.1.1.3-4 Direct N20'!$M$174</f>
        <v>21506.173761945611</v>
      </c>
      <c r="N22" s="56">
        <f>'4.1.1.3-4 Direct N20'!$N$174</f>
        <v>759.4951827456</v>
      </c>
      <c r="O22" s="56">
        <f>'4.1.1.3-4 Direct N20'!$O$174</f>
        <v>1096.9726463999998</v>
      </c>
      <c r="P22" s="2" t="s">
        <v>246</v>
      </c>
    </row>
    <row r="23" spans="1:16" ht="20.100000000000001" customHeight="1" x14ac:dyDescent="0.25">
      <c r="A23" s="71" t="s">
        <v>78</v>
      </c>
      <c r="D23" s="56" t="str">
        <f>'Input - MMS - Feedlot'!$D$41</f>
        <v>Anaerobic lagoon</v>
      </c>
      <c r="E23" s="56">
        <f>'4.1.1.3-4 Direct N20'!$E$129</f>
        <v>1435.2758784000005</v>
      </c>
      <c r="F23" s="56">
        <f>'4.1.1.3-4 Direct N20'!$F$129</f>
        <v>50.687078400000004</v>
      </c>
      <c r="G23" s="56">
        <f>'4.1.1.3-4 Direct N20'!$G$129</f>
        <v>73.20959999999998</v>
      </c>
      <c r="H23" s="2" t="s">
        <v>246</v>
      </c>
      <c r="L23" s="56" t="str">
        <f>'Input - MMS - Feedlot'!$D$41</f>
        <v>Anaerobic lagoon</v>
      </c>
      <c r="M23" s="56">
        <f>'4.1.1.3-4 Direct N20'!$M$129</f>
        <v>1435.2758784000005</v>
      </c>
      <c r="N23" s="56">
        <f>'4.1.1.3-4 Direct N20'!$N$129</f>
        <v>50.687078400000004</v>
      </c>
      <c r="O23" s="56">
        <f>'4.1.1.3-4 Direct N20'!$O$129</f>
        <v>73.20959999999998</v>
      </c>
      <c r="P23" s="2" t="s">
        <v>246</v>
      </c>
    </row>
    <row r="24" spans="1:16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6" ht="20.100000000000001" customHeight="1" x14ac:dyDescent="0.25">
      <c r="A25" s="17" t="str">
        <f>HYPERLINK("#'Calcs - Residue mgmt - Crop'!A1", "Residue management - Crop")</f>
        <v>Residue management - Crop</v>
      </c>
      <c r="D25" s="106" t="s">
        <v>248</v>
      </c>
    </row>
    <row r="26" spans="1:16" ht="20.100000000000001" customHeight="1" x14ac:dyDescent="0.25">
      <c r="A26" s="17" t="str">
        <f>HYPERLINK("#'Calcs - Residue mgmt - Pasture'!A1", "Residue management - Pasture")</f>
        <v>Residue management - Pasture</v>
      </c>
      <c r="D26" s="105" t="s">
        <v>250</v>
      </c>
    </row>
    <row r="27" spans="1:16" ht="20.100000000000001" customHeight="1" x14ac:dyDescent="0.25">
      <c r="A27" s="17" t="str">
        <f>HYPERLINK("#'Calcs - Field burning'!A1", "Field burning - Crop")</f>
        <v>Field burning - Crop</v>
      </c>
      <c r="D27" s="123" t="s">
        <v>70</v>
      </c>
      <c r="E27" s="123" t="s">
        <v>190</v>
      </c>
    </row>
    <row r="28" spans="1:16" ht="20.100000000000001" customHeight="1" x14ac:dyDescent="0.25">
      <c r="A28" s="17" t="str">
        <f>HYPERLINK("#'Calcs - Fuel'!A1", "Fuel")</f>
        <v>Fuel</v>
      </c>
      <c r="D28" s="56" t="str">
        <f>'Input - MMS - Feedlot'!$D$29</f>
        <v>Drylot (feed pad)</v>
      </c>
      <c r="E28" s="56">
        <f>_xlfn.XLOOKUP(D28, Table_SourceData_Feedlot_FracGASMmT[NIR definition], Table_SourceData_Feedlot_FracGASMmT[FracGASMmT])</f>
        <v>0.6</v>
      </c>
      <c r="F28" s="2" t="s">
        <v>255</v>
      </c>
    </row>
    <row r="29" spans="1:16" ht="20.100000000000001" customHeight="1" x14ac:dyDescent="0.25">
      <c r="A29" s="17" t="str">
        <f>HYPERLINK("#'Calcs - Electricity'!A1", "Electricity")</f>
        <v>Electricity</v>
      </c>
      <c r="D29" s="56" t="str">
        <f>'Input - MMS - Feedlot'!$D$35</f>
        <v>Solid storage</v>
      </c>
      <c r="E29" s="56">
        <f>_xlfn.XLOOKUP(D29, Table_SourceData_Feedlot_FracGASMmT[NIR definition], Table_SourceData_Feedlot_FracGASMmT[FracGASMmT])</f>
        <v>0.25</v>
      </c>
      <c r="F29" s="2" t="s">
        <v>255</v>
      </c>
    </row>
    <row r="30" spans="1:16" ht="20.100000000000001" customHeight="1" x14ac:dyDescent="0.25">
      <c r="A30" s="17" t="str">
        <f>HYPERLINK("#'Calcs - Refrigerants'!A1", "Refrigerants")</f>
        <v>Refrigerants</v>
      </c>
      <c r="D30" s="56" t="str">
        <f>'Input - MMS - Feedlot'!$D$36</f>
        <v>Composting (passive windrow)</v>
      </c>
      <c r="E30" s="56">
        <f>_xlfn.XLOOKUP(D30, Table_SourceData_Feedlot_FracGASMmT[NIR definition], Table_SourceData_Feedlot_FracGASMmT[FracGASMmT])</f>
        <v>0.4</v>
      </c>
      <c r="F30" s="2" t="s">
        <v>255</v>
      </c>
    </row>
    <row r="31" spans="1:16" ht="20.100000000000001" customHeight="1" x14ac:dyDescent="0.25">
      <c r="A31" s="71" t="s">
        <v>81</v>
      </c>
      <c r="D31" s="56" t="str">
        <f>'Input - MMS - Feedlot'!$D$41</f>
        <v>Anaerobic lagoon</v>
      </c>
      <c r="E31" s="56">
        <f>_xlfn.XLOOKUP(D31, Table_SourceData_Feedlot_FracGASMmT[NIR definition], Table_SourceData_Feedlot_FracGASMmT[FracGASMmT])</f>
        <v>0.35</v>
      </c>
      <c r="F31" s="2" t="s">
        <v>255</v>
      </c>
    </row>
    <row r="32" spans="1:16" ht="20.100000000000001" customHeight="1" x14ac:dyDescent="0.25">
      <c r="A32" s="71" t="s">
        <v>77</v>
      </c>
    </row>
    <row r="33" spans="1:17" ht="20.100000000000001" customHeight="1" x14ac:dyDescent="0.25">
      <c r="A33" s="17" t="str">
        <f>HYPERLINK("#'Calcs - Scope 3'!A1", "Purchased goods scope 3")</f>
        <v>Purchased goods scope 3</v>
      </c>
      <c r="D33" s="106" t="s">
        <v>303</v>
      </c>
      <c r="L33" s="106" t="s">
        <v>303</v>
      </c>
    </row>
    <row r="34" spans="1:17" ht="20.100000000000001" customHeight="1" x14ac:dyDescent="0.25">
      <c r="D34" s="105" t="s">
        <v>304</v>
      </c>
      <c r="L34" s="105" t="s">
        <v>304</v>
      </c>
    </row>
    <row r="35" spans="1:17" ht="20.100000000000001" customHeight="1" x14ac:dyDescent="0.25">
      <c r="A35" s="18" t="s">
        <v>4</v>
      </c>
      <c r="D35" s="123" t="s">
        <v>70</v>
      </c>
      <c r="E35" s="55" t="s">
        <v>152</v>
      </c>
      <c r="F35" s="55" t="s">
        <v>153</v>
      </c>
      <c r="G35" s="55" t="s">
        <v>154</v>
      </c>
      <c r="L35" s="123" t="s">
        <v>70</v>
      </c>
      <c r="M35" s="55" t="s">
        <v>152</v>
      </c>
      <c r="N35" s="55" t="s">
        <v>153</v>
      </c>
      <c r="O35" s="55" t="s">
        <v>154</v>
      </c>
    </row>
    <row r="36" spans="1:17" ht="20.100000000000001" customHeight="1" x14ac:dyDescent="0.25">
      <c r="A36" s="17" t="str">
        <f>HYPERLINK("#'Constants - Common'!A1", "Constants - Common")</f>
        <v>Constants - Common</v>
      </c>
      <c r="D36" s="56" t="str">
        <f>'Input - MMS - Feedlot'!$D$29</f>
        <v>Drylot (feed pad)</v>
      </c>
      <c r="E36" s="56" cm="1">
        <f t="array" ref="E36">MMS_Feedlot_AtmosphericDeposition_Equations.VEERG_4_1_1_5__2_VolatilisedNitrogenFromManureManagement(E20,$E28)</f>
        <v>43058.276352000015</v>
      </c>
      <c r="F36" s="56" cm="1">
        <f t="array" ref="F36">MMS_Feedlot_AtmosphericDeposition_Equations.VEERG_4_1_1_5__2_VolatilisedNitrogenFromManureManagement(F20,$E28)</f>
        <v>1520.6123519999999</v>
      </c>
      <c r="G36" s="56" cm="1">
        <f t="array" ref="G36">MMS_Feedlot_AtmosphericDeposition_Equations.VEERG_4_1_1_5__2_VolatilisedNitrogenFromManureManagement(G20,$E28)</f>
        <v>2196.2879999999996</v>
      </c>
      <c r="H36" s="2" t="str">
        <f>$E$12</f>
        <v>kg N</v>
      </c>
      <c r="L36" s="56" t="str">
        <f>'Input - MMS - Feedlot'!$D$29</f>
        <v>Drylot (feed pad)</v>
      </c>
      <c r="M36" s="56" cm="1">
        <f t="array" ref="M36">MMS_Feedlot_AtmosphericDeposition_Equations.VEERG_4_1_1_5__2_VolatilisedNitrogenFromManureManagement(M20,$E28)</f>
        <v>43058.276352000015</v>
      </c>
      <c r="N36" s="56" cm="1">
        <f t="array" ref="N36">MMS_Feedlot_AtmosphericDeposition_Equations.VEERG_4_1_1_5__2_VolatilisedNitrogenFromManureManagement(N20,$E28)</f>
        <v>1520.6123519999999</v>
      </c>
      <c r="O36" s="56" cm="1">
        <f t="array" ref="O36">MMS_Feedlot_AtmosphericDeposition_Equations.VEERG_4_1_1_5__2_VolatilisedNitrogenFromManureManagement(O20,$E28)</f>
        <v>2196.2879999999996</v>
      </c>
      <c r="P36" s="2" t="s">
        <v>246</v>
      </c>
    </row>
    <row r="37" spans="1:17" ht="20.100000000000001" customHeight="1" x14ac:dyDescent="0.25">
      <c r="A37" s="17" t="str">
        <f>HYPERLINK("#'Constants - Cropping'!A1", "Constants - Cropping")</f>
        <v>Constants - Cropping</v>
      </c>
      <c r="D37" s="56" t="str">
        <f>'Input - MMS - Feedlot'!$D$35</f>
        <v>Solid storage</v>
      </c>
      <c r="E37" s="56" cm="1">
        <f t="array" ref="E37">MMS_Feedlot_AtmosphericDeposition_Equations.VEERG_4_1_1_5__2_VolatilisedNitrogenFromManureManagement(E21,$E29)</f>
        <v>1344.1358601216007</v>
      </c>
      <c r="F37" s="56" cm="1">
        <f t="array" ref="F37">MMS_Feedlot_AtmosphericDeposition_Equations.VEERG_4_1_1_5__2_VolatilisedNitrogenFromManureManagement(F21,$E29)</f>
        <v>47.4684489216</v>
      </c>
      <c r="G37" s="56" cm="1">
        <f t="array" ref="G37">MMS_Feedlot_AtmosphericDeposition_Equations.VEERG_4_1_1_5__2_VolatilisedNitrogenFromManureManagement(G21,$E29)</f>
        <v>68.560790399999988</v>
      </c>
      <c r="H37" s="2" t="str">
        <f t="shared" ref="H37:H39" si="0">$E$12</f>
        <v>kg N</v>
      </c>
      <c r="L37" s="56" t="str">
        <f>'Input - MMS - Feedlot'!$D$35</f>
        <v>Solid storage</v>
      </c>
      <c r="M37" s="56" cm="1">
        <f t="array" ref="M37">MMS_Feedlot_AtmosphericDeposition_Equations.VEERG_4_1_1_5__2_VolatilisedNitrogenFromManureManagement(M21,$E29)</f>
        <v>1344.1358601216007</v>
      </c>
      <c r="N37" s="56" cm="1">
        <f t="array" ref="N37">MMS_Feedlot_AtmosphericDeposition_Equations.VEERG_4_1_1_5__2_VolatilisedNitrogenFromManureManagement(N21,$E29)</f>
        <v>47.4684489216</v>
      </c>
      <c r="O37" s="56" cm="1">
        <f t="array" ref="O37">MMS_Feedlot_AtmosphericDeposition_Equations.VEERG_4_1_1_5__2_VolatilisedNitrogenFromManureManagement(O21,$E29)</f>
        <v>68.560790399999988</v>
      </c>
      <c r="P37" s="2" t="s">
        <v>246</v>
      </c>
    </row>
    <row r="38" spans="1:17" ht="20.100000000000001" customHeight="1" x14ac:dyDescent="0.25">
      <c r="A38" s="17" t="str">
        <f>HYPERLINK("#'Constants - Livestock'!A1", "Constants - Livestock")</f>
        <v>Constants - Livestock</v>
      </c>
      <c r="D38" s="56" t="str">
        <f>'Input - MMS - Feedlot'!$D$36</f>
        <v>Composting (passive windrow)</v>
      </c>
      <c r="E38" s="56" cm="1">
        <f t="array" ref="E38">MMS_Feedlot_AtmosphericDeposition_Equations.VEERG_4_1_1_5__2_VolatilisedNitrogenFromManureManagement(E22,$E30)</f>
        <v>8602.4695047782443</v>
      </c>
      <c r="F38" s="56" cm="1">
        <f t="array" ref="F38">MMS_Feedlot_AtmosphericDeposition_Equations.VEERG_4_1_1_5__2_VolatilisedNitrogenFromManureManagement(F22,$E30)</f>
        <v>303.79807309824002</v>
      </c>
      <c r="G38" s="56" cm="1">
        <f t="array" ref="G38">MMS_Feedlot_AtmosphericDeposition_Equations.VEERG_4_1_1_5__2_VolatilisedNitrogenFromManureManagement(G22,$E30)</f>
        <v>438.78905855999994</v>
      </c>
      <c r="H38" s="2" t="str">
        <f t="shared" si="0"/>
        <v>kg N</v>
      </c>
      <c r="L38" s="56" t="str">
        <f>'Input - MMS - Feedlot'!$D$36</f>
        <v>Composting (passive windrow)</v>
      </c>
      <c r="M38" s="56" cm="1">
        <f t="array" ref="M38">MMS_Feedlot_AtmosphericDeposition_Equations.VEERG_4_1_1_5__2_VolatilisedNitrogenFromManureManagement(M22,$E30)</f>
        <v>8602.4695047782443</v>
      </c>
      <c r="N38" s="56" cm="1">
        <f t="array" ref="N38">MMS_Feedlot_AtmosphericDeposition_Equations.VEERG_4_1_1_5__2_VolatilisedNitrogenFromManureManagement(N22,$E30)</f>
        <v>303.79807309824002</v>
      </c>
      <c r="O38" s="56" cm="1">
        <f t="array" ref="O38">MMS_Feedlot_AtmosphericDeposition_Equations.VEERG_4_1_1_5__2_VolatilisedNitrogenFromManureManagement(O22,$E30)</f>
        <v>438.78905855999994</v>
      </c>
      <c r="P38" s="2" t="s">
        <v>246</v>
      </c>
    </row>
    <row r="39" spans="1:17" ht="20.100000000000001" customHeight="1" x14ac:dyDescent="0.25">
      <c r="A39" s="17" t="str">
        <f>HYPERLINK("#'Constants - Dairy'!A1", "Constants - Dairy")</f>
        <v>Constants - Dairy</v>
      </c>
      <c r="D39" s="56" t="str">
        <f>'Input - MMS - Feedlot'!$D$41</f>
        <v>Anaerobic lagoon</v>
      </c>
      <c r="E39" s="56" cm="1">
        <f t="array" ref="E39">MMS_Feedlot_AtmosphericDeposition_Equations.VEERG_4_1_1_5__2_VolatilisedNitrogenFromManureManagement(E23,$E31)</f>
        <v>502.34655744000014</v>
      </c>
      <c r="F39" s="56" cm="1">
        <f t="array" ref="F39">MMS_Feedlot_AtmosphericDeposition_Equations.VEERG_4_1_1_5__2_VolatilisedNitrogenFromManureManagement(F23,$E31)</f>
        <v>17.740477439999999</v>
      </c>
      <c r="G39" s="56" cm="1">
        <f t="array" ref="G39">MMS_Feedlot_AtmosphericDeposition_Equations.VEERG_4_1_1_5__2_VolatilisedNitrogenFromManureManagement(G23,$E31)</f>
        <v>25.623359999999991</v>
      </c>
      <c r="H39" s="2" t="str">
        <f t="shared" si="0"/>
        <v>kg N</v>
      </c>
      <c r="L39" s="56" t="str">
        <f>'Input - MMS - Feedlot'!$D$41</f>
        <v>Anaerobic lagoon</v>
      </c>
      <c r="M39" s="56" cm="1">
        <f t="array" ref="M39">MMS_Feedlot_AtmosphericDeposition_Equations.VEERG_4_1_1_5__2_VolatilisedNitrogenFromManureManagement(M23,$E31)</f>
        <v>502.34655744000014</v>
      </c>
      <c r="N39" s="56" cm="1">
        <f t="array" ref="N39">MMS_Feedlot_AtmosphericDeposition_Equations.VEERG_4_1_1_5__2_VolatilisedNitrogenFromManureManagement(N23,$E31)</f>
        <v>17.740477439999999</v>
      </c>
      <c r="O39" s="56" cm="1">
        <f t="array" ref="O39">MMS_Feedlot_AtmosphericDeposition_Equations.VEERG_4_1_1_5__2_VolatilisedNitrogenFromManureManagement(O23,$E31)</f>
        <v>25.623359999999991</v>
      </c>
      <c r="P39" s="2" t="s">
        <v>246</v>
      </c>
    </row>
    <row r="40" spans="1:17" ht="20.100000000000001" customHeight="1" x14ac:dyDescent="0.25">
      <c r="A40" s="71" t="s">
        <v>2</v>
      </c>
    </row>
    <row r="41" spans="1:17" ht="20.100000000000001" customHeight="1" x14ac:dyDescent="0.25">
      <c r="A41" s="48"/>
      <c r="D41" s="134" t="s">
        <v>307</v>
      </c>
      <c r="E41" s="49">
        <f>SUM(E36:G39)</f>
        <v>58126.108834759696</v>
      </c>
      <c r="F41" s="132" t="str">
        <f>$E$12</f>
        <v>kg N</v>
      </c>
      <c r="L41" s="134" t="s">
        <v>307</v>
      </c>
      <c r="M41" s="49">
        <f>SUM(M36:O39)</f>
        <v>58126.108834759696</v>
      </c>
      <c r="N41" s="132" t="str">
        <f>$E$12</f>
        <v>kg N</v>
      </c>
    </row>
    <row r="42" spans="1:17" ht="20.100000000000001" customHeight="1" x14ac:dyDescent="0.25"/>
    <row r="43" spans="1:17" ht="20.100000000000001" customHeight="1" x14ac:dyDescent="0.25">
      <c r="C43" s="133"/>
      <c r="D43" s="133"/>
      <c r="E43" s="133"/>
      <c r="F43" s="133"/>
      <c r="G43" s="133"/>
      <c r="H43" s="133"/>
      <c r="I43" s="133"/>
      <c r="K43" s="133"/>
      <c r="L43" s="133"/>
      <c r="M43" s="133"/>
      <c r="N43" s="133"/>
      <c r="O43" s="133"/>
      <c r="P43" s="133"/>
      <c r="Q43" s="133"/>
    </row>
    <row r="44" spans="1:17" ht="20.100000000000001" customHeight="1" x14ac:dyDescent="0.25"/>
    <row r="45" spans="1:17" ht="20.100000000000001" customHeight="1" x14ac:dyDescent="0.25">
      <c r="D45" s="6" t="str" cm="1">
        <f t="array" ref="D45">MMS_Feedlot_AtmosphericDeposition_Equations.VEERG_4_1_1_5__1_TotalAnnualAtmosphericDepositionEmissions_Title()</f>
        <v>Total annual atmospheric deposition emissions from manure management</v>
      </c>
    </row>
    <row r="46" spans="1:17" ht="20.100000000000001" customHeight="1" x14ac:dyDescent="0.25">
      <c r="D46" s="5" t="str" cm="1">
        <f t="array" ref="D46">MMS_Feedlot_AtmosphericDeposition_Equations.VEERG_4_1_1_5__1_TotalAnnualAtmosphericDepositionEmissions_Source()</f>
        <v>VEERG 2026: 4.1.1.5, Equation (1)</v>
      </c>
    </row>
    <row r="47" spans="1:17" ht="20.100000000000001" customHeight="1" x14ac:dyDescent="0.25">
      <c r="D47" s="13" t="s">
        <v>29</v>
      </c>
      <c r="E47" s="13" t="e" cm="1">
        <f t="array" aca="1" ref="E47" ca="1">Common_InputFunctions.Utility_DisplayFunctionName(E76)</f>
        <v>#N/A</v>
      </c>
    </row>
    <row r="48" spans="1:17" ht="20.100000000000001" customHeight="1" x14ac:dyDescent="0.25"/>
    <row r="49" spans="4:8" ht="20.100000000000001" customHeight="1" x14ac:dyDescent="0.25">
      <c r="D49" s="6"/>
    </row>
    <row r="50" spans="4:8" ht="20.100000000000001" customHeight="1" x14ac:dyDescent="0.25">
      <c r="D50" s="57" t="s">
        <v>32</v>
      </c>
      <c r="E50" s="1" t="str" cm="1">
        <f t="array" ref="E50">MMS_Feedlot_AtmosphericDeposition_Equations.VEERG_4_1_1_5__1_TotalAnnualAtmosphericDepositionEmissions_Variable()</f>
        <v>E_N2Oad</v>
      </c>
    </row>
    <row r="51" spans="4:8" ht="20.100000000000001" customHeight="1" x14ac:dyDescent="0.25">
      <c r="D51" s="57" t="s">
        <v>22</v>
      </c>
      <c r="E51" s="58" t="str" cm="1">
        <f t="array" ref="E51">MMS_Feedlot_AtmosphericDeposition_Equations.VEERG_4_1_1_5__1_TotalAnnualAtmosphericDepositionEmissions_Unit()</f>
        <v>t N2O</v>
      </c>
    </row>
    <row r="52" spans="4:8" ht="20.100000000000001" customHeight="1" x14ac:dyDescent="0.25"/>
    <row r="53" spans="4:8" ht="20.100000000000001" customHeight="1" x14ac:dyDescent="0.25">
      <c r="D53" s="61" t="str" cm="1">
        <f t="array" ref="D53:E57">MMS_Feedlot_AtmosphericDeposition_Equations.VEERG_4_1_1_5__1_TotalAnnualAtmosphericDepositionEmissions_Arguments()</f>
        <v>MMS_ATMOS</v>
      </c>
      <c r="E53" s="62" t="str">
        <v>mass of N volatilised from MMS : kg N</v>
      </c>
      <c r="F53" s="63"/>
      <c r="G53" s="61">
        <f>$E$41</f>
        <v>58126.108834759696</v>
      </c>
    </row>
    <row r="54" spans="4:8" ht="20.100000000000001" customHeight="1" x14ac:dyDescent="0.25">
      <c r="D54" s="61" t="str">
        <v>EF_N2O</v>
      </c>
      <c r="E54" s="62" t="str">
        <v>nitrous oxide emission factor for atmospheric deposition : kg N2O-N/kg N</v>
      </c>
      <c r="F54" s="63"/>
      <c r="G54" s="61"/>
      <c r="H54" s="119" t="s">
        <v>313</v>
      </c>
    </row>
    <row r="55" spans="4:8" ht="20.100000000000001" customHeight="1" x14ac:dyDescent="0.25">
      <c r="D55" s="61" t="str">
        <v>C_N2O</v>
      </c>
      <c r="E55" s="62" t="str">
        <v>factor to convert elemental mass of nitrous oxide to molecular mass : ratio</v>
      </c>
      <c r="F55" s="63"/>
      <c r="G55" s="61" cm="1">
        <f t="array" ref="G55">Common_InputFunctions.Utility_LookupValueInTableNumber("N2O",#REF!,#REF!)</f>
        <v>0</v>
      </c>
    </row>
    <row r="56" spans="4:8" ht="20.100000000000001" customHeight="1" x14ac:dyDescent="0.25">
      <c r="D56" s="61" t="str">
        <v>p</v>
      </c>
      <c r="E56" s="62" t="str">
        <v>production system</v>
      </c>
      <c r="F56" s="63"/>
      <c r="G56" s="61"/>
    </row>
    <row r="57" spans="4:8" ht="20.100000000000001" customHeight="1" x14ac:dyDescent="0.25">
      <c r="D57" s="61" t="str">
        <v>r</v>
      </c>
      <c r="E57" s="62" t="str">
        <v>rainfall zone</v>
      </c>
      <c r="F57" s="63"/>
      <c r="G57" s="61" t="e">
        <f>'Input - Site'!$E$30</f>
        <v>#REF!</v>
      </c>
    </row>
    <row r="58" spans="4:8" ht="20.100000000000001" customHeight="1" x14ac:dyDescent="0.25"/>
    <row r="59" spans="4:8" ht="20.100000000000001" customHeight="1" x14ac:dyDescent="0.25"/>
    <row r="60" spans="4:8" ht="20.100000000000001" customHeight="1" x14ac:dyDescent="0.25"/>
    <row r="61" spans="4:8" ht="20.100000000000001" customHeight="1" x14ac:dyDescent="0.25"/>
    <row r="62" spans="4:8" ht="20.100000000000001" customHeight="1" x14ac:dyDescent="0.25"/>
    <row r="63" spans="4:8" ht="20.100000000000001" customHeight="1" x14ac:dyDescent="0.25">
      <c r="G63" s="135" t="s">
        <v>311</v>
      </c>
    </row>
    <row r="64" spans="4:8" ht="20.100000000000001" customHeight="1" x14ac:dyDescent="0.25">
      <c r="G64" s="136" t="s">
        <v>312</v>
      </c>
    </row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opLeftCell="A21" workbookViewId="0">
      <selection activeCell="D34" sqref="D34:F4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245</v>
      </c>
    </row>
    <row r="2" spans="1:17" s="9" customFormat="1" ht="20.100000000000001" customHeight="1" x14ac:dyDescent="0.25"/>
    <row r="3" spans="1:17" ht="20.100000000000001" customHeight="1" x14ac:dyDescent="0.25">
      <c r="A3" s="17" t="s">
        <v>0</v>
      </c>
      <c r="C3" s="4"/>
      <c r="D3" s="4" t="s">
        <v>176</v>
      </c>
      <c r="E3" s="4"/>
      <c r="F3" s="4"/>
      <c r="G3" s="4"/>
      <c r="H3" s="4"/>
      <c r="I3" s="4"/>
      <c r="K3" s="4"/>
      <c r="L3" s="4" t="s">
        <v>177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29</v>
      </c>
      <c r="E7" s="13" t="str" cm="1">
        <f t="array" aca="1" ref="E7" ca="1">Common_InputFunctions.Utility_DisplayFunctionName(E52)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Production'!A1", "Production and outputs")</f>
        <v>Production and outputs</v>
      </c>
    </row>
    <row r="9" spans="1:17" ht="20.100000000000001" customHeight="1" x14ac:dyDescent="0.25">
      <c r="A9" s="17" t="str">
        <f>HYPERLINK("#'Input - Herd - Dairy'!A1", "Herd - Dairy")</f>
        <v>Herd - Dairy</v>
      </c>
      <c r="D9" s="6"/>
    </row>
    <row r="10" spans="1:17" ht="20.100000000000001" customHeight="1" x14ac:dyDescent="0.25">
      <c r="A10" s="17" t="str">
        <f>HYPERLINK("#'Input - Feed - Dairy'!A1", "Purchased feed - Livestock")</f>
        <v>Purchased feed - Livestock</v>
      </c>
    </row>
    <row r="11" spans="1:17" ht="20.100000000000001" customHeight="1" x14ac:dyDescent="0.25">
      <c r="A11" s="17" t="str">
        <f>HYPERLINK("#'Input - Herd - Feedlot'!A1", "Herd - Feedlot")</f>
        <v>Herd - Feedlot</v>
      </c>
      <c r="D11" s="57" t="s">
        <v>32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HYPERLINK("#'Input - Pasture'!A1", "Pasture")</f>
        <v>Pasture</v>
      </c>
      <c r="D12" s="57" t="s">
        <v>22</v>
      </c>
      <c r="E12" s="58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HYPERLINK("#'Input - Grains'!A1", "Crop - Grains")</f>
        <v>Crop - Grains</v>
      </c>
    </row>
    <row r="14" spans="1:17" ht="20.100000000000001" customHeight="1" x14ac:dyDescent="0.25">
      <c r="A14" s="17" t="str">
        <f>HYPERLINK("#'Input - Fert Lime Chem'!A1", "Fertiliser, Lime &amp; Chemicals")</f>
        <v>Fertiliser, Lime &amp; Chemicals</v>
      </c>
      <c r="D14" s="61" t="str" cm="1">
        <f t="array" ref="D14:E17">MMS_Feedlot_ManureAppliedToSoils_Equations.VEERG_4_1_1_9__1_MassOfNitrogenAppliedToSoilsScope1_Arguments()</f>
        <v>MN_jmT23</v>
      </c>
      <c r="E14" s="62" t="str">
        <v>mass of N in secondary and tertiary treatment MMS stages as calculated for manure management : kg N</v>
      </c>
      <c r="F14" s="109"/>
      <c r="G14" s="63"/>
      <c r="H14" s="61" t="str">
        <f>"See " &amp; $D$19</f>
        <v>See M1_Table_MN_j_m_T-2-3</v>
      </c>
    </row>
    <row r="15" spans="1:17" ht="20.100000000000001" customHeight="1" x14ac:dyDescent="0.25">
      <c r="A15" s="17" t="str">
        <f>HYPERLINK("#'Input - Fuel &amp; Energy'!A1", "Electricity and fuel")</f>
        <v>Electricity and fuel</v>
      </c>
      <c r="D15" s="61" t="str">
        <v>EF_mT23</v>
      </c>
      <c r="E15" s="62" t="str">
        <v>nitrous oxide emission factor for each MMS : kg N2O-N/kg N</v>
      </c>
      <c r="F15" s="109"/>
      <c r="G15" s="63"/>
      <c r="H15" s="61" t="str">
        <f>"See " &amp; $D$26</f>
        <v>See Table_EF_j_m_T-2-3</v>
      </c>
    </row>
    <row r="16" spans="1:17" ht="20.100000000000001" customHeight="1" x14ac:dyDescent="0.25">
      <c r="A16" s="71" t="s">
        <v>81</v>
      </c>
      <c r="D16" s="61" t="str">
        <v>FracGASM_mT23</v>
      </c>
      <c r="E16" s="62" t="str">
        <v>fraction of animal waste N volatilised in each MMS for each cattle group : (kg NH3-N + NOx-N)/kg N</v>
      </c>
      <c r="F16" s="109"/>
      <c r="G16" s="63"/>
      <c r="H16" s="61" t="str">
        <f>"See " &amp; $D$34</f>
        <v>See Table_FracGASM_m_T-2-3</v>
      </c>
    </row>
    <row r="17" spans="1:16" ht="20.100000000000001" customHeight="1" x14ac:dyDescent="0.25">
      <c r="A17" s="71" t="s">
        <v>77</v>
      </c>
      <c r="D17" s="61" t="str">
        <v>PF</v>
      </c>
      <c r="E17" s="62" t="str">
        <v>fraction of manure applied to soil within the feedlot boundary : fraction</v>
      </c>
      <c r="F17" s="109"/>
      <c r="G17" s="63"/>
      <c r="H17" s="61" t="str">
        <f>"See " &amp; $D$42</f>
        <v>See Table_PF</v>
      </c>
    </row>
    <row r="18" spans="1:16" ht="20.100000000000001" customHeight="1" x14ac:dyDescent="0.25">
      <c r="A18" s="17" t="str">
        <f>HYPERLINK("#'Input - Other Farm Inputs'!A1", "Other farm inputs")</f>
        <v>Other farm inputs</v>
      </c>
    </row>
    <row r="19" spans="1:16" ht="20.100000000000001" customHeight="1" x14ac:dyDescent="0.25">
      <c r="A19" s="17" t="str">
        <f>HYPERLINK("#'Input - Data quality'!A1", "Data quality")</f>
        <v>Data quality</v>
      </c>
      <c r="D19" s="106" t="s">
        <v>247</v>
      </c>
      <c r="L19" s="106" t="s">
        <v>256</v>
      </c>
    </row>
    <row r="20" spans="1:16" ht="20.100000000000001" customHeight="1" x14ac:dyDescent="0.25">
      <c r="D20" s="105" t="s">
        <v>258</v>
      </c>
      <c r="L20" s="105" t="s">
        <v>257</v>
      </c>
    </row>
    <row r="21" spans="1:16" ht="20.100000000000001" customHeight="1" x14ac:dyDescent="0.25">
      <c r="A21" s="19" t="s">
        <v>79</v>
      </c>
      <c r="D21" s="55" t="s">
        <v>70</v>
      </c>
      <c r="E21" s="55" t="s">
        <v>152</v>
      </c>
      <c r="F21" s="55" t="s">
        <v>153</v>
      </c>
      <c r="G21" s="55" t="s">
        <v>154</v>
      </c>
      <c r="L21" s="55" t="s">
        <v>70</v>
      </c>
      <c r="M21" s="55" t="s">
        <v>152</v>
      </c>
      <c r="N21" s="55" t="s">
        <v>153</v>
      </c>
      <c r="O21" s="55" t="s">
        <v>154</v>
      </c>
    </row>
    <row r="22" spans="1:16" ht="20.100000000000001" customHeight="1" x14ac:dyDescent="0.25">
      <c r="A22" s="71" t="s">
        <v>1</v>
      </c>
      <c r="D22" s="56" t="str">
        <f>'Input - MMS - Feedlot'!$D$35</f>
        <v>Solid storage</v>
      </c>
      <c r="E22" s="56">
        <f>'4.1.1.3-4 Direct N20'!$E$173</f>
        <v>5376.5434404864027</v>
      </c>
      <c r="F22" s="56">
        <f>'4.1.1.3-4 Direct N20'!$F$173</f>
        <v>189.8737956864</v>
      </c>
      <c r="G22" s="56">
        <f>'4.1.1.3-4 Direct N20'!$G$173</f>
        <v>274.24316159999995</v>
      </c>
      <c r="H22" s="2" t="s">
        <v>246</v>
      </c>
      <c r="L22" s="56" t="str">
        <f>'Input - MMS - Feedlot'!$D$35</f>
        <v>Solid storage</v>
      </c>
      <c r="M22" s="56">
        <f>'4.1.1.3-4 Direct N20'!$M$173</f>
        <v>5376.5434404864027</v>
      </c>
      <c r="N22" s="56">
        <f>'4.1.1.3-4 Direct N20'!$N$173</f>
        <v>189.8737956864</v>
      </c>
      <c r="O22" s="56">
        <f>'4.1.1.3-4 Direct N20'!$O$173</f>
        <v>274.24316159999995</v>
      </c>
      <c r="P22" s="2" t="s">
        <v>246</v>
      </c>
    </row>
    <row r="23" spans="1:16" ht="20.100000000000001" customHeight="1" x14ac:dyDescent="0.25">
      <c r="A23" s="71" t="s">
        <v>78</v>
      </c>
      <c r="D23" s="56" t="str">
        <f>'Input - MMS - Feedlot'!$D$36</f>
        <v>Composting (passive windrow)</v>
      </c>
      <c r="E23" s="56">
        <f>'4.1.1.3-4 Direct N20'!$E$174</f>
        <v>21506.173761945611</v>
      </c>
      <c r="F23" s="56">
        <f>'4.1.1.3-4 Direct N20'!$F$174</f>
        <v>759.4951827456</v>
      </c>
      <c r="G23" s="56">
        <f>'4.1.1.3-4 Direct N20'!$G$174</f>
        <v>1096.9726463999998</v>
      </c>
      <c r="H23" s="2" t="s">
        <v>246</v>
      </c>
      <c r="L23" s="56" t="str">
        <f>'Input - MMS - Feedlot'!$D$36</f>
        <v>Composting (passive windrow)</v>
      </c>
      <c r="M23" s="56">
        <f>'4.1.1.3-4 Direct N20'!$M$174</f>
        <v>21506.173761945611</v>
      </c>
      <c r="N23" s="56">
        <f>'4.1.1.3-4 Direct N20'!$N$174</f>
        <v>759.4951827456</v>
      </c>
      <c r="O23" s="56">
        <f>'4.1.1.3-4 Direct N20'!$O$174</f>
        <v>1096.9726463999998</v>
      </c>
      <c r="P23" s="2" t="s">
        <v>246</v>
      </c>
    </row>
    <row r="24" spans="1:16" ht="20.100000000000001" customHeight="1" x14ac:dyDescent="0.25">
      <c r="A24" s="17" t="str">
        <f>HYPERLINK("#'Calcs - Fert Lime'!A1", "Fertiliser &amp; soil amendments")</f>
        <v>Fertiliser &amp; soil amendments</v>
      </c>
      <c r="D24" s="56" t="str">
        <f>'Input - MMS - Feedlot'!$D$41</f>
        <v>Anaerobic lagoon</v>
      </c>
      <c r="E24" s="56">
        <f>'4.1.1.3-4 Direct N20'!$E$129</f>
        <v>1435.2758784000005</v>
      </c>
      <c r="F24" s="56">
        <f>'4.1.1.3-4 Direct N20'!$F$129</f>
        <v>50.687078400000004</v>
      </c>
      <c r="G24" s="56">
        <f>'4.1.1.3-4 Direct N20'!$G$129</f>
        <v>73.20959999999998</v>
      </c>
      <c r="H24" s="2" t="s">
        <v>246</v>
      </c>
      <c r="L24" s="56" t="str">
        <f>'Input - MMS - Feedlot'!$D$41</f>
        <v>Anaerobic lagoon</v>
      </c>
      <c r="M24" s="56">
        <f>'4.1.1.3-4 Direct N20'!$M$129</f>
        <v>1435.2758784000005</v>
      </c>
      <c r="N24" s="56">
        <f>'4.1.1.3-4 Direct N20'!$N$129</f>
        <v>50.687078400000004</v>
      </c>
      <c r="O24" s="56">
        <f>'4.1.1.3-4 Direct N20'!$O$129</f>
        <v>73.20959999999998</v>
      </c>
      <c r="P24" s="2" t="s">
        <v>246</v>
      </c>
    </row>
    <row r="25" spans="1:16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6" ht="20.100000000000001" customHeight="1" x14ac:dyDescent="0.25">
      <c r="A26" s="17" t="str">
        <f>HYPERLINK("#'Calcs - Residue mgmt - Pasture'!A1", "Residue management - Pasture")</f>
        <v>Residue management - Pasture</v>
      </c>
      <c r="D26" s="106" t="s">
        <v>249</v>
      </c>
    </row>
    <row r="27" spans="1:16" ht="20.100000000000001" customHeight="1" x14ac:dyDescent="0.25">
      <c r="A27" s="17" t="str">
        <f>HYPERLINK("#'Calcs - Field burning'!A1", "Field burning - Crop")</f>
        <v>Field burning - Crop</v>
      </c>
      <c r="D27" s="105" t="s">
        <v>189</v>
      </c>
    </row>
    <row r="28" spans="1:16" ht="20.100000000000001" customHeight="1" x14ac:dyDescent="0.25">
      <c r="A28" s="17" t="str">
        <f>HYPERLINK("#'Calcs - Fuel'!A1", "Fuel")</f>
        <v>Fuel</v>
      </c>
      <c r="D28" s="123" t="s">
        <v>70</v>
      </c>
      <c r="E28" s="123" t="s">
        <v>190</v>
      </c>
    </row>
    <row r="29" spans="1:16" ht="20.100000000000001" customHeight="1" x14ac:dyDescent="0.25">
      <c r="A29" s="17" t="str">
        <f>HYPERLINK("#'Calcs - Electricity'!A1", "Electricity")</f>
        <v>Electricity</v>
      </c>
      <c r="D29" s="56" t="str">
        <f>'Input - MMS - Feedlot'!$D$29</f>
        <v>Drylot (feed pad)</v>
      </c>
      <c r="E29" s="56">
        <f>_xlfn.XLOOKUP(D29, Table_SourceData_Feedlot_NO2EFs[NIR definition], Table_SourceData_Feedlot_NO2EFs[EF mT])</f>
        <v>5.4000000000000003E-3</v>
      </c>
      <c r="F29" s="2" t="s">
        <v>254</v>
      </c>
    </row>
    <row r="30" spans="1:16" ht="20.100000000000001" customHeight="1" x14ac:dyDescent="0.25">
      <c r="A30" s="17" t="str">
        <f>HYPERLINK("#'Calcs - Refrigerants'!A1", "Refrigerants")</f>
        <v>Refrigerants</v>
      </c>
      <c r="D30" s="56" t="str">
        <f>'Input - MMS - Feedlot'!$D$35</f>
        <v>Solid storage</v>
      </c>
      <c r="E30" s="56">
        <f>_xlfn.XLOOKUP($D$30, Table_SourceData_Feedlot_NO2EFs[NIR definition], Table_SourceData_Feedlot_NO2EFs[EF mT])</f>
        <v>5.0000000000000001E-3</v>
      </c>
      <c r="F30" s="2" t="s">
        <v>254</v>
      </c>
    </row>
    <row r="31" spans="1:16" ht="20.100000000000001" customHeight="1" x14ac:dyDescent="0.25">
      <c r="A31" s="71" t="s">
        <v>81</v>
      </c>
      <c r="D31" s="56" t="str">
        <f>'Input - MMS - Feedlot'!$D$36</f>
        <v>Composting (passive windrow)</v>
      </c>
      <c r="E31" s="56">
        <f>_xlfn.XLOOKUP($D$31, Table_SourceData_Feedlot_NO2EFs[NIR definition], Table_SourceData_Feedlot_NO2EFs[EF mT])</f>
        <v>0.01</v>
      </c>
      <c r="F31" s="2" t="s">
        <v>254</v>
      </c>
    </row>
    <row r="32" spans="1:16" ht="20.100000000000001" customHeight="1" x14ac:dyDescent="0.25">
      <c r="A32" s="71" t="s">
        <v>77</v>
      </c>
      <c r="D32" s="56" t="str">
        <f>'Input - MMS - Feedlot'!$D$41</f>
        <v>Anaerobic lagoon</v>
      </c>
      <c r="E32" s="56">
        <f>_xlfn.XLOOKUP($D$32, Table_SourceData_Feedlot_NO2EFs[NIR definition], Table_SourceData_Feedlot_NO2EFs[EF mT])</f>
        <v>0</v>
      </c>
      <c r="F32" s="2" t="s">
        <v>254</v>
      </c>
    </row>
    <row r="33" spans="1:8" ht="20.100000000000001" customHeight="1" x14ac:dyDescent="0.25">
      <c r="A33" s="17" t="str">
        <f>HYPERLINK("#'Calcs - Scope 3'!A1", "Purchased goods scope 3")</f>
        <v>Purchased goods scope 3</v>
      </c>
    </row>
    <row r="34" spans="1:8" ht="20.100000000000001" customHeight="1" x14ac:dyDescent="0.25">
      <c r="D34" s="106" t="s">
        <v>248</v>
      </c>
    </row>
    <row r="35" spans="1:8" ht="20.100000000000001" customHeight="1" x14ac:dyDescent="0.25">
      <c r="A35" s="18" t="s">
        <v>4</v>
      </c>
      <c r="D35" s="105" t="s">
        <v>250</v>
      </c>
    </row>
    <row r="36" spans="1:8" ht="20.100000000000001" customHeight="1" x14ac:dyDescent="0.25">
      <c r="A36" s="17" t="str">
        <f>HYPERLINK("#'Constants - Common'!A1", "Constants - Common")</f>
        <v>Constants - Common</v>
      </c>
      <c r="D36" s="123" t="s">
        <v>70</v>
      </c>
      <c r="E36" s="123" t="s">
        <v>190</v>
      </c>
    </row>
    <row r="37" spans="1:8" ht="20.100000000000001" customHeight="1" x14ac:dyDescent="0.25">
      <c r="A37" s="17" t="str">
        <f>HYPERLINK("#'Constants - Cropping'!A1", "Constants - Cropping")</f>
        <v>Constants - Cropping</v>
      </c>
      <c r="D37" s="56" t="str">
        <f>'Input - MMS - Feedlot'!$D$29</f>
        <v>Drylot (feed pad)</v>
      </c>
      <c r="E37" s="56">
        <f>_xlfn.XLOOKUP(D37, Table_SourceData_Feedlot_FracGASMmT[NIR definition], Table_SourceData_Feedlot_FracGASMmT[FracGASMmT])</f>
        <v>0.6</v>
      </c>
      <c r="F37" s="2" t="s">
        <v>255</v>
      </c>
    </row>
    <row r="38" spans="1:8" ht="20.100000000000001" customHeight="1" x14ac:dyDescent="0.25">
      <c r="A38" s="17" t="str">
        <f>HYPERLINK("#'Constants - Livestock'!A1", "Constants - Livestock")</f>
        <v>Constants - Livestock</v>
      </c>
      <c r="D38" s="56" t="str">
        <f>'Input - MMS - Feedlot'!$D$35</f>
        <v>Solid storage</v>
      </c>
      <c r="E38" s="56">
        <f>_xlfn.XLOOKUP(D38, Table_SourceData_Feedlot_FracGASMmT[NIR definition], Table_SourceData_Feedlot_FracGASMmT[FracGASMmT])</f>
        <v>0.25</v>
      </c>
      <c r="F38" s="2" t="s">
        <v>255</v>
      </c>
    </row>
    <row r="39" spans="1:8" ht="20.100000000000001" customHeight="1" x14ac:dyDescent="0.25">
      <c r="A39" s="17" t="str">
        <f>HYPERLINK("#'Constants - Dairy'!A1", "Constants - Dairy")</f>
        <v>Constants - Dairy</v>
      </c>
      <c r="D39" s="56" t="str">
        <f>'Input - MMS - Feedlot'!$D$36</f>
        <v>Composting (passive windrow)</v>
      </c>
      <c r="E39" s="56">
        <f>_xlfn.XLOOKUP(D39, Table_SourceData_Feedlot_FracGASMmT[NIR definition], Table_SourceData_Feedlot_FracGASMmT[FracGASMmT])</f>
        <v>0.4</v>
      </c>
      <c r="F39" s="2" t="s">
        <v>255</v>
      </c>
    </row>
    <row r="40" spans="1:8" ht="20.100000000000001" customHeight="1" x14ac:dyDescent="0.25">
      <c r="A40" s="71" t="s">
        <v>2</v>
      </c>
      <c r="D40" s="56" t="str">
        <f>'Input - MMS - Feedlot'!$D$41</f>
        <v>Anaerobic lagoon</v>
      </c>
      <c r="E40" s="56">
        <f>_xlfn.XLOOKUP(D40, Table_SourceData_Feedlot_FracGASMmT[NIR definition], Table_SourceData_Feedlot_FracGASMmT[FracGASMmT])</f>
        <v>0.35</v>
      </c>
      <c r="F40" s="2" t="s">
        <v>255</v>
      </c>
    </row>
    <row r="41" spans="1:8" ht="20.100000000000001" customHeight="1" x14ac:dyDescent="0.25">
      <c r="A41" s="48"/>
    </row>
    <row r="42" spans="1:8" ht="20.100000000000001" customHeight="1" x14ac:dyDescent="0.25">
      <c r="D42" s="106" t="s">
        <v>251</v>
      </c>
    </row>
    <row r="43" spans="1:8" ht="20.100000000000001" customHeight="1" x14ac:dyDescent="0.25">
      <c r="D43" s="105" t="s">
        <v>252</v>
      </c>
    </row>
    <row r="44" spans="1:8" ht="20.100000000000001" customHeight="1" x14ac:dyDescent="0.25">
      <c r="D44" s="55" t="s">
        <v>70</v>
      </c>
      <c r="E44" s="55" t="s">
        <v>152</v>
      </c>
      <c r="F44" s="55" t="s">
        <v>153</v>
      </c>
      <c r="G44" s="55" t="s">
        <v>154</v>
      </c>
    </row>
    <row r="45" spans="1:8" ht="20.100000000000001" customHeight="1" x14ac:dyDescent="0.25">
      <c r="D45" s="56" t="str">
        <f>'Input - MMS - Feedlot'!$D$35</f>
        <v>Solid storage</v>
      </c>
      <c r="E45" s="56">
        <f>'Input - MMS - Feedlot'!E49</f>
        <v>0.5</v>
      </c>
      <c r="F45" s="56">
        <f>'Input - MMS - Feedlot'!F49</f>
        <v>0.5</v>
      </c>
      <c r="G45" s="56">
        <f>'Input - MMS - Feedlot'!G49</f>
        <v>0.5</v>
      </c>
      <c r="H45" s="2" t="s">
        <v>103</v>
      </c>
    </row>
    <row r="46" spans="1:8" ht="20.100000000000001" customHeight="1" x14ac:dyDescent="0.25">
      <c r="D46" s="56" t="str">
        <f>'Input - MMS - Feedlot'!$D$36</f>
        <v>Composting (passive windrow)</v>
      </c>
      <c r="E46" s="56">
        <f>'Input - MMS - Feedlot'!E54</f>
        <v>0.5</v>
      </c>
      <c r="F46" s="56">
        <f>'Input - MMS - Feedlot'!F54</f>
        <v>0.5</v>
      </c>
      <c r="G46" s="56">
        <f>'Input - MMS - Feedlot'!G54</f>
        <v>0.5</v>
      </c>
      <c r="H46" s="2" t="s">
        <v>103</v>
      </c>
    </row>
    <row r="47" spans="1:8" ht="20.100000000000001" customHeight="1" x14ac:dyDescent="0.25">
      <c r="D47" s="56" t="str">
        <f>'Input - MMS - Feedlot'!$D$41</f>
        <v>Anaerobic lagoon</v>
      </c>
      <c r="E47" s="56">
        <f>'Input - MMS - Feedlot'!E59</f>
        <v>0.5</v>
      </c>
      <c r="F47" s="56">
        <f>'Input - MMS - Feedlot'!F59</f>
        <v>0.5</v>
      </c>
      <c r="G47" s="56">
        <f>'Input - MMS - Feedlot'!G59</f>
        <v>0.5</v>
      </c>
      <c r="H47" s="2" t="s">
        <v>103</v>
      </c>
    </row>
    <row r="48" spans="1:8" ht="20.100000000000001" customHeight="1" x14ac:dyDescent="0.25"/>
    <row r="49" spans="3:17" ht="20.100000000000001" customHeight="1" x14ac:dyDescent="0.25">
      <c r="D49" s="106" t="s">
        <v>259</v>
      </c>
      <c r="L49" s="106" t="s">
        <v>273</v>
      </c>
    </row>
    <row r="50" spans="3:17" ht="20.100000000000001" customHeight="1" x14ac:dyDescent="0.25">
      <c r="D50" s="105" t="s">
        <v>275</v>
      </c>
      <c r="L50" s="105" t="s">
        <v>274</v>
      </c>
    </row>
    <row r="51" spans="3:17" ht="20.100000000000001" customHeight="1" x14ac:dyDescent="0.25">
      <c r="D51" s="55" t="s">
        <v>70</v>
      </c>
      <c r="E51" s="55" t="s">
        <v>152</v>
      </c>
      <c r="F51" s="55" t="s">
        <v>153</v>
      </c>
      <c r="G51" s="55" t="s">
        <v>154</v>
      </c>
      <c r="L51" s="55" t="s">
        <v>70</v>
      </c>
      <c r="M51" s="55" t="s">
        <v>152</v>
      </c>
      <c r="N51" s="55" t="s">
        <v>153</v>
      </c>
      <c r="O51" s="55" t="s">
        <v>154</v>
      </c>
    </row>
    <row r="52" spans="3:17" ht="20.100000000000001" customHeight="1" x14ac:dyDescent="0.25">
      <c r="D52" s="56" t="str">
        <f>'Input - MMS - Feedlot'!$D$35</f>
        <v>Solid storage</v>
      </c>
      <c r="E52" s="56" cm="1">
        <f t="array" ref="E52">MMS_Feedlot_ManureAppliedToSoils_Equations.VEERG_4_1_1_9__1_MassOfNitrogenAppliedToSoilsScope1(E22,$E$30,$E$38,E45)</f>
        <v>2002.762431581185</v>
      </c>
      <c r="F52" s="56" cm="1">
        <f t="array" ref="F52">MMS_Feedlot_ManureAppliedToSoils_Equations.VEERG_4_1_1_9__1_MassOfNitrogenAppliedToSoilsScope1(F22,$E$30,$E$38,F45)</f>
        <v>70.727988893184005</v>
      </c>
      <c r="G52" s="56" cm="1">
        <f t="array" ref="G52">MMS_Feedlot_ManureAppliedToSoils_Equations.VEERG_4_1_1_9__1_MassOfNitrogenAppliedToSoilsScope1(G22,$E$30,$E$38,G45)</f>
        <v>102.15557769599998</v>
      </c>
      <c r="H52" s="2" t="str">
        <f>$E$12</f>
        <v>kg N</v>
      </c>
      <c r="L52" s="56" t="str">
        <f>'Input - MMS - Feedlot'!$D$35</f>
        <v>Solid storage</v>
      </c>
      <c r="M52" s="56" cm="1">
        <f t="array" ref="M52">MMS_Feedlot_ManureAppliedToSoils_Equations.VEERG_4_1_1_9__1_MassOfNitrogenAppliedToSoilsScope1(M22,$E$30,$E$38,E45)</f>
        <v>2002.762431581185</v>
      </c>
      <c r="N52" s="56" cm="1">
        <f t="array" ref="N52">MMS_Feedlot_ManureAppliedToSoils_Equations.VEERG_4_1_1_9__1_MassOfNitrogenAppliedToSoilsScope1(N22,$E$30,$E$38,F45)</f>
        <v>70.727988893184005</v>
      </c>
      <c r="O52" s="56" cm="1">
        <f t="array" ref="O52">MMS_Feedlot_ManureAppliedToSoils_Equations.VEERG_4_1_1_9__1_MassOfNitrogenAppliedToSoilsScope1(O22,$E$30,$E$38,G45)</f>
        <v>102.15557769599998</v>
      </c>
      <c r="P52" s="2" t="str">
        <f>$E$12</f>
        <v>kg N</v>
      </c>
    </row>
    <row r="53" spans="3:17" ht="20.100000000000001" customHeight="1" x14ac:dyDescent="0.25">
      <c r="D53" s="56" t="str">
        <f>'Input - MMS - Feedlot'!$D$36</f>
        <v>Composting (passive windrow)</v>
      </c>
      <c r="E53" s="56" cm="1">
        <f t="array" ref="E53">MMS_Feedlot_ManureAppliedToSoils_Equations.VEERG_4_1_1_9__1_MassOfNitrogenAppliedToSoilsScope1(E23,$E$31,$E$39,E46)</f>
        <v>6344.3212597739548</v>
      </c>
      <c r="F53" s="56" cm="1">
        <f t="array" ref="F53">MMS_Feedlot_ManureAppliedToSoils_Equations.VEERG_4_1_1_9__1_MassOfNitrogenAppliedToSoilsScope1(F23,$E$31,$E$39,F46)</f>
        <v>224.051078909952</v>
      </c>
      <c r="G53" s="56" cm="1">
        <f t="array" ref="G53">MMS_Feedlot_ManureAppliedToSoils_Equations.VEERG_4_1_1_9__1_MassOfNitrogenAppliedToSoilsScope1(G23,$E$31,$E$39,G46)</f>
        <v>323.60693068799992</v>
      </c>
      <c r="H53" s="2" t="str">
        <f>$E$12</f>
        <v>kg N</v>
      </c>
      <c r="L53" s="56" t="str">
        <f>'Input - MMS - Feedlot'!$D$36</f>
        <v>Composting (passive windrow)</v>
      </c>
      <c r="M53" s="56" cm="1">
        <f t="array" ref="M53">MMS_Feedlot_ManureAppliedToSoils_Equations.VEERG_4_1_1_9__1_MassOfNitrogenAppliedToSoilsScope1(M23,$E$31,$E$39,E46)</f>
        <v>6344.3212597739548</v>
      </c>
      <c r="N53" s="56" cm="1">
        <f t="array" ref="N53">MMS_Feedlot_ManureAppliedToSoils_Equations.VEERG_4_1_1_9__1_MassOfNitrogenAppliedToSoilsScope1(N23,$E$31,$E$39,F46)</f>
        <v>224.051078909952</v>
      </c>
      <c r="O53" s="56" cm="1">
        <f t="array" ref="O53">MMS_Feedlot_ManureAppliedToSoils_Equations.VEERG_4_1_1_9__1_MassOfNitrogenAppliedToSoilsScope1(O23,$E$31,$E$39,G46)</f>
        <v>323.60693068799992</v>
      </c>
      <c r="P53" s="2" t="str">
        <f>$E$12</f>
        <v>kg N</v>
      </c>
    </row>
    <row r="54" spans="3:17" ht="20.100000000000001" customHeight="1" x14ac:dyDescent="0.25">
      <c r="D54" s="56" t="str">
        <f>'Input - MMS - Feedlot'!$D$41</f>
        <v>Anaerobic lagoon</v>
      </c>
      <c r="E54" s="56" cm="1">
        <f t="array" ref="E54">MMS_Feedlot_ManureAppliedToSoils_Equations.VEERG_4_1_1_9__1_MassOfNitrogenAppliedToSoilsScope1(E24,$E$32,$E$40,E47)</f>
        <v>466.46466048000019</v>
      </c>
      <c r="F54" s="56" cm="1">
        <f t="array" ref="F54">MMS_Feedlot_ManureAppliedToSoils_Equations.VEERG_4_1_1_9__1_MassOfNitrogenAppliedToSoilsScope1(F24,$E$32,$E$40,F47)</f>
        <v>16.473300480000002</v>
      </c>
      <c r="G54" s="56" cm="1">
        <f t="array" ref="G54">MMS_Feedlot_ManureAppliedToSoils_Equations.VEERG_4_1_1_9__1_MassOfNitrogenAppliedToSoilsScope1(G24,$E$32,$E$40,G47)</f>
        <v>23.793119999999995</v>
      </c>
      <c r="H54" s="2" t="str">
        <f>$E$12</f>
        <v>kg N</v>
      </c>
      <c r="L54" s="56" t="str">
        <f>'Input - MMS - Feedlot'!$D$41</f>
        <v>Anaerobic lagoon</v>
      </c>
      <c r="M54" s="56" cm="1">
        <f t="array" ref="M54">MMS_Feedlot_ManureAppliedToSoils_Equations.VEERG_4_1_1_9__1_MassOfNitrogenAppliedToSoilsScope1(M24,$E$32,$E$40,E47)</f>
        <v>466.46466048000019</v>
      </c>
      <c r="N54" s="56" cm="1">
        <f t="array" ref="N54">MMS_Feedlot_ManureAppliedToSoils_Equations.VEERG_4_1_1_9__1_MassOfNitrogenAppliedToSoilsScope1(N24,$E$32,$E$40,F47)</f>
        <v>16.473300480000002</v>
      </c>
      <c r="O54" s="56" cm="1">
        <f t="array" ref="O54">MMS_Feedlot_ManureAppliedToSoils_Equations.VEERG_4_1_1_9__1_MassOfNitrogenAppliedToSoilsScope1(O24,$E$32,$E$40,G47)</f>
        <v>23.793119999999995</v>
      </c>
      <c r="P54" s="2" t="str">
        <f>$E$12</f>
        <v>kg N</v>
      </c>
    </row>
    <row r="55" spans="3:17" ht="20.100000000000001" customHeight="1" x14ac:dyDescent="0.25"/>
    <row r="56" spans="3:17" ht="20.100000000000001" customHeight="1" x14ac:dyDescent="0.25">
      <c r="D56" s="112" t="s">
        <v>260</v>
      </c>
      <c r="E56" s="113">
        <f>SUM(E52:G54)</f>
        <v>9574.3563485022751</v>
      </c>
      <c r="F56" s="114" t="str">
        <f>$E$12</f>
        <v>kg N</v>
      </c>
      <c r="L56" s="112" t="s">
        <v>260</v>
      </c>
      <c r="M56" s="113">
        <f>SUM(M52:O54)</f>
        <v>9574.3563485022751</v>
      </c>
      <c r="N56" s="114" t="str">
        <f>$E$12</f>
        <v>kg N</v>
      </c>
    </row>
    <row r="57" spans="3:17" ht="20.100000000000001" customHeight="1" x14ac:dyDescent="0.25"/>
    <row r="58" spans="3:17" ht="20.100000000000001" customHeight="1" x14ac:dyDescent="0.25"/>
    <row r="59" spans="3:17" ht="20.100000000000001" customHeight="1" x14ac:dyDescent="0.25">
      <c r="C59" s="49"/>
      <c r="D59" s="49"/>
      <c r="E59" s="49"/>
      <c r="F59" s="49"/>
      <c r="G59" s="49"/>
      <c r="H59" s="49"/>
      <c r="I59" s="49"/>
      <c r="K59" s="49"/>
      <c r="L59" s="49"/>
      <c r="M59" s="49"/>
      <c r="N59" s="49"/>
      <c r="O59" s="49"/>
      <c r="P59" s="49"/>
      <c r="Q59" s="49"/>
    </row>
    <row r="60" spans="3:17" ht="20.100000000000001" customHeight="1" x14ac:dyDescent="0.25">
      <c r="D60" s="6" t="str" cm="1">
        <f t="array" ref="D60">MMS_Feedlot_ManureAppliedToSoils_Equations.VEERG_4_1_1_9__2_MassOfNitrogenAppliedToSoilsScope3_Title()</f>
        <v>Mass of nitrogen applied to soils for scope 3 emissions</v>
      </c>
    </row>
    <row r="61" spans="3:17" ht="20.100000000000001" customHeight="1" x14ac:dyDescent="0.25">
      <c r="D61" s="5" t="str" cm="1">
        <f t="array" ref="D61">MMS_Feedlot_ManureAppliedToSoils_Equations.VEERG_4_1_1_9__2_MassOfNitrogenAppliedToSoilsScope3_Source()</f>
        <v>VEERG 2026: 4.1.1.9, Equation (2)</v>
      </c>
    </row>
    <row r="62" spans="3:17" ht="20.100000000000001" customHeight="1" x14ac:dyDescent="0.25">
      <c r="D62" s="13" t="s">
        <v>29</v>
      </c>
      <c r="E62" s="13" t="str" cm="1">
        <f t="array" aca="1" ref="E62" ca="1">Common_InputFunctions.Utility_DisplayFunctionName(E77)</f>
        <v>=MMS_Feedlot_ManureAppliedToSoils_Equations.VEERG_4_1_1_9__2_MassOfNitrogenAppliedToSoilsScope3</v>
      </c>
    </row>
    <row r="63" spans="3:17" ht="20.100000000000001" customHeight="1" x14ac:dyDescent="0.25"/>
    <row r="64" spans="3:17" ht="20.100000000000001" customHeight="1" x14ac:dyDescent="0.25">
      <c r="D64" s="6"/>
    </row>
    <row r="65" spans="4:16" ht="20.100000000000001" customHeight="1" x14ac:dyDescent="0.25"/>
    <row r="66" spans="4:16" ht="20.100000000000001" customHeight="1" x14ac:dyDescent="0.25">
      <c r="D66" s="57" t="s">
        <v>32</v>
      </c>
      <c r="E66" s="1" t="str" cm="1">
        <f t="array" ref="E66">MMS_Feedlot_ManureAppliedToSoils_Equations.VEERG_4_1_1_9__2_MassOfNitrogenAppliedToSoilsScope3_Variable()</f>
        <v>MNSoil_scope3</v>
      </c>
    </row>
    <row r="67" spans="4:16" ht="20.100000000000001" customHeight="1" x14ac:dyDescent="0.25">
      <c r="D67" s="57" t="s">
        <v>22</v>
      </c>
      <c r="E67" s="58" t="str" cm="1">
        <f t="array" ref="E67">MMS_Feedlot_ManureAppliedToSoils_Equations.VEERG_4_1_1_9__2_MassOfNitrogenAppliedToSoilsScope3_Unit()</f>
        <v>kg N</v>
      </c>
    </row>
    <row r="68" spans="4:16" ht="20.100000000000001" customHeight="1" x14ac:dyDescent="0.25"/>
    <row r="69" spans="4:16" ht="20.100000000000001" customHeight="1" x14ac:dyDescent="0.25">
      <c r="D69" s="61" t="str" cm="1">
        <f t="array" ref="D69:E72">MMS_Feedlot_ManureAppliedToSoils_Equations.VEERG_4_1_1_9__2_MassOfNitrogenAppliedToSoilsScope3_Arguments()</f>
        <v>MN_jmT23</v>
      </c>
      <c r="E69" s="62" t="str">
        <v>mass of N in secondary and tertiary treatment MMS stages as calculated for manure management : kg N</v>
      </c>
      <c r="F69" s="109"/>
      <c r="G69" s="63"/>
      <c r="H69" s="61" t="str">
        <f>"See " &amp; $D$19</f>
        <v>See M1_Table_MN_j_m_T-2-3</v>
      </c>
    </row>
    <row r="70" spans="4:16" ht="20.100000000000001" customHeight="1" x14ac:dyDescent="0.25">
      <c r="D70" s="61" t="str">
        <v>EF_mT23</v>
      </c>
      <c r="E70" s="62" t="str">
        <v>nitrous oxide emission factor for each MMS : kg N2O-N/kg N</v>
      </c>
      <c r="F70" s="109"/>
      <c r="G70" s="63"/>
      <c r="H70" s="61" t="str">
        <f>"See " &amp; $D$26</f>
        <v>See Table_EF_j_m_T-2-3</v>
      </c>
    </row>
    <row r="71" spans="4:16" ht="20.100000000000001" customHeight="1" x14ac:dyDescent="0.25">
      <c r="D71" s="61" t="str">
        <v>FracGASM_mT23</v>
      </c>
      <c r="E71" s="62" t="str">
        <v>fraction of animal waste N volatilised in each MMS for each cattle group : (kg NH3-N + NOx-N)/kg N</v>
      </c>
      <c r="F71" s="109"/>
      <c r="G71" s="63"/>
      <c r="H71" s="61" t="str">
        <f>"See " &amp; $D$34</f>
        <v>See Table_FracGASM_m_T-2-3</v>
      </c>
    </row>
    <row r="72" spans="4:16" ht="20.100000000000001" customHeight="1" x14ac:dyDescent="0.25">
      <c r="D72" s="61" t="str">
        <v>PF</v>
      </c>
      <c r="E72" s="62" t="str">
        <v>fraction of manure applied to soil within the feedlot boundary : fraction</v>
      </c>
      <c r="F72" s="109"/>
      <c r="G72" s="63"/>
      <c r="H72" s="61" t="str">
        <f>"See " &amp; $D$42</f>
        <v>See Table_PF</v>
      </c>
    </row>
    <row r="73" spans="4:16" ht="20.100000000000001" customHeight="1" x14ac:dyDescent="0.25"/>
    <row r="74" spans="4:16" ht="20.100000000000001" customHeight="1" x14ac:dyDescent="0.25">
      <c r="D74" s="106" t="s">
        <v>264</v>
      </c>
      <c r="L74" s="106" t="s">
        <v>269</v>
      </c>
    </row>
    <row r="75" spans="4:16" ht="20.100000000000001" customHeight="1" x14ac:dyDescent="0.25">
      <c r="D75" s="105" t="s">
        <v>272</v>
      </c>
      <c r="L75" s="105" t="s">
        <v>270</v>
      </c>
    </row>
    <row r="76" spans="4:16" ht="20.100000000000001" customHeight="1" x14ac:dyDescent="0.25">
      <c r="D76" s="55" t="s">
        <v>70</v>
      </c>
      <c r="E76" s="55" t="s">
        <v>152</v>
      </c>
      <c r="F76" s="55" t="s">
        <v>153</v>
      </c>
      <c r="G76" s="55" t="s">
        <v>154</v>
      </c>
      <c r="L76" s="55" t="s">
        <v>70</v>
      </c>
      <c r="M76" s="55" t="s">
        <v>152</v>
      </c>
      <c r="N76" s="55" t="s">
        <v>153</v>
      </c>
      <c r="O76" s="55" t="s">
        <v>154</v>
      </c>
    </row>
    <row r="77" spans="4:16" ht="20.100000000000001" customHeight="1" x14ac:dyDescent="0.25">
      <c r="D77" s="56" t="str">
        <f>'Input - MMS - Feedlot'!$D$35</f>
        <v>Solid storage</v>
      </c>
      <c r="E77" s="56" cm="1">
        <f t="array" ref="E77">MMS_Feedlot_ManureAppliedToSoils_Equations.VEERG_4_1_1_9__2_MassOfNitrogenAppliedToSoilsScope3(E22,$E30,$E38,E45)</f>
        <v>2002.762431581185</v>
      </c>
      <c r="F77" s="56" cm="1">
        <f t="array" ref="F77">MMS_Feedlot_ManureAppliedToSoils_Equations.VEERG_4_1_1_9__2_MassOfNitrogenAppliedToSoilsScope3(F22,$E30,$E38,F45)</f>
        <v>70.727988893184005</v>
      </c>
      <c r="G77" s="56" cm="1">
        <f t="array" ref="G77">MMS_Feedlot_ManureAppliedToSoils_Equations.VEERG_4_1_1_9__2_MassOfNitrogenAppliedToSoilsScope3(G22,$E30,$E38,G45)</f>
        <v>102.15557769599998</v>
      </c>
      <c r="H77" s="2" t="str">
        <f>$E$12</f>
        <v>kg N</v>
      </c>
      <c r="L77" s="56" t="str">
        <f>'Input - MMS - Feedlot'!$D$35</f>
        <v>Solid storage</v>
      </c>
      <c r="M77" s="56" cm="1">
        <f t="array" ref="M77">MMS_Feedlot_ManureAppliedToSoils_Equations.VEERG_4_1_1_9__2_MassOfNitrogenAppliedToSoilsScope3(M22,$E30,$E38,E45)</f>
        <v>2002.762431581185</v>
      </c>
      <c r="N77" s="56" cm="1">
        <f t="array" ref="N77">MMS_Feedlot_ManureAppliedToSoils_Equations.VEERG_4_1_1_9__2_MassOfNitrogenAppliedToSoilsScope3(N22,$E30,$E38,F45)</f>
        <v>70.727988893184005</v>
      </c>
      <c r="O77" s="56" cm="1">
        <f t="array" ref="O77">MMS_Feedlot_ManureAppliedToSoils_Equations.VEERG_4_1_1_9__2_MassOfNitrogenAppliedToSoilsScope3(O22,$E30,$E38,G45)</f>
        <v>102.15557769599998</v>
      </c>
      <c r="P77" s="2" t="str">
        <f>$E$12</f>
        <v>kg N</v>
      </c>
    </row>
    <row r="78" spans="4:16" ht="20.100000000000001" customHeight="1" x14ac:dyDescent="0.25">
      <c r="D78" s="56" t="str">
        <f>'Input - MMS - Feedlot'!$D$36</f>
        <v>Composting (passive windrow)</v>
      </c>
      <c r="E78" s="56" cm="1">
        <f t="array" ref="E78">MMS_Feedlot_ManureAppliedToSoils_Equations.VEERG_4_1_1_9__2_MassOfNitrogenAppliedToSoilsScope3(E23,$E31,$E39,E46)</f>
        <v>6344.3212597739548</v>
      </c>
      <c r="F78" s="56" cm="1">
        <f t="array" ref="F78">MMS_Feedlot_ManureAppliedToSoils_Equations.VEERG_4_1_1_9__2_MassOfNitrogenAppliedToSoilsScope3(F23,$E31,$E39,F46)</f>
        <v>224.051078909952</v>
      </c>
      <c r="G78" s="56" cm="1">
        <f t="array" ref="G78">MMS_Feedlot_ManureAppliedToSoils_Equations.VEERG_4_1_1_9__2_MassOfNitrogenAppliedToSoilsScope3(G23,$E31,$E39,G46)</f>
        <v>323.60693068799992</v>
      </c>
      <c r="H78" s="2" t="str">
        <f>$E$12</f>
        <v>kg N</v>
      </c>
      <c r="L78" s="56" t="str">
        <f>'Input - MMS - Feedlot'!$D$36</f>
        <v>Composting (passive windrow)</v>
      </c>
      <c r="M78" s="56" cm="1">
        <f t="array" ref="M78">MMS_Feedlot_ManureAppliedToSoils_Equations.VEERG_4_1_1_9__2_MassOfNitrogenAppliedToSoilsScope3(M23,$E31,$E39,E46)</f>
        <v>6344.3212597739548</v>
      </c>
      <c r="N78" s="56" cm="1">
        <f t="array" ref="N78">MMS_Feedlot_ManureAppliedToSoils_Equations.VEERG_4_1_1_9__2_MassOfNitrogenAppliedToSoilsScope3(N23,$E31,$E39,F46)</f>
        <v>224.051078909952</v>
      </c>
      <c r="O78" s="56" cm="1">
        <f t="array" ref="O78">MMS_Feedlot_ManureAppliedToSoils_Equations.VEERG_4_1_1_9__2_MassOfNitrogenAppliedToSoilsScope3(O23,$E31,$E39,G46)</f>
        <v>323.60693068799992</v>
      </c>
      <c r="P78" s="2" t="str">
        <f>$E$12</f>
        <v>kg N</v>
      </c>
    </row>
    <row r="79" spans="4:16" ht="20.100000000000001" customHeight="1" x14ac:dyDescent="0.25">
      <c r="D79" s="56" t="str">
        <f>'Input - MMS - Feedlot'!$D$41</f>
        <v>Anaerobic lagoon</v>
      </c>
      <c r="E79" s="56" cm="1">
        <f t="array" ref="E79">MMS_Feedlot_ManureAppliedToSoils_Equations.VEERG_4_1_1_9__2_MassOfNitrogenAppliedToSoilsScope3(E24,$E32,$E40,E47)</f>
        <v>466.46466048000019</v>
      </c>
      <c r="F79" s="56" cm="1">
        <f t="array" ref="F79">MMS_Feedlot_ManureAppliedToSoils_Equations.VEERG_4_1_1_9__2_MassOfNitrogenAppliedToSoilsScope3(F24,$E32,$E40,F47)</f>
        <v>16.473300480000002</v>
      </c>
      <c r="G79" s="56" cm="1">
        <f t="array" ref="G79">MMS_Feedlot_ManureAppliedToSoils_Equations.VEERG_4_1_1_9__2_MassOfNitrogenAppliedToSoilsScope3(G24,$E32,$E40,G47)</f>
        <v>23.793119999999995</v>
      </c>
      <c r="H79" s="2" t="str">
        <f>$E$12</f>
        <v>kg N</v>
      </c>
      <c r="L79" s="56" t="str">
        <f>'Input - MMS - Feedlot'!$D$41</f>
        <v>Anaerobic lagoon</v>
      </c>
      <c r="M79" s="56" cm="1">
        <f t="array" ref="M79">MMS_Feedlot_ManureAppliedToSoils_Equations.VEERG_4_1_1_9__2_MassOfNitrogenAppliedToSoilsScope3(M24,$E32,$E40,E47)</f>
        <v>466.46466048000019</v>
      </c>
      <c r="N79" s="56" cm="1">
        <f t="array" ref="N79">MMS_Feedlot_ManureAppliedToSoils_Equations.VEERG_4_1_1_9__2_MassOfNitrogenAppliedToSoilsScope3(N24,$E32,$E40,F47)</f>
        <v>16.473300480000002</v>
      </c>
      <c r="O79" s="56" cm="1">
        <f t="array" ref="O79">MMS_Feedlot_ManureAppliedToSoils_Equations.VEERG_4_1_1_9__2_MassOfNitrogenAppliedToSoilsScope3(O24,$E32,$E40,G47)</f>
        <v>23.793119999999995</v>
      </c>
      <c r="P79" s="2" t="str">
        <f>$E$12</f>
        <v>kg N</v>
      </c>
    </row>
    <row r="80" spans="4:16" ht="20.100000000000001" customHeight="1" x14ac:dyDescent="0.25"/>
    <row r="81" spans="3:17" ht="20.100000000000001" customHeight="1" x14ac:dyDescent="0.25">
      <c r="D81" s="112" t="s">
        <v>266</v>
      </c>
      <c r="E81" s="113">
        <f>SUM(E77:G79)</f>
        <v>9574.3563485022751</v>
      </c>
      <c r="F81" s="114" t="str">
        <f>$E$12</f>
        <v>kg N</v>
      </c>
      <c r="L81" s="112" t="s">
        <v>266</v>
      </c>
      <c r="M81" s="113">
        <f>SUM(M77:O79)</f>
        <v>9574.3563485022751</v>
      </c>
      <c r="N81" s="114" t="str">
        <f>$E$12</f>
        <v>kg N</v>
      </c>
    </row>
    <row r="82" spans="3:17" ht="20.100000000000001" customHeight="1" x14ac:dyDescent="0.25"/>
    <row r="83" spans="3:17" ht="20.100000000000001" customHeight="1" x14ac:dyDescent="0.25"/>
    <row r="84" spans="3:17" ht="20.100000000000001" customHeight="1" x14ac:dyDescent="0.25">
      <c r="C84" s="49"/>
      <c r="D84" s="49"/>
      <c r="E84" s="49"/>
      <c r="F84" s="49"/>
      <c r="G84" s="49"/>
      <c r="H84" s="49"/>
      <c r="I84" s="49"/>
      <c r="J84" s="128"/>
      <c r="K84" s="49"/>
      <c r="L84" s="49"/>
      <c r="M84" s="49"/>
      <c r="N84" s="49"/>
      <c r="O84" s="49"/>
      <c r="P84" s="49"/>
      <c r="Q84" s="49"/>
    </row>
    <row r="85" spans="3:17" ht="20.100000000000001" customHeight="1" x14ac:dyDescent="0.25">
      <c r="D85" s="125" t="str">
        <f>"Below are applications of " &amp; D61 &amp; " that are applied to the following contexts:"</f>
        <v>Below are applications of VEERG 2026: 4.1.1.9, Equation (2) that are applied to the following contexts:</v>
      </c>
      <c r="E85" s="96"/>
      <c r="F85" s="96"/>
      <c r="G85" s="96"/>
      <c r="H85" s="92"/>
    </row>
    <row r="86" spans="3:17" ht="20.100000000000001" customHeight="1" x14ac:dyDescent="0.25">
      <c r="D86" s="126" t="s">
        <v>285</v>
      </c>
      <c r="E86" s="124"/>
      <c r="F86" s="124"/>
      <c r="G86" s="124"/>
      <c r="H86" s="127"/>
    </row>
    <row r="87" spans="3:17" ht="20.100000000000001" customHeight="1" x14ac:dyDescent="0.25">
      <c r="D87" s="98" t="s">
        <v>286</v>
      </c>
      <c r="E87" s="95"/>
      <c r="F87" s="95"/>
      <c r="G87" s="95"/>
      <c r="H87" s="93"/>
    </row>
    <row r="88" spans="3:17" ht="20.100000000000001" customHeight="1" x14ac:dyDescent="0.25"/>
    <row r="89" spans="3:17" ht="20.100000000000001" customHeight="1" x14ac:dyDescent="0.25">
      <c r="D89" s="6" t="s">
        <v>282</v>
      </c>
    </row>
    <row r="90" spans="3:17" ht="20.100000000000001" customHeight="1" x14ac:dyDescent="0.25">
      <c r="D90" s="106" t="s">
        <v>262</v>
      </c>
    </row>
    <row r="91" spans="3:17" ht="20.100000000000001" customHeight="1" x14ac:dyDescent="0.25">
      <c r="D91" s="105" t="s">
        <v>263</v>
      </c>
    </row>
    <row r="92" spans="3:17" ht="20.100000000000001" customHeight="1" x14ac:dyDescent="0.25">
      <c r="D92" s="55" t="s">
        <v>70</v>
      </c>
      <c r="E92" s="55" t="s">
        <v>152</v>
      </c>
      <c r="F92" s="55" t="s">
        <v>153</v>
      </c>
      <c r="G92" s="55" t="s">
        <v>154</v>
      </c>
      <c r="H92" s="49"/>
    </row>
    <row r="93" spans="3:17" ht="20.100000000000001" customHeight="1" x14ac:dyDescent="0.25">
      <c r="D93" s="56" t="str">
        <f>'Input - MMS - Feedlot'!$D$35</f>
        <v>Solid storage</v>
      </c>
      <c r="E93" s="56">
        <f>'Input - MMS - Feedlot'!E48</f>
        <v>0.25</v>
      </c>
      <c r="F93" s="56">
        <f>'Input - MMS - Feedlot'!F48</f>
        <v>0.25</v>
      </c>
      <c r="G93" s="56">
        <f>'Input - MMS - Feedlot'!G48</f>
        <v>0.25</v>
      </c>
      <c r="H93" s="2" t="s">
        <v>103</v>
      </c>
    </row>
    <row r="94" spans="3:17" ht="20.100000000000001" customHeight="1" x14ac:dyDescent="0.25">
      <c r="D94" s="56" t="str">
        <f>'Input - MMS - Feedlot'!$D$36</f>
        <v>Composting (passive windrow)</v>
      </c>
      <c r="E94" s="56">
        <f>'Input - MMS - Feedlot'!E53</f>
        <v>0.25</v>
      </c>
      <c r="F94" s="56">
        <f>'Input - MMS - Feedlot'!F53</f>
        <v>0.25</v>
      </c>
      <c r="G94" s="56">
        <f>'Input - MMS - Feedlot'!G53</f>
        <v>0.25</v>
      </c>
      <c r="H94" s="2" t="s">
        <v>103</v>
      </c>
    </row>
    <row r="95" spans="3:17" ht="20.100000000000001" customHeight="1" x14ac:dyDescent="0.25">
      <c r="D95" s="56" t="str">
        <f>'Input - MMS - Feedlot'!$D$41</f>
        <v>Anaerobic lagoon</v>
      </c>
      <c r="E95" s="56">
        <f>'Input - MMS - Feedlot'!E58</f>
        <v>0.25</v>
      </c>
      <c r="F95" s="56">
        <f>'Input - MMS - Feedlot'!F58</f>
        <v>0.25</v>
      </c>
      <c r="G95" s="56">
        <f>'Input - MMS - Feedlot'!G58</f>
        <v>0.25</v>
      </c>
      <c r="H95" s="2" t="s">
        <v>103</v>
      </c>
    </row>
    <row r="96" spans="3:17" ht="20.100000000000001" customHeight="1" x14ac:dyDescent="0.25"/>
    <row r="97" spans="3:17" ht="20.100000000000001" customHeight="1" x14ac:dyDescent="0.25">
      <c r="D97" s="106" t="s">
        <v>265</v>
      </c>
      <c r="L97" s="106" t="s">
        <v>267</v>
      </c>
    </row>
    <row r="98" spans="3:17" ht="20.100000000000001" customHeight="1" x14ac:dyDescent="0.25">
      <c r="D98" s="105" t="s">
        <v>271</v>
      </c>
      <c r="L98" s="105" t="s">
        <v>268</v>
      </c>
    </row>
    <row r="99" spans="3:17" ht="20.100000000000001" customHeight="1" x14ac:dyDescent="0.25">
      <c r="D99" s="55" t="s">
        <v>70</v>
      </c>
      <c r="E99" s="55" t="s">
        <v>152</v>
      </c>
      <c r="F99" s="55" t="s">
        <v>153</v>
      </c>
      <c r="G99" s="55" t="s">
        <v>154</v>
      </c>
      <c r="L99" s="55" t="s">
        <v>70</v>
      </c>
      <c r="M99" s="55" t="s">
        <v>152</v>
      </c>
      <c r="N99" s="55" t="s">
        <v>153</v>
      </c>
      <c r="O99" s="55" t="s">
        <v>154</v>
      </c>
    </row>
    <row r="100" spans="3:17" ht="20.100000000000001" customHeight="1" x14ac:dyDescent="0.25">
      <c r="D100" s="56" t="str">
        <f>'Input - MMS - Feedlot'!$D$35</f>
        <v>Solid storage</v>
      </c>
      <c r="E100" s="56" cm="1">
        <f t="array" ref="E100">MMS_Feedlot_ManureAppliedToSoils_Equations.VEERG_4_1_1_9__1_MassOfNitrogenAppliedToSoilsScope1(E22,$E$30,$E$38,E93)</f>
        <v>1001.3812157905925</v>
      </c>
      <c r="F100" s="56" cm="1">
        <f t="array" ref="F100">MMS_Feedlot_ManureAppliedToSoils_Equations.VEERG_4_1_1_9__1_MassOfNitrogenAppliedToSoilsScope1(F22,$E$30,$E$38,F93)</f>
        <v>35.363994446592002</v>
      </c>
      <c r="G100" s="56" cm="1">
        <f t="array" ref="G100">MMS_Feedlot_ManureAppliedToSoils_Equations.VEERG_4_1_1_9__1_MassOfNitrogenAppliedToSoilsScope1(G22,$E$30,$E$38,G93)</f>
        <v>51.07778884799999</v>
      </c>
      <c r="H100" s="2" t="str">
        <f>$E$12</f>
        <v>kg N</v>
      </c>
      <c r="L100" s="56" t="str">
        <f>'Input - MMS - Feedlot'!$D$35</f>
        <v>Solid storage</v>
      </c>
      <c r="M100" s="56" cm="1">
        <f t="array" ref="M100">MMS_Feedlot_ManureAppliedToSoils_Equations.VEERG_4_1_1_9__1_MassOfNitrogenAppliedToSoilsScope1(M22,$E$30,$E$38,E93)</f>
        <v>1001.3812157905925</v>
      </c>
      <c r="N100" s="56" cm="1">
        <f t="array" ref="N100">MMS_Feedlot_ManureAppliedToSoils_Equations.VEERG_4_1_1_9__1_MassOfNitrogenAppliedToSoilsScope1(N22,$E$30,$E$38,F93)</f>
        <v>35.363994446592002</v>
      </c>
      <c r="O100" s="56" cm="1">
        <f t="array" ref="O100">MMS_Feedlot_ManureAppliedToSoils_Equations.VEERG_4_1_1_9__1_MassOfNitrogenAppliedToSoilsScope1(O22,$E$30,$E$38,G93)</f>
        <v>51.07778884799999</v>
      </c>
      <c r="P100" s="2" t="str">
        <f>$E$12</f>
        <v>kg N</v>
      </c>
    </row>
    <row r="101" spans="3:17" ht="20.100000000000001" customHeight="1" x14ac:dyDescent="0.25">
      <c r="D101" s="56" t="str">
        <f>'Input - MMS - Feedlot'!$D$36</f>
        <v>Composting (passive windrow)</v>
      </c>
      <c r="E101" s="56" cm="1">
        <f t="array" ref="E101">MMS_Feedlot_ManureAppliedToSoils_Equations.VEERG_4_1_1_9__1_MassOfNitrogenAppliedToSoilsScope1(E23,$E$31,$E$39,E94)</f>
        <v>3172.1606298869774</v>
      </c>
      <c r="F101" s="56" cm="1">
        <f t="array" ref="F101">MMS_Feedlot_ManureAppliedToSoils_Equations.VEERG_4_1_1_9__1_MassOfNitrogenAppliedToSoilsScope1(F23,$E$31,$E$39,F94)</f>
        <v>112.025539454976</v>
      </c>
      <c r="G101" s="56" cm="1">
        <f t="array" ref="G101">MMS_Feedlot_ManureAppliedToSoils_Equations.VEERG_4_1_1_9__1_MassOfNitrogenAppliedToSoilsScope1(G23,$E$31,$E$39,G94)</f>
        <v>161.80346534399996</v>
      </c>
      <c r="H101" s="2" t="str">
        <f>$E$12</f>
        <v>kg N</v>
      </c>
      <c r="L101" s="56" t="str">
        <f>'Input - MMS - Feedlot'!$D$36</f>
        <v>Composting (passive windrow)</v>
      </c>
      <c r="M101" s="56" cm="1">
        <f t="array" ref="M101">MMS_Feedlot_ManureAppliedToSoils_Equations.VEERG_4_1_1_9__1_MassOfNitrogenAppliedToSoilsScope1(M23,$E$31,$E$39,E94)</f>
        <v>3172.1606298869774</v>
      </c>
      <c r="N101" s="56" cm="1">
        <f t="array" ref="N101">MMS_Feedlot_ManureAppliedToSoils_Equations.VEERG_4_1_1_9__1_MassOfNitrogenAppliedToSoilsScope1(N23,$E$31,$E$39,F94)</f>
        <v>112.025539454976</v>
      </c>
      <c r="O101" s="56" cm="1">
        <f t="array" ref="O101">MMS_Feedlot_ManureAppliedToSoils_Equations.VEERG_4_1_1_9__1_MassOfNitrogenAppliedToSoilsScope1(O23,$E$31,$E$39,G94)</f>
        <v>161.80346534399996</v>
      </c>
      <c r="P101" s="2" t="str">
        <f>$E$12</f>
        <v>kg N</v>
      </c>
    </row>
    <row r="102" spans="3:17" ht="20.100000000000001" customHeight="1" x14ac:dyDescent="0.25">
      <c r="D102" s="56" t="str">
        <f>'Input - MMS - Feedlot'!$D$41</f>
        <v>Anaerobic lagoon</v>
      </c>
      <c r="E102" s="56" cm="1">
        <f t="array" ref="E102">MMS_Feedlot_ManureAppliedToSoils_Equations.VEERG_4_1_1_9__1_MassOfNitrogenAppliedToSoilsScope1(E24,$E$32,$E$40,E95)</f>
        <v>233.2323302400001</v>
      </c>
      <c r="F102" s="56" cm="1">
        <f t="array" ref="F102">MMS_Feedlot_ManureAppliedToSoils_Equations.VEERG_4_1_1_9__1_MassOfNitrogenAppliedToSoilsScope1(F24,$E$32,$E$40,F95)</f>
        <v>8.2366502400000012</v>
      </c>
      <c r="G102" s="56" cm="1">
        <f t="array" ref="G102">MMS_Feedlot_ManureAppliedToSoils_Equations.VEERG_4_1_1_9__1_MassOfNitrogenAppliedToSoilsScope1(G24,$E$32,$E$40,G95)</f>
        <v>11.896559999999997</v>
      </c>
      <c r="H102" s="2" t="str">
        <f>$E$12</f>
        <v>kg N</v>
      </c>
      <c r="L102" s="56" t="str">
        <f>'Input - MMS - Feedlot'!$D$41</f>
        <v>Anaerobic lagoon</v>
      </c>
      <c r="M102" s="56" cm="1">
        <f t="array" ref="M102">MMS_Feedlot_ManureAppliedToSoils_Equations.VEERG_4_1_1_9__1_MassOfNitrogenAppliedToSoilsScope1(M24,$E$32,$E$40,E95)</f>
        <v>233.2323302400001</v>
      </c>
      <c r="N102" s="56" cm="1">
        <f t="array" ref="N102">MMS_Feedlot_ManureAppliedToSoils_Equations.VEERG_4_1_1_9__1_MassOfNitrogenAppliedToSoilsScope1(N24,$E$32,$E$40,F95)</f>
        <v>8.2366502400000012</v>
      </c>
      <c r="O102" s="56" cm="1">
        <f t="array" ref="O102">MMS_Feedlot_ManureAppliedToSoils_Equations.VEERG_4_1_1_9__1_MassOfNitrogenAppliedToSoilsScope1(O24,$E$32,$E$40,G95)</f>
        <v>11.896559999999997</v>
      </c>
      <c r="P102" s="2" t="str">
        <f>$E$12</f>
        <v>kg N</v>
      </c>
    </row>
    <row r="103" spans="3:17" ht="20.100000000000001" customHeight="1" x14ac:dyDescent="0.25"/>
    <row r="104" spans="3:17" ht="20.100000000000001" customHeight="1" x14ac:dyDescent="0.25">
      <c r="D104" s="112" t="s">
        <v>287</v>
      </c>
      <c r="E104" s="113">
        <f>SUM(E100:G102)</f>
        <v>4787.1781742511375</v>
      </c>
      <c r="F104" s="114" t="str">
        <f>$E$12</f>
        <v>kg N</v>
      </c>
      <c r="L104" s="112" t="s">
        <v>287</v>
      </c>
      <c r="M104" s="113">
        <f>SUM(M100:O102)</f>
        <v>4787.1781742511375</v>
      </c>
      <c r="N104" s="114" t="str">
        <f>$E$12</f>
        <v>kg N</v>
      </c>
    </row>
    <row r="105" spans="3:17" ht="20.100000000000001" customHeight="1" x14ac:dyDescent="0.25"/>
    <row r="106" spans="3:17" ht="20.100000000000001" customHeight="1" x14ac:dyDescent="0.25"/>
    <row r="107" spans="3:17" ht="20.100000000000001" customHeight="1" x14ac:dyDescent="0.25">
      <c r="C107" s="49"/>
      <c r="D107" s="49"/>
      <c r="E107" s="49"/>
      <c r="F107" s="49"/>
      <c r="G107" s="49"/>
      <c r="H107" s="49"/>
      <c r="I107" s="49"/>
      <c r="K107" s="49"/>
      <c r="L107" s="49"/>
      <c r="M107" s="49"/>
      <c r="N107" s="49"/>
      <c r="O107" s="49"/>
      <c r="P107" s="49"/>
      <c r="Q107" s="49"/>
    </row>
    <row r="108" spans="3:17" ht="20.100000000000001" customHeight="1" x14ac:dyDescent="0.25">
      <c r="D108" s="6" t="s">
        <v>283</v>
      </c>
    </row>
    <row r="109" spans="3:17" ht="20.100000000000001" customHeight="1" x14ac:dyDescent="0.25">
      <c r="D109" s="106" t="s">
        <v>276</v>
      </c>
    </row>
    <row r="110" spans="3:17" ht="20.100000000000001" customHeight="1" x14ac:dyDescent="0.25">
      <c r="D110" s="105" t="s">
        <v>277</v>
      </c>
    </row>
    <row r="111" spans="3:17" ht="20.100000000000001" customHeight="1" x14ac:dyDescent="0.25">
      <c r="D111" s="55" t="s">
        <v>70</v>
      </c>
      <c r="E111" s="55" t="s">
        <v>152</v>
      </c>
      <c r="F111" s="55" t="s">
        <v>153</v>
      </c>
      <c r="G111" s="55" t="s">
        <v>154</v>
      </c>
    </row>
    <row r="112" spans="3:17" ht="20.100000000000001" customHeight="1" x14ac:dyDescent="0.25">
      <c r="D112" s="56" t="str">
        <f>'Input - MMS - Feedlot'!$D$35</f>
        <v>Solid storage</v>
      </c>
      <c r="E112" s="56">
        <f>'Input - MMS - Feedlot'!E47</f>
        <v>0.25</v>
      </c>
      <c r="F112" s="56">
        <f>'Input - MMS - Feedlot'!F47</f>
        <v>0.25</v>
      </c>
      <c r="G112" s="56">
        <f>'Input - MMS - Feedlot'!G47</f>
        <v>0.25</v>
      </c>
      <c r="H112" s="2" t="s">
        <v>103</v>
      </c>
    </row>
    <row r="113" spans="4:16" ht="20.100000000000001" customHeight="1" x14ac:dyDescent="0.25">
      <c r="D113" s="56" t="str">
        <f>'Input - MMS - Feedlot'!$D$36</f>
        <v>Composting (passive windrow)</v>
      </c>
      <c r="E113" s="56">
        <f>'Input - MMS - Feedlot'!E52</f>
        <v>0.25</v>
      </c>
      <c r="F113" s="56">
        <f>'Input - MMS - Feedlot'!F52</f>
        <v>0.25</v>
      </c>
      <c r="G113" s="56">
        <f>'Input - MMS - Feedlot'!G52</f>
        <v>0.25</v>
      </c>
      <c r="H113" s="2" t="s">
        <v>103</v>
      </c>
    </row>
    <row r="114" spans="4:16" ht="20.100000000000001" customHeight="1" x14ac:dyDescent="0.25">
      <c r="D114" s="56" t="str">
        <f>'Input - MMS - Feedlot'!$D$41</f>
        <v>Anaerobic lagoon</v>
      </c>
      <c r="E114" s="56">
        <f>'Input - MMS - Feedlot'!E57</f>
        <v>0.25</v>
      </c>
      <c r="F114" s="56">
        <f>'Input - MMS - Feedlot'!F57</f>
        <v>0.25</v>
      </c>
      <c r="G114" s="56">
        <f>'Input - MMS - Feedlot'!G57</f>
        <v>0.25</v>
      </c>
      <c r="H114" s="2" t="s">
        <v>103</v>
      </c>
    </row>
    <row r="115" spans="4:16" ht="20.100000000000001" customHeight="1" x14ac:dyDescent="0.25"/>
    <row r="116" spans="4:16" ht="20.100000000000001" customHeight="1" x14ac:dyDescent="0.25">
      <c r="D116" s="106" t="s">
        <v>278</v>
      </c>
      <c r="L116" s="106" t="s">
        <v>279</v>
      </c>
    </row>
    <row r="117" spans="4:16" ht="20.100000000000001" customHeight="1" x14ac:dyDescent="0.25">
      <c r="D117" s="105" t="s">
        <v>281</v>
      </c>
      <c r="L117" s="105" t="s">
        <v>280</v>
      </c>
    </row>
    <row r="118" spans="4:16" ht="20.100000000000001" customHeight="1" x14ac:dyDescent="0.25">
      <c r="D118" s="55" t="s">
        <v>70</v>
      </c>
      <c r="E118" s="55" t="s">
        <v>152</v>
      </c>
      <c r="F118" s="55" t="s">
        <v>153</v>
      </c>
      <c r="G118" s="55" t="s">
        <v>154</v>
      </c>
      <c r="L118" s="55" t="s">
        <v>70</v>
      </c>
      <c r="M118" s="55" t="s">
        <v>152</v>
      </c>
      <c r="N118" s="55" t="s">
        <v>153</v>
      </c>
      <c r="O118" s="55" t="s">
        <v>154</v>
      </c>
    </row>
    <row r="119" spans="4:16" ht="20.100000000000001" customHeight="1" x14ac:dyDescent="0.25">
      <c r="D119" s="56" t="str">
        <f>'Input - MMS - Feedlot'!$D$35</f>
        <v>Solid storage</v>
      </c>
      <c r="E119" s="56" cm="1">
        <f t="array" ref="E119">MMS_Feedlot_ManureAppliedToSoils_Equations.VEERG_4_1_1_9__1_MassOfNitrogenAppliedToSoilsScope1(E22,$E$30,$E$38,E112)</f>
        <v>1001.3812157905925</v>
      </c>
      <c r="F119" s="56" cm="1">
        <f t="array" ref="F119">MMS_Feedlot_ManureAppliedToSoils_Equations.VEERG_4_1_1_9__1_MassOfNitrogenAppliedToSoilsScope1(F22,$E$30,$E$38,F112)</f>
        <v>35.363994446592002</v>
      </c>
      <c r="G119" s="56" cm="1">
        <f t="array" ref="G119">MMS_Feedlot_ManureAppliedToSoils_Equations.VEERG_4_1_1_9__1_MassOfNitrogenAppliedToSoilsScope1(G22,$E$30,$E$38,G112)</f>
        <v>51.07778884799999</v>
      </c>
      <c r="H119" s="2" t="str">
        <f>$E$12</f>
        <v>kg N</v>
      </c>
      <c r="L119" s="56" t="str">
        <f>'Input - MMS - Feedlot'!$D$35</f>
        <v>Solid storage</v>
      </c>
      <c r="M119" s="56" cm="1">
        <f t="array" ref="M119">MMS_Feedlot_ManureAppliedToSoils_Equations.VEERG_4_1_1_9__1_MassOfNitrogenAppliedToSoilsScope1(M22,$E$30,$E$38,E112)</f>
        <v>1001.3812157905925</v>
      </c>
      <c r="N119" s="56" cm="1">
        <f t="array" ref="N119">MMS_Feedlot_ManureAppliedToSoils_Equations.VEERG_4_1_1_9__1_MassOfNitrogenAppliedToSoilsScope1(N22,$E$30,$E$38,F112)</f>
        <v>35.363994446592002</v>
      </c>
      <c r="O119" s="56" cm="1">
        <f t="array" ref="O119">MMS_Feedlot_ManureAppliedToSoils_Equations.VEERG_4_1_1_9__1_MassOfNitrogenAppliedToSoilsScope1(O22,$E$30,$E$38,G112)</f>
        <v>51.07778884799999</v>
      </c>
      <c r="P119" s="2" t="str">
        <f>$E$12</f>
        <v>kg N</v>
      </c>
    </row>
    <row r="120" spans="4:16" ht="20.100000000000001" customHeight="1" x14ac:dyDescent="0.25">
      <c r="D120" s="56" t="str">
        <f>'Input - MMS - Feedlot'!$D$36</f>
        <v>Composting (passive windrow)</v>
      </c>
      <c r="E120" s="56" cm="1">
        <f t="array" ref="E120">MMS_Feedlot_ManureAppliedToSoils_Equations.VEERG_4_1_1_9__1_MassOfNitrogenAppliedToSoilsScope1(E23,$E$31,$E$39,E113)</f>
        <v>3172.1606298869774</v>
      </c>
      <c r="F120" s="56" cm="1">
        <f t="array" ref="F120">MMS_Feedlot_ManureAppliedToSoils_Equations.VEERG_4_1_1_9__1_MassOfNitrogenAppliedToSoilsScope1(F23,$E$31,$E$39,F113)</f>
        <v>112.025539454976</v>
      </c>
      <c r="G120" s="56" cm="1">
        <f t="array" ref="G120">MMS_Feedlot_ManureAppliedToSoils_Equations.VEERG_4_1_1_9__1_MassOfNitrogenAppliedToSoilsScope1(G23,$E$31,$E$39,G113)</f>
        <v>161.80346534399996</v>
      </c>
      <c r="H120" s="2" t="str">
        <f>$E$12</f>
        <v>kg N</v>
      </c>
      <c r="L120" s="56" t="str">
        <f>'Input - MMS - Feedlot'!$D$36</f>
        <v>Composting (passive windrow)</v>
      </c>
      <c r="M120" s="56" cm="1">
        <f t="array" ref="M120">MMS_Feedlot_ManureAppliedToSoils_Equations.VEERG_4_1_1_9__1_MassOfNitrogenAppliedToSoilsScope1(M23,$E$31,$E$39,E113)</f>
        <v>3172.1606298869774</v>
      </c>
      <c r="N120" s="56" cm="1">
        <f t="array" ref="N120">MMS_Feedlot_ManureAppliedToSoils_Equations.VEERG_4_1_1_9__1_MassOfNitrogenAppliedToSoilsScope1(N23,$E$31,$E$39,F113)</f>
        <v>112.025539454976</v>
      </c>
      <c r="O120" s="56" cm="1">
        <f t="array" ref="O120">MMS_Feedlot_ManureAppliedToSoils_Equations.VEERG_4_1_1_9__1_MassOfNitrogenAppliedToSoilsScope1(O23,$E$31,$E$39,G113)</f>
        <v>161.80346534399996</v>
      </c>
      <c r="P120" s="2" t="str">
        <f>$E$12</f>
        <v>kg N</v>
      </c>
    </row>
    <row r="121" spans="4:16" ht="20.100000000000001" customHeight="1" x14ac:dyDescent="0.25">
      <c r="D121" s="56" t="str">
        <f>'Input - MMS - Feedlot'!$D$41</f>
        <v>Anaerobic lagoon</v>
      </c>
      <c r="E121" s="56" cm="1">
        <f t="array" ref="E121">MMS_Feedlot_ManureAppliedToSoils_Equations.VEERG_4_1_1_9__1_MassOfNitrogenAppliedToSoilsScope1(E24,$E$32,$E$40,E114)</f>
        <v>233.2323302400001</v>
      </c>
      <c r="F121" s="56" cm="1">
        <f t="array" ref="F121">MMS_Feedlot_ManureAppliedToSoils_Equations.VEERG_4_1_1_9__1_MassOfNitrogenAppliedToSoilsScope1(F24,$E$32,$E$40,F114)</f>
        <v>8.2366502400000012</v>
      </c>
      <c r="G121" s="56" cm="1">
        <f t="array" ref="G121">MMS_Feedlot_ManureAppliedToSoils_Equations.VEERG_4_1_1_9__1_MassOfNitrogenAppliedToSoilsScope1(G24,$E$32,$E$40,G114)</f>
        <v>11.896559999999997</v>
      </c>
      <c r="H121" s="2" t="str">
        <f>$E$12</f>
        <v>kg N</v>
      </c>
      <c r="L121" s="56" t="str">
        <f>'Input - MMS - Feedlot'!$D$41</f>
        <v>Anaerobic lagoon</v>
      </c>
      <c r="M121" s="56" cm="1">
        <f t="array" ref="M121">MMS_Feedlot_ManureAppliedToSoils_Equations.VEERG_4_1_1_9__1_MassOfNitrogenAppliedToSoilsScope1(M24,$E$32,$E$40,E114)</f>
        <v>233.2323302400001</v>
      </c>
      <c r="N121" s="56" cm="1">
        <f t="array" ref="N121">MMS_Feedlot_ManureAppliedToSoils_Equations.VEERG_4_1_1_9__1_MassOfNitrogenAppliedToSoilsScope1(N24,$E$32,$E$40,F114)</f>
        <v>8.2366502400000012</v>
      </c>
      <c r="O121" s="56" cm="1">
        <f t="array" ref="O121">MMS_Feedlot_ManureAppliedToSoils_Equations.VEERG_4_1_1_9__1_MassOfNitrogenAppliedToSoilsScope1(O24,$E$32,$E$40,G114)</f>
        <v>11.896559999999997</v>
      </c>
      <c r="P121" s="2" t="str">
        <f>$E$12</f>
        <v>kg N</v>
      </c>
    </row>
    <row r="122" spans="4:16" ht="20.100000000000001" customHeight="1" x14ac:dyDescent="0.25"/>
    <row r="123" spans="4:16" ht="20.100000000000001" customHeight="1" x14ac:dyDescent="0.25">
      <c r="D123" s="112" t="s">
        <v>284</v>
      </c>
      <c r="E123" s="113">
        <f>SUM(E119:G121)</f>
        <v>4787.1781742511375</v>
      </c>
      <c r="F123" s="114" t="str">
        <f>$E$12</f>
        <v>kg N</v>
      </c>
      <c r="L123" s="112" t="s">
        <v>284</v>
      </c>
      <c r="M123" s="113">
        <f>SUM(M119:O121)</f>
        <v>4787.1781742511375</v>
      </c>
      <c r="N123" s="114" t="str">
        <f>$E$12</f>
        <v>kg N</v>
      </c>
    </row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topLeftCell="A22" workbookViewId="0">
      <selection activeCell="F33" sqref="F3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/>
      <c r="C1" s="8" t="s">
        <v>151</v>
      </c>
    </row>
    <row r="2" spans="1:21" s="9" customFormat="1" ht="20.100000000000001" customHeight="1" x14ac:dyDescent="0.25">
      <c r="A2"/>
    </row>
    <row r="3" spans="1:21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M4" s="24"/>
    </row>
    <row r="5" spans="1:21" ht="20.100000000000001" customHeight="1" x14ac:dyDescent="0.25">
      <c r="D5" s="6" t="str" cm="1">
        <f t="array" ref="D5">SourceData_Feedlot.SourceData_Feedlot_VSL_Title()</f>
        <v>Feedlot - Fraction of volatile solids lost during storage in the primary system</v>
      </c>
      <c r="M5" s="1"/>
    </row>
    <row r="6" spans="1:21" ht="20.100000000000001" customHeight="1" x14ac:dyDescent="0.25">
      <c r="D6" s="5" t="str" cm="1">
        <f t="array" ref="D6">SourceData_Feedlot.SourceData_Feedlot_VSL_Source()</f>
        <v>VEERG 2026: 4.1.2.3 CONSTANTS</v>
      </c>
      <c r="M6" s="1"/>
    </row>
    <row r="7" spans="1:21" ht="20.100000000000001" customHeight="1" x14ac:dyDescent="0.25">
      <c r="D7" s="57" t="str" cm="1">
        <f t="array" ref="D7">SourceData_Feedlot.SourceData_Feedlot_VSL_Variable()</f>
        <v>VSL</v>
      </c>
      <c r="E7" s="1" cm="1">
        <f t="array" ref="E7">SourceData_Feedlot.SourceData_Feedlot_VSL_Data()</f>
        <v>0.5</v>
      </c>
      <c r="F7" s="58" t="str" cm="1">
        <f t="array" ref="F7">SourceData_Feedlot.SourceData_Feedlot_VSL_Unit()</f>
        <v>Fraction</v>
      </c>
      <c r="M7" s="1"/>
    </row>
    <row r="8" spans="1:21" ht="20.100000000000001" customHeight="1" x14ac:dyDescent="0.25">
      <c r="M8" s="1"/>
    </row>
    <row r="9" spans="1:21" ht="20.100000000000001" customHeight="1" x14ac:dyDescent="0.25">
      <c r="M9" s="1"/>
    </row>
    <row r="10" spans="1:21" ht="20.100000000000001" customHeight="1" x14ac:dyDescent="0.25">
      <c r="D10" s="6" t="str" cm="1">
        <f t="array" ref="D10">SourceData_Feedlot.SourceData_Feedlot_MMSm1T3_Title()</f>
        <v>Fraction of volatile solids to each tertiary system assumed that 2 per cent is run - off from the feed pad.</v>
      </c>
      <c r="M10" s="1"/>
    </row>
    <row r="11" spans="1:21" ht="20.100000000000001" customHeight="1" x14ac:dyDescent="0.25">
      <c r="D11" s="5" t="str" cm="1">
        <f t="array" ref="D11">SourceData_Feedlot.SourceData_Feedlot_MMSm1T3_Source()</f>
        <v>VEERG 2026: 4.1.2.3 CONSTANTS</v>
      </c>
      <c r="M11" s="1"/>
    </row>
    <row r="12" spans="1:21" ht="20.100000000000001" customHeight="1" x14ac:dyDescent="0.25">
      <c r="D12" s="57" t="str" cm="1">
        <f t="array" ref="D12">SourceData_Feedlot.SourceData_Feedlot_MMSm1T3_Variable()</f>
        <v>MMSm1T3</v>
      </c>
      <c r="E12" s="1" cm="1">
        <f t="array" ref="E12">SourceData_Feedlot.SourceData_Feedlot_MMSm1T3_Data()</f>
        <v>0.02</v>
      </c>
      <c r="F12" s="58" t="str" cm="1">
        <f t="array" ref="F12">SourceData_Feedlot.SourceData_Feedlot_MMSm1T3_Unit()</f>
        <v>Fraction</v>
      </c>
      <c r="M12" s="1"/>
    </row>
    <row r="13" spans="1:21" ht="20.100000000000001" customHeight="1" x14ac:dyDescent="0.25">
      <c r="M13" s="1"/>
    </row>
    <row r="14" spans="1:21" ht="20.100000000000001" customHeight="1" x14ac:dyDescent="0.25">
      <c r="M14" s="1"/>
    </row>
    <row r="15" spans="1:21" ht="20.100000000000001" customHeight="1" x14ac:dyDescent="0.25">
      <c r="D15" s="6" t="str" cm="1">
        <f t="array" ref="D15">SourceData_Feedlot.SourceData_Feedlot_AshContent_Title()</f>
        <v>Ash content of manure.</v>
      </c>
      <c r="M15" s="1"/>
    </row>
    <row r="16" spans="1:21" ht="20.100000000000001" customHeight="1" x14ac:dyDescent="0.25">
      <c r="D16" s="5" t="str" cm="1">
        <f t="array" ref="D16">SourceData_Feedlot.SourceData_Feedlot_AshContent_Source()</f>
        <v>VEERG 2026: 4.1.2.3 CONSTANTS</v>
      </c>
      <c r="M16" s="1"/>
    </row>
    <row r="17" spans="4:13" ht="20.100000000000001" customHeight="1" x14ac:dyDescent="0.25">
      <c r="D17" s="57" t="str" cm="1">
        <f t="array" ref="D17">SourceData_Feedlot.SourceData_Feedlot_AshContent_Variable()</f>
        <v>A</v>
      </c>
      <c r="E17" s="1" cm="1">
        <f t="array" ref="E17">SourceData_Feedlot.SourceData_Feedlot_AshContent_Data()</f>
        <v>0.16</v>
      </c>
      <c r="F17" s="58" t="str" cm="1">
        <f t="array" ref="F17">SourceData_Feedlot.SourceData_Feedlot_AshContent_Unit()</f>
        <v>Fraction</v>
      </c>
      <c r="M17" s="1"/>
    </row>
    <row r="18" spans="4:13" ht="20.100000000000001" customHeight="1" x14ac:dyDescent="0.25">
      <c r="M18" s="1"/>
    </row>
    <row r="19" spans="4:13" ht="20.100000000000001" customHeight="1" x14ac:dyDescent="0.25">
      <c r="M19" s="1"/>
    </row>
    <row r="20" spans="4:13" ht="20.100000000000001" customHeight="1" x14ac:dyDescent="0.25">
      <c r="D20" s="6" t="str" cm="1">
        <f t="array" ref="D20">SourceData_Feedlot.SourceData_Feedlot_MethaneEmissionsPotential_Title()</f>
        <v>Methane emissions potential.</v>
      </c>
      <c r="M20" s="1"/>
    </row>
    <row r="21" spans="4:13" ht="20.100000000000001" customHeight="1" x14ac:dyDescent="0.25">
      <c r="D21" s="5" t="str" cm="1">
        <f t="array" ref="D21">SourceData_Feedlot.SourceData_Feedlot_MethaneEmissionsPotential_Source()</f>
        <v>VEERG 2026: 4.1.2.3 CONSTANTS</v>
      </c>
      <c r="M21" s="1"/>
    </row>
    <row r="22" spans="4:13" ht="20.100000000000001" customHeight="1" x14ac:dyDescent="0.25">
      <c r="D22" s="57" t="str" cm="1">
        <f t="array" ref="D22">SourceData_Feedlot.SourceData_Feedlot_MethaneEmissionsPotential_Variable()</f>
        <v>B0</v>
      </c>
      <c r="E22" s="1" cm="1">
        <f t="array" ref="E22">SourceData_Feedlot.SourceData_Feedlot_MethaneEmissionsPotential_Data()</f>
        <v>0.19</v>
      </c>
      <c r="F22" s="58" t="str" cm="1">
        <f t="array" ref="F22">SourceData_Feedlot.SourceData_Feedlot_MethaneEmissionsPotential_Unit()</f>
        <v>m3 CH4 / kg VS</v>
      </c>
      <c r="M22" s="1"/>
    </row>
    <row r="23" spans="4:13" ht="20.100000000000001" customHeight="1" x14ac:dyDescent="0.25">
      <c r="M23" s="1"/>
    </row>
    <row r="24" spans="4:13" ht="20.100000000000001" customHeight="1" x14ac:dyDescent="0.25">
      <c r="M24" s="1"/>
    </row>
    <row r="25" spans="4:13" ht="20.100000000000001" customHeight="1" x14ac:dyDescent="0.25">
      <c r="D25" s="6" t="s">
        <v>121</v>
      </c>
      <c r="M25" s="1"/>
    </row>
    <row r="26" spans="4:13" ht="20.100000000000001" customHeight="1" x14ac:dyDescent="0.25">
      <c r="M26" s="1"/>
    </row>
    <row r="27" spans="4:13" ht="20.100000000000001" customHeight="1" x14ac:dyDescent="0.25">
      <c r="D27" s="104" t="s">
        <v>70</v>
      </c>
      <c r="E27" s="40" t="s">
        <v>84</v>
      </c>
      <c r="M27" s="1"/>
    </row>
    <row r="28" spans="4:13" ht="20.100000000000001" customHeight="1" x14ac:dyDescent="0.25">
      <c r="D28" s="40" t="str">
        <f>'Constants - Livestock'!$E$16</f>
        <v>Drylot (feed pad)</v>
      </c>
      <c r="E28" s="40" t="str">
        <f>'Constants - Livestock'!$F$16</f>
        <v>Drylot (feed pad) (m=5)</v>
      </c>
      <c r="M28" s="1"/>
    </row>
    <row r="29" spans="4:13" ht="20.100000000000001" customHeight="1" x14ac:dyDescent="0.25">
      <c r="D29" s="40" t="str">
        <f>'Constants - Livestock'!$E$15</f>
        <v>Solid storage</v>
      </c>
      <c r="E29" s="40" t="str">
        <f>'Constants - Livestock'!$F$15</f>
        <v>Solid storage (m=4)</v>
      </c>
      <c r="M29" s="1"/>
    </row>
    <row r="30" spans="4:13" ht="20.100000000000001" customHeight="1" x14ac:dyDescent="0.25">
      <c r="D30" s="40" t="str">
        <f>'Constants - Livestock'!$E$17</f>
        <v>Composting (passive windrow)</v>
      </c>
      <c r="E30" s="40" t="str">
        <f>'Constants - Livestock'!$F$17</f>
        <v>Composting (passive windrow) (m=6)</v>
      </c>
      <c r="M30" s="1"/>
    </row>
    <row r="31" spans="4:13" ht="20.100000000000001" customHeight="1" x14ac:dyDescent="0.25">
      <c r="D31" s="40" t="str">
        <f>'Constants - Livestock'!$E$26</f>
        <v>Direct application</v>
      </c>
      <c r="E31" s="40" t="str">
        <f>'Constants - Livestock'!$F$26</f>
        <v>Direct application (m=13)</v>
      </c>
      <c r="M31" s="1"/>
    </row>
    <row r="32" spans="4:13" ht="20.100000000000001" customHeight="1" x14ac:dyDescent="0.25">
      <c r="D32" s="1" t="str">
        <f>'Constants - Livestock'!$E$10</f>
        <v>Anaerobic lagoon</v>
      </c>
      <c r="E32" s="1" t="str">
        <f>'Constants - Livestock'!$F$10</f>
        <v>Anaerobic lagoon (m=1)</v>
      </c>
      <c r="M32" s="1"/>
    </row>
    <row r="33" spans="4:13" ht="20.100000000000001" customHeight="1" x14ac:dyDescent="0.25">
      <c r="D33" s="1" t="s">
        <v>110</v>
      </c>
      <c r="E33" s="40" t="s">
        <v>110</v>
      </c>
      <c r="M33" s="1"/>
    </row>
    <row r="34" spans="4:13" ht="20.100000000000001" customHeight="1" x14ac:dyDescent="0.25">
      <c r="M34" s="1"/>
    </row>
    <row r="35" spans="4:13" ht="20.100000000000001" customHeight="1" x14ac:dyDescent="0.25">
      <c r="M35" s="1"/>
    </row>
    <row r="36" spans="4:13" ht="20.100000000000001" customHeight="1" x14ac:dyDescent="0.25">
      <c r="D36" s="6" t="str" cm="1">
        <f t="array" ref="D36">SourceData_Feedlot.SourceData_Feedlot_DurationOfStay_Title()</f>
        <v>Beef feedlot cattle - Duration of stay (days)</v>
      </c>
      <c r="M36" s="1"/>
    </row>
    <row r="37" spans="4:13" ht="20.100000000000001" customHeight="1" x14ac:dyDescent="0.25">
      <c r="D37" s="5" t="str" cm="1">
        <f t="array" ref="D37">SourceData_Feedlot.SourceData_Feedlot_DurationOfStay_Source()</f>
        <v>VEERG 2026: Table A.1.1.1: Beef feedlot cattle - Duration of stay (days)</v>
      </c>
      <c r="M37" s="1"/>
    </row>
    <row r="38" spans="4:13" ht="20.100000000000001" customHeight="1" x14ac:dyDescent="0.25">
      <c r="D38" s="40" t="s">
        <v>146</v>
      </c>
      <c r="E38" s="40" t="s">
        <v>161</v>
      </c>
      <c r="M38" s="1"/>
    </row>
    <row r="39" spans="4:13" ht="20.100000000000001" customHeight="1" x14ac:dyDescent="0.25">
      <c r="D39" s="40" t="str" cm="1">
        <f t="array" ref="D39">Common_InputFunctions.Utility_DisplayArrayInTable(SourceData_Feedlot.SourceData_Feedlot_DurationOfStay_Data(), Table_SourceData_Feedlot_LengthOfStay[[#Headers],[Feedlot type]], 0)</f>
        <v>Domestic</v>
      </c>
      <c r="E39" s="40" t="str" cm="1">
        <f t="array" ref="E39">Common_InputFunctions.Utility_DisplayArrayInTable(SourceData_Feedlot.SourceData_Feedlot_DurationOfStay_Data(), Table_SourceData_Feedlot_LengthOfStay[[#Headers],[Feedlot type]], 0)</f>
        <v>1-80 days</v>
      </c>
      <c r="M39" s="24"/>
    </row>
    <row r="40" spans="4:13" ht="20.100000000000001" customHeight="1" x14ac:dyDescent="0.25">
      <c r="D40" s="1" t="str" cm="1">
        <f t="array" ref="D40">Common_InputFunctions.Utility_DisplayArrayInTable(SourceData_Feedlot.SourceData_Feedlot_DurationOfStay_Data(), Table_SourceData_Feedlot_LengthOfStay[[#Headers],[Feedlot type]], 0)</f>
        <v>Mid-fed</v>
      </c>
      <c r="E40" s="40" t="str" cm="1">
        <f t="array" ref="E40">Common_InputFunctions.Utility_DisplayArrayInTable(SourceData_Feedlot.SourceData_Feedlot_DurationOfStay_Data(), Table_SourceData_Feedlot_LengthOfStay[[#Headers],[Feedlot type]], 0)</f>
        <v>81-200 days</v>
      </c>
      <c r="M40" s="24"/>
    </row>
    <row r="41" spans="4:13" ht="20.100000000000001" customHeight="1" x14ac:dyDescent="0.25">
      <c r="D41" s="1" t="str" cm="1">
        <f t="array" ref="D41">Common_InputFunctions.Utility_DisplayArrayInTable(SourceData_Feedlot.SourceData_Feedlot_DurationOfStay_Data(), Table_SourceData_Feedlot_LengthOfStay[[#Headers],[Feedlot type]], 0)</f>
        <v>Long-fed</v>
      </c>
      <c r="E41" s="40" t="str" cm="1">
        <f t="array" ref="E41">Common_InputFunctions.Utility_DisplayArrayInTable(SourceData_Feedlot.SourceData_Feedlot_DurationOfStay_Data(), Table_SourceData_Feedlot_LengthOfStay[[#Headers],[Feedlot type]], 0)</f>
        <v>201+ days</v>
      </c>
      <c r="M41" s="24"/>
    </row>
    <row r="42" spans="4:13" ht="20.100000000000001" customHeight="1" x14ac:dyDescent="0.25">
      <c r="M42" s="24"/>
    </row>
    <row r="43" spans="4:13" ht="20.100000000000001" customHeight="1" x14ac:dyDescent="0.25">
      <c r="M43" s="24"/>
    </row>
    <row r="44" spans="4:13" ht="20.100000000000001" customHeight="1" x14ac:dyDescent="0.25">
      <c r="D44" s="6" t="str" cm="1">
        <f t="array" ref="D44">SourceData_Feedlot.SourceData_Feedlot_AnimalCharacteristics_Title()</f>
        <v>Beef feedlot cattle - Animal characteristics</v>
      </c>
      <c r="M44" s="24"/>
    </row>
    <row r="45" spans="4:13" ht="20.100000000000001" customHeight="1" x14ac:dyDescent="0.25">
      <c r="D45" s="5" t="str" cm="1">
        <f t="array" ref="D45">SourceData_Feedlot.SourceData_Feedlot_AnimalCharacteristics_Source()</f>
        <v>VEERG 2026: Table A.1.1.2: Beef feedlot cattle - Animal characteristics</v>
      </c>
      <c r="M45" s="24"/>
    </row>
    <row r="46" spans="4:13" ht="20.100000000000001" customHeight="1" x14ac:dyDescent="0.25">
      <c r="D46" s="59" t="str" cm="1">
        <f t="array" ref="D46:D48">SourceData_Feedlot.SourceData_Feedlot_AnimalCharacteristics_Variation()</f>
        <v>VARIATION ON SOURCE:</v>
      </c>
      <c r="M46" s="24"/>
    </row>
    <row r="47" spans="4:13" ht="20.100000000000001" customHeight="1" x14ac:dyDescent="0.25">
      <c r="D47" s="59" t="str">
        <v>Moved feedlot types to a separate column to aid lookup.</v>
      </c>
      <c r="M47" s="24"/>
    </row>
    <row r="48" spans="4:13" ht="20.100000000000001" customHeight="1" x14ac:dyDescent="0.25">
      <c r="D48" s="59" t="str">
        <v>Named 'characteristic' column - original has header 'Unit' which covers two columns)</v>
      </c>
      <c r="M48" s="24"/>
    </row>
    <row r="49" spans="4:13" ht="20.100000000000001" customHeight="1" x14ac:dyDescent="0.25">
      <c r="D49" s="40" t="s">
        <v>146</v>
      </c>
      <c r="E49" s="40" t="s">
        <v>158</v>
      </c>
      <c r="F49" s="40" t="s">
        <v>22</v>
      </c>
      <c r="G49" s="40" t="s">
        <v>159</v>
      </c>
      <c r="H49" s="40" t="s">
        <v>148</v>
      </c>
      <c r="I49" s="40" t="s">
        <v>149</v>
      </c>
      <c r="J49" s="40" t="s">
        <v>150</v>
      </c>
      <c r="M49" s="24"/>
    </row>
    <row r="50" spans="4:13" ht="20.100000000000001" customHeight="1" x14ac:dyDescent="0.25">
      <c r="D50" s="40" t="str" cm="1">
        <f t="array" ref="D50">Common_InputFunctions.Utility_DisplayArrayInTable(SourceData_Feedlot.SourceData_Feedlot_AnimalCharacteristics_Data(), Table_SourceData_Feedlot_AnimalCharacteristics[[#Headers],[Feedlot type]], 0)</f>
        <v>Domestic</v>
      </c>
      <c r="E50" s="40" t="str" cm="1">
        <f t="array" ref="E50">Common_InputFunctions.Utility_DisplayArrayInTable(SourceData_Feedlot.SourceData_Feedlot_AnimalCharacteristics_Data(), Table_SourceData_Feedlot_AnimalCharacteristics[[#Headers],[Feedlot type]], 0)</f>
        <v>Days on feed</v>
      </c>
      <c r="F50" s="40" t="str" cm="1">
        <f t="array" ref="F50">Common_InputFunctions.Utility_DisplayArrayInTable(SourceData_Feedlot.SourceData_Feedlot_AnimalCharacteristics_Data(), Table_SourceData_Feedlot_AnimalCharacteristics[[#Headers],[Feedlot type]], 0)</f>
        <v>days</v>
      </c>
      <c r="G50" s="40" cm="1">
        <f t="array" ref="G50">Common_InputFunctions.Utility_DisplayArrayInTable(SourceData_Feedlot.SourceData_Feedlot_AnimalCharacteristics_Data(), Table_SourceData_Feedlot_AnimalCharacteristics[[#Headers],[Feedlot type]], 0)</f>
        <v>70</v>
      </c>
      <c r="H50" s="40" cm="1">
        <f t="array" ref="H50">Common_InputFunctions.Utility_DisplayArrayInTable(SourceData_Feedlot.SourceData_Feedlot_AnimalCharacteristics_Data(), Table_SourceData_Feedlot_AnimalCharacteristics[[#Headers],[Feedlot type]], 0)</f>
        <v>70</v>
      </c>
      <c r="I50" s="40" cm="1">
        <f t="array" ref="I50">Common_InputFunctions.Utility_DisplayArrayInTable(SourceData_Feedlot.SourceData_Feedlot_AnimalCharacteristics_Data(), Table_SourceData_Feedlot_AnimalCharacteristics[[#Headers],[Feedlot type]], 0)</f>
        <v>70</v>
      </c>
      <c r="J50" s="40" cm="1">
        <f t="array" ref="J50">Common_InputFunctions.Utility_DisplayArrayInTable(SourceData_Feedlot.SourceData_Feedlot_AnimalCharacteristics_Data(), Table_SourceData_Feedlot_AnimalCharacteristics[[#Headers],[Feedlot type]], 0)</f>
        <v>75</v>
      </c>
      <c r="M50" s="24"/>
    </row>
    <row r="51" spans="4:13" ht="20.100000000000001" customHeight="1" x14ac:dyDescent="0.25">
      <c r="D51" s="1" t="str" cm="1">
        <f t="array" ref="D51">Common_InputFunctions.Utility_DisplayArrayInTable(SourceData_Feedlot.SourceData_Feedlot_AnimalCharacteristics_Data(), Table_SourceData_Feedlot_AnimalCharacteristics[[#Headers],[Feedlot type]], 0)</f>
        <v>Domestic</v>
      </c>
      <c r="E51" s="40" t="str" cm="1">
        <f t="array" ref="E51">Common_InputFunctions.Utility_DisplayArrayInTable(SourceData_Feedlot.SourceData_Feedlot_AnimalCharacteristics_Data(), Table_SourceData_Feedlot_AnimalCharacteristics[[#Headers],[Feedlot type]], 0)</f>
        <v>Feed intake</v>
      </c>
      <c r="F51" s="40" t="str" cm="1">
        <f t="array" ref="F51">Common_InputFunctions.Utility_DisplayArrayInTable(SourceData_Feedlot.SourceData_Feedlot_AnimalCharacteristics_Data(), Table_SourceData_Feedlot_AnimalCharacteristics[[#Headers],[Feedlot type]], 0)</f>
        <v>kg DM/day</v>
      </c>
      <c r="G51" s="40" cm="1">
        <f t="array" ref="G51">Common_InputFunctions.Utility_DisplayArrayInTable(SourceData_Feedlot.SourceData_Feedlot_AnimalCharacteristics_Data(), Table_SourceData_Feedlot_AnimalCharacteristics[[#Headers],[Feedlot type]], 0)</f>
        <v>10</v>
      </c>
      <c r="H51" s="40" cm="1">
        <f t="array" ref="H51">Common_InputFunctions.Utility_DisplayArrayInTable(SourceData_Feedlot.SourceData_Feedlot_AnimalCharacteristics_Data(), Table_SourceData_Feedlot_AnimalCharacteristics[[#Headers],[Feedlot type]], 0)</f>
        <v>10</v>
      </c>
      <c r="I51" s="40" cm="1">
        <f t="array" ref="I51">Common_InputFunctions.Utility_DisplayArrayInTable(SourceData_Feedlot.SourceData_Feedlot_AnimalCharacteristics_Data(), Table_SourceData_Feedlot_AnimalCharacteristics[[#Headers],[Feedlot type]], 0)</f>
        <v>10.4</v>
      </c>
      <c r="J51" s="40" cm="1">
        <f t="array" ref="J51">Common_InputFunctions.Utility_DisplayArrayInTable(SourceData_Feedlot.SourceData_Feedlot_AnimalCharacteristics_Data(), Table_SourceData_Feedlot_AnimalCharacteristics[[#Headers],[Feedlot type]], 0)</f>
        <v>10.4</v>
      </c>
      <c r="M51" s="24"/>
    </row>
    <row r="52" spans="4:13" ht="20.100000000000001" customHeight="1" x14ac:dyDescent="0.25">
      <c r="D52" s="1" t="str" cm="1">
        <f t="array" ref="D52">Common_InputFunctions.Utility_DisplayArrayInTable(SourceData_Feedlot.SourceData_Feedlot_AnimalCharacteristics_Data(), Table_SourceData_Feedlot_AnimalCharacteristics[[#Headers],[Feedlot type]], 0)</f>
        <v>Domestic</v>
      </c>
      <c r="E52" s="40" t="str" cm="1">
        <f t="array" ref="E52">Common_InputFunctions.Utility_DisplayArrayInTable(SourceData_Feedlot.SourceData_Feedlot_AnimalCharacteristics_Data(), Table_SourceData_Feedlot_AnimalCharacteristics[[#Headers],[Feedlot type]], 0)</f>
        <v>N retention</v>
      </c>
      <c r="F52" s="40" t="str" cm="1">
        <f t="array" ref="F52">Common_InputFunctions.Utility_DisplayArrayInTable(SourceData_Feedlot.SourceData_Feedlot_AnimalCharacteristics_Data(), Table_SourceData_Feedlot_AnimalCharacteristics[[#Headers],[Feedlot type]], 0)</f>
        <v>per cent of intake</v>
      </c>
      <c r="G52" s="40" cm="1">
        <f t="array" ref="G52">Common_InputFunctions.Utility_DisplayArrayInTable(SourceData_Feedlot.SourceData_Feedlot_AnimalCharacteristics_Data(), Table_SourceData_Feedlot_AnimalCharacteristics[[#Headers],[Feedlot type]], 0)</f>
        <v>21.1</v>
      </c>
      <c r="H52" s="40" cm="1">
        <f t="array" ref="H52">Common_InputFunctions.Utility_DisplayArrayInTable(SourceData_Feedlot.SourceData_Feedlot_AnimalCharacteristics_Data(), Table_SourceData_Feedlot_AnimalCharacteristics[[#Headers],[Feedlot type]], 0)</f>
        <v>20.399999999999999</v>
      </c>
      <c r="I52" s="40" cm="1">
        <f t="array" ref="I52">Common_InputFunctions.Utility_DisplayArrayInTable(SourceData_Feedlot.SourceData_Feedlot_AnimalCharacteristics_Data(), Table_SourceData_Feedlot_AnimalCharacteristics[[#Headers],[Feedlot type]], 0)</f>
        <v>20.399999999999999</v>
      </c>
      <c r="J52" s="40" cm="1">
        <f t="array" ref="J52">Common_InputFunctions.Utility_DisplayArrayInTable(SourceData_Feedlot.SourceData_Feedlot_AnimalCharacteristics_Data(), Table_SourceData_Feedlot_AnimalCharacteristics[[#Headers],[Feedlot type]], 0)</f>
        <v>20.399999999999999</v>
      </c>
      <c r="M52" s="24"/>
    </row>
    <row r="53" spans="4:13" ht="20.100000000000001" customHeight="1" x14ac:dyDescent="0.25">
      <c r="D53" s="1" t="str" cm="1">
        <f t="array" ref="D53">Common_InputFunctions.Utility_DisplayArrayInTable(SourceData_Feedlot.SourceData_Feedlot_AnimalCharacteristics_Data(), Table_SourceData_Feedlot_AnimalCharacteristics[[#Headers],[Feedlot type]], 0)</f>
        <v>Mid-fed</v>
      </c>
      <c r="E53" s="40" t="str" cm="1">
        <f t="array" ref="E53">Common_InputFunctions.Utility_DisplayArrayInTable(SourceData_Feedlot.SourceData_Feedlot_AnimalCharacteristics_Data(), Table_SourceData_Feedlot_AnimalCharacteristics[[#Headers],[Feedlot type]], 0)</f>
        <v>Days on feed</v>
      </c>
      <c r="F53" s="40" t="str" cm="1">
        <f t="array" ref="F53">Common_InputFunctions.Utility_DisplayArrayInTable(SourceData_Feedlot.SourceData_Feedlot_AnimalCharacteristics_Data(), Table_SourceData_Feedlot_AnimalCharacteristics[[#Headers],[Feedlot type]], 0)</f>
        <v>days</v>
      </c>
      <c r="G53" s="40" cm="1">
        <f t="array" ref="G53">Common_InputFunctions.Utility_DisplayArrayInTable(SourceData_Feedlot.SourceData_Feedlot_AnimalCharacteristics_Data(), Table_SourceData_Feedlot_AnimalCharacteristics[[#Headers],[Feedlot type]], 0)</f>
        <v>115</v>
      </c>
      <c r="H53" s="40" cm="1">
        <f t="array" ref="H53">Common_InputFunctions.Utility_DisplayArrayInTable(SourceData_Feedlot.SourceData_Feedlot_AnimalCharacteristics_Data(), Table_SourceData_Feedlot_AnimalCharacteristics[[#Headers],[Feedlot type]], 0)</f>
        <v>115</v>
      </c>
      <c r="I53" s="40" cm="1">
        <f t="array" ref="I53">Common_InputFunctions.Utility_DisplayArrayInTable(SourceData_Feedlot.SourceData_Feedlot_AnimalCharacteristics_Data(), Table_SourceData_Feedlot_AnimalCharacteristics[[#Headers],[Feedlot type]], 0)</f>
        <v>120</v>
      </c>
      <c r="J53" s="40" cm="1">
        <f t="array" ref="J53">Common_InputFunctions.Utility_DisplayArrayInTable(SourceData_Feedlot.SourceData_Feedlot_AnimalCharacteristics_Data(), Table_SourceData_Feedlot_AnimalCharacteristics[[#Headers],[Feedlot type]], 0)</f>
        <v>150</v>
      </c>
      <c r="M53" s="24"/>
    </row>
    <row r="54" spans="4:13" ht="20.100000000000001" customHeight="1" x14ac:dyDescent="0.25">
      <c r="D54" s="1" t="str" cm="1">
        <f t="array" ref="D54">Common_InputFunctions.Utility_DisplayArrayInTable(SourceData_Feedlot.SourceData_Feedlot_AnimalCharacteristics_Data(), Table_SourceData_Feedlot_AnimalCharacteristics[[#Headers],[Feedlot type]], 0)</f>
        <v>Mid-fed</v>
      </c>
      <c r="E54" s="40" t="str" cm="1">
        <f t="array" ref="E54">Common_InputFunctions.Utility_DisplayArrayInTable(SourceData_Feedlot.SourceData_Feedlot_AnimalCharacteristics_Data(), Table_SourceData_Feedlot_AnimalCharacteristics[[#Headers],[Feedlot type]], 0)</f>
        <v>Feed intake</v>
      </c>
      <c r="F54" s="40" t="str" cm="1">
        <f t="array" ref="F54">Common_InputFunctions.Utility_DisplayArrayInTable(SourceData_Feedlot.SourceData_Feedlot_AnimalCharacteristics_Data(), Table_SourceData_Feedlot_AnimalCharacteristics[[#Headers],[Feedlot type]], 0)</f>
        <v>kg DM/day</v>
      </c>
      <c r="G54" s="40" cm="1">
        <f t="array" ref="G54">Common_InputFunctions.Utility_DisplayArrayInTable(SourceData_Feedlot.SourceData_Feedlot_AnimalCharacteristics_Data(), Table_SourceData_Feedlot_AnimalCharacteristics[[#Headers],[Feedlot type]], 0)</f>
        <v>11.2</v>
      </c>
      <c r="H54" s="40" cm="1">
        <f t="array" ref="H54">Common_InputFunctions.Utility_DisplayArrayInTable(SourceData_Feedlot.SourceData_Feedlot_AnimalCharacteristics_Data(), Table_SourceData_Feedlot_AnimalCharacteristics[[#Headers],[Feedlot type]], 0)</f>
        <v>10.8</v>
      </c>
      <c r="I54" s="40" cm="1">
        <f t="array" ref="I54">Common_InputFunctions.Utility_DisplayArrayInTable(SourceData_Feedlot.SourceData_Feedlot_AnimalCharacteristics_Data(), Table_SourceData_Feedlot_AnimalCharacteristics[[#Headers],[Feedlot type]], 0)</f>
        <v>10.8</v>
      </c>
      <c r="J54" s="40" cm="1">
        <f t="array" ref="J54">Common_InputFunctions.Utility_DisplayArrayInTable(SourceData_Feedlot.SourceData_Feedlot_AnimalCharacteristics_Data(), Table_SourceData_Feedlot_AnimalCharacteristics[[#Headers],[Feedlot type]], 0)</f>
        <v>10.8</v>
      </c>
      <c r="M54" s="24"/>
    </row>
    <row r="55" spans="4:13" ht="20.100000000000001" customHeight="1" x14ac:dyDescent="0.25">
      <c r="D55" s="1" t="str" cm="1">
        <f t="array" ref="D55">Common_InputFunctions.Utility_DisplayArrayInTable(SourceData_Feedlot.SourceData_Feedlot_AnimalCharacteristics_Data(), Table_SourceData_Feedlot_AnimalCharacteristics[[#Headers],[Feedlot type]], 0)</f>
        <v>Mid-fed</v>
      </c>
      <c r="E55" s="40" t="str" cm="1">
        <f t="array" ref="E55">Common_InputFunctions.Utility_DisplayArrayInTable(SourceData_Feedlot.SourceData_Feedlot_AnimalCharacteristics_Data(), Table_SourceData_Feedlot_AnimalCharacteristics[[#Headers],[Feedlot type]], 0)</f>
        <v>N retention</v>
      </c>
      <c r="F55" s="40" t="str" cm="1">
        <f t="array" ref="F55">Common_InputFunctions.Utility_DisplayArrayInTable(SourceData_Feedlot.SourceData_Feedlot_AnimalCharacteristics_Data(), Table_SourceData_Feedlot_AnimalCharacteristics[[#Headers],[Feedlot type]], 0)</f>
        <v>per cent of intake</v>
      </c>
      <c r="G55" s="40" cm="1">
        <f t="array" ref="G55">Common_InputFunctions.Utility_DisplayArrayInTable(SourceData_Feedlot.SourceData_Feedlot_AnimalCharacteristics_Data(), Table_SourceData_Feedlot_AnimalCharacteristics[[#Headers],[Feedlot type]], 0)</f>
        <v>12.5</v>
      </c>
      <c r="H55" s="40" cm="1">
        <f t="array" ref="H55">Common_InputFunctions.Utility_DisplayArrayInTable(SourceData_Feedlot.SourceData_Feedlot_AnimalCharacteristics_Data(), Table_SourceData_Feedlot_AnimalCharacteristics[[#Headers],[Feedlot type]], 0)</f>
        <v>12.7</v>
      </c>
      <c r="I55" s="40" cm="1">
        <f t="array" ref="I55">Common_InputFunctions.Utility_DisplayArrayInTable(SourceData_Feedlot.SourceData_Feedlot_AnimalCharacteristics_Data(), Table_SourceData_Feedlot_AnimalCharacteristics[[#Headers],[Feedlot type]], 0)</f>
        <v>12.7</v>
      </c>
      <c r="J55" s="40" cm="1">
        <f t="array" ref="J55">Common_InputFunctions.Utility_DisplayArrayInTable(SourceData_Feedlot.SourceData_Feedlot_AnimalCharacteristics_Data(), Table_SourceData_Feedlot_AnimalCharacteristics[[#Headers],[Feedlot type]], 0)</f>
        <v>12.7</v>
      </c>
      <c r="M55" s="24"/>
    </row>
    <row r="56" spans="4:13" ht="20.100000000000001" customHeight="1" x14ac:dyDescent="0.25">
      <c r="D56" s="1" t="str" cm="1">
        <f t="array" ref="D56">Common_InputFunctions.Utility_DisplayArrayInTable(SourceData_Feedlot.SourceData_Feedlot_AnimalCharacteristics_Data(), Table_SourceData_Feedlot_AnimalCharacteristics[[#Headers],[Feedlot type]], 0)</f>
        <v>Long-fed</v>
      </c>
      <c r="E56" s="40" t="str" cm="1">
        <f t="array" ref="E56">Common_InputFunctions.Utility_DisplayArrayInTable(SourceData_Feedlot.SourceData_Feedlot_AnimalCharacteristics_Data(), Table_SourceData_Feedlot_AnimalCharacteristics[[#Headers],[Feedlot type]], 0)</f>
        <v>Days on feed</v>
      </c>
      <c r="F56" s="40" t="str" cm="1">
        <f t="array" ref="F56">Common_InputFunctions.Utility_DisplayArrayInTable(SourceData_Feedlot.SourceData_Feedlot_AnimalCharacteristics_Data(), Table_SourceData_Feedlot_AnimalCharacteristics[[#Headers],[Feedlot type]], 0)</f>
        <v>days</v>
      </c>
      <c r="G56" s="40" cm="1">
        <f t="array" ref="G56">Common_InputFunctions.Utility_DisplayArrayInTable(SourceData_Feedlot.SourceData_Feedlot_AnimalCharacteristics_Data(), Table_SourceData_Feedlot_AnimalCharacteristics[[#Headers],[Feedlot type]], 0)</f>
        <v>250</v>
      </c>
      <c r="H56" s="40" cm="1">
        <f t="array" ref="H56">Common_InputFunctions.Utility_DisplayArrayInTable(SourceData_Feedlot.SourceData_Feedlot_AnimalCharacteristics_Data(), Table_SourceData_Feedlot_AnimalCharacteristics[[#Headers],[Feedlot type]], 0)</f>
        <v>250</v>
      </c>
      <c r="I56" s="40" cm="1">
        <f t="array" ref="I56">Common_InputFunctions.Utility_DisplayArrayInTable(SourceData_Feedlot.SourceData_Feedlot_AnimalCharacteristics_Data(), Table_SourceData_Feedlot_AnimalCharacteristics[[#Headers],[Feedlot type]], 0)</f>
        <v>250</v>
      </c>
      <c r="J56" s="40" cm="1">
        <f t="array" ref="J56">Common_InputFunctions.Utility_DisplayArrayInTable(SourceData_Feedlot.SourceData_Feedlot_AnimalCharacteristics_Data(), Table_SourceData_Feedlot_AnimalCharacteristics[[#Headers],[Feedlot type]], 0)</f>
        <v>250</v>
      </c>
      <c r="M56" s="24"/>
    </row>
    <row r="57" spans="4:13" ht="20.100000000000001" customHeight="1" x14ac:dyDescent="0.25">
      <c r="D57" s="1" t="str" cm="1">
        <f t="array" ref="D57">Common_InputFunctions.Utility_DisplayArrayInTable(SourceData_Feedlot.SourceData_Feedlot_AnimalCharacteristics_Data(), Table_SourceData_Feedlot_AnimalCharacteristics[[#Headers],[Feedlot type]], 0)</f>
        <v>Long-fed</v>
      </c>
      <c r="E57" s="40" t="str" cm="1">
        <f t="array" ref="E57">Common_InputFunctions.Utility_DisplayArrayInTable(SourceData_Feedlot.SourceData_Feedlot_AnimalCharacteristics_Data(), Table_SourceData_Feedlot_AnimalCharacteristics[[#Headers],[Feedlot type]], 0)</f>
        <v>Feed intake</v>
      </c>
      <c r="F57" s="40" t="str" cm="1">
        <f t="array" ref="F57">Common_InputFunctions.Utility_DisplayArrayInTable(SourceData_Feedlot.SourceData_Feedlot_AnimalCharacteristics_Data(), Table_SourceData_Feedlot_AnimalCharacteristics[[#Headers],[Feedlot type]], 0)</f>
        <v>kg DM/day</v>
      </c>
      <c r="G57" s="40" cm="1">
        <f t="array" ref="G57">Common_InputFunctions.Utility_DisplayArrayInTable(SourceData_Feedlot.SourceData_Feedlot_AnimalCharacteristics_Data(), Table_SourceData_Feedlot_AnimalCharacteristics[[#Headers],[Feedlot type]], 0)</f>
        <v>9</v>
      </c>
      <c r="H57" s="40" cm="1">
        <f t="array" ref="H57">Common_InputFunctions.Utility_DisplayArrayInTable(SourceData_Feedlot.SourceData_Feedlot_AnimalCharacteristics_Data(), Table_SourceData_Feedlot_AnimalCharacteristics[[#Headers],[Feedlot type]], 0)</f>
        <v>8.5</v>
      </c>
      <c r="I57" s="40" cm="1">
        <f t="array" ref="I57">Common_InputFunctions.Utility_DisplayArrayInTable(SourceData_Feedlot.SourceData_Feedlot_AnimalCharacteristics_Data(), Table_SourceData_Feedlot_AnimalCharacteristics[[#Headers],[Feedlot type]], 0)</f>
        <v>8.1999999999999993</v>
      </c>
      <c r="J57" s="40" cm="1">
        <f t="array" ref="J57">Common_InputFunctions.Utility_DisplayArrayInTable(SourceData_Feedlot.SourceData_Feedlot_AnimalCharacteristics_Data(), Table_SourceData_Feedlot_AnimalCharacteristics[[#Headers],[Feedlot type]], 0)</f>
        <v>8.1999999999999993</v>
      </c>
      <c r="M57" s="24"/>
    </row>
    <row r="58" spans="4:13" ht="20.100000000000001" customHeight="1" x14ac:dyDescent="0.25">
      <c r="D58" s="1" t="str" cm="1">
        <f t="array" ref="D58">Common_InputFunctions.Utility_DisplayArrayInTable(SourceData_Feedlot.SourceData_Feedlot_AnimalCharacteristics_Data(), Table_SourceData_Feedlot_AnimalCharacteristics[[#Headers],[Feedlot type]], 0)</f>
        <v>Long-fed</v>
      </c>
      <c r="E58" s="40" t="str" cm="1">
        <f t="array" ref="E58">Common_InputFunctions.Utility_DisplayArrayInTable(SourceData_Feedlot.SourceData_Feedlot_AnimalCharacteristics_Data(), Table_SourceData_Feedlot_AnimalCharacteristics[[#Headers],[Feedlot type]], 0)</f>
        <v>N retention</v>
      </c>
      <c r="F58" s="40" t="str" cm="1">
        <f t="array" ref="F58">Common_InputFunctions.Utility_DisplayArrayInTable(SourceData_Feedlot.SourceData_Feedlot_AnimalCharacteristics_Data(), Table_SourceData_Feedlot_AnimalCharacteristics[[#Headers],[Feedlot type]], 0)</f>
        <v>per cent of intake</v>
      </c>
      <c r="G58" s="40" cm="1">
        <f t="array" ref="G58">Common_InputFunctions.Utility_DisplayArrayInTable(SourceData_Feedlot.SourceData_Feedlot_AnimalCharacteristics_Data(), Table_SourceData_Feedlot_AnimalCharacteristics[[#Headers],[Feedlot type]], 0)</f>
        <v>6.6</v>
      </c>
      <c r="H58" s="40" cm="1">
        <f t="array" ref="H58">Common_InputFunctions.Utility_DisplayArrayInTable(SourceData_Feedlot.SourceData_Feedlot_AnimalCharacteristics_Data(), Table_SourceData_Feedlot_AnimalCharacteristics[[#Headers],[Feedlot type]], 0)</f>
        <v>7</v>
      </c>
      <c r="I58" s="40" cm="1">
        <f t="array" ref="I58">Common_InputFunctions.Utility_DisplayArrayInTable(SourceData_Feedlot.SourceData_Feedlot_AnimalCharacteristics_Data(), Table_SourceData_Feedlot_AnimalCharacteristics[[#Headers],[Feedlot type]], 0)</f>
        <v>7</v>
      </c>
      <c r="J58" s="40" cm="1">
        <f t="array" ref="J58">Common_InputFunctions.Utility_DisplayArrayInTable(SourceData_Feedlot.SourceData_Feedlot_AnimalCharacteristics_Data(), Table_SourceData_Feedlot_AnimalCharacteristics[[#Headers],[Feedlot type]], 0)</f>
        <v>7</v>
      </c>
      <c r="M58" s="24"/>
    </row>
    <row r="59" spans="4:13" ht="20.100000000000001" customHeight="1" x14ac:dyDescent="0.25">
      <c r="M59" s="24"/>
    </row>
    <row r="60" spans="4:13" ht="20.100000000000001" customHeight="1" x14ac:dyDescent="0.25">
      <c r="M60" s="24"/>
    </row>
    <row r="61" spans="4:13" ht="20.100000000000001" customHeight="1" x14ac:dyDescent="0.25">
      <c r="D61" s="6" t="str" cm="1">
        <f t="array" ref="D61">SourceData_Feedlot.SourceData_Feedlot_DietProperties_Title()</f>
        <v>Beef feedlot cattle - Diet properties</v>
      </c>
      <c r="M61" s="24"/>
    </row>
    <row r="62" spans="4:13" ht="20.100000000000001" customHeight="1" x14ac:dyDescent="0.25">
      <c r="D62" s="5" t="str" cm="1">
        <f t="array" ref="D62">SourceData_Feedlot.SourceData_Feedlot_DietProperties_Source()</f>
        <v>VEERG 2026: Table A.1.1.3: Beef feedlot cattle - Diet properties</v>
      </c>
      <c r="M62" s="24"/>
    </row>
    <row r="63" spans="4:13" ht="20.100000000000001" customHeight="1" x14ac:dyDescent="0.25">
      <c r="D63" s="59" t="str" cm="1">
        <f t="array" ref="D63:D65">SourceData_Feedlot.SourceData_Feedlot_DietProperties_Variation()</f>
        <v>VARIATION ON SOURCE:</v>
      </c>
      <c r="M63" s="24"/>
    </row>
    <row r="64" spans="4:13" ht="20.100000000000001" customHeight="1" x14ac:dyDescent="0.25">
      <c r="D64" s="59" t="str">
        <v>Added 'Converted to fraction column and converted NDF and Ether extract values to fractions.</v>
      </c>
      <c r="M64" s="24"/>
    </row>
    <row r="65" spans="4:13" ht="20.100000000000001" customHeight="1" x14ac:dyDescent="0.25">
      <c r="D65" s="59" t="str">
        <v>Moved feedlot types to a separate column to aid lookup.</v>
      </c>
      <c r="M65" s="24"/>
    </row>
    <row r="66" spans="4:13" ht="20.100000000000001" customHeight="1" x14ac:dyDescent="0.25">
      <c r="D66" s="40" t="s">
        <v>146</v>
      </c>
      <c r="E66" s="40" t="s">
        <v>147</v>
      </c>
      <c r="F66" s="40" t="s">
        <v>22</v>
      </c>
      <c r="G66" s="40" t="s">
        <v>148</v>
      </c>
      <c r="H66" s="40" t="s">
        <v>149</v>
      </c>
      <c r="I66" s="40" t="s">
        <v>150</v>
      </c>
      <c r="J66" s="40" t="s">
        <v>155</v>
      </c>
      <c r="M66" s="24"/>
    </row>
    <row r="67" spans="4:13" ht="20.100000000000001" customHeight="1" x14ac:dyDescent="0.25">
      <c r="D67" s="40" t="str" cm="1">
        <f t="array" ref="D67">Common_InputFunctions.Utility_DisplayArrayInTable(SourceData_Feedlot.SourceData_Feedlot_DietProperties_Data(), Table_SourceData_Feedlot_DietProperties[[#Headers],[Feedlot type]], 0)</f>
        <v>Domestic</v>
      </c>
      <c r="E67" s="40" t="str" cm="1">
        <f t="array" ref="E67">Common_InputFunctions.Utility_DisplayArrayInTable(SourceData_Feedlot.SourceData_Feedlot_DietProperties_Data(), Table_SourceData_Feedlot_DietProperties[[#Headers],[Feedlot type]], 0)</f>
        <v>Dry matter digestibility</v>
      </c>
      <c r="F67" s="40" t="str" cm="1">
        <f t="array" ref="F67">Common_InputFunctions.Utility_DisplayArrayInTable(SourceData_Feedlot.SourceData_Feedlot_DietProperties_Data(), Table_SourceData_Feedlot_DietProperties[[#Headers],[Feedlot type]], 0)</f>
        <v>fraction</v>
      </c>
      <c r="G67" s="40" cm="1">
        <f t="array" ref="G67">Common_InputFunctions.Utility_DisplayArrayInTable(SourceData_Feedlot.SourceData_Feedlot_DietProperties_Data(), Table_SourceData_Feedlot_DietProperties[[#Headers],[Feedlot type]], 0)</f>
        <v>0.81</v>
      </c>
      <c r="H67" s="40" cm="1">
        <f t="array" ref="H67">Common_InputFunctions.Utility_DisplayArrayInTable(SourceData_Feedlot.SourceData_Feedlot_DietProperties_Data(), Table_SourceData_Feedlot_DietProperties[[#Headers],[Feedlot type]], 0)</f>
        <v>0.81</v>
      </c>
      <c r="I67" s="40" cm="1">
        <f t="array" ref="I67">Common_InputFunctions.Utility_DisplayArrayInTable(SourceData_Feedlot.SourceData_Feedlot_DietProperties_Data(), Table_SourceData_Feedlot_DietProperties[[#Headers],[Feedlot type]], 0)</f>
        <v>0.81</v>
      </c>
      <c r="J67" s="40" cm="1">
        <f t="array" ref="J67">Common_InputFunctions.Utility_DisplayArrayInTable(SourceData_Feedlot.SourceData_Feedlot_DietProperties_Data(), Table_SourceData_Feedlot_DietProperties[[#Headers],[Feedlot type]], 0)</f>
        <v>0.81</v>
      </c>
      <c r="M67" s="24"/>
    </row>
    <row r="68" spans="4:13" ht="20.100000000000001" customHeight="1" x14ac:dyDescent="0.25">
      <c r="D68" s="1" t="str" cm="1">
        <f t="array" ref="D68">Common_InputFunctions.Utility_DisplayArrayInTable(SourceData_Feedlot.SourceData_Feedlot_DietProperties_Data(), Table_SourceData_Feedlot_DietProperties[[#Headers],[Feedlot type]], 0)</f>
        <v>Domestic</v>
      </c>
      <c r="E68" s="40" t="str" cm="1">
        <f t="array" ref="E68">Common_InputFunctions.Utility_DisplayArrayInTable(SourceData_Feedlot.SourceData_Feedlot_DietProperties_Data(), Table_SourceData_Feedlot_DietProperties[[#Headers],[Feedlot type]], 0)</f>
        <v>Crude protein</v>
      </c>
      <c r="F68" s="40" t="str" cm="1">
        <f t="array" ref="F68">Common_InputFunctions.Utility_DisplayArrayInTable(SourceData_Feedlot.SourceData_Feedlot_DietProperties_Data(), Table_SourceData_Feedlot_DietProperties[[#Headers],[Feedlot type]], 0)</f>
        <v>fraction</v>
      </c>
      <c r="G68" s="40" cm="1">
        <f t="array" ref="G68">Common_InputFunctions.Utility_DisplayArrayInTable(SourceData_Feedlot.SourceData_Feedlot_DietProperties_Data(), Table_SourceData_Feedlot_DietProperties[[#Headers],[Feedlot type]], 0)</f>
        <v>0.14000000000000001</v>
      </c>
      <c r="H68" s="40" cm="1">
        <f t="array" ref="H68">Common_InputFunctions.Utility_DisplayArrayInTable(SourceData_Feedlot.SourceData_Feedlot_DietProperties_Data(), Table_SourceData_Feedlot_DietProperties[[#Headers],[Feedlot type]], 0)</f>
        <v>0.14000000000000001</v>
      </c>
      <c r="I68" s="40" cm="1">
        <f t="array" ref="I68">Common_InputFunctions.Utility_DisplayArrayInTable(SourceData_Feedlot.SourceData_Feedlot_DietProperties_Data(), Table_SourceData_Feedlot_DietProperties[[#Headers],[Feedlot type]], 0)</f>
        <v>0.14000000000000001</v>
      </c>
      <c r="J68" s="40" cm="1">
        <f t="array" ref="J68">Common_InputFunctions.Utility_DisplayArrayInTable(SourceData_Feedlot.SourceData_Feedlot_DietProperties_Data(), Table_SourceData_Feedlot_DietProperties[[#Headers],[Feedlot type]], 0)</f>
        <v>0.14000000000000001</v>
      </c>
      <c r="M68" s="24"/>
    </row>
    <row r="69" spans="4:13" ht="20.100000000000001" customHeight="1" x14ac:dyDescent="0.25">
      <c r="D69" s="1" t="str" cm="1">
        <f t="array" ref="D69">Common_InputFunctions.Utility_DisplayArrayInTable(SourceData_Feedlot.SourceData_Feedlot_DietProperties_Data(), Table_SourceData_Feedlot_DietProperties[[#Headers],[Feedlot type]], 0)</f>
        <v>Domestic</v>
      </c>
      <c r="E69" s="40" t="str" cm="1">
        <f t="array" ref="E69">Common_InputFunctions.Utility_DisplayArrayInTable(SourceData_Feedlot.SourceData_Feedlot_DietProperties_Data(), Table_SourceData_Feedlot_DietProperties[[#Headers],[Feedlot type]], 0)</f>
        <v>NDF</v>
      </c>
      <c r="F69" s="40" t="str" cm="1">
        <f t="array" ref="F69">Common_InputFunctions.Utility_DisplayArrayInTable(SourceData_Feedlot.SourceData_Feedlot_DietProperties_Data(), Table_SourceData_Feedlot_DietProperties[[#Headers],[Feedlot type]], 0)</f>
        <v>per cent</v>
      </c>
      <c r="G69" s="40" cm="1">
        <f t="array" ref="G69">Common_InputFunctions.Utility_DisplayArrayInTable(SourceData_Feedlot.SourceData_Feedlot_DietProperties_Data(), Table_SourceData_Feedlot_DietProperties[[#Headers],[Feedlot type]], 0)</f>
        <v>23</v>
      </c>
      <c r="H69" s="40" cm="1">
        <f t="array" ref="H69">Common_InputFunctions.Utility_DisplayArrayInTable(SourceData_Feedlot.SourceData_Feedlot_DietProperties_Data(), Table_SourceData_Feedlot_DietProperties[[#Headers],[Feedlot type]], 0)</f>
        <v>22</v>
      </c>
      <c r="I69" s="40" cm="1">
        <f t="array" ref="I69">Common_InputFunctions.Utility_DisplayArrayInTable(SourceData_Feedlot.SourceData_Feedlot_DietProperties_Data(), Table_SourceData_Feedlot_DietProperties[[#Headers],[Feedlot type]], 0)</f>
        <v>22</v>
      </c>
      <c r="J69" s="40" cm="1">
        <f t="array" ref="J69">Common_InputFunctions.Utility_DisplayArrayInTable(SourceData_Feedlot.SourceData_Feedlot_DietProperties_Data(), Table_SourceData_Feedlot_DietProperties[[#Headers],[Feedlot type]], 0)</f>
        <v>22</v>
      </c>
      <c r="M69" s="24"/>
    </row>
    <row r="70" spans="4:13" ht="20.100000000000001" customHeight="1" x14ac:dyDescent="0.25">
      <c r="D70" s="1" t="str" cm="1">
        <f t="array" ref="D70">Common_InputFunctions.Utility_DisplayArrayInTable(SourceData_Feedlot.SourceData_Feedlot_DietProperties_Data(), Table_SourceData_Feedlot_DietProperties[[#Headers],[Feedlot type]], 0)</f>
        <v>Domestic</v>
      </c>
      <c r="E70" s="40" t="str" cm="1">
        <f t="array" ref="E70">Common_InputFunctions.Utility_DisplayArrayInTable(SourceData_Feedlot.SourceData_Feedlot_DietProperties_Data(), Table_SourceData_Feedlot_DietProperties[[#Headers],[Feedlot type]], 0)</f>
        <v>Ether Extract</v>
      </c>
      <c r="F70" s="40" t="str" cm="1">
        <f t="array" ref="F70">Common_InputFunctions.Utility_DisplayArrayInTable(SourceData_Feedlot.SourceData_Feedlot_DietProperties_Data(), Table_SourceData_Feedlot_DietProperties[[#Headers],[Feedlot type]], 0)</f>
        <v>per cent</v>
      </c>
      <c r="G70" s="40" cm="1">
        <f t="array" ref="G70">Common_InputFunctions.Utility_DisplayArrayInTable(SourceData_Feedlot.SourceData_Feedlot_DietProperties_Data(), Table_SourceData_Feedlot_DietProperties[[#Headers],[Feedlot type]], 0)</f>
        <v>4.5</v>
      </c>
      <c r="H70" s="40" cm="1">
        <f t="array" ref="H70">Common_InputFunctions.Utility_DisplayArrayInTable(SourceData_Feedlot.SourceData_Feedlot_DietProperties_Data(), Table_SourceData_Feedlot_DietProperties[[#Headers],[Feedlot type]], 0)</f>
        <v>4.5</v>
      </c>
      <c r="I70" s="40" cm="1">
        <f t="array" ref="I70">Common_InputFunctions.Utility_DisplayArrayInTable(SourceData_Feedlot.SourceData_Feedlot_DietProperties_Data(), Table_SourceData_Feedlot_DietProperties[[#Headers],[Feedlot type]], 0)</f>
        <v>4.8</v>
      </c>
      <c r="J70" s="40" cm="1">
        <f t="array" ref="J70">Common_InputFunctions.Utility_DisplayArrayInTable(SourceData_Feedlot.SourceData_Feedlot_DietProperties_Data(), Table_SourceData_Feedlot_DietProperties[[#Headers],[Feedlot type]], 0)</f>
        <v>4.8</v>
      </c>
      <c r="M70" s="24"/>
    </row>
    <row r="71" spans="4:13" ht="20.100000000000001" customHeight="1" x14ac:dyDescent="0.25">
      <c r="D71" s="1" t="str" cm="1">
        <f t="array" ref="D71">Common_InputFunctions.Utility_DisplayArrayInTable(SourceData_Feedlot.SourceData_Feedlot_DietProperties_Data(), Table_SourceData_Feedlot_DietProperties[[#Headers],[Feedlot type]], 0)</f>
        <v>Mid-fed</v>
      </c>
      <c r="E71" s="40" t="str" cm="1">
        <f t="array" ref="E71">Common_InputFunctions.Utility_DisplayArrayInTable(SourceData_Feedlot.SourceData_Feedlot_DietProperties_Data(), Table_SourceData_Feedlot_DietProperties[[#Headers],[Feedlot type]], 0)</f>
        <v>Dry matter digestibility</v>
      </c>
      <c r="F71" s="40" t="str" cm="1">
        <f t="array" ref="F71">Common_InputFunctions.Utility_DisplayArrayInTable(SourceData_Feedlot.SourceData_Feedlot_DietProperties_Data(), Table_SourceData_Feedlot_DietProperties[[#Headers],[Feedlot type]], 0)</f>
        <v>fraction</v>
      </c>
      <c r="G71" s="40" cm="1">
        <f t="array" ref="G71">Common_InputFunctions.Utility_DisplayArrayInTable(SourceData_Feedlot.SourceData_Feedlot_DietProperties_Data(), Table_SourceData_Feedlot_DietProperties[[#Headers],[Feedlot type]], 0)</f>
        <v>0.81</v>
      </c>
      <c r="H71" s="40" cm="1">
        <f t="array" ref="H71">Common_InputFunctions.Utility_DisplayArrayInTable(SourceData_Feedlot.SourceData_Feedlot_DietProperties_Data(), Table_SourceData_Feedlot_DietProperties[[#Headers],[Feedlot type]], 0)</f>
        <v>0.81</v>
      </c>
      <c r="I71" s="40" cm="1">
        <f t="array" ref="I71">Common_InputFunctions.Utility_DisplayArrayInTable(SourceData_Feedlot.SourceData_Feedlot_DietProperties_Data(), Table_SourceData_Feedlot_DietProperties[[#Headers],[Feedlot type]], 0)</f>
        <v>0.81</v>
      </c>
      <c r="J71" s="40" cm="1">
        <f t="array" ref="J71">Common_InputFunctions.Utility_DisplayArrayInTable(SourceData_Feedlot.SourceData_Feedlot_DietProperties_Data(), Table_SourceData_Feedlot_DietProperties[[#Headers],[Feedlot type]], 0)</f>
        <v>0.81</v>
      </c>
      <c r="M71" s="24"/>
    </row>
    <row r="72" spans="4:13" ht="20.100000000000001" customHeight="1" x14ac:dyDescent="0.25">
      <c r="D72" s="1" t="str" cm="1">
        <f t="array" ref="D72">Common_InputFunctions.Utility_DisplayArrayInTable(SourceData_Feedlot.SourceData_Feedlot_DietProperties_Data(), Table_SourceData_Feedlot_DietProperties[[#Headers],[Feedlot type]], 0)</f>
        <v>Mid-fed</v>
      </c>
      <c r="E72" s="40" t="str" cm="1">
        <f t="array" ref="E72">Common_InputFunctions.Utility_DisplayArrayInTable(SourceData_Feedlot.SourceData_Feedlot_DietProperties_Data(), Table_SourceData_Feedlot_DietProperties[[#Headers],[Feedlot type]], 0)</f>
        <v>Crude protein</v>
      </c>
      <c r="F72" s="40" t="str" cm="1">
        <f t="array" ref="F72">Common_InputFunctions.Utility_DisplayArrayInTable(SourceData_Feedlot.SourceData_Feedlot_DietProperties_Data(), Table_SourceData_Feedlot_DietProperties[[#Headers],[Feedlot type]], 0)</f>
        <v>fraction</v>
      </c>
      <c r="G72" s="40" cm="1">
        <f t="array" ref="G72">Common_InputFunctions.Utility_DisplayArrayInTable(SourceData_Feedlot.SourceData_Feedlot_DietProperties_Data(), Table_SourceData_Feedlot_DietProperties[[#Headers],[Feedlot type]], 0)</f>
        <v>0.13</v>
      </c>
      <c r="H72" s="40" cm="1">
        <f t="array" ref="H72">Common_InputFunctions.Utility_DisplayArrayInTable(SourceData_Feedlot.SourceData_Feedlot_DietProperties_Data(), Table_SourceData_Feedlot_DietProperties[[#Headers],[Feedlot type]], 0)</f>
        <v>0.125</v>
      </c>
      <c r="I72" s="40" cm="1">
        <f t="array" ref="I72">Common_InputFunctions.Utility_DisplayArrayInTable(SourceData_Feedlot.SourceData_Feedlot_DietProperties_Data(), Table_SourceData_Feedlot_DietProperties[[#Headers],[Feedlot type]], 0)</f>
        <v>0.12</v>
      </c>
      <c r="J72" s="40" cm="1">
        <f t="array" ref="J72">Common_InputFunctions.Utility_DisplayArrayInTable(SourceData_Feedlot.SourceData_Feedlot_DietProperties_Data(), Table_SourceData_Feedlot_DietProperties[[#Headers],[Feedlot type]], 0)</f>
        <v>0.12</v>
      </c>
      <c r="M72" s="24"/>
    </row>
    <row r="73" spans="4:13" ht="20.100000000000001" customHeight="1" x14ac:dyDescent="0.25">
      <c r="D73" s="1" t="str" cm="1">
        <f t="array" ref="D73">Common_InputFunctions.Utility_DisplayArrayInTable(SourceData_Feedlot.SourceData_Feedlot_DietProperties_Data(), Table_SourceData_Feedlot_DietProperties[[#Headers],[Feedlot type]], 0)</f>
        <v>Mid-fed</v>
      </c>
      <c r="E73" s="40" t="str" cm="1">
        <f t="array" ref="E73">Common_InputFunctions.Utility_DisplayArrayInTable(SourceData_Feedlot.SourceData_Feedlot_DietProperties_Data(), Table_SourceData_Feedlot_DietProperties[[#Headers],[Feedlot type]], 0)</f>
        <v>NDF</v>
      </c>
      <c r="F73" s="40" t="str" cm="1">
        <f t="array" ref="F73">Common_InputFunctions.Utility_DisplayArrayInTable(SourceData_Feedlot.SourceData_Feedlot_DietProperties_Data(), Table_SourceData_Feedlot_DietProperties[[#Headers],[Feedlot type]], 0)</f>
        <v>per cent</v>
      </c>
      <c r="G73" s="40" cm="1">
        <f t="array" ref="G73">Common_InputFunctions.Utility_DisplayArrayInTable(SourceData_Feedlot.SourceData_Feedlot_DietProperties_Data(), Table_SourceData_Feedlot_DietProperties[[#Headers],[Feedlot type]], 0)</f>
        <v>24</v>
      </c>
      <c r="H73" s="40" cm="1">
        <f t="array" ref="H73">Common_InputFunctions.Utility_DisplayArrayInTable(SourceData_Feedlot.SourceData_Feedlot_DietProperties_Data(), Table_SourceData_Feedlot_DietProperties[[#Headers],[Feedlot type]], 0)</f>
        <v>22</v>
      </c>
      <c r="I73" s="40" cm="1">
        <f t="array" ref="I73">Common_InputFunctions.Utility_DisplayArrayInTable(SourceData_Feedlot.SourceData_Feedlot_DietProperties_Data(), Table_SourceData_Feedlot_DietProperties[[#Headers],[Feedlot type]], 0)</f>
        <v>22</v>
      </c>
      <c r="J73" s="40" cm="1">
        <f t="array" ref="J73">Common_InputFunctions.Utility_DisplayArrayInTable(SourceData_Feedlot.SourceData_Feedlot_DietProperties_Data(), Table_SourceData_Feedlot_DietProperties[[#Headers],[Feedlot type]], 0)</f>
        <v>22</v>
      </c>
      <c r="M73" s="24"/>
    </row>
    <row r="74" spans="4:13" ht="20.100000000000001" customHeight="1" x14ac:dyDescent="0.25">
      <c r="D74" s="1" t="str" cm="1">
        <f t="array" ref="D74">Common_InputFunctions.Utility_DisplayArrayInTable(SourceData_Feedlot.SourceData_Feedlot_DietProperties_Data(), Table_SourceData_Feedlot_DietProperties[[#Headers],[Feedlot type]], 0)</f>
        <v>Mid-fed</v>
      </c>
      <c r="E74" s="40" t="str" cm="1">
        <f t="array" ref="E74">Common_InputFunctions.Utility_DisplayArrayInTable(SourceData_Feedlot.SourceData_Feedlot_DietProperties_Data(), Table_SourceData_Feedlot_DietProperties[[#Headers],[Feedlot type]], 0)</f>
        <v>Ether Extract</v>
      </c>
      <c r="F74" s="40" t="str" cm="1">
        <f t="array" ref="F74">Common_InputFunctions.Utility_DisplayArrayInTable(SourceData_Feedlot.SourceData_Feedlot_DietProperties_Data(), Table_SourceData_Feedlot_DietProperties[[#Headers],[Feedlot type]], 0)</f>
        <v>per cent</v>
      </c>
      <c r="G74" s="40" cm="1">
        <f t="array" ref="G74">Common_InputFunctions.Utility_DisplayArrayInTable(SourceData_Feedlot.SourceData_Feedlot_DietProperties_Data(), Table_SourceData_Feedlot_DietProperties[[#Headers],[Feedlot type]], 0)</f>
        <v>5</v>
      </c>
      <c r="H74" s="40" cm="1">
        <f t="array" ref="H74">Common_InputFunctions.Utility_DisplayArrayInTable(SourceData_Feedlot.SourceData_Feedlot_DietProperties_Data(), Table_SourceData_Feedlot_DietProperties[[#Headers],[Feedlot type]], 0)</f>
        <v>5</v>
      </c>
      <c r="I74" s="40" cm="1">
        <f t="array" ref="I74">Common_InputFunctions.Utility_DisplayArrayInTable(SourceData_Feedlot.SourceData_Feedlot_DietProperties_Data(), Table_SourceData_Feedlot_DietProperties[[#Headers],[Feedlot type]], 0)</f>
        <v>5</v>
      </c>
      <c r="J74" s="40" cm="1">
        <f t="array" ref="J74">Common_InputFunctions.Utility_DisplayArrayInTable(SourceData_Feedlot.SourceData_Feedlot_DietProperties_Data(), Table_SourceData_Feedlot_DietProperties[[#Headers],[Feedlot type]], 0)</f>
        <v>5</v>
      </c>
      <c r="M74" s="24"/>
    </row>
    <row r="75" spans="4:13" ht="20.100000000000001" customHeight="1" x14ac:dyDescent="0.25">
      <c r="D75" s="1" t="str" cm="1">
        <f t="array" ref="D75">Common_InputFunctions.Utility_DisplayArrayInTable(SourceData_Feedlot.SourceData_Feedlot_DietProperties_Data(), Table_SourceData_Feedlot_DietProperties[[#Headers],[Feedlot type]], 0)</f>
        <v>Long-Fed</v>
      </c>
      <c r="E75" s="40" t="str" cm="1">
        <f t="array" ref="E75">Common_InputFunctions.Utility_DisplayArrayInTable(SourceData_Feedlot.SourceData_Feedlot_DietProperties_Data(), Table_SourceData_Feedlot_DietProperties[[#Headers],[Feedlot type]], 0)</f>
        <v>Dry matter digestibility</v>
      </c>
      <c r="F75" s="40" t="str" cm="1">
        <f t="array" ref="F75">Common_InputFunctions.Utility_DisplayArrayInTable(SourceData_Feedlot.SourceData_Feedlot_DietProperties_Data(), Table_SourceData_Feedlot_DietProperties[[#Headers],[Feedlot type]], 0)</f>
        <v>fraction</v>
      </c>
      <c r="G75" s="40" cm="1">
        <f t="array" ref="G75">Common_InputFunctions.Utility_DisplayArrayInTable(SourceData_Feedlot.SourceData_Feedlot_DietProperties_Data(), Table_SourceData_Feedlot_DietProperties[[#Headers],[Feedlot type]], 0)</f>
        <v>0.81</v>
      </c>
      <c r="H75" s="40" cm="1">
        <f t="array" ref="H75">Common_InputFunctions.Utility_DisplayArrayInTable(SourceData_Feedlot.SourceData_Feedlot_DietProperties_Data(), Table_SourceData_Feedlot_DietProperties[[#Headers],[Feedlot type]], 0)</f>
        <v>0.81</v>
      </c>
      <c r="I75" s="40" cm="1">
        <f t="array" ref="I75">Common_InputFunctions.Utility_DisplayArrayInTable(SourceData_Feedlot.SourceData_Feedlot_DietProperties_Data(), Table_SourceData_Feedlot_DietProperties[[#Headers],[Feedlot type]], 0)</f>
        <v>0.81</v>
      </c>
      <c r="J75" s="40" cm="1">
        <f t="array" ref="J75">Common_InputFunctions.Utility_DisplayArrayInTable(SourceData_Feedlot.SourceData_Feedlot_DietProperties_Data(), Table_SourceData_Feedlot_DietProperties[[#Headers],[Feedlot type]], 0)</f>
        <v>0.81</v>
      </c>
      <c r="M75" s="24"/>
    </row>
    <row r="76" spans="4:13" ht="20.100000000000001" customHeight="1" x14ac:dyDescent="0.25">
      <c r="D76" s="1" t="str" cm="1">
        <f t="array" ref="D76">Common_InputFunctions.Utility_DisplayArrayInTable(SourceData_Feedlot.SourceData_Feedlot_DietProperties_Data(), Table_SourceData_Feedlot_DietProperties[[#Headers],[Feedlot type]], 0)</f>
        <v>Long-Fed</v>
      </c>
      <c r="E76" s="40" t="str" cm="1">
        <f t="array" ref="E76">Common_InputFunctions.Utility_DisplayArrayInTable(SourceData_Feedlot.SourceData_Feedlot_DietProperties_Data(), Table_SourceData_Feedlot_DietProperties[[#Headers],[Feedlot type]], 0)</f>
        <v>Crude protein</v>
      </c>
      <c r="F76" s="40" t="str" cm="1">
        <f t="array" ref="F76">Common_InputFunctions.Utility_DisplayArrayInTable(SourceData_Feedlot.SourceData_Feedlot_DietProperties_Data(), Table_SourceData_Feedlot_DietProperties[[#Headers],[Feedlot type]], 0)</f>
        <v>fraction</v>
      </c>
      <c r="G76" s="40" cm="1">
        <f t="array" ref="G76">Common_InputFunctions.Utility_DisplayArrayInTable(SourceData_Feedlot.SourceData_Feedlot_DietProperties_Data(), Table_SourceData_Feedlot_DietProperties[[#Headers],[Feedlot type]], 0)</f>
        <v>0.13</v>
      </c>
      <c r="H76" s="40" cm="1">
        <f t="array" ref="H76">Common_InputFunctions.Utility_DisplayArrayInTable(SourceData_Feedlot.SourceData_Feedlot_DietProperties_Data(), Table_SourceData_Feedlot_DietProperties[[#Headers],[Feedlot type]], 0)</f>
        <v>0.125</v>
      </c>
      <c r="I76" s="40" cm="1">
        <f t="array" ref="I76">Common_InputFunctions.Utility_DisplayArrayInTable(SourceData_Feedlot.SourceData_Feedlot_DietProperties_Data(), Table_SourceData_Feedlot_DietProperties[[#Headers],[Feedlot type]], 0)</f>
        <v>0.12</v>
      </c>
      <c r="J76" s="40" cm="1">
        <f t="array" ref="J76">Common_InputFunctions.Utility_DisplayArrayInTable(SourceData_Feedlot.SourceData_Feedlot_DietProperties_Data(), Table_SourceData_Feedlot_DietProperties[[#Headers],[Feedlot type]], 0)</f>
        <v>0.12</v>
      </c>
      <c r="M76" s="24"/>
    </row>
    <row r="77" spans="4:13" ht="20.100000000000001" customHeight="1" x14ac:dyDescent="0.25">
      <c r="D77" s="1" t="str" cm="1">
        <f t="array" ref="D77">Common_InputFunctions.Utility_DisplayArrayInTable(SourceData_Feedlot.SourceData_Feedlot_DietProperties_Data(), Table_SourceData_Feedlot_DietProperties[[#Headers],[Feedlot type]], 0)</f>
        <v>Long-Fed</v>
      </c>
      <c r="E77" s="40" t="str" cm="1">
        <f t="array" ref="E77">Common_InputFunctions.Utility_DisplayArrayInTable(SourceData_Feedlot.SourceData_Feedlot_DietProperties_Data(), Table_SourceData_Feedlot_DietProperties[[#Headers],[Feedlot type]], 0)</f>
        <v>NDF</v>
      </c>
      <c r="F77" s="40" t="str" cm="1">
        <f t="array" ref="F77">Common_InputFunctions.Utility_DisplayArrayInTable(SourceData_Feedlot.SourceData_Feedlot_DietProperties_Data(), Table_SourceData_Feedlot_DietProperties[[#Headers],[Feedlot type]], 0)</f>
        <v>per cent</v>
      </c>
      <c r="G77" s="40" cm="1">
        <f t="array" ref="G77">Common_InputFunctions.Utility_DisplayArrayInTable(SourceData_Feedlot.SourceData_Feedlot_DietProperties_Data(), Table_SourceData_Feedlot_DietProperties[[#Headers],[Feedlot type]], 0)</f>
        <v>24</v>
      </c>
      <c r="H77" s="40" cm="1">
        <f t="array" ref="H77">Common_InputFunctions.Utility_DisplayArrayInTable(SourceData_Feedlot.SourceData_Feedlot_DietProperties_Data(), Table_SourceData_Feedlot_DietProperties[[#Headers],[Feedlot type]], 0)</f>
        <v>24</v>
      </c>
      <c r="I77" s="40" cm="1">
        <f t="array" ref="I77">Common_InputFunctions.Utility_DisplayArrayInTable(SourceData_Feedlot.SourceData_Feedlot_DietProperties_Data(), Table_SourceData_Feedlot_DietProperties[[#Headers],[Feedlot type]], 0)</f>
        <v>24</v>
      </c>
      <c r="J77" s="40" cm="1">
        <f t="array" ref="J77">Common_InputFunctions.Utility_DisplayArrayInTable(SourceData_Feedlot.SourceData_Feedlot_DietProperties_Data(), Table_SourceData_Feedlot_DietProperties[[#Headers],[Feedlot type]], 0)</f>
        <v>24</v>
      </c>
      <c r="M77" s="24"/>
    </row>
    <row r="78" spans="4:13" ht="20.100000000000001" customHeight="1" x14ac:dyDescent="0.25">
      <c r="D78" s="1" t="str" cm="1">
        <f t="array" ref="D78">Common_InputFunctions.Utility_DisplayArrayInTable(SourceData_Feedlot.SourceData_Feedlot_DietProperties_Data(), Table_SourceData_Feedlot_DietProperties[[#Headers],[Feedlot type]], 0)</f>
        <v>Long-Fed</v>
      </c>
      <c r="E78" s="40" t="str" cm="1">
        <f t="array" ref="E78">Common_InputFunctions.Utility_DisplayArrayInTable(SourceData_Feedlot.SourceData_Feedlot_DietProperties_Data(), Table_SourceData_Feedlot_DietProperties[[#Headers],[Feedlot type]], 0)</f>
        <v>Ether Extract</v>
      </c>
      <c r="F78" s="40" t="str" cm="1">
        <f t="array" ref="F78">Common_InputFunctions.Utility_DisplayArrayInTable(SourceData_Feedlot.SourceData_Feedlot_DietProperties_Data(), Table_SourceData_Feedlot_DietProperties[[#Headers],[Feedlot type]], 0)</f>
        <v>per cent</v>
      </c>
      <c r="G78" s="40" cm="1">
        <f t="array" ref="G78">Common_InputFunctions.Utility_DisplayArrayInTable(SourceData_Feedlot.SourceData_Feedlot_DietProperties_Data(), Table_SourceData_Feedlot_DietProperties[[#Headers],[Feedlot type]], 0)</f>
        <v>5</v>
      </c>
      <c r="H78" s="40" cm="1">
        <f t="array" ref="H78">Common_InputFunctions.Utility_DisplayArrayInTable(SourceData_Feedlot.SourceData_Feedlot_DietProperties_Data(), Table_SourceData_Feedlot_DietProperties[[#Headers],[Feedlot type]], 0)</f>
        <v>5</v>
      </c>
      <c r="I78" s="40" cm="1">
        <f t="array" ref="I78">Common_InputFunctions.Utility_DisplayArrayInTable(SourceData_Feedlot.SourceData_Feedlot_DietProperties_Data(), Table_SourceData_Feedlot_DietProperties[[#Headers],[Feedlot type]], 0)</f>
        <v>5.5</v>
      </c>
      <c r="J78" s="40" cm="1">
        <f t="array" ref="J78">Common_InputFunctions.Utility_DisplayArrayInTable(SourceData_Feedlot.SourceData_Feedlot_DietProperties_Data(), Table_SourceData_Feedlot_DietProperties[[#Headers],[Feedlot type]], 0)</f>
        <v>5.5</v>
      </c>
      <c r="M78" s="24"/>
    </row>
    <row r="79" spans="4:13" ht="20.100000000000001" customHeight="1" x14ac:dyDescent="0.25">
      <c r="M79" s="24"/>
    </row>
    <row r="80" spans="4:13" ht="20.100000000000001" customHeight="1" x14ac:dyDescent="0.25">
      <c r="M80" s="24"/>
    </row>
    <row r="81" spans="4:14" ht="20.100000000000001" customHeight="1" x14ac:dyDescent="0.25">
      <c r="D81" s="6" t="str" cm="1">
        <f t="array" ref="D81">SourceData_Feedlot.SourceData_Feedlot_MCF_Title()</f>
        <v>Feedlot - MCFs</v>
      </c>
      <c r="M81" s="1"/>
    </row>
    <row r="82" spans="4:14" ht="20.100000000000001" customHeight="1" x14ac:dyDescent="0.25">
      <c r="D82" s="5" t="str" cm="1">
        <f t="array" ref="D82">SourceData_Feedlot.SourceData_Feedlot_MCF_Source()</f>
        <v>VEERG 2026: Table A.1.1.4: Beef feedlot cattle - MCFs (fraction) (MCFimT)</v>
      </c>
      <c r="M82" s="1"/>
    </row>
    <row r="83" spans="4:14" ht="20.100000000000001" customHeight="1" x14ac:dyDescent="0.25">
      <c r="D83" s="59" t="str" cm="1">
        <f t="array" ref="D83:D86">SourceData_Feedlot.SourceData_Feedlot_MCF_Variation()</f>
        <v>VARIATION ON SOURCE:</v>
      </c>
      <c r="M83" s="1"/>
    </row>
    <row r="84" spans="4:14" ht="20.100000000000001" customHeight="1" x14ac:dyDescent="0.25">
      <c r="D84" s="59" t="str">
        <v>Duplicated NSW values for ACT</v>
      </c>
      <c r="M84" s="1"/>
    </row>
    <row r="85" spans="4:14" ht="20.100000000000001" customHeight="1" x14ac:dyDescent="0.25">
      <c r="D85" s="59" t="str">
        <v>Added NT and TAS columns with 'no data' values</v>
      </c>
      <c r="M85" s="1"/>
    </row>
    <row r="86" spans="4:14" ht="20.100000000000001" customHeight="1" x14ac:dyDescent="0.25">
      <c r="D86" s="59" t="str">
        <v>Added 'NIR definition' column with MMS names that match NIR definitions.</v>
      </c>
      <c r="M86" s="1"/>
    </row>
    <row r="87" spans="4:14" ht="20.100000000000001" customHeight="1" x14ac:dyDescent="0.25">
      <c r="M87" s="1"/>
    </row>
    <row r="88" spans="4:14" ht="20.100000000000001" customHeight="1" x14ac:dyDescent="0.25">
      <c r="D88" s="40" t="s">
        <v>116</v>
      </c>
      <c r="E88" s="40" t="s">
        <v>111</v>
      </c>
      <c r="F88" s="40" t="s">
        <v>86</v>
      </c>
      <c r="G88" s="40" t="s">
        <v>85</v>
      </c>
      <c r="H88" s="40" t="s">
        <v>88</v>
      </c>
      <c r="I88" s="40" t="s">
        <v>87</v>
      </c>
      <c r="J88" s="40" t="s">
        <v>89</v>
      </c>
      <c r="K88" s="40" t="s">
        <v>91</v>
      </c>
      <c r="L88" s="40" t="s">
        <v>92</v>
      </c>
      <c r="M88" s="40" t="s">
        <v>90</v>
      </c>
      <c r="N88" s="40" t="s">
        <v>102</v>
      </c>
    </row>
    <row r="89" spans="4:14" ht="20.100000000000001" customHeight="1" x14ac:dyDescent="0.25">
      <c r="D89" s="40" t="str" cm="1">
        <f t="array" ref="D89">Common_InputFunctions.Utility_DisplayArrayInTable(SourceData_Feedlot.SourceData_Feedlot_MCF_Data(), Table_SourceData_Feedlot_MCF[[#Headers],[Treatment stage T]], 0)</f>
        <v>Primary</v>
      </c>
      <c r="E89" s="40" t="str" cm="1">
        <f t="array" ref="E89">Common_InputFunctions.Utility_DisplayArrayInTable(SourceData_Feedlot.SourceData_Feedlot_MCF_Data(), Table_SourceData_Feedlot_MCF[[#Headers],[Treatment stage T]], 0)</f>
        <v>Dry lot (Feedpad)</v>
      </c>
      <c r="F89" s="40" cm="1">
        <f t="array" ref="F89">Common_InputFunctions.Utility_DisplayArrayInTable(SourceData_Feedlot.SourceData_Feedlot_MCF_Data(), Table_SourceData_Feedlot_MCF[[#Headers],[Treatment stage T]], 0)</f>
        <v>0.01</v>
      </c>
      <c r="G89" s="40" cm="1">
        <f t="array" ref="G89">Common_InputFunctions.Utility_DisplayArrayInTable(SourceData_Feedlot.SourceData_Feedlot_MCF_Data(), Table_SourceData_Feedlot_MCF[[#Headers],[Treatment stage T]], 0)</f>
        <v>0.01</v>
      </c>
      <c r="H89" s="40" cm="1">
        <f t="array" ref="H89">Common_InputFunctions.Utility_DisplayArrayInTable(SourceData_Feedlot.SourceData_Feedlot_MCF_Data(), Table_SourceData_Feedlot_MCF[[#Headers],[Treatment stage T]], 0)</f>
        <v>0.03</v>
      </c>
      <c r="I89" s="40" t="str" cm="1">
        <f t="array" ref="I89">Common_InputFunctions.Utility_DisplayArrayInTable(SourceData_Feedlot.SourceData_Feedlot_MCF_Data(), Table_SourceData_Feedlot_MCF[[#Headers],[Treatment stage T]], 0)</f>
        <v>No data</v>
      </c>
      <c r="J89" s="40" cm="1">
        <f t="array" ref="J89">Common_InputFunctions.Utility_DisplayArrayInTable(SourceData_Feedlot.SourceData_Feedlot_MCF_Data(), Table_SourceData_Feedlot_MCF[[#Headers],[Treatment stage T]], 0)</f>
        <v>0.01</v>
      </c>
      <c r="K89" s="40" cm="1">
        <f t="array" ref="K89">Common_InputFunctions.Utility_DisplayArrayInTable(SourceData_Feedlot.SourceData_Feedlot_MCF_Data(), Table_SourceData_Feedlot_MCF[[#Headers],[Treatment stage T]], 0)</f>
        <v>0.01</v>
      </c>
      <c r="L89" s="40" cm="1">
        <f t="array" ref="L89">Common_InputFunctions.Utility_DisplayArrayInTable(SourceData_Feedlot.SourceData_Feedlot_MCF_Data(), Table_SourceData_Feedlot_MCF[[#Headers],[Treatment stage T]], 0)</f>
        <v>0.01</v>
      </c>
      <c r="M89" s="40" t="str" cm="1">
        <f t="array" ref="M89">Common_InputFunctions.Utility_DisplayArrayInTable(SourceData_Feedlot.SourceData_Feedlot_MCF_Data(), Table_SourceData_Feedlot_MCF[[#Headers],[Treatment stage T]], 0)</f>
        <v>No data</v>
      </c>
      <c r="N89" s="40" t="str" cm="1">
        <f t="array" ref="N89">Common_InputFunctions.Utility_DisplayArrayInTable(SourceData_Feedlot.SourceData_Feedlot_MCF_Data(), Table_SourceData_Feedlot_MCF[[#Headers],[Treatment stage T]], 0)</f>
        <v>Drylot (feed pad)</v>
      </c>
    </row>
    <row r="90" spans="4:14" ht="20.100000000000001" customHeight="1" x14ac:dyDescent="0.25">
      <c r="D90" s="1" t="str" cm="1">
        <f t="array" ref="D90">Common_InputFunctions.Utility_DisplayArrayInTable(SourceData_Feedlot.SourceData_Feedlot_MCF_Data(), Table_SourceData_Feedlot_MCF[[#Headers],[Treatment stage T]], 0)</f>
        <v>Secondary</v>
      </c>
      <c r="E90" s="40" t="str" cm="1">
        <f t="array" ref="E90">Common_InputFunctions.Utility_DisplayArrayInTable(SourceData_Feedlot.SourceData_Feedlot_MCF_Data(), Table_SourceData_Feedlot_MCF[[#Headers],[Treatment stage T]], 0)</f>
        <v>Solid Storage (Stockpile)</v>
      </c>
      <c r="F90" s="40" cm="1">
        <f t="array" ref="F90">Common_InputFunctions.Utility_DisplayArrayInTable(SourceData_Feedlot.SourceData_Feedlot_MCF_Data(), Table_SourceData_Feedlot_MCF[[#Headers],[Treatment stage T]], 0)</f>
        <v>0.02</v>
      </c>
      <c r="G90" s="40" cm="1">
        <f t="array" ref="G90">Common_InputFunctions.Utility_DisplayArrayInTable(SourceData_Feedlot.SourceData_Feedlot_MCF_Data(), Table_SourceData_Feedlot_MCF[[#Headers],[Treatment stage T]], 0)</f>
        <v>0.02</v>
      </c>
      <c r="H90" s="40" cm="1">
        <f t="array" ref="H90">Common_InputFunctions.Utility_DisplayArrayInTable(SourceData_Feedlot.SourceData_Feedlot_MCF_Data(), Table_SourceData_Feedlot_MCF[[#Headers],[Treatment stage T]], 0)</f>
        <v>0.02</v>
      </c>
      <c r="I90" s="40" t="str" cm="1">
        <f t="array" ref="I90">Common_InputFunctions.Utility_DisplayArrayInTable(SourceData_Feedlot.SourceData_Feedlot_MCF_Data(), Table_SourceData_Feedlot_MCF[[#Headers],[Treatment stage T]], 0)</f>
        <v>No data</v>
      </c>
      <c r="J90" s="40" cm="1">
        <f t="array" ref="J90">Common_InputFunctions.Utility_DisplayArrayInTable(SourceData_Feedlot.SourceData_Feedlot_MCF_Data(), Table_SourceData_Feedlot_MCF[[#Headers],[Treatment stage T]], 0)</f>
        <v>0.02</v>
      </c>
      <c r="K90" s="40" cm="1">
        <f t="array" ref="K90">Common_InputFunctions.Utility_DisplayArrayInTable(SourceData_Feedlot.SourceData_Feedlot_MCF_Data(), Table_SourceData_Feedlot_MCF[[#Headers],[Treatment stage T]], 0)</f>
        <v>0.02</v>
      </c>
      <c r="L90" s="40" cm="1">
        <f t="array" ref="L90">Common_InputFunctions.Utility_DisplayArrayInTable(SourceData_Feedlot.SourceData_Feedlot_MCF_Data(), Table_SourceData_Feedlot_MCF[[#Headers],[Treatment stage T]], 0)</f>
        <v>0.02</v>
      </c>
      <c r="M90" s="40" t="str" cm="1">
        <f t="array" ref="M90">Common_InputFunctions.Utility_DisplayArrayInTable(SourceData_Feedlot.SourceData_Feedlot_MCF_Data(), Table_SourceData_Feedlot_MCF[[#Headers],[Treatment stage T]], 0)</f>
        <v>No data</v>
      </c>
      <c r="N90" s="40" t="str" cm="1">
        <f t="array" ref="N90">Common_InputFunctions.Utility_DisplayArrayInTable(SourceData_Feedlot.SourceData_Feedlot_MCF_Data(), Table_SourceData_Feedlot_MCF[[#Headers],[Treatment stage T]], 0)</f>
        <v>Solid storage</v>
      </c>
    </row>
    <row r="91" spans="4:14" ht="20.100000000000001" customHeight="1" x14ac:dyDescent="0.25">
      <c r="D91" s="1" t="str" cm="1">
        <f t="array" ref="D91">Common_InputFunctions.Utility_DisplayArrayInTable(SourceData_Feedlot.SourceData_Feedlot_MCF_Data(), Table_SourceData_Feedlot_MCF[[#Headers],[Treatment stage T]], 0)</f>
        <v>Secondary</v>
      </c>
      <c r="E91" s="40" t="str" cm="1">
        <f t="array" ref="E91">Common_InputFunctions.Utility_DisplayArrayInTable(SourceData_Feedlot.SourceData_Feedlot_MCF_Data(), Table_SourceData_Feedlot_MCF[[#Headers],[Treatment stage T]], 0)</f>
        <v>Composting (Passive Windrow)</v>
      </c>
      <c r="F91" s="40" cm="1">
        <f t="array" ref="F91">Common_InputFunctions.Utility_DisplayArrayInTable(SourceData_Feedlot.SourceData_Feedlot_MCF_Data(), Table_SourceData_Feedlot_MCF[[#Headers],[Treatment stage T]], 0)</f>
        <v>0.01</v>
      </c>
      <c r="G91" s="40" cm="1">
        <f t="array" ref="G91">Common_InputFunctions.Utility_DisplayArrayInTable(SourceData_Feedlot.SourceData_Feedlot_MCF_Data(), Table_SourceData_Feedlot_MCF[[#Headers],[Treatment stage T]], 0)</f>
        <v>0.01</v>
      </c>
      <c r="H91" s="40" cm="1">
        <f t="array" ref="H91">Common_InputFunctions.Utility_DisplayArrayInTable(SourceData_Feedlot.SourceData_Feedlot_MCF_Data(), Table_SourceData_Feedlot_MCF[[#Headers],[Treatment stage T]], 0)</f>
        <v>0.01</v>
      </c>
      <c r="I91" s="40" t="str" cm="1">
        <f t="array" ref="I91">Common_InputFunctions.Utility_DisplayArrayInTable(SourceData_Feedlot.SourceData_Feedlot_MCF_Data(), Table_SourceData_Feedlot_MCF[[#Headers],[Treatment stage T]], 0)</f>
        <v>No data</v>
      </c>
      <c r="J91" s="40" cm="1">
        <f t="array" ref="J91">Common_InputFunctions.Utility_DisplayArrayInTable(SourceData_Feedlot.SourceData_Feedlot_MCF_Data(), Table_SourceData_Feedlot_MCF[[#Headers],[Treatment stage T]], 0)</f>
        <v>0.01</v>
      </c>
      <c r="K91" s="40" cm="1">
        <f t="array" ref="K91">Common_InputFunctions.Utility_DisplayArrayInTable(SourceData_Feedlot.SourceData_Feedlot_MCF_Data(), Table_SourceData_Feedlot_MCF[[#Headers],[Treatment stage T]], 0)</f>
        <v>0.01</v>
      </c>
      <c r="L91" s="40" cm="1">
        <f t="array" ref="L91">Common_InputFunctions.Utility_DisplayArrayInTable(SourceData_Feedlot.SourceData_Feedlot_MCF_Data(), Table_SourceData_Feedlot_MCF[[#Headers],[Treatment stage T]], 0)</f>
        <v>0.01</v>
      </c>
      <c r="M91" s="40" t="str" cm="1">
        <f t="array" ref="M91">Common_InputFunctions.Utility_DisplayArrayInTable(SourceData_Feedlot.SourceData_Feedlot_MCF_Data(), Table_SourceData_Feedlot_MCF[[#Headers],[Treatment stage T]], 0)</f>
        <v>No data</v>
      </c>
      <c r="N91" s="40" t="str" cm="1">
        <f t="array" ref="N91">Common_InputFunctions.Utility_DisplayArrayInTable(SourceData_Feedlot.SourceData_Feedlot_MCF_Data(), Table_SourceData_Feedlot_MCF[[#Headers],[Treatment stage T]], 0)</f>
        <v>Composting (passive windrow)</v>
      </c>
    </row>
    <row r="92" spans="4:14" ht="20.100000000000001" customHeight="1" x14ac:dyDescent="0.25">
      <c r="D92" s="1" t="str" cm="1">
        <f t="array" ref="D92">Common_InputFunctions.Utility_DisplayArrayInTable(SourceData_Feedlot.SourceData_Feedlot_MCF_Data(), Table_SourceData_Feedlot_MCF[[#Headers],[Treatment stage T]], 0)</f>
        <v>Secondary</v>
      </c>
      <c r="E92" s="40" t="str" cm="1">
        <f t="array" ref="E92">Common_InputFunctions.Utility_DisplayArrayInTable(SourceData_Feedlot.SourceData_Feedlot_MCF_Data(), Table_SourceData_Feedlot_MCF[[#Headers],[Treatment stage T]], 0)</f>
        <v>Direct Application to soil</v>
      </c>
      <c r="F92" s="40" cm="1">
        <f t="array" ref="F92">Common_InputFunctions.Utility_DisplayArrayInTable(SourceData_Feedlot.SourceData_Feedlot_MCF_Data(), Table_SourceData_Feedlot_MCF[[#Headers],[Treatment stage T]], 0)</f>
        <v>0</v>
      </c>
      <c r="G92" s="40" cm="1">
        <f t="array" ref="G92">Common_InputFunctions.Utility_DisplayArrayInTable(SourceData_Feedlot.SourceData_Feedlot_MCF_Data(), Table_SourceData_Feedlot_MCF[[#Headers],[Treatment stage T]], 0)</f>
        <v>0</v>
      </c>
      <c r="H92" s="40" cm="1">
        <f t="array" ref="H92">Common_InputFunctions.Utility_DisplayArrayInTable(SourceData_Feedlot.SourceData_Feedlot_MCF_Data(), Table_SourceData_Feedlot_MCF[[#Headers],[Treatment stage T]], 0)</f>
        <v>0</v>
      </c>
      <c r="I92" s="40" t="str" cm="1">
        <f t="array" ref="I92">Common_InputFunctions.Utility_DisplayArrayInTable(SourceData_Feedlot.SourceData_Feedlot_MCF_Data(), Table_SourceData_Feedlot_MCF[[#Headers],[Treatment stage T]], 0)</f>
        <v>No data</v>
      </c>
      <c r="J92" s="40" cm="1">
        <f t="array" ref="J92">Common_InputFunctions.Utility_DisplayArrayInTable(SourceData_Feedlot.SourceData_Feedlot_MCF_Data(), Table_SourceData_Feedlot_MCF[[#Headers],[Treatment stage T]], 0)</f>
        <v>0</v>
      </c>
      <c r="K92" s="40" cm="1">
        <f t="array" ref="K92">Common_InputFunctions.Utility_DisplayArrayInTable(SourceData_Feedlot.SourceData_Feedlot_MCF_Data(), Table_SourceData_Feedlot_MCF[[#Headers],[Treatment stage T]], 0)</f>
        <v>0</v>
      </c>
      <c r="L92" s="40" cm="1">
        <f t="array" ref="L92">Common_InputFunctions.Utility_DisplayArrayInTable(SourceData_Feedlot.SourceData_Feedlot_MCF_Data(), Table_SourceData_Feedlot_MCF[[#Headers],[Treatment stage T]], 0)</f>
        <v>0</v>
      </c>
      <c r="M92" s="40" t="str" cm="1">
        <f t="array" ref="M92">Common_InputFunctions.Utility_DisplayArrayInTable(SourceData_Feedlot.SourceData_Feedlot_MCF_Data(), Table_SourceData_Feedlot_MCF[[#Headers],[Treatment stage T]], 0)</f>
        <v>No data</v>
      </c>
      <c r="N92" s="40" t="str" cm="1">
        <f t="array" ref="N92">Common_InputFunctions.Utility_DisplayArrayInTable(SourceData_Feedlot.SourceData_Feedlot_MCF_Data(), Table_SourceData_Feedlot_MCF[[#Headers],[Treatment stage T]], 0)</f>
        <v>Direct application</v>
      </c>
    </row>
    <row r="93" spans="4:14" ht="20.100000000000001" customHeight="1" x14ac:dyDescent="0.25">
      <c r="D93" s="1" t="str" cm="1">
        <f t="array" ref="D93">Common_InputFunctions.Utility_DisplayArrayInTable(SourceData_Feedlot.SourceData_Feedlot_MCF_Data(), Table_SourceData_Feedlot_MCF[[#Headers],[Treatment stage T]], 0)</f>
        <v>Tertiary</v>
      </c>
      <c r="E93" s="40" t="str" cm="1">
        <f t="array" ref="E93">Common_InputFunctions.Utility_DisplayArrayInTable(SourceData_Feedlot.SourceData_Feedlot_MCF_Data(), Table_SourceData_Feedlot_MCF[[#Headers],[Treatment stage T]], 0)</f>
        <v>Uncovered anaerobic lagoon (Effluent pond)</v>
      </c>
      <c r="F93" s="40" cm="1">
        <f t="array" ref="F93">Common_InputFunctions.Utility_DisplayArrayInTable(SourceData_Feedlot.SourceData_Feedlot_MCF_Data(), Table_SourceData_Feedlot_MCF[[#Headers],[Treatment stage T]], 0)</f>
        <v>0.75</v>
      </c>
      <c r="G93" s="40" cm="1">
        <f t="array" ref="G93">Common_InputFunctions.Utility_DisplayArrayInTable(SourceData_Feedlot.SourceData_Feedlot_MCF_Data(), Table_SourceData_Feedlot_MCF[[#Headers],[Treatment stage T]], 0)</f>
        <v>0.75</v>
      </c>
      <c r="H93" s="40" cm="1">
        <f t="array" ref="H93">Common_InputFunctions.Utility_DisplayArrayInTable(SourceData_Feedlot.SourceData_Feedlot_MCF_Data(), Table_SourceData_Feedlot_MCF[[#Headers],[Treatment stage T]], 0)</f>
        <v>0.77</v>
      </c>
      <c r="I93" s="40" t="str" cm="1">
        <f t="array" ref="I93">Common_InputFunctions.Utility_DisplayArrayInTable(SourceData_Feedlot.SourceData_Feedlot_MCF_Data(), Table_SourceData_Feedlot_MCF[[#Headers],[Treatment stage T]], 0)</f>
        <v>No data</v>
      </c>
      <c r="J93" s="40" cm="1">
        <f t="array" ref="J93">Common_InputFunctions.Utility_DisplayArrayInTable(SourceData_Feedlot.SourceData_Feedlot_MCF_Data(), Table_SourceData_Feedlot_MCF[[#Headers],[Treatment stage T]], 0)</f>
        <v>0.75</v>
      </c>
      <c r="K93" s="40" cm="1">
        <f t="array" ref="K93">Common_InputFunctions.Utility_DisplayArrayInTable(SourceData_Feedlot.SourceData_Feedlot_MCF_Data(), Table_SourceData_Feedlot_MCF[[#Headers],[Treatment stage T]], 0)</f>
        <v>0.75</v>
      </c>
      <c r="L93" s="40" cm="1">
        <f t="array" ref="L93">Common_InputFunctions.Utility_DisplayArrayInTable(SourceData_Feedlot.SourceData_Feedlot_MCF_Data(), Table_SourceData_Feedlot_MCF[[#Headers],[Treatment stage T]], 0)</f>
        <v>0.77</v>
      </c>
      <c r="M93" s="40" t="str" cm="1">
        <f t="array" ref="M93">Common_InputFunctions.Utility_DisplayArrayInTable(SourceData_Feedlot.SourceData_Feedlot_MCF_Data(), Table_SourceData_Feedlot_MCF[[#Headers],[Treatment stage T]], 0)</f>
        <v>No data</v>
      </c>
      <c r="N93" s="40" t="str" cm="1">
        <f t="array" ref="N93">Common_InputFunctions.Utility_DisplayArrayInTable(SourceData_Feedlot.SourceData_Feedlot_MCF_Data(), Table_SourceData_Feedlot_MCF[[#Headers],[Treatment stage T]], 0)</f>
        <v>Anaerobic lagoon</v>
      </c>
    </row>
    <row r="94" spans="4:14" ht="20.100000000000001" customHeight="1" x14ac:dyDescent="0.25">
      <c r="M94" s="24"/>
    </row>
    <row r="95" spans="4:14" ht="20.100000000000001" customHeight="1" x14ac:dyDescent="0.25">
      <c r="M95" s="24"/>
    </row>
    <row r="96" spans="4:14" ht="20.100000000000001" customHeight="1" x14ac:dyDescent="0.25">
      <c r="D96" s="6" t="str" cm="1">
        <f t="array" ref="D96">SourceData_Feedlot.SourceData_Feedlot_NitrousOxideEFs_Title()</f>
        <v>Feedlot - Nitrous oxide EFs</v>
      </c>
      <c r="M96" s="24"/>
    </row>
    <row r="97" spans="4:14" ht="20.100000000000001" customHeight="1" x14ac:dyDescent="0.25">
      <c r="D97" s="5" t="str" cm="1">
        <f t="array" ref="D97">SourceData_Feedlot.SourceData_Feedlot_NitrousOxideEFs_Source()</f>
        <v>VEERG 2026: Table A.1.1.5: Beef feedlot cattle - Nitrous oxide EFs (EFmT)</v>
      </c>
      <c r="M97" s="24"/>
    </row>
    <row r="98" spans="4:14" ht="20.100000000000001" customHeight="1" x14ac:dyDescent="0.25">
      <c r="D98" s="59" t="str" cm="1">
        <f t="array" ref="D98:D99">SourceData_Feedlot.SourceData_Feedlot_NitrousOxideEFs_Variation()</f>
        <v>VARIATION ON SOURCE:</v>
      </c>
      <c r="M98" s="24"/>
    </row>
    <row r="99" spans="4:14" ht="20.100000000000001" customHeight="1" x14ac:dyDescent="0.25">
      <c r="D99" s="59" t="str">
        <v>Added 'NIR definition' column with MMS names that match NIR definitions.</v>
      </c>
      <c r="M99" s="24"/>
    </row>
    <row r="100" spans="4:14" ht="20.100000000000001" customHeight="1" x14ac:dyDescent="0.25">
      <c r="D100" s="40" t="s">
        <v>116</v>
      </c>
      <c r="E100" s="40" t="s">
        <v>111</v>
      </c>
      <c r="F100" s="40" t="s">
        <v>162</v>
      </c>
      <c r="G100" s="40" t="s">
        <v>102</v>
      </c>
      <c r="M100" s="1"/>
      <c r="N100" s="24"/>
    </row>
    <row r="101" spans="4:14" ht="20.100000000000001" customHeight="1" x14ac:dyDescent="0.25">
      <c r="D101" s="40" t="str" cm="1">
        <f t="array" ref="D101">Common_InputFunctions.Utility_DisplayArrayInTable(SourceData_Feedlot.SourceData_Feedlot_NitrousOxideEFs_Data(), Table_SourceData_Feedlot_NO2EFs[[#Headers],[Treatment stage T]], 0)</f>
        <v>Primary</v>
      </c>
      <c r="E101" s="40" t="str" cm="1">
        <f t="array" ref="E101">Common_InputFunctions.Utility_DisplayArrayInTable(SourceData_Feedlot.SourceData_Feedlot_NitrousOxideEFs_Data(), Table_SourceData_Feedlot_NO2EFs[[#Headers],[Treatment stage T]], 0)</f>
        <v>Dry lot (Feedpad)</v>
      </c>
      <c r="F101" s="40" cm="1">
        <f t="array" ref="F101">Common_InputFunctions.Utility_DisplayArrayInTable(SourceData_Feedlot.SourceData_Feedlot_NitrousOxideEFs_Data(), Table_SourceData_Feedlot_NO2EFs[[#Headers],[Treatment stage T]], 0)</f>
        <v>5.4000000000000003E-3</v>
      </c>
      <c r="G101" s="40" t="str" cm="1">
        <f t="array" ref="G101">Common_InputFunctions.Utility_DisplayArrayInTable(SourceData_Feedlot.SourceData_Feedlot_NitrousOxideEFs_Data(), Table_SourceData_Feedlot_NO2EFs[[#Headers],[Treatment stage T]], 0)</f>
        <v>Drylot (feed pad)</v>
      </c>
      <c r="M101" s="1"/>
      <c r="N101" s="24"/>
    </row>
    <row r="102" spans="4:14" ht="20.100000000000001" customHeight="1" x14ac:dyDescent="0.25">
      <c r="D102" s="1" t="str" cm="1">
        <f t="array" ref="D102">Common_InputFunctions.Utility_DisplayArrayInTable(SourceData_Feedlot.SourceData_Feedlot_NitrousOxideEFs_Data(), Table_SourceData_Feedlot_NO2EFs[[#Headers],[Treatment stage T]], 0)</f>
        <v>Secondary</v>
      </c>
      <c r="E102" s="40" t="str" cm="1">
        <f t="array" ref="E102">Common_InputFunctions.Utility_DisplayArrayInTable(SourceData_Feedlot.SourceData_Feedlot_NitrousOxideEFs_Data(), Table_SourceData_Feedlot_NO2EFs[[#Headers],[Treatment stage T]], 0)</f>
        <v>Solid Storage (Stockpile)</v>
      </c>
      <c r="F102" s="40" cm="1">
        <f t="array" ref="F102">Common_InputFunctions.Utility_DisplayArrayInTable(SourceData_Feedlot.SourceData_Feedlot_NitrousOxideEFs_Data(), Table_SourceData_Feedlot_NO2EFs[[#Headers],[Treatment stage T]], 0)</f>
        <v>5.0000000000000001E-3</v>
      </c>
      <c r="G102" s="40" t="str" cm="1">
        <f t="array" ref="G102">Common_InputFunctions.Utility_DisplayArrayInTable(SourceData_Feedlot.SourceData_Feedlot_NitrousOxideEFs_Data(), Table_SourceData_Feedlot_NO2EFs[[#Headers],[Treatment stage T]], 0)</f>
        <v>Solid storage</v>
      </c>
      <c r="M102" s="1"/>
      <c r="N102" s="24"/>
    </row>
    <row r="103" spans="4:14" ht="20.100000000000001" customHeight="1" x14ac:dyDescent="0.25">
      <c r="D103" s="1" t="str" cm="1">
        <f t="array" ref="D103">Common_InputFunctions.Utility_DisplayArrayInTable(SourceData_Feedlot.SourceData_Feedlot_NitrousOxideEFs_Data(), Table_SourceData_Feedlot_NO2EFs[[#Headers],[Treatment stage T]], 0)</f>
        <v>Secondary</v>
      </c>
      <c r="E103" s="40" t="str" cm="1">
        <f t="array" ref="E103">Common_InputFunctions.Utility_DisplayArrayInTable(SourceData_Feedlot.SourceData_Feedlot_NitrousOxideEFs_Data(), Table_SourceData_Feedlot_NO2EFs[[#Headers],[Treatment stage T]], 0)</f>
        <v>Composting (Passive Windrow)</v>
      </c>
      <c r="F103" s="40" cm="1">
        <f t="array" ref="F103">Common_InputFunctions.Utility_DisplayArrayInTable(SourceData_Feedlot.SourceData_Feedlot_NitrousOxideEFs_Data(), Table_SourceData_Feedlot_NO2EFs[[#Headers],[Treatment stage T]], 0)</f>
        <v>0.01</v>
      </c>
      <c r="G103" s="40" t="str" cm="1">
        <f t="array" ref="G103">Common_InputFunctions.Utility_DisplayArrayInTable(SourceData_Feedlot.SourceData_Feedlot_NitrousOxideEFs_Data(), Table_SourceData_Feedlot_NO2EFs[[#Headers],[Treatment stage T]], 0)</f>
        <v>Composting (passive windrow)</v>
      </c>
      <c r="M103" s="24"/>
    </row>
    <row r="104" spans="4:14" ht="20.100000000000001" customHeight="1" x14ac:dyDescent="0.25">
      <c r="D104" s="1" t="str" cm="1">
        <f t="array" ref="D104">Common_InputFunctions.Utility_DisplayArrayInTable(SourceData_Feedlot.SourceData_Feedlot_NitrousOxideEFs_Data(), Table_SourceData_Feedlot_NO2EFs[[#Headers],[Treatment stage T]], 0)</f>
        <v>Secondary</v>
      </c>
      <c r="E104" s="40" t="str" cm="1">
        <f t="array" ref="E104">Common_InputFunctions.Utility_DisplayArrayInTable(SourceData_Feedlot.SourceData_Feedlot_NitrousOxideEFs_Data(), Table_SourceData_Feedlot_NO2EFs[[#Headers],[Treatment stage T]], 0)</f>
        <v>Direct Application to soil</v>
      </c>
      <c r="F104" s="40" cm="1">
        <f t="array" ref="F104">Common_InputFunctions.Utility_DisplayArrayInTable(SourceData_Feedlot.SourceData_Feedlot_NitrousOxideEFs_Data(), Table_SourceData_Feedlot_NO2EFs[[#Headers],[Treatment stage T]], 0)</f>
        <v>0</v>
      </c>
      <c r="G104" s="40" t="str" cm="1">
        <f t="array" ref="G104">Common_InputFunctions.Utility_DisplayArrayInTable(SourceData_Feedlot.SourceData_Feedlot_NitrousOxideEFs_Data(), Table_SourceData_Feedlot_NO2EFs[[#Headers],[Treatment stage T]], 0)</f>
        <v>Direct application</v>
      </c>
      <c r="M104" s="24"/>
    </row>
    <row r="105" spans="4:14" ht="20.100000000000001" customHeight="1" x14ac:dyDescent="0.25">
      <c r="D105" s="1" t="str" cm="1">
        <f t="array" ref="D105">Common_InputFunctions.Utility_DisplayArrayInTable(SourceData_Feedlot.SourceData_Feedlot_NitrousOxideEFs_Data(), Table_SourceData_Feedlot_NO2EFs[[#Headers],[Treatment stage T]], 0)</f>
        <v>Tertiary</v>
      </c>
      <c r="E105" s="40" t="str" cm="1">
        <f t="array" ref="E105">Common_InputFunctions.Utility_DisplayArrayInTable(SourceData_Feedlot.SourceData_Feedlot_NitrousOxideEFs_Data(), Table_SourceData_Feedlot_NO2EFs[[#Headers],[Treatment stage T]], 0)</f>
        <v>Uncovered anaerobic lagoon (Effluent Pond)</v>
      </c>
      <c r="F105" s="40" cm="1">
        <f t="array" ref="F105">Common_InputFunctions.Utility_DisplayArrayInTable(SourceData_Feedlot.SourceData_Feedlot_NitrousOxideEFs_Data(), Table_SourceData_Feedlot_NO2EFs[[#Headers],[Treatment stage T]], 0)</f>
        <v>0</v>
      </c>
      <c r="G105" s="40" t="str" cm="1">
        <f t="array" ref="G105">Common_InputFunctions.Utility_DisplayArrayInTable(SourceData_Feedlot.SourceData_Feedlot_NitrousOxideEFs_Data(), Table_SourceData_Feedlot_NO2EFs[[#Headers],[Treatment stage T]], 0)</f>
        <v>Anaerobic lagoon</v>
      </c>
      <c r="M105" s="24"/>
    </row>
    <row r="106" spans="4:14" ht="20.100000000000001" customHeight="1" x14ac:dyDescent="0.25">
      <c r="M106" s="24"/>
    </row>
    <row r="107" spans="4:14" ht="20.100000000000001" customHeight="1" x14ac:dyDescent="0.25">
      <c r="M107" s="24"/>
    </row>
    <row r="108" spans="4:14" ht="20.100000000000001" customHeight="1" x14ac:dyDescent="0.25">
      <c r="D108" s="6" t="str" cm="1">
        <f t="array" ref="D108">SourceData_Feedlot.SourceData_Feedlot_FracNVolatilised_Title()</f>
        <v>Feedlot - Fraction of N volatilised by MMS (FracGASMmT)</v>
      </c>
      <c r="M108" s="24"/>
    </row>
    <row r="109" spans="4:14" ht="20.100000000000001" customHeight="1" x14ac:dyDescent="0.25">
      <c r="D109" s="5" t="str" cm="1">
        <f t="array" ref="D109">SourceData_Feedlot.SourceData_Feedlot_FracNVolatilised_Source()</f>
        <v>VEERG 2026: Table A.1.1.6: Beef feedlot cattle - Fraction of N volatilised by MMS (FracGASMmT)</v>
      </c>
      <c r="M109" s="24"/>
    </row>
    <row r="110" spans="4:14" ht="20.100000000000001" customHeight="1" x14ac:dyDescent="0.25">
      <c r="D110" s="59" t="str" cm="1">
        <f t="array" ref="D110:D111">SourceData_Feedlot.SourceData_Feedlot_FracNVolatilised_Variation()</f>
        <v>VARIATION ON SOURCE:</v>
      </c>
      <c r="M110" s="24"/>
    </row>
    <row r="111" spans="4:14" ht="20.100000000000001" customHeight="1" x14ac:dyDescent="0.25">
      <c r="D111" s="59" t="str">
        <v>Added 'NIR definition' column with MMS names that match NIR definitions.</v>
      </c>
      <c r="M111" s="24"/>
    </row>
    <row r="112" spans="4:14" ht="20.100000000000001" customHeight="1" x14ac:dyDescent="0.25">
      <c r="D112" s="118" t="s">
        <v>116</v>
      </c>
      <c r="E112" s="118" t="s">
        <v>111</v>
      </c>
      <c r="F112" s="118" t="s">
        <v>163</v>
      </c>
      <c r="G112" s="118" t="s">
        <v>102</v>
      </c>
      <c r="M112" s="24"/>
    </row>
    <row r="113" spans="4:22" ht="20.100000000000001" customHeight="1" x14ac:dyDescent="0.25">
      <c r="D113" s="1" t="str" cm="1">
        <f t="array" ref="D113">Common_InputFunctions.Utility_DisplayArrayInTable(SourceData_Feedlot.SourceData_Feedlot_FracNVolatilised_Data(), Table_SourceData_Feedlot_FracGASMmT[[#Headers],[Treatment stage T]], 0)</f>
        <v>Primary</v>
      </c>
      <c r="E113" s="1" t="str" cm="1">
        <f t="array" ref="E113">Common_InputFunctions.Utility_DisplayArrayInTable(SourceData_Feedlot.SourceData_Feedlot_FracNVolatilised_Data(), Table_SourceData_Feedlot_FracGASMmT[[#Headers],[Treatment stage T]], 0)</f>
        <v>Dry lot (Feedpad)</v>
      </c>
      <c r="F113" s="1" cm="1">
        <f t="array" ref="F113">Common_InputFunctions.Utility_DisplayArrayInTable(SourceData_Feedlot.SourceData_Feedlot_FracNVolatilised_Data(), Table_SourceData_Feedlot_FracGASMmT[[#Headers],[Treatment stage T]], 0)</f>
        <v>0.6</v>
      </c>
      <c r="G113" s="1" t="str" cm="1">
        <f t="array" ref="G113">Common_InputFunctions.Utility_DisplayArrayInTable(SourceData_Feedlot.SourceData_Feedlot_FracNVolatilised_Data(), Table_SourceData_Feedlot_FracGASMmT[[#Headers],[Treatment stage T]], 0)</f>
        <v>Drylot (feed pad)</v>
      </c>
      <c r="M113" s="24"/>
    </row>
    <row r="114" spans="4:22" ht="20.100000000000001" customHeight="1" x14ac:dyDescent="0.25">
      <c r="D114" s="1" t="str" cm="1">
        <f t="array" ref="D114">Common_InputFunctions.Utility_DisplayArrayInTable(SourceData_Feedlot.SourceData_Feedlot_FracNVolatilised_Data(), Table_SourceData_Feedlot_FracGASMmT[[#Headers],[Treatment stage T]], 0)</f>
        <v>Secondary</v>
      </c>
      <c r="E114" s="1" t="str" cm="1">
        <f t="array" ref="E114">Common_InputFunctions.Utility_DisplayArrayInTable(SourceData_Feedlot.SourceData_Feedlot_FracNVolatilised_Data(), Table_SourceData_Feedlot_FracGASMmT[[#Headers],[Treatment stage T]], 0)</f>
        <v>Solid Storage (Stockpile)</v>
      </c>
      <c r="F114" s="1" cm="1">
        <f t="array" ref="F114">Common_InputFunctions.Utility_DisplayArrayInTable(SourceData_Feedlot.SourceData_Feedlot_FracNVolatilised_Data(), Table_SourceData_Feedlot_FracGASMmT[[#Headers],[Treatment stage T]], 0)</f>
        <v>0.25</v>
      </c>
      <c r="G114" s="1" t="str" cm="1">
        <f t="array" ref="G114">Common_InputFunctions.Utility_DisplayArrayInTable(SourceData_Feedlot.SourceData_Feedlot_FracNVolatilised_Data(), Table_SourceData_Feedlot_FracGASMmT[[#Headers],[Treatment stage T]], 0)</f>
        <v>Solid storage</v>
      </c>
      <c r="M114" s="24"/>
    </row>
    <row r="115" spans="4:22" ht="20.100000000000001" customHeight="1" x14ac:dyDescent="0.25">
      <c r="D115" s="1" t="str" cm="1">
        <f t="array" ref="D115">Common_InputFunctions.Utility_DisplayArrayInTable(SourceData_Feedlot.SourceData_Feedlot_FracNVolatilised_Data(), Table_SourceData_Feedlot_FracGASMmT[[#Headers],[Treatment stage T]], 0)</f>
        <v>Secondary</v>
      </c>
      <c r="E115" s="1" t="str" cm="1">
        <f t="array" ref="E115">Common_InputFunctions.Utility_DisplayArrayInTable(SourceData_Feedlot.SourceData_Feedlot_FracNVolatilised_Data(), Table_SourceData_Feedlot_FracGASMmT[[#Headers],[Treatment stage T]], 0)</f>
        <v>Composting (Passive Windrow)</v>
      </c>
      <c r="F115" s="1" cm="1">
        <f t="array" ref="F115">Common_InputFunctions.Utility_DisplayArrayInTable(SourceData_Feedlot.SourceData_Feedlot_FracNVolatilised_Data(), Table_SourceData_Feedlot_FracGASMmT[[#Headers],[Treatment stage T]], 0)</f>
        <v>0.4</v>
      </c>
      <c r="G115" s="1" t="str" cm="1">
        <f t="array" ref="G115">Common_InputFunctions.Utility_DisplayArrayInTable(SourceData_Feedlot.SourceData_Feedlot_FracNVolatilised_Data(), Table_SourceData_Feedlot_FracGASMmT[[#Headers],[Treatment stage T]], 0)</f>
        <v>Composting (passive windrow)</v>
      </c>
      <c r="M115" s="24"/>
      <c r="V115" s="1"/>
    </row>
    <row r="116" spans="4:22" ht="20.100000000000001" customHeight="1" x14ac:dyDescent="0.25">
      <c r="D116" s="1" t="str" cm="1">
        <f t="array" ref="D116">Common_InputFunctions.Utility_DisplayArrayInTable(SourceData_Feedlot.SourceData_Feedlot_FracNVolatilised_Data(), Table_SourceData_Feedlot_FracGASMmT[[#Headers],[Treatment stage T]], 0)</f>
        <v>Secondary</v>
      </c>
      <c r="E116" s="1" t="str" cm="1">
        <f t="array" ref="E116">Common_InputFunctions.Utility_DisplayArrayInTable(SourceData_Feedlot.SourceData_Feedlot_FracNVolatilised_Data(), Table_SourceData_Feedlot_FracGASMmT[[#Headers],[Treatment stage T]], 0)</f>
        <v>Direct Application to soil</v>
      </c>
      <c r="F116" s="1" cm="1">
        <f t="array" ref="F116">Common_InputFunctions.Utility_DisplayArrayInTable(SourceData_Feedlot.SourceData_Feedlot_FracNVolatilised_Data(), Table_SourceData_Feedlot_FracGASMmT[[#Headers],[Treatment stage T]], 0)</f>
        <v>0</v>
      </c>
      <c r="G116" s="1" t="str" cm="1">
        <f t="array" ref="G116">Common_InputFunctions.Utility_DisplayArrayInTable(SourceData_Feedlot.SourceData_Feedlot_FracNVolatilised_Data(), Table_SourceData_Feedlot_FracGASMmT[[#Headers],[Treatment stage T]], 0)</f>
        <v>Direct application</v>
      </c>
      <c r="M116" s="24"/>
      <c r="V116" s="1"/>
    </row>
    <row r="117" spans="4:22" ht="20.100000000000001" customHeight="1" x14ac:dyDescent="0.25">
      <c r="D117" s="1" t="str" cm="1">
        <f t="array" ref="D117">Common_InputFunctions.Utility_DisplayArrayInTable(SourceData_Feedlot.SourceData_Feedlot_FracNVolatilised_Data(), Table_SourceData_Feedlot_FracGASMmT[[#Headers],[Treatment stage T]], 0)</f>
        <v>Tertiary</v>
      </c>
      <c r="E117" s="1" t="str" cm="1">
        <f t="array" ref="E117">Common_InputFunctions.Utility_DisplayArrayInTable(SourceData_Feedlot.SourceData_Feedlot_FracNVolatilised_Data(), Table_SourceData_Feedlot_FracGASMmT[[#Headers],[Treatment stage T]], 0)</f>
        <v>Uncovered anaerobic lagoon (Effluent pond)</v>
      </c>
      <c r="F117" s="1" cm="1">
        <f t="array" ref="F117">Common_InputFunctions.Utility_DisplayArrayInTable(SourceData_Feedlot.SourceData_Feedlot_FracNVolatilised_Data(), Table_SourceData_Feedlot_FracGASMmT[[#Headers],[Treatment stage T]], 0)</f>
        <v>0.35</v>
      </c>
      <c r="G117" s="1" t="str" cm="1">
        <f t="array" ref="G117">Common_InputFunctions.Utility_DisplayArrayInTable(SourceData_Feedlot.SourceData_Feedlot_FracNVolatilised_Data(), Table_SourceData_Feedlot_FracGASMmT[[#Headers],[Treatment stage T]], 0)</f>
        <v>Anaerobic lagoon</v>
      </c>
      <c r="M117" s="24"/>
      <c r="V117" s="1"/>
    </row>
    <row r="118" spans="4:22" ht="20.100000000000001" customHeight="1" x14ac:dyDescent="0.25">
      <c r="M118" s="24"/>
    </row>
    <row r="119" spans="4:22" ht="20.100000000000001" customHeight="1" x14ac:dyDescent="0.25">
      <c r="M119" s="24"/>
    </row>
    <row r="120" spans="4:22" ht="20.100000000000001" customHeight="1" x14ac:dyDescent="0.25">
      <c r="M120" s="24"/>
    </row>
    <row r="121" spans="4:22" ht="20.100000000000001" customHeight="1" x14ac:dyDescent="0.25">
      <c r="M121" s="24"/>
    </row>
    <row r="122" spans="4:22" ht="20.100000000000001" customHeight="1" x14ac:dyDescent="0.25">
      <c r="M122" s="24"/>
    </row>
    <row r="123" spans="4:22" ht="20.100000000000001" customHeight="1" x14ac:dyDescent="0.25">
      <c r="M123" s="24"/>
    </row>
    <row r="124" spans="4:22" ht="20.100000000000001" customHeight="1" x14ac:dyDescent="0.25">
      <c r="M124" s="24"/>
    </row>
    <row r="125" spans="4:22" ht="20.100000000000001" customHeight="1" x14ac:dyDescent="0.25">
      <c r="M125" s="24"/>
    </row>
    <row r="126" spans="4:22" ht="20.100000000000001" customHeight="1" x14ac:dyDescent="0.25">
      <c r="M126" s="24"/>
    </row>
    <row r="127" spans="4:22" ht="20.100000000000001" customHeight="1" x14ac:dyDescent="0.25">
      <c r="M127" s="24"/>
    </row>
    <row r="128" spans="4:22" ht="20.100000000000001" customHeight="1" x14ac:dyDescent="0.25">
      <c r="M128" s="24"/>
    </row>
    <row r="129" spans="13:13" ht="20.100000000000001" customHeight="1" x14ac:dyDescent="0.25">
      <c r="M129" s="24"/>
    </row>
    <row r="130" spans="13:13" ht="20.100000000000001" customHeight="1" x14ac:dyDescent="0.25">
      <c r="M130" s="24"/>
    </row>
    <row r="131" spans="13:13" ht="20.100000000000001" customHeight="1" x14ac:dyDescent="0.25">
      <c r="M131" s="24"/>
    </row>
    <row r="132" spans="13:13" ht="20.100000000000001" customHeight="1" x14ac:dyDescent="0.25">
      <c r="M132" s="24"/>
    </row>
    <row r="133" spans="13:13" ht="20.100000000000001" customHeight="1" x14ac:dyDescent="0.25">
      <c r="M133" s="24"/>
    </row>
    <row r="134" spans="13:13" ht="20.100000000000001" customHeight="1" x14ac:dyDescent="0.25">
      <c r="M134" s="24"/>
    </row>
    <row r="135" spans="13:13" ht="20.100000000000001" customHeight="1" x14ac:dyDescent="0.25">
      <c r="M135" s="24"/>
    </row>
    <row r="136" spans="13:13" ht="20.100000000000001" customHeight="1" x14ac:dyDescent="0.25">
      <c r="M136" s="24"/>
    </row>
    <row r="137" spans="13:13" ht="20.100000000000001" customHeight="1" x14ac:dyDescent="0.25">
      <c r="M137" s="24"/>
    </row>
    <row r="138" spans="13:13" ht="20.100000000000001" customHeight="1" x14ac:dyDescent="0.25">
      <c r="M138" s="24"/>
    </row>
    <row r="139" spans="13:13" ht="20.100000000000001" customHeight="1" x14ac:dyDescent="0.25">
      <c r="M139" s="24"/>
    </row>
    <row r="140" spans="13:13" ht="20.100000000000001" customHeight="1" x14ac:dyDescent="0.25">
      <c r="M140" s="24"/>
    </row>
    <row r="141" spans="13:13" ht="20.100000000000001" customHeight="1" x14ac:dyDescent="0.25">
      <c r="M141" s="24"/>
    </row>
    <row r="142" spans="13:13" ht="20.100000000000001" customHeight="1" x14ac:dyDescent="0.25">
      <c r="M142" s="24"/>
    </row>
    <row r="143" spans="13:13" ht="20.100000000000001" customHeight="1" x14ac:dyDescent="0.25">
      <c r="M143" s="24"/>
    </row>
    <row r="144" spans="13:13" ht="20.100000000000001" customHeight="1" x14ac:dyDescent="0.25">
      <c r="M144" s="24"/>
    </row>
    <row r="145" spans="13:13" ht="20.100000000000001" customHeight="1" x14ac:dyDescent="0.25">
      <c r="M145" s="24"/>
    </row>
    <row r="146" spans="13:13" ht="20.100000000000001" customHeight="1" x14ac:dyDescent="0.25">
      <c r="M146" s="24"/>
    </row>
    <row r="147" spans="13:13" ht="20.100000000000001" customHeight="1" x14ac:dyDescent="0.25">
      <c r="M147" s="24"/>
    </row>
    <row r="148" spans="13:13" ht="20.100000000000001" customHeight="1" x14ac:dyDescent="0.25">
      <c r="M148" s="24"/>
    </row>
    <row r="149" spans="13:13" ht="20.100000000000001" customHeight="1" x14ac:dyDescent="0.25">
      <c r="M149" s="24"/>
    </row>
    <row r="150" spans="13:13" ht="20.100000000000001" customHeight="1" x14ac:dyDescent="0.25">
      <c r="M150" s="24"/>
    </row>
    <row r="151" spans="13:13" ht="20.100000000000001" customHeight="1" x14ac:dyDescent="0.25">
      <c r="M151" s="24"/>
    </row>
    <row r="152" spans="13:13" ht="20.100000000000001" customHeight="1" x14ac:dyDescent="0.25">
      <c r="M152" s="24"/>
    </row>
    <row r="153" spans="13:13" ht="20.100000000000001" customHeight="1" x14ac:dyDescent="0.25">
      <c r="M153" s="24"/>
    </row>
    <row r="154" spans="13:13" ht="20.100000000000001" customHeight="1" x14ac:dyDescent="0.25">
      <c r="M154" s="24"/>
    </row>
    <row r="155" spans="13:13" ht="20.100000000000001" customHeight="1" x14ac:dyDescent="0.25">
      <c r="M155" s="24"/>
    </row>
    <row r="156" spans="13:13" ht="20.100000000000001" customHeight="1" x14ac:dyDescent="0.25">
      <c r="M156" s="24"/>
    </row>
    <row r="157" spans="13:13" ht="20.100000000000001" customHeight="1" x14ac:dyDescent="0.25">
      <c r="M157" s="24"/>
    </row>
    <row r="158" spans="13:13" ht="20.100000000000001" customHeight="1" x14ac:dyDescent="0.25">
      <c r="M158" s="24"/>
    </row>
    <row r="159" spans="13:13" ht="20.100000000000001" customHeight="1" x14ac:dyDescent="0.25">
      <c r="M159" s="24"/>
    </row>
    <row r="160" spans="13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/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9" t="e" vm="1">
        <v>#VALUE!</v>
      </c>
      <c r="C1" s="8" t="s">
        <v>82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Production'!A1", "Production and outputs")</f>
        <v>Production and outputs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 t="str">
        <f>HYPERLINK("#'Input - Herd - Dairy'!A1", "Herd - Dairy")</f>
        <v>Herd - Dairy</v>
      </c>
      <c r="D9" s="39" t="s">
        <v>83</v>
      </c>
      <c r="E9" s="40" t="s">
        <v>23</v>
      </c>
      <c r="F9" s="40" t="s">
        <v>84</v>
      </c>
      <c r="G9" s="3"/>
    </row>
    <row r="10" spans="1:13" ht="20.100000000000001" customHeight="1" x14ac:dyDescent="0.25">
      <c r="A10" s="17" t="str">
        <f>HYPERLINK("#'Input - Feed - Dairy'!A1", "Purchased feed - Livestock")</f>
        <v>Purchased feed - Livestock</v>
      </c>
      <c r="D10" s="39" t="str" cm="1">
        <f t="array" ref="D10">Common_InputFunctions.Utility_DisplayArrayInTable(CommonLivestock_SourceData.SourceData_Livestock_Common_SymbolsMMS_Data(), Table_Data_MMSSymbols[[#Headers],[Symbol]], 0)</f>
        <v>1</v>
      </c>
      <c r="E10" s="39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9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HYPERLINK("#'Input - Herd - Feedlot'!A1", "Herd - Feedlot")</f>
        <v>Herd - Feedlot</v>
      </c>
      <c r="D11" s="39" t="str" cm="1">
        <f t="array" ref="D11">Common_InputFunctions.Utility_DisplayArrayInTable(CommonLivestock_SourceData.SourceData_Livestock_Common_SymbolsMMS_Data(), Table_Data_MMSSymbols[[#Headers],[Symbol]], 0)</f>
        <v>2</v>
      </c>
      <c r="E11" s="39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9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HYPERLINK("#'Input - Pasture'!A1", "Pasture")</f>
        <v>Pasture</v>
      </c>
      <c r="D12" s="40" t="str" cm="1">
        <f t="array" ref="D12">Common_InputFunctions.Utility_DisplayArrayInTable(CommonLivestock_SourceData.SourceData_Livestock_Common_SymbolsMMS_Data(), Table_Data_MMSSymbols[[#Headers],[Symbol]], 0)</f>
        <v>3</v>
      </c>
      <c r="E12" s="40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40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HYPERLINK("#'Input - Grains'!A1", "Crop - Grains")</f>
        <v>Crop - Grains</v>
      </c>
      <c r="D13" s="40" t="str" cm="1">
        <f t="array" ref="D13">Common_InputFunctions.Utility_DisplayArrayInTable(CommonLivestock_SourceData.SourceData_Livestock_Common_SymbolsMMS_Data(), Table_Data_MMSSymbols[[#Headers],[Symbol]], 0)</f>
        <v>3a</v>
      </c>
      <c r="E13" s="40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40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HYPERLINK("#'Input - Fert Lime Chem'!A1", "Fertiliser, Lime &amp; Chemicals")</f>
        <v>Fertiliser, Lime &amp; Chemicals</v>
      </c>
      <c r="D14" s="40" t="str" cm="1">
        <f t="array" ref="D14">Common_InputFunctions.Utility_DisplayArrayInTable(CommonLivestock_SourceData.SourceData_Livestock_Common_SymbolsMMS_Data(), Table_Data_MMSSymbols[[#Headers],[Symbol]], 0)</f>
        <v>3b</v>
      </c>
      <c r="E14" s="40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40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HYPERLINK("#'Input - Fuel &amp; Energy'!A1", "Electricity and fuel")</f>
        <v>Electricity and fuel</v>
      </c>
      <c r="D15" s="40" t="str" cm="1">
        <f t="array" ref="D15">Common_InputFunctions.Utility_DisplayArrayInTable(CommonLivestock_SourceData.SourceData_Livestock_Common_SymbolsMMS_Data(), Table_Data_MMSSymbols[[#Headers],[Symbol]], 0)</f>
        <v>4</v>
      </c>
      <c r="E15" s="40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40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71" t="s">
        <v>81</v>
      </c>
      <c r="D16" s="40" t="str" cm="1">
        <f t="array" ref="D16">Common_InputFunctions.Utility_DisplayArrayInTable(CommonLivestock_SourceData.SourceData_Livestock_Common_SymbolsMMS_Data(), Table_Data_MMSSymbols[[#Headers],[Symbol]], 0)</f>
        <v>5</v>
      </c>
      <c r="E16" s="40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40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71" t="s">
        <v>77</v>
      </c>
      <c r="D17" s="40" t="str" cm="1">
        <f t="array" ref="D17">Common_InputFunctions.Utility_DisplayArrayInTable(CommonLivestock_SourceData.SourceData_Livestock_Common_SymbolsMMS_Data(), Table_Data_MMSSymbols[[#Headers],[Symbol]], 0)</f>
        <v>6</v>
      </c>
      <c r="E17" s="40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40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HYPERLINK("#'Input - Other Farm Inputs'!A1", "Other farm inputs")</f>
        <v>Other farm inputs</v>
      </c>
      <c r="D18" s="40" t="str" cm="1">
        <f t="array" ref="D18">Common_InputFunctions.Utility_DisplayArrayInTable(CommonLivestock_SourceData.SourceData_Livestock_Common_SymbolsMMS_Data(), Table_Data_MMSSymbols[[#Headers],[Symbol]], 0)</f>
        <v>7</v>
      </c>
      <c r="E18" s="40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40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HYPERLINK("#'Input - Data quality'!A1", "Data quality")</f>
        <v>Data quality</v>
      </c>
      <c r="D19" s="40" t="str" cm="1">
        <f t="array" ref="D19">Common_InputFunctions.Utility_DisplayArrayInTable(CommonLivestock_SourceData.SourceData_Livestock_Common_SymbolsMMS_Data(), Table_Data_MMSSymbols[[#Headers],[Symbol]], 0)</f>
        <v>8</v>
      </c>
      <c r="E19" s="40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40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D20" s="40" t="str" cm="1">
        <f t="array" ref="D20">Common_InputFunctions.Utility_DisplayArrayInTable(CommonLivestock_SourceData.SourceData_Livestock_Common_SymbolsMMS_Data(), Table_Data_MMSSymbols[[#Headers],[Symbol]], 0)</f>
        <v>9</v>
      </c>
      <c r="E20" s="40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40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9" t="s">
        <v>79</v>
      </c>
      <c r="D21" s="40" t="str" cm="1">
        <f t="array" ref="D21">Common_InputFunctions.Utility_DisplayArrayInTable(CommonLivestock_SourceData.SourceData_Livestock_Common_SymbolsMMS_Data(), Table_Data_MMSSymbols[[#Headers],[Symbol]], 0)</f>
        <v>10</v>
      </c>
      <c r="E21" s="40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40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71" t="s">
        <v>1</v>
      </c>
      <c r="D22" s="40" t="str" cm="1">
        <f t="array" ref="D22">Common_InputFunctions.Utility_DisplayArrayInTable(CommonLivestock_SourceData.SourceData_Livestock_Common_SymbolsMMS_Data(), Table_Data_MMSSymbols[[#Headers],[Symbol]], 0)</f>
        <v>11</v>
      </c>
      <c r="E22" s="40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40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71" t="s">
        <v>78</v>
      </c>
      <c r="D23" s="40" t="str" cm="1">
        <f t="array" ref="D23">Common_InputFunctions.Utility_DisplayArrayInTable(CommonLivestock_SourceData.SourceData_Livestock_Common_SymbolsMMS_Data(), Table_Data_MMSSymbols[[#Headers],[Symbol]], 0)</f>
        <v>11a</v>
      </c>
      <c r="E23" s="40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40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 t="str">
        <f>HYPERLINK("#'Calcs - Fert Lime'!A1", "Fertiliser &amp; soil amendments")</f>
        <v>Fertiliser &amp; soil amendments</v>
      </c>
      <c r="D24" s="40" t="str" cm="1">
        <f t="array" ref="D24">Common_InputFunctions.Utility_DisplayArrayInTable(CommonLivestock_SourceData.SourceData_Livestock_Common_SymbolsMMS_Data(), Table_Data_MMSSymbols[[#Headers],[Symbol]], 0)</f>
        <v>11b</v>
      </c>
      <c r="E24" s="40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40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A25" s="17" t="str">
        <f>HYPERLINK("#'Calcs - Residue mgmt - Crop'!A1", "Residue management - Crop")</f>
        <v>Residue management - Crop</v>
      </c>
      <c r="D25" s="40" t="str" cm="1">
        <f t="array" ref="D25">Common_InputFunctions.Utility_DisplayArrayInTable(CommonLivestock_SourceData.SourceData_Livestock_Common_SymbolsMMS_Data(), Table_Data_MMSSymbols[[#Headers],[Symbol]], 0)</f>
        <v>12</v>
      </c>
      <c r="E25" s="40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40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A26" s="17" t="str">
        <f>HYPERLINK("#'Calcs - Residue mgmt - Pasture'!A1", "Residue management - Pasture")</f>
        <v>Residue management - Pasture</v>
      </c>
      <c r="D26" s="40" t="str" cm="1">
        <f t="array" ref="D26">Common_InputFunctions.Utility_DisplayArrayInTable(CommonLivestock_SourceData.SourceData_Livestock_Common_SymbolsMMS_Data(), Table_Data_MMSSymbols[[#Headers],[Symbol]], 0)</f>
        <v>13</v>
      </c>
      <c r="E26" s="40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40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A27" s="17" t="str">
        <f>HYPERLINK("#'Calcs - Field burning'!A1", "Field burning - Crop")</f>
        <v>Field burning - Crop</v>
      </c>
      <c r="D27" s="40" t="str" cm="1">
        <f t="array" ref="D27">Common_InputFunctions.Utility_DisplayArrayInTable(CommonLivestock_SourceData.SourceData_Livestock_Common_SymbolsMMS_Data(), Table_Data_MMSSymbols[[#Headers],[Symbol]], 0)</f>
        <v>14</v>
      </c>
      <c r="E27" s="40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40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A28" s="17" t="str">
        <f>HYPERLINK("#'Calcs - Fuel'!A1", "Fuel")</f>
        <v>Fuel</v>
      </c>
      <c r="G28" s="3"/>
      <c r="H28" s="3"/>
    </row>
    <row r="29" spans="1:8" ht="20.100000000000001" customHeight="1" x14ac:dyDescent="0.25">
      <c r="A29" s="17" t="str">
        <f>HYPERLINK("#'Calcs - Electricity'!A1", "Electricity")</f>
        <v>Electricity</v>
      </c>
    </row>
    <row r="30" spans="1:8" ht="20.100000000000001" customHeight="1" x14ac:dyDescent="0.25">
      <c r="A30" s="17" t="str">
        <f>HYPERLINK("#'Calcs - Refrigerants'!A1", "Refrigerants")</f>
        <v>Refrigerants</v>
      </c>
    </row>
    <row r="31" spans="1:8" ht="20.100000000000001" customHeight="1" x14ac:dyDescent="0.25">
      <c r="A31" s="71" t="s">
        <v>81</v>
      </c>
    </row>
    <row r="32" spans="1:8" ht="20.100000000000001" customHeight="1" x14ac:dyDescent="0.25">
      <c r="A32" s="71" t="s">
        <v>77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73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1" t="s">
        <v>2</v>
      </c>
    </row>
    <row r="41" spans="1:1" ht="20.100000000000001" customHeight="1" x14ac:dyDescent="0.25">
      <c r="A41" s="48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>
      <selection activeCell="J12" sqref="J12"/>
    </sheetView>
  </sheetViews>
  <sheetFormatPr defaultRowHeight="15" x14ac:dyDescent="0.25"/>
  <sheetData>
    <row r="1" spans="1:1" x14ac:dyDescent="0.25">
      <c r="A1" t="s">
        <v>318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D353-E0A6-4C77-9250-23E2E373267C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80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40" t="s">
        <v>24</v>
      </c>
      <c r="E6" s="40" t="s">
        <v>25</v>
      </c>
      <c r="F6" s="40" t="s">
        <v>26</v>
      </c>
    </row>
    <row r="7" spans="1:64" ht="20.100000000000001" customHeight="1" x14ac:dyDescent="0.25">
      <c r="A7"/>
      <c r="D7" s="40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40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40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40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40" t="str" cm="1">
        <f t="array" ref="E8">Common_InputFunctions.Utility_DisplayArrayInTable(Common_SourceData.Common_SourceData_AustralianStatesTerritories_Data(),Table_AustralianStates[[#Headers],[State/Territory]],0)</f>
        <v>ACT</v>
      </c>
      <c r="F8" s="40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40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40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40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40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40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40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40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40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40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40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40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40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40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40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40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40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40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40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40" t="s">
        <v>27</v>
      </c>
    </row>
    <row r="21" spans="1:4" ht="20.100000000000001" customHeight="1" x14ac:dyDescent="0.25">
      <c r="A21"/>
      <c r="D21" s="40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40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40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40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40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40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40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40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40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40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40" t="s">
        <v>30</v>
      </c>
      <c r="E36" s="40" t="s">
        <v>31</v>
      </c>
    </row>
    <row r="37" spans="1:8" ht="20.100000000000001" customHeight="1" x14ac:dyDescent="0.25">
      <c r="A37"/>
      <c r="D37" s="40" t="str" cm="1">
        <f t="array" ref="D37">Common_InputFunctions.Utility_DisplayArrayInTable(Common_SourceData.Common_SourceData_GWP_Data(), Table_GWPData[[#Headers],[Gas]], 0)</f>
        <v>CO2</v>
      </c>
      <c r="E37" s="40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40" t="str" cm="1">
        <f t="array" ref="D38">Common_InputFunctions.Utility_DisplayArrayInTable(Common_SourceData.Common_SourceData_GWP_Data(), Table_GWPData[[#Headers],[Gas]], 0)</f>
        <v>CH4</v>
      </c>
      <c r="E38" s="40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40" t="str" cm="1">
        <f t="array" ref="D39">Common_InputFunctions.Utility_DisplayArrayInTable(Common_SourceData.Common_SourceData_GWP_Data(), Table_GWPData[[#Headers],[Gas]], 0)</f>
        <v>N2O</v>
      </c>
      <c r="E39" s="40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40" t="str" cm="1">
        <f t="array" ref="D40">Common_InputFunctions.Utility_DisplayArrayInTable(Common_SourceData.Common_SourceData_GWP_Data(), Table_GWPData[[#Headers],[Gas]], 0)</f>
        <v>CF4</v>
      </c>
      <c r="E40" s="40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40" t="str" cm="1">
        <f t="array" ref="D41">Common_InputFunctions.Utility_DisplayArrayInTable(Common_SourceData.Common_SourceData_GWP_Data(), Table_GWPData[[#Headers],[Gas]], 0)</f>
        <v>C2F6</v>
      </c>
      <c r="E41" s="40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40" t="str" cm="1">
        <f t="array" ref="D42">Common_InputFunctions.Utility_DisplayArrayInTable(Common_SourceData.Common_SourceData_GWP_Data(), Table_GWPData[[#Headers],[Gas]], 0)</f>
        <v>SF6</v>
      </c>
      <c r="E42" s="40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40" t="str" cm="1">
        <f t="array" ref="D43">Common_InputFunctions.Utility_DisplayArrayInTable(Common_SourceData.Common_SourceData_GWP_Data(), Table_GWPData[[#Headers],[Gas]], 0)</f>
        <v>NF3</v>
      </c>
      <c r="E43" s="40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40" t="s">
        <v>30</v>
      </c>
      <c r="E47" s="40" t="s">
        <v>33</v>
      </c>
      <c r="F47" s="40" t="s">
        <v>34</v>
      </c>
      <c r="G47" s="40" t="s">
        <v>35</v>
      </c>
      <c r="H47" s="40" t="s">
        <v>36</v>
      </c>
    </row>
    <row r="48" spans="1:8" ht="20.100000000000001" customHeight="1" x14ac:dyDescent="0.25">
      <c r="D48" s="40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40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40" cm="1">
        <f t="array" ref="F48">Common_InputFunctions.Utility_DisplayArrayInTable(Common_SourceData.Common_SourceData_ConvertGasElementalToMolecular_Data(),Table_GasToMolecularConversionFactor[[#Headers],[Gas]], 0)</f>
        <v>44</v>
      </c>
      <c r="G48" s="40" cm="1">
        <f t="array" ref="G48">Common_InputFunctions.Utility_DisplayArrayInTable(Common_SourceData.Common_SourceData_ConvertGasElementalToMolecular_Data(),Table_GasToMolecularConversionFactor[[#Headers],[Gas]], 0)</f>
        <v>12</v>
      </c>
      <c r="H48" s="40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40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40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40" cm="1">
        <f t="array" ref="F49">Common_InputFunctions.Utility_DisplayArrayInTable(Common_SourceData.Common_SourceData_ConvertGasElementalToMolecular_Data(),Table_GasToMolecularConversionFactor[[#Headers],[Gas]], 0)</f>
        <v>16</v>
      </c>
      <c r="G49" s="40" cm="1">
        <f t="array" ref="G49">Common_InputFunctions.Utility_DisplayArrayInTable(Common_SourceData.Common_SourceData_ConvertGasElementalToMolecular_Data(),Table_GasToMolecularConversionFactor[[#Headers],[Gas]], 0)</f>
        <v>12</v>
      </c>
      <c r="H49" s="40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40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40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40" cm="1">
        <f t="array" ref="F50">Common_InputFunctions.Utility_DisplayArrayInTable(Common_SourceData.Common_SourceData_ConvertGasElementalToMolecular_Data(),Table_GasToMolecularConversionFactor[[#Headers],[Gas]], 0)</f>
        <v>44</v>
      </c>
      <c r="G50" s="40" cm="1">
        <f t="array" ref="G50">Common_InputFunctions.Utility_DisplayArrayInTable(Common_SourceData.Common_SourceData_ConvertGasElementalToMolecular_Data(),Table_GasToMolecularConversionFactor[[#Headers],[Gas]], 0)</f>
        <v>28</v>
      </c>
      <c r="H50" s="40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40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40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40" cm="1">
        <f t="array" ref="F51">Common_InputFunctions.Utility_DisplayArrayInTable(Common_SourceData.Common_SourceData_ConvertGasElementalToMolecular_Data(),Table_GasToMolecularConversionFactor[[#Headers],[Gas]], 0)</f>
        <v>46</v>
      </c>
      <c r="G51" s="40" cm="1">
        <f t="array" ref="G51">Common_InputFunctions.Utility_DisplayArrayInTable(Common_SourceData.Common_SourceData_ConvertGasElementalToMolecular_Data(),Table_GasToMolecularConversionFactor[[#Headers],[Gas]], 0)</f>
        <v>14</v>
      </c>
      <c r="H51" s="40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40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40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40" cm="1">
        <f t="array" ref="F52">Common_InputFunctions.Utility_DisplayArrayInTable(Common_SourceData.Common_SourceData_ConvertGasElementalToMolecular_Data(),Table_GasToMolecularConversionFactor[[#Headers],[Gas]], 0)</f>
        <v>28</v>
      </c>
      <c r="G52" s="40" cm="1">
        <f t="array" ref="G52">Common_InputFunctions.Utility_DisplayArrayInTable(Common_SourceData.Common_SourceData_ConvertGasElementalToMolecular_Data(),Table_GasToMolecularConversionFactor[[#Headers],[Gas]], 0)</f>
        <v>12</v>
      </c>
      <c r="H52" s="40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40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40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40" cm="1">
        <f t="array" ref="F53">Common_InputFunctions.Utility_DisplayArrayInTable(Common_SourceData.Common_SourceData_ConvertGasElementalToMolecular_Data(),Table_GasToMolecularConversionFactor[[#Headers],[Gas]], 0)</f>
        <v>44</v>
      </c>
      <c r="G53" s="40" cm="1">
        <f t="array" ref="G53">Common_InputFunctions.Utility_DisplayArrayInTable(Common_SourceData.Common_SourceData_ConvertGasElementalToMolecular_Data(),Table_GasToMolecularConversionFactor[[#Headers],[Gas]], 0)</f>
        <v>12</v>
      </c>
      <c r="H53" s="40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40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40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40" cm="1">
        <f t="array" ref="F54">Common_InputFunctions.Utility_DisplayArrayInTable(Common_SourceData.Common_SourceData_ConvertGasElementalToMolecular_Data(),Table_GasToMolecularConversionFactor[[#Headers],[Gas]], 0)</f>
        <v>14</v>
      </c>
      <c r="G54" s="40" cm="1">
        <f t="array" ref="G54">Common_InputFunctions.Utility_DisplayArrayInTable(Common_SourceData.Common_SourceData_ConvertGasElementalToMolecular_Data(),Table_GasToMolecularConversionFactor[[#Headers],[Gas]], 0)</f>
        <v>12</v>
      </c>
      <c r="H54" s="40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9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9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9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40" t="s">
        <v>11</v>
      </c>
      <c r="E63" s="40" t="s">
        <v>51</v>
      </c>
    </row>
    <row r="64" spans="4:8" ht="20.100000000000001" customHeight="1" x14ac:dyDescent="0.25">
      <c r="D64" s="40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40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40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40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40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40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40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40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40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40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40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40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40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40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40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40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40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40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40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40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40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40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40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40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40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40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40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40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9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9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9" t="str">
        <v>⚠️Fixed typo in MAT value for warm temperate dry - changed 10 to 11.</v>
      </c>
    </row>
    <row r="86" spans="4:19" ht="20.100000000000001" customHeight="1" x14ac:dyDescent="0.25">
      <c r="D86" s="59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9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40" t="s">
        <v>11</v>
      </c>
      <c r="E89" s="40" t="s">
        <v>39</v>
      </c>
      <c r="F89" s="40" t="s">
        <v>40</v>
      </c>
      <c r="G89" s="40" t="s">
        <v>41</v>
      </c>
      <c r="H89" s="40" t="s">
        <v>42</v>
      </c>
      <c r="I89" s="40" t="s">
        <v>43</v>
      </c>
      <c r="J89" s="40" t="s">
        <v>44</v>
      </c>
      <c r="K89" s="40" t="s">
        <v>45</v>
      </c>
      <c r="L89" s="40" t="s">
        <v>46</v>
      </c>
      <c r="M89" s="40" t="s">
        <v>47</v>
      </c>
      <c r="N89" s="40" t="s">
        <v>48</v>
      </c>
      <c r="O89" s="40" t="s">
        <v>52</v>
      </c>
      <c r="P89" s="40" t="s">
        <v>49</v>
      </c>
      <c r="Q89" s="40" t="s">
        <v>53</v>
      </c>
      <c r="R89" s="40" t="s">
        <v>50</v>
      </c>
      <c r="S89" s="40" t="s">
        <v>54</v>
      </c>
    </row>
    <row r="90" spans="4:19" ht="20.100000000000001" customHeight="1" x14ac:dyDescent="0.25">
      <c r="D90" s="40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40" t="str" cm="1">
        <f t="array" ref="E90">Common_InputFunctions.Utility_DisplayArrayInTable(Common_SourceData.Common_SourceData_ClimateZones_Data(), Table_SourceData_ClimateZones[[#Headers],[Climate zone]], 0)</f>
        <v>&gt; 18 C</v>
      </c>
      <c r="F90" s="40" t="str" cm="1">
        <f t="array" ref="F90">Common_InputFunctions.Utility_DisplayArrayInTable(Common_SourceData.Common_SourceData_ClimateZones_Data(), Table_SourceData_ClimateZones[[#Headers],[Climate zone]], 0)</f>
        <v>Any</v>
      </c>
      <c r="G90" s="40" t="str" cm="1">
        <f t="array" ref="G90">Common_InputFunctions.Utility_DisplayArrayInTable(Common_SourceData.Common_SourceData_ClimateZones_Data(), Table_SourceData_ClimateZones[[#Headers],[Climate zone]], 0)</f>
        <v>≤ 7</v>
      </c>
      <c r="H90" s="40" t="str" cm="1">
        <f t="array" ref="H90">Common_InputFunctions.Utility_DisplayArrayInTable(Common_SourceData.Common_SourceData_ClimateZones_Data(), Table_SourceData_ClimateZones[[#Headers],[Climate zone]], 0)</f>
        <v>&gt; 1000 m</v>
      </c>
      <c r="I90" s="40" t="str" cm="1">
        <f t="array" ref="I90">Common_InputFunctions.Utility_DisplayArrayInTable(Common_SourceData.Common_SourceData_ClimateZones_Data(), Table_SourceData_ClimateZones[[#Headers],[Climate zone]], 0)</f>
        <v>Any</v>
      </c>
      <c r="J90" s="40" cm="1">
        <f t="array" ref="J90">Common_InputFunctions.Utility_DisplayArrayInTable(Common_SourceData.Common_SourceData_ClimateZones_Data(), Table_SourceData_ClimateZones[[#Headers],[Climate zone]], 0)</f>
        <v>18.001000000000001</v>
      </c>
      <c r="K90" s="40" cm="1">
        <f t="array" ref="K90">Common_InputFunctions.Utility_DisplayArrayInTable(Common_SourceData.Common_SourceData_ClimateZones_Data(), Table_SourceData_ClimateZones[[#Headers],[Climate zone]], 0)</f>
        <v>999999</v>
      </c>
      <c r="L90" s="40" cm="1">
        <f t="array" ref="L90">Common_InputFunctions.Utility_DisplayArrayInTable(Common_SourceData.Common_SourceData_ClimateZones_Data(), Table_SourceData_ClimateZones[[#Headers],[Climate zone]], 0)</f>
        <v>-999999</v>
      </c>
      <c r="M90" s="40" cm="1">
        <f t="array" ref="M90">Common_InputFunctions.Utility_DisplayArrayInTable(Common_SourceData.Common_SourceData_ClimateZones_Data(), Table_SourceData_ClimateZones[[#Headers],[Climate zone]], 0)</f>
        <v>999999</v>
      </c>
      <c r="N90" s="40" cm="1">
        <f t="array" ref="N90">Common_InputFunctions.Utility_DisplayArrayInTable(Common_SourceData.Common_SourceData_ClimateZones_Data(), Table_SourceData_ClimateZones[[#Headers],[Climate zone]], 0)</f>
        <v>-999999</v>
      </c>
      <c r="O90" s="40" cm="1">
        <f t="array" ref="O90">Common_InputFunctions.Utility_DisplayArrayInTable(Common_SourceData.Common_SourceData_ClimateZones_Data(), Table_SourceData_ClimateZones[[#Headers],[Climate zone]], 0)</f>
        <v>7</v>
      </c>
      <c r="P90" s="40" cm="1">
        <f t="array" ref="P90">Common_InputFunctions.Utility_DisplayArrayInTable(Common_SourceData.Common_SourceData_ClimateZones_Data(), Table_SourceData_ClimateZones[[#Headers],[Climate zone]], 0)</f>
        <v>1000</v>
      </c>
      <c r="Q90" s="40" cm="1">
        <f t="array" ref="Q90">Common_InputFunctions.Utility_DisplayArrayInTable(Common_SourceData.Common_SourceData_ClimateZones_Data(), Table_SourceData_ClimateZones[[#Headers],[Climate zone]], 0)</f>
        <v>999999</v>
      </c>
      <c r="R90" s="40" cm="1">
        <f t="array" ref="R90">Common_InputFunctions.Utility_DisplayArrayInTable(Common_SourceData.Common_SourceData_ClimateZones_Data(), Table_SourceData_ClimateZones[[#Headers],[Climate zone]], 0)</f>
        <v>-999999</v>
      </c>
      <c r="S90" s="40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40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40" t="str" cm="1">
        <f t="array" ref="E91">Common_InputFunctions.Utility_DisplayArrayInTable(Common_SourceData.Common_SourceData_ClimateZones_Data(), Table_SourceData_ClimateZones[[#Headers],[Climate zone]], 0)</f>
        <v>&gt; 18 C</v>
      </c>
      <c r="F91" s="40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40" t="str" cm="1">
        <f t="array" ref="G91">Common_InputFunctions.Utility_DisplayArrayInTable(Common_SourceData.Common_SourceData_ClimateZones_Data(), Table_SourceData_ClimateZones[[#Headers],[Climate zone]], 0)</f>
        <v>≤ 7</v>
      </c>
      <c r="H91" s="40" t="str" cm="1">
        <f t="array" ref="H91">Common_InputFunctions.Utility_DisplayArrayInTable(Common_SourceData.Common_SourceData_ClimateZones_Data(), Table_SourceData_ClimateZones[[#Headers],[Climate zone]], 0)</f>
        <v>≤ 1000 m</v>
      </c>
      <c r="I91" s="40" t="str" cm="1">
        <f t="array" ref="I91">Common_InputFunctions.Utility_DisplayArrayInTable(Common_SourceData.Common_SourceData_ClimateZones_Data(), Table_SourceData_ClimateZones[[#Headers],[Climate zone]], 0)</f>
        <v>Any</v>
      </c>
      <c r="J91" s="40" cm="1">
        <f t="array" ref="J91">Common_InputFunctions.Utility_DisplayArrayInTable(Common_SourceData.Common_SourceData_ClimateZones_Data(), Table_SourceData_ClimateZones[[#Headers],[Climate zone]], 0)</f>
        <v>18.001000000000001</v>
      </c>
      <c r="K91" s="40" cm="1">
        <f t="array" ref="K91">Common_InputFunctions.Utility_DisplayArrayInTable(Common_SourceData.Common_SourceData_ClimateZones_Data(), Table_SourceData_ClimateZones[[#Headers],[Climate zone]], 0)</f>
        <v>999999</v>
      </c>
      <c r="L91" s="40" cm="1">
        <f t="array" ref="L91">Common_InputFunctions.Utility_DisplayArrayInTable(Common_SourceData.Common_SourceData_ClimateZones_Data(), Table_SourceData_ClimateZones[[#Headers],[Climate zone]], 0)</f>
        <v>2000.001</v>
      </c>
      <c r="M91" s="40" cm="1">
        <f t="array" ref="M91">Common_InputFunctions.Utility_DisplayArrayInTable(Common_SourceData.Common_SourceData_ClimateZones_Data(), Table_SourceData_ClimateZones[[#Headers],[Climate zone]], 0)</f>
        <v>999999</v>
      </c>
      <c r="N91" s="40" cm="1">
        <f t="array" ref="N91">Common_InputFunctions.Utility_DisplayArrayInTable(Common_SourceData.Common_SourceData_ClimateZones_Data(), Table_SourceData_ClimateZones[[#Headers],[Climate zone]], 0)</f>
        <v>-999999</v>
      </c>
      <c r="O91" s="40" cm="1">
        <f t="array" ref="O91">Common_InputFunctions.Utility_DisplayArrayInTable(Common_SourceData.Common_SourceData_ClimateZones_Data(), Table_SourceData_ClimateZones[[#Headers],[Climate zone]], 0)</f>
        <v>7</v>
      </c>
      <c r="P91" s="40" cm="1">
        <f t="array" ref="P91">Common_InputFunctions.Utility_DisplayArrayInTable(Common_SourceData.Common_SourceData_ClimateZones_Data(), Table_SourceData_ClimateZones[[#Headers],[Climate zone]], 0)</f>
        <v>-999999</v>
      </c>
      <c r="Q91" s="40" cm="1">
        <f t="array" ref="Q91">Common_InputFunctions.Utility_DisplayArrayInTable(Common_SourceData.Common_SourceData_ClimateZones_Data(), Table_SourceData_ClimateZones[[#Headers],[Climate zone]], 0)</f>
        <v>999.99900000000002</v>
      </c>
      <c r="R91" s="40" cm="1">
        <f t="array" ref="R91">Common_InputFunctions.Utility_DisplayArrayInTable(Common_SourceData.Common_SourceData_ClimateZones_Data(), Table_SourceData_ClimateZones[[#Headers],[Climate zone]], 0)</f>
        <v>-999999</v>
      </c>
      <c r="S91" s="40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40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40" t="str" cm="1">
        <f t="array" ref="E92">Common_InputFunctions.Utility_DisplayArrayInTable(Common_SourceData.Common_SourceData_ClimateZones_Data(), Table_SourceData_ClimateZones[[#Headers],[Climate zone]], 0)</f>
        <v>&gt; 18 C</v>
      </c>
      <c r="F92" s="40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40" t="str" cm="1">
        <f t="array" ref="G92">Common_InputFunctions.Utility_DisplayArrayInTable(Common_SourceData.Common_SourceData_ClimateZones_Data(), Table_SourceData_ClimateZones[[#Headers],[Climate zone]], 0)</f>
        <v>≤ 7</v>
      </c>
      <c r="H92" s="40" t="str" cm="1">
        <f t="array" ref="H92">Common_InputFunctions.Utility_DisplayArrayInTable(Common_SourceData.Common_SourceData_ClimateZones_Data(), Table_SourceData_ClimateZones[[#Headers],[Climate zone]], 0)</f>
        <v>≤ 1000 m</v>
      </c>
      <c r="I92" s="40" t="str" cm="1">
        <f t="array" ref="I92">Common_InputFunctions.Utility_DisplayArrayInTable(Common_SourceData.Common_SourceData_ClimateZones_Data(), Table_SourceData_ClimateZones[[#Headers],[Climate zone]], 0)</f>
        <v>Any</v>
      </c>
      <c r="J92" s="40" cm="1">
        <f t="array" ref="J92">Common_InputFunctions.Utility_DisplayArrayInTable(Common_SourceData.Common_SourceData_ClimateZones_Data(), Table_SourceData_ClimateZones[[#Headers],[Climate zone]], 0)</f>
        <v>18.001000000000001</v>
      </c>
      <c r="K92" s="40" cm="1">
        <f t="array" ref="K92">Common_InputFunctions.Utility_DisplayArrayInTable(Common_SourceData.Common_SourceData_ClimateZones_Data(), Table_SourceData_ClimateZones[[#Headers],[Climate zone]], 0)</f>
        <v>999999</v>
      </c>
      <c r="L92" s="40" cm="1">
        <f t="array" ref="L92">Common_InputFunctions.Utility_DisplayArrayInTable(Common_SourceData.Common_SourceData_ClimateZones_Data(), Table_SourceData_ClimateZones[[#Headers],[Climate zone]], 0)</f>
        <v>1000.001</v>
      </c>
      <c r="M92" s="40" cm="1">
        <f t="array" ref="M92">Common_InputFunctions.Utility_DisplayArrayInTable(Common_SourceData.Common_SourceData_ClimateZones_Data(), Table_SourceData_ClimateZones[[#Headers],[Climate zone]], 0)</f>
        <v>2000</v>
      </c>
      <c r="N92" s="40" cm="1">
        <f t="array" ref="N92">Common_InputFunctions.Utility_DisplayArrayInTable(Common_SourceData.Common_SourceData_ClimateZones_Data(), Table_SourceData_ClimateZones[[#Headers],[Climate zone]], 0)</f>
        <v>-999999</v>
      </c>
      <c r="O92" s="40" cm="1">
        <f t="array" ref="O92">Common_InputFunctions.Utility_DisplayArrayInTable(Common_SourceData.Common_SourceData_ClimateZones_Data(), Table_SourceData_ClimateZones[[#Headers],[Climate zone]], 0)</f>
        <v>7</v>
      </c>
      <c r="P92" s="40" cm="1">
        <f t="array" ref="P92">Common_InputFunctions.Utility_DisplayArrayInTable(Common_SourceData.Common_SourceData_ClimateZones_Data(), Table_SourceData_ClimateZones[[#Headers],[Climate zone]], 0)</f>
        <v>-999999</v>
      </c>
      <c r="Q92" s="40" cm="1">
        <f t="array" ref="Q92">Common_InputFunctions.Utility_DisplayArrayInTable(Common_SourceData.Common_SourceData_ClimateZones_Data(), Table_SourceData_ClimateZones[[#Headers],[Climate zone]], 0)</f>
        <v>999.99900000000002</v>
      </c>
      <c r="R92" s="40" cm="1">
        <f t="array" ref="R92">Common_InputFunctions.Utility_DisplayArrayInTable(Common_SourceData.Common_SourceData_ClimateZones_Data(), Table_SourceData_ClimateZones[[#Headers],[Climate zone]], 0)</f>
        <v>-999999</v>
      </c>
      <c r="S92" s="40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40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40" t="str" cm="1">
        <f t="array" ref="E93">Common_InputFunctions.Utility_DisplayArrayInTable(Common_SourceData.Common_SourceData_ClimateZones_Data(), Table_SourceData_ClimateZones[[#Headers],[Climate zone]], 0)</f>
        <v>&gt; 18 C</v>
      </c>
      <c r="F93" s="40" t="str" cm="1">
        <f t="array" ref="F93">Common_InputFunctions.Utility_DisplayArrayInTable(Common_SourceData.Common_SourceData_ClimateZones_Data(), Table_SourceData_ClimateZones[[#Headers],[Climate zone]], 0)</f>
        <v>≤ 1000 mm</v>
      </c>
      <c r="G93" s="40" t="str" cm="1">
        <f t="array" ref="G93">Common_InputFunctions.Utility_DisplayArrayInTable(Common_SourceData.Common_SourceData_ClimateZones_Data(), Table_SourceData_ClimateZones[[#Headers],[Climate zone]], 0)</f>
        <v>≤ 7</v>
      </c>
      <c r="H93" s="40" t="str" cm="1">
        <f t="array" ref="H93">Common_InputFunctions.Utility_DisplayArrayInTable(Common_SourceData.Common_SourceData_ClimateZones_Data(), Table_SourceData_ClimateZones[[#Headers],[Climate zone]], 0)</f>
        <v>≤ 1000 m</v>
      </c>
      <c r="I93" s="40" t="str" cm="1">
        <f t="array" ref="I93">Common_InputFunctions.Utility_DisplayArrayInTable(Common_SourceData.Common_SourceData_ClimateZones_Data(), Table_SourceData_ClimateZones[[#Headers],[Climate zone]], 0)</f>
        <v>Any</v>
      </c>
      <c r="J93" s="40" cm="1">
        <f t="array" ref="J93">Common_InputFunctions.Utility_DisplayArrayInTable(Common_SourceData.Common_SourceData_ClimateZones_Data(), Table_SourceData_ClimateZones[[#Headers],[Climate zone]], 0)</f>
        <v>18.001000000000001</v>
      </c>
      <c r="K93" s="40" cm="1">
        <f t="array" ref="K93">Common_InputFunctions.Utility_DisplayArrayInTable(Common_SourceData.Common_SourceData_ClimateZones_Data(), Table_SourceData_ClimateZones[[#Headers],[Climate zone]], 0)</f>
        <v>999999</v>
      </c>
      <c r="L93" s="40" cm="1">
        <f t="array" ref="L93">Common_InputFunctions.Utility_DisplayArrayInTable(Common_SourceData.Common_SourceData_ClimateZones_Data(), Table_SourceData_ClimateZones[[#Headers],[Climate zone]], 0)</f>
        <v>-999999</v>
      </c>
      <c r="M93" s="40" cm="1">
        <f t="array" ref="M93">Common_InputFunctions.Utility_DisplayArrayInTable(Common_SourceData.Common_SourceData_ClimateZones_Data(), Table_SourceData_ClimateZones[[#Headers],[Climate zone]], 0)</f>
        <v>1000</v>
      </c>
      <c r="N93" s="40" cm="1">
        <f t="array" ref="N93">Common_InputFunctions.Utility_DisplayArrayInTable(Common_SourceData.Common_SourceData_ClimateZones_Data(), Table_SourceData_ClimateZones[[#Headers],[Climate zone]], 0)</f>
        <v>-999999</v>
      </c>
      <c r="O93" s="40" cm="1">
        <f t="array" ref="O93">Common_InputFunctions.Utility_DisplayArrayInTable(Common_SourceData.Common_SourceData_ClimateZones_Data(), Table_SourceData_ClimateZones[[#Headers],[Climate zone]], 0)</f>
        <v>7</v>
      </c>
      <c r="P93" s="40" cm="1">
        <f t="array" ref="P93">Common_InputFunctions.Utility_DisplayArrayInTable(Common_SourceData.Common_SourceData_ClimateZones_Data(), Table_SourceData_ClimateZones[[#Headers],[Climate zone]], 0)</f>
        <v>-999999</v>
      </c>
      <c r="Q93" s="40" cm="1">
        <f t="array" ref="Q93">Common_InputFunctions.Utility_DisplayArrayInTable(Common_SourceData.Common_SourceData_ClimateZones_Data(), Table_SourceData_ClimateZones[[#Headers],[Climate zone]], 0)</f>
        <v>999.99900000000002</v>
      </c>
      <c r="R93" s="40" cm="1">
        <f t="array" ref="R93">Common_InputFunctions.Utility_DisplayArrayInTable(Common_SourceData.Common_SourceData_ClimateZones_Data(), Table_SourceData_ClimateZones[[#Headers],[Climate zone]], 0)</f>
        <v>-999999</v>
      </c>
      <c r="S93" s="40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40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40" t="str" cm="1">
        <f t="array" ref="E94">Common_InputFunctions.Utility_DisplayArrayInTable(Common_SourceData.Common_SourceData_ClimateZones_Data(), Table_SourceData_ClimateZones[[#Headers],[Climate zone]], 0)</f>
        <v>&gt; 10 C</v>
      </c>
      <c r="F94" s="40" t="str" cm="1">
        <f t="array" ref="F94">Common_InputFunctions.Utility_DisplayArrayInTable(Common_SourceData.Common_SourceData_ClimateZones_Data(), Table_SourceData_ClimateZones[[#Headers],[Climate zone]], 0)</f>
        <v>Any</v>
      </c>
      <c r="G94" s="40" t="str" cm="1">
        <f t="array" ref="G94">Common_InputFunctions.Utility_DisplayArrayInTable(Common_SourceData.Common_SourceData_ClimateZones_Data(), Table_SourceData_ClimateZones[[#Headers],[Climate zone]], 0)</f>
        <v>Any</v>
      </c>
      <c r="H94" s="40" t="str" cm="1">
        <f t="array" ref="H94">Common_InputFunctions.Utility_DisplayArrayInTable(Common_SourceData.Common_SourceData_ClimateZones_Data(), Table_SourceData_ClimateZones[[#Headers],[Climate zone]], 0)</f>
        <v>Any</v>
      </c>
      <c r="I94" s="40" t="str" cm="1">
        <f t="array" ref="I94">Common_InputFunctions.Utility_DisplayArrayInTable(Common_SourceData.Common_SourceData_ClimateZones_Data(), Table_SourceData_ClimateZones[[#Headers],[Climate zone]], 0)</f>
        <v>&gt; 1</v>
      </c>
      <c r="J94" s="40" cm="1">
        <f t="array" ref="J94">Common_InputFunctions.Utility_DisplayArrayInTable(Common_SourceData.Common_SourceData_ClimateZones_Data(), Table_SourceData_ClimateZones[[#Headers],[Climate zone]], 0)</f>
        <v>10.000999999999999</v>
      </c>
      <c r="K94" s="40" cm="1">
        <f t="array" ref="K94">Common_InputFunctions.Utility_DisplayArrayInTable(Common_SourceData.Common_SourceData_ClimateZones_Data(), Table_SourceData_ClimateZones[[#Headers],[Climate zone]], 0)</f>
        <v>999999</v>
      </c>
      <c r="L94" s="40" cm="1">
        <f t="array" ref="L94">Common_InputFunctions.Utility_DisplayArrayInTable(Common_SourceData.Common_SourceData_ClimateZones_Data(), Table_SourceData_ClimateZones[[#Headers],[Climate zone]], 0)</f>
        <v>-999999</v>
      </c>
      <c r="M94" s="40" cm="1">
        <f t="array" ref="M94">Common_InputFunctions.Utility_DisplayArrayInTable(Common_SourceData.Common_SourceData_ClimateZones_Data(), Table_SourceData_ClimateZones[[#Headers],[Climate zone]], 0)</f>
        <v>999999</v>
      </c>
      <c r="N94" s="40" cm="1">
        <f t="array" ref="N94">Common_InputFunctions.Utility_DisplayArrayInTable(Common_SourceData.Common_SourceData_ClimateZones_Data(), Table_SourceData_ClimateZones[[#Headers],[Climate zone]], 0)</f>
        <v>-999999</v>
      </c>
      <c r="O94" s="40" cm="1">
        <f t="array" ref="O94">Common_InputFunctions.Utility_DisplayArrayInTable(Common_SourceData.Common_SourceData_ClimateZones_Data(), Table_SourceData_ClimateZones[[#Headers],[Climate zone]], 0)</f>
        <v>999999</v>
      </c>
      <c r="P94" s="40" cm="1">
        <f t="array" ref="P94">Common_InputFunctions.Utility_DisplayArrayInTable(Common_SourceData.Common_SourceData_ClimateZones_Data(), Table_SourceData_ClimateZones[[#Headers],[Climate zone]], 0)</f>
        <v>-999999</v>
      </c>
      <c r="Q94" s="40" cm="1">
        <f t="array" ref="Q94">Common_InputFunctions.Utility_DisplayArrayInTable(Common_SourceData.Common_SourceData_ClimateZones_Data(), Table_SourceData_ClimateZones[[#Headers],[Climate zone]], 0)</f>
        <v>999999</v>
      </c>
      <c r="R94" s="40" cm="1">
        <f t="array" ref="R94">Common_InputFunctions.Utility_DisplayArrayInTable(Common_SourceData.Common_SourceData_ClimateZones_Data(), Table_SourceData_ClimateZones[[#Headers],[Climate zone]], 0)</f>
        <v>1.0009999999999999</v>
      </c>
      <c r="S94" s="40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40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40" t="str" cm="1">
        <f t="array" ref="E95">Common_InputFunctions.Utility_DisplayArrayInTable(Common_SourceData.Common_SourceData_ClimateZones_Data(), Table_SourceData_ClimateZones[[#Headers],[Climate zone]], 0)</f>
        <v>&gt; 10 C</v>
      </c>
      <c r="F95" s="40" t="str" cm="1">
        <f t="array" ref="F95">Common_InputFunctions.Utility_DisplayArrayInTable(Common_SourceData.Common_SourceData_ClimateZones_Data(), Table_SourceData_ClimateZones[[#Headers],[Climate zone]], 0)</f>
        <v>Any</v>
      </c>
      <c r="G95" s="40" t="str" cm="1">
        <f t="array" ref="G95">Common_InputFunctions.Utility_DisplayArrayInTable(Common_SourceData.Common_SourceData_ClimateZones_Data(), Table_SourceData_ClimateZones[[#Headers],[Climate zone]], 0)</f>
        <v>Any</v>
      </c>
      <c r="H95" s="40" t="str" cm="1">
        <f t="array" ref="H95">Common_InputFunctions.Utility_DisplayArrayInTable(Common_SourceData.Common_SourceData_ClimateZones_Data(), Table_SourceData_ClimateZones[[#Headers],[Climate zone]], 0)</f>
        <v>Any</v>
      </c>
      <c r="I95" s="40" t="str" cm="1">
        <f t="array" ref="I95">Common_InputFunctions.Utility_DisplayArrayInTable(Common_SourceData.Common_SourceData_ClimateZones_Data(), Table_SourceData_ClimateZones[[#Headers],[Climate zone]], 0)</f>
        <v>≤ 1</v>
      </c>
      <c r="J95" s="40" cm="1">
        <f t="array" ref="J95">Common_InputFunctions.Utility_DisplayArrayInTable(Common_SourceData.Common_SourceData_ClimateZones_Data(), Table_SourceData_ClimateZones[[#Headers],[Climate zone]], 0)</f>
        <v>10.000999999999999</v>
      </c>
      <c r="K95" s="40" cm="1">
        <f t="array" ref="K95">Common_InputFunctions.Utility_DisplayArrayInTable(Common_SourceData.Common_SourceData_ClimateZones_Data(), Table_SourceData_ClimateZones[[#Headers],[Climate zone]], 0)</f>
        <v>999999</v>
      </c>
      <c r="L95" s="40" cm="1">
        <f t="array" ref="L95">Common_InputFunctions.Utility_DisplayArrayInTable(Common_SourceData.Common_SourceData_ClimateZones_Data(), Table_SourceData_ClimateZones[[#Headers],[Climate zone]], 0)</f>
        <v>-999999</v>
      </c>
      <c r="M95" s="40" cm="1">
        <f t="array" ref="M95">Common_InputFunctions.Utility_DisplayArrayInTable(Common_SourceData.Common_SourceData_ClimateZones_Data(), Table_SourceData_ClimateZones[[#Headers],[Climate zone]], 0)</f>
        <v>999999</v>
      </c>
      <c r="N95" s="40" cm="1">
        <f t="array" ref="N95">Common_InputFunctions.Utility_DisplayArrayInTable(Common_SourceData.Common_SourceData_ClimateZones_Data(), Table_SourceData_ClimateZones[[#Headers],[Climate zone]], 0)</f>
        <v>-999999</v>
      </c>
      <c r="O95" s="40" cm="1">
        <f t="array" ref="O95">Common_InputFunctions.Utility_DisplayArrayInTable(Common_SourceData.Common_SourceData_ClimateZones_Data(), Table_SourceData_ClimateZones[[#Headers],[Climate zone]], 0)</f>
        <v>999999</v>
      </c>
      <c r="P95" s="40" cm="1">
        <f t="array" ref="P95">Common_InputFunctions.Utility_DisplayArrayInTable(Common_SourceData.Common_SourceData_ClimateZones_Data(), Table_SourceData_ClimateZones[[#Headers],[Climate zone]], 0)</f>
        <v>-999999</v>
      </c>
      <c r="Q95" s="40" cm="1">
        <f t="array" ref="Q95">Common_InputFunctions.Utility_DisplayArrayInTable(Common_SourceData.Common_SourceData_ClimateZones_Data(), Table_SourceData_ClimateZones[[#Headers],[Climate zone]], 0)</f>
        <v>999999</v>
      </c>
      <c r="R95" s="40" cm="1">
        <f t="array" ref="R95">Common_InputFunctions.Utility_DisplayArrayInTable(Common_SourceData.Common_SourceData_ClimateZones_Data(), Table_SourceData_ClimateZones[[#Headers],[Climate zone]], 0)</f>
        <v>-999999</v>
      </c>
      <c r="S95" s="40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40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40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40" t="str" cm="1">
        <f t="array" ref="F96">Common_InputFunctions.Utility_DisplayArrayInTable(Common_SourceData.Common_SourceData_ClimateZones_Data(), Table_SourceData_ClimateZones[[#Headers],[Climate zone]], 0)</f>
        <v>Any</v>
      </c>
      <c r="G96" s="40" t="str" cm="1">
        <f t="array" ref="G96">Common_InputFunctions.Utility_DisplayArrayInTable(Common_SourceData.Common_SourceData_ClimateZones_Data(), Table_SourceData_ClimateZones[[#Headers],[Climate zone]], 0)</f>
        <v>Any</v>
      </c>
      <c r="H96" s="40" t="str" cm="1">
        <f t="array" ref="H96">Common_InputFunctions.Utility_DisplayArrayInTable(Common_SourceData.Common_SourceData_ClimateZones_Data(), Table_SourceData_ClimateZones[[#Headers],[Climate zone]], 0)</f>
        <v>Any</v>
      </c>
      <c r="I96" s="40" t="str" cm="1">
        <f t="array" ref="I96">Common_InputFunctions.Utility_DisplayArrayInTable(Common_SourceData.Common_SourceData_ClimateZones_Data(), Table_SourceData_ClimateZones[[#Headers],[Climate zone]], 0)</f>
        <v>&gt; 1</v>
      </c>
      <c r="J96" s="40" cm="1">
        <f t="array" ref="J96">Common_InputFunctions.Utility_DisplayArrayInTable(Common_SourceData.Common_SourceData_ClimateZones_Data(), Table_SourceData_ClimateZones[[#Headers],[Climate zone]], 0)</f>
        <v>-999999</v>
      </c>
      <c r="K96" s="40" cm="1">
        <f t="array" ref="K96">Common_InputFunctions.Utility_DisplayArrayInTable(Common_SourceData.Common_SourceData_ClimateZones_Data(), Table_SourceData_ClimateZones[[#Headers],[Climate zone]], 0)</f>
        <v>10</v>
      </c>
      <c r="L96" s="40" cm="1">
        <f t="array" ref="L96">Common_InputFunctions.Utility_DisplayArrayInTable(Common_SourceData.Common_SourceData_ClimateZones_Data(), Table_SourceData_ClimateZones[[#Headers],[Climate zone]], 0)</f>
        <v>-999999</v>
      </c>
      <c r="M96" s="40" cm="1">
        <f t="array" ref="M96">Common_InputFunctions.Utility_DisplayArrayInTable(Common_SourceData.Common_SourceData_ClimateZones_Data(), Table_SourceData_ClimateZones[[#Headers],[Climate zone]], 0)</f>
        <v>999999</v>
      </c>
      <c r="N96" s="40" cm="1">
        <f t="array" ref="N96">Common_InputFunctions.Utility_DisplayArrayInTable(Common_SourceData.Common_SourceData_ClimateZones_Data(), Table_SourceData_ClimateZones[[#Headers],[Climate zone]], 0)</f>
        <v>-999999</v>
      </c>
      <c r="O96" s="40" cm="1">
        <f t="array" ref="O96">Common_InputFunctions.Utility_DisplayArrayInTable(Common_SourceData.Common_SourceData_ClimateZones_Data(), Table_SourceData_ClimateZones[[#Headers],[Climate zone]], 0)</f>
        <v>999999</v>
      </c>
      <c r="P96" s="40" cm="1">
        <f t="array" ref="P96">Common_InputFunctions.Utility_DisplayArrayInTable(Common_SourceData.Common_SourceData_ClimateZones_Data(), Table_SourceData_ClimateZones[[#Headers],[Climate zone]], 0)</f>
        <v>-999999</v>
      </c>
      <c r="Q96" s="40" cm="1">
        <f t="array" ref="Q96">Common_InputFunctions.Utility_DisplayArrayInTable(Common_SourceData.Common_SourceData_ClimateZones_Data(), Table_SourceData_ClimateZones[[#Headers],[Climate zone]], 0)</f>
        <v>999999</v>
      </c>
      <c r="R96" s="40" cm="1">
        <f t="array" ref="R96">Common_InputFunctions.Utility_DisplayArrayInTable(Common_SourceData.Common_SourceData_ClimateZones_Data(), Table_SourceData_ClimateZones[[#Headers],[Climate zone]], 0)</f>
        <v>1.0009999999999999</v>
      </c>
      <c r="S96" s="40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40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40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40" t="str" cm="1">
        <f t="array" ref="F97">Common_InputFunctions.Utility_DisplayArrayInTable(Common_SourceData.Common_SourceData_ClimateZones_Data(), Table_SourceData_ClimateZones[[#Headers],[Climate zone]], 0)</f>
        <v>Any</v>
      </c>
      <c r="G97" s="40" t="str" cm="1">
        <f t="array" ref="G97">Common_InputFunctions.Utility_DisplayArrayInTable(Common_SourceData.Common_SourceData_ClimateZones_Data(), Table_SourceData_ClimateZones[[#Headers],[Climate zone]], 0)</f>
        <v>Any</v>
      </c>
      <c r="H97" s="40" t="str" cm="1">
        <f t="array" ref="H97">Common_InputFunctions.Utility_DisplayArrayInTable(Common_SourceData.Common_SourceData_ClimateZones_Data(), Table_SourceData_ClimateZones[[#Headers],[Climate zone]], 0)</f>
        <v>Any</v>
      </c>
      <c r="I97" s="40" t="str" cm="1">
        <f t="array" ref="I97">Common_InputFunctions.Utility_DisplayArrayInTable(Common_SourceData.Common_SourceData_ClimateZones_Data(), Table_SourceData_ClimateZones[[#Headers],[Climate zone]], 0)</f>
        <v>≤ 1</v>
      </c>
      <c r="J97" s="40" cm="1">
        <f t="array" ref="J97">Common_InputFunctions.Utility_DisplayArrayInTable(Common_SourceData.Common_SourceData_ClimateZones_Data(), Table_SourceData_ClimateZones[[#Headers],[Climate zone]], 0)</f>
        <v>-999999</v>
      </c>
      <c r="K97" s="40" cm="1">
        <f t="array" ref="K97">Common_InputFunctions.Utility_DisplayArrayInTable(Common_SourceData.Common_SourceData_ClimateZones_Data(), Table_SourceData_ClimateZones[[#Headers],[Climate zone]], 0)</f>
        <v>10</v>
      </c>
      <c r="L97" s="40" cm="1">
        <f t="array" ref="L97">Common_InputFunctions.Utility_DisplayArrayInTable(Common_SourceData.Common_SourceData_ClimateZones_Data(), Table_SourceData_ClimateZones[[#Headers],[Climate zone]], 0)</f>
        <v>-999999</v>
      </c>
      <c r="M97" s="40" cm="1">
        <f t="array" ref="M97">Common_InputFunctions.Utility_DisplayArrayInTable(Common_SourceData.Common_SourceData_ClimateZones_Data(), Table_SourceData_ClimateZones[[#Headers],[Climate zone]], 0)</f>
        <v>999999</v>
      </c>
      <c r="N97" s="40" cm="1">
        <f t="array" ref="N97">Common_InputFunctions.Utility_DisplayArrayInTable(Common_SourceData.Common_SourceData_ClimateZones_Data(), Table_SourceData_ClimateZones[[#Headers],[Climate zone]], 0)</f>
        <v>-999999</v>
      </c>
      <c r="O97" s="40" cm="1">
        <f t="array" ref="O97">Common_InputFunctions.Utility_DisplayArrayInTable(Common_SourceData.Common_SourceData_ClimateZones_Data(), Table_SourceData_ClimateZones[[#Headers],[Climate zone]], 0)</f>
        <v>999999</v>
      </c>
      <c r="P97" s="40" cm="1">
        <f t="array" ref="P97">Common_InputFunctions.Utility_DisplayArrayInTable(Common_SourceData.Common_SourceData_ClimateZones_Data(), Table_SourceData_ClimateZones[[#Headers],[Climate zone]], 0)</f>
        <v>-999999</v>
      </c>
      <c r="Q97" s="40" cm="1">
        <f t="array" ref="Q97">Common_InputFunctions.Utility_DisplayArrayInTable(Common_SourceData.Common_SourceData_ClimateZones_Data(), Table_SourceData_ClimateZones[[#Headers],[Climate zone]], 0)</f>
        <v>999999</v>
      </c>
      <c r="R97" s="40" cm="1">
        <f t="array" ref="R97">Common_InputFunctions.Utility_DisplayArrayInTable(Common_SourceData.Common_SourceData_ClimateZones_Data(), Table_SourceData_ClimateZones[[#Headers],[Climate zone]], 0)</f>
        <v>-999999</v>
      </c>
      <c r="S97" s="40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8" t="str" cm="1">
        <f t="array" ref="D98:D101">Common_SourceData.Common_SourceData_ClimateZones_Appendices()</f>
        <v>Note:</v>
      </c>
    </row>
    <row r="99" spans="4:19" ht="20.100000000000001" customHeight="1" x14ac:dyDescent="0.25">
      <c r="D99" s="58" t="str">
        <v>MAT = mean annual temperature</v>
      </c>
    </row>
    <row r="100" spans="4:19" ht="20.100000000000001" customHeight="1" x14ac:dyDescent="0.25">
      <c r="D100" s="58" t="str">
        <v>MAP = mean annual precipitation</v>
      </c>
    </row>
    <row r="101" spans="4:19" ht="20.100000000000001" customHeight="1" x14ac:dyDescent="0.25">
      <c r="D101" s="58" t="str">
        <v>PET = potential evapotranspiration</v>
      </c>
    </row>
    <row r="102" spans="4:19" ht="20.100000000000001" customHeight="1" x14ac:dyDescent="0.25">
      <c r="D102" s="58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9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40" t="s">
        <v>58</v>
      </c>
      <c r="E109" s="40" t="s">
        <v>39</v>
      </c>
      <c r="F109" s="40" t="s">
        <v>59</v>
      </c>
      <c r="G109" s="40" t="s">
        <v>60</v>
      </c>
    </row>
    <row r="110" spans="4:19" ht="20.100000000000001" customHeight="1" x14ac:dyDescent="0.25">
      <c r="D110" s="40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40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40" cm="1">
        <f t="array" ref="F110">Common_InputFunctions.Utility_DisplayArrayInTable(Common_SourceData.Common_SourceData_TemperatureZones_Data(),Table_SourceData_TemperatureZones[[#Headers],[Temperature Zone]],0)</f>
        <v>26</v>
      </c>
      <c r="G110" s="40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40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40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40" cm="1">
        <f t="array" ref="F111">Common_InputFunctions.Utility_DisplayArrayInTable(Common_SourceData.Common_SourceData_TemperatureZones_Data(),Table_SourceData_TemperatureZones[[#Headers],[Temperature Zone]],0)</f>
        <v>15</v>
      </c>
      <c r="G111" s="40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40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40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40" cm="1">
        <f t="array" ref="F112">Common_InputFunctions.Utility_DisplayArrayInTable(Common_SourceData.Common_SourceData_TemperatureZones_Data(),Table_SourceData_TemperatureZones[[#Headers],[Temperature Zone]],0)</f>
        <v>-999999</v>
      </c>
      <c r="G112" s="40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9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40" t="s">
        <v>61</v>
      </c>
      <c r="E119" s="40" t="s">
        <v>62</v>
      </c>
      <c r="F119" s="40" t="s">
        <v>46</v>
      </c>
      <c r="G119" s="40" t="s">
        <v>47</v>
      </c>
      <c r="BM119" s="7"/>
    </row>
    <row r="120" spans="4:65" ht="20.100000000000001" customHeight="1" x14ac:dyDescent="0.25">
      <c r="D120" s="40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40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40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40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40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40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40" cm="1">
        <f t="array" ref="F121">Common_InputFunctions.Utility_DisplayArrayInTable(Common_SourceData.Common_SourceData_RainfallZones_Data(),Table_SourceData_RainfallZones[[#Headers],[Rainfall Zone]],0)</f>
        <v>-999999</v>
      </c>
      <c r="G121" s="40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40" t="s">
        <v>68</v>
      </c>
      <c r="E127" s="40" t="s">
        <v>69</v>
      </c>
    </row>
    <row r="128" spans="4:65" ht="20.100000000000001" customHeight="1" x14ac:dyDescent="0.25">
      <c r="D128" s="40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40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40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40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96</v>
      </c>
      <c r="E134" t="s">
        <v>97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40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40" t="s">
        <v>71</v>
      </c>
      <c r="E142" s="40" t="s">
        <v>72</v>
      </c>
      <c r="BM142" s="7"/>
    </row>
    <row r="143" spans="4:76" ht="20.100000000000001" customHeight="1" x14ac:dyDescent="0.25">
      <c r="D143" s="40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40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40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40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40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40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40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40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40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40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4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4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4"/>
      <c r="BM152" s="7"/>
    </row>
    <row r="153" spans="4:65" ht="20.100000000000001" customHeight="1" x14ac:dyDescent="0.25">
      <c r="D153" s="24" t="str" cm="1">
        <f t="array" ref="D153:E153">Common_SourceData.Common_SourceData_FracLEACH_Data()</f>
        <v>FracLEACH</v>
      </c>
      <c r="E153" s="24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58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58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59" t="str" cm="1">
        <f t="array" ref="D170:D173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59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59" t="str">
        <v>Removed asterisks to aid lookup.</v>
      </c>
      <c r="BM172" s="7"/>
      <c r="BN172" s="7"/>
      <c r="BO172" s="7"/>
    </row>
    <row r="173" spans="4:67" ht="20.100000000000001" customHeight="1" x14ac:dyDescent="0.25">
      <c r="D173" s="59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59"/>
      <c r="BM174" s="7"/>
      <c r="BN174" s="7"/>
      <c r="BO174" s="7"/>
    </row>
    <row r="175" spans="4:67" ht="20.100000000000001" customHeight="1" x14ac:dyDescent="0.25">
      <c r="D175" s="40" t="s">
        <v>314</v>
      </c>
      <c r="E175" s="40" t="s">
        <v>315</v>
      </c>
      <c r="F175" s="40" t="s">
        <v>316</v>
      </c>
      <c r="G175" s="40" t="s">
        <v>317</v>
      </c>
      <c r="H175" s="40" t="s">
        <v>38</v>
      </c>
      <c r="J175" s="1" t="s">
        <v>319</v>
      </c>
      <c r="BM175" s="7"/>
      <c r="BN175" s="7"/>
      <c r="BO175" s="7"/>
    </row>
    <row r="176" spans="4:67" ht="20.100000000000001" customHeight="1" x14ac:dyDescent="0.25">
      <c r="D176" s="40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40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40" t="str" cm="1">
        <f t="array" ref="F176">Common_InputFunctions.Utility_DisplayArrayInTable(Common_SourceData.Common_SourceData_EFN2O_Data(), Table_SourceData_Common_EFN2O[[#Headers],[Production system j]], 0)</f>
        <v>Pasture</v>
      </c>
      <c r="G176" s="40" t="str" cm="1">
        <f t="array" ref="G176">Common_InputFunctions.Utility_DisplayArrayInTable(Common_SourceData.Common_SourceData_EFN2O_Data(), Table_SourceData_Common_EFN2O[[#Headers],[Production system j]], 0)</f>
        <v>Any</v>
      </c>
      <c r="H176" s="40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320</v>
      </c>
      <c r="BM176" s="7"/>
      <c r="BN176" s="7"/>
      <c r="BO176" s="7"/>
    </row>
    <row r="177" spans="4:67" ht="20.100000000000001" customHeight="1" x14ac:dyDescent="0.25">
      <c r="D177" s="40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40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40" t="str" cm="1">
        <f t="array" ref="F177">Common_InputFunctions.Utility_DisplayArrayInTable(Common_SourceData.Common_SourceData_EFN2O_Data(), Table_SourceData_Common_EFN2O[[#Headers],[Production system j]], 0)</f>
        <v>Crop</v>
      </c>
      <c r="G177" s="40" t="str" cm="1">
        <f t="array" ref="G177">Common_InputFunctions.Utility_DisplayArrayInTable(Common_SourceData.Common_SourceData_EFN2O_Data(), Table_SourceData_Common_EFN2O[[#Headers],[Production system j]], 0)</f>
        <v>Any</v>
      </c>
      <c r="H177" s="40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321</v>
      </c>
      <c r="BM177" s="7"/>
      <c r="BN177" s="7"/>
      <c r="BO177" s="7"/>
    </row>
    <row r="178" spans="4:67" ht="20.100000000000001" customHeight="1" x14ac:dyDescent="0.25">
      <c r="D178" s="40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40" cm="1">
        <f t="array" ref="E178">Common_InputFunctions.Utility_DisplayArrayInTable(Common_SourceData.Common_SourceData_EFN2O_Data(), Table_SourceData_Common_EFN2O[[#Headers],[Production system j]], 0)</f>
        <v>1.8E-3</v>
      </c>
      <c r="F178" s="40" t="str" cm="1">
        <f t="array" ref="F178">Common_InputFunctions.Utility_DisplayArrayInTable(Common_SourceData.Common_SourceData_EFN2O_Data(), Table_SourceData_Common_EFN2O[[#Headers],[Production system j]], 0)</f>
        <v>Pasture</v>
      </c>
      <c r="G178" s="40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40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40" t="str" cm="1">
        <f t="array" ref="D179">Common_InputFunctions.Utility_DisplayArrayInTable(Common_SourceData.Common_SourceData_EFN2O_Data(), Table_SourceData_Common_EFN2O[[#Headers],[Production system j]], 0)</f>
        <v>Non-irrigated crop (low rainfall)</v>
      </c>
      <c r="E179" s="40" cm="1">
        <f t="array" ref="E179">Common_InputFunctions.Utility_DisplayArrayInTable(Common_SourceData.Common_SourceData_EFN2O_Data(), Table_SourceData_Common_EFN2O[[#Headers],[Production system j]], 0)</f>
        <v>2.8999999999999998E-3</v>
      </c>
      <c r="F179" s="40" t="str" cm="1">
        <f t="array" ref="F179">Common_InputFunctions.Utility_DisplayArrayInTable(Common_SourceData.Common_SourceData_EFN2O_Data(), Table_SourceData_Common_EFN2O[[#Headers],[Production system j]], 0)</f>
        <v>Crop</v>
      </c>
      <c r="G179" s="40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40" t="str" cm="1">
        <f t="array" ref="H179">Common_InputFunctions.Utility_DisplayArrayInTable(Common_SourceData.Common_SourceData_EFN2O_Data(), Table_SourceData_Common_EFN2O[[#Headers],[Production system j]], 0)</f>
        <v>Low rainfall</v>
      </c>
      <c r="BM179" s="7"/>
      <c r="BN179" s="7"/>
      <c r="BO179" s="7"/>
    </row>
    <row r="180" spans="4:67" ht="20.100000000000001" customHeight="1" x14ac:dyDescent="0.25">
      <c r="D180" s="40" t="str" cm="1">
        <f t="array" ref="D180">Common_InputFunctions.Utility_DisplayArrayInTable(Common_SourceData.Common_SourceData_EFN2O_Data(), Table_SourceData_Common_EFN2O[[#Headers],[Production system j]], 0)</f>
        <v>Non-irrigated crop (high rainfall)</v>
      </c>
      <c r="E180" s="40" cm="1">
        <f t="array" ref="E180">Common_InputFunctions.Utility_DisplayArrayInTable(Common_SourceData.Common_SourceData_EFN2O_Data(), Table_SourceData_Common_EFN2O[[#Headers],[Production system j]], 0)</f>
        <v>8.0000000000000002E-3</v>
      </c>
      <c r="F180" s="40" t="str" cm="1">
        <f t="array" ref="F180">Common_InputFunctions.Utility_DisplayArrayInTable(Common_SourceData.Common_SourceData_EFN2O_Data(), Table_SourceData_Common_EFN2O[[#Headers],[Production system j]], 0)</f>
        <v>Crop</v>
      </c>
      <c r="G180" s="40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40" t="str" cm="1">
        <f t="array" ref="H180">Common_InputFunctions.Utility_DisplayArrayInTable(Common_SourceData.Common_SourceData_EFN2O_Data(), Table_SourceData_Common_EFN2O[[#Headers],[Production system j]], 0)</f>
        <v>High rainfall</v>
      </c>
    </row>
    <row r="181" spans="4:67" ht="20.100000000000001" customHeight="1" x14ac:dyDescent="0.25">
      <c r="D181" s="40" t="str" cm="1">
        <f t="array" ref="D181">Common_InputFunctions.Utility_DisplayArrayInTable(Common_SourceData.Common_SourceData_EFN2O_Data(), Table_SourceData_Common_EFN2O[[#Headers],[Production system j]], 0)</f>
        <v>Sugar</v>
      </c>
      <c r="E181" s="40" cm="1">
        <f t="array" ref="E181">Common_InputFunctions.Utility_DisplayArrayInTable(Common_SourceData.Common_SourceData_EFN2O_Data(), Table_SourceData_Common_EFN2O[[#Headers],[Production system j]], 0)</f>
        <v>1.9900000000000001E-2</v>
      </c>
      <c r="F181" s="40" t="str" cm="1">
        <f t="array" ref="F181">Common_InputFunctions.Utility_DisplayArrayInTable(Common_SourceData.Common_SourceData_EFN2O_Data(), Table_SourceData_Common_EFN2O[[#Headers],[Production system j]], 0)</f>
        <v>Sugar</v>
      </c>
      <c r="G181" s="40" t="str" cm="1">
        <f t="array" ref="G181">Common_InputFunctions.Utility_DisplayArrayInTable(Common_SourceData.Common_SourceData_EFN2O_Data(), Table_SourceData_Common_EFN2O[[#Headers],[Production system j]], 0)</f>
        <v>Any</v>
      </c>
      <c r="H181" s="40" t="str" cm="1">
        <f t="array" ref="H181">Common_InputFunctions.Utility_DisplayArrayInTable(Common_SourceData.Common_SourceData_EFN2O_Data(), Table_SourceData_Common_EFN2O[[#Headers],[Production system j]], 0)</f>
        <v>Any</v>
      </c>
    </row>
    <row r="182" spans="4:67" ht="20.100000000000001" customHeight="1" x14ac:dyDescent="0.25">
      <c r="D182" s="40" t="str" cm="1">
        <f t="array" ref="D182">Common_InputFunctions.Utility_DisplayArrayInTable(Common_SourceData.Common_SourceData_EFN2O_Data(), Table_SourceData_Common_EFN2O[[#Headers],[Production system j]], 0)</f>
        <v>Cotton</v>
      </c>
      <c r="E182" s="40" cm="1">
        <f t="array" ref="E182">Common_InputFunctions.Utility_DisplayArrayInTable(Common_SourceData.Common_SourceData_EFN2O_Data(), Table_SourceData_Common_EFN2O[[#Headers],[Production system j]], 0)</f>
        <v>5.3E-3</v>
      </c>
      <c r="F182" s="40" t="str" cm="1">
        <f t="array" ref="F182">Common_InputFunctions.Utility_DisplayArrayInTable(Common_SourceData.Common_SourceData_EFN2O_Data(), Table_SourceData_Common_EFN2O[[#Headers],[Production system j]], 0)</f>
        <v>Cotton</v>
      </c>
      <c r="G182" s="40" t="str" cm="1">
        <f t="array" ref="G182">Common_InputFunctions.Utility_DisplayArrayInTable(Common_SourceData.Common_SourceData_EFN2O_Data(), Table_SourceData_Common_EFN2O[[#Headers],[Production system j]], 0)</f>
        <v>Any</v>
      </c>
      <c r="H182" s="40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40" t="str" cm="1">
        <f t="array" ref="D183">Common_InputFunctions.Utility_DisplayArrayInTable(Common_SourceData.Common_SourceData_EFN2O_Data(), Table_SourceData_Common_EFN2O[[#Headers],[Production system j]], 0)</f>
        <v>Horticultural crops</v>
      </c>
      <c r="E183" s="40" cm="1">
        <f t="array" ref="E183">Common_InputFunctions.Utility_DisplayArrayInTable(Common_SourceData.Common_SourceData_EFN2O_Data(), Table_SourceData_Common_EFN2O[[#Headers],[Production system j]], 0)</f>
        <v>6.4000000000000003E-3</v>
      </c>
      <c r="F183" s="40" t="str" cm="1">
        <f t="array" ref="F183">Common_InputFunctions.Utility_DisplayArrayInTable(Common_SourceData.Common_SourceData_EFN2O_Data(), Table_SourceData_Common_EFN2O[[#Headers],[Production system j]], 0)</f>
        <v>Horticultural crops</v>
      </c>
      <c r="G183" s="40" t="str" cm="1">
        <f t="array" ref="G183">Common_InputFunctions.Utility_DisplayArrayInTable(Common_SourceData.Common_SourceData_EFN2O_Data(), Table_SourceData_Common_EFN2O[[#Headers],[Production system j]], 0)</f>
        <v>Any</v>
      </c>
      <c r="H183" s="40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40" t="str" cm="1">
        <f t="array" ref="D184">Common_InputFunctions.Utility_DisplayArrayInTable(Common_SourceData.Common_SourceData_EFN2O_Data(), Table_SourceData_Common_EFN2O[[#Headers],[Production system j]], 0)</f>
        <v>Rice (continuous flooding)</v>
      </c>
      <c r="E184" s="40" cm="1">
        <f t="array" ref="E184">Common_InputFunctions.Utility_DisplayArrayInTable(Common_SourceData.Common_SourceData_EFN2O_Data(), Table_SourceData_Common_EFN2O[[#Headers],[Production system j]], 0)</f>
        <v>3.0000000000000001E-3</v>
      </c>
      <c r="F184" s="40" t="str" cm="1">
        <f t="array" ref="F184">Common_InputFunctions.Utility_DisplayArrayInTable(Common_SourceData.Common_SourceData_EFN2O_Data(), Table_SourceData_Common_EFN2O[[#Headers],[Production system j]], 0)</f>
        <v>Rice</v>
      </c>
      <c r="G184" s="40" t="str" cm="1">
        <f t="array" ref="G184">Common_InputFunctions.Utility_DisplayArrayInTable(Common_SourceData.Common_SourceData_EFN2O_Data(), Table_SourceData_Common_EFN2O[[#Headers],[Production system j]], 0)</f>
        <v>Continuous flooding</v>
      </c>
      <c r="H184" s="40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40" t="str" cm="1">
        <f t="array" ref="D185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5" s="40" cm="1">
        <f t="array" ref="E185">Common_InputFunctions.Utility_DisplayArrayInTable(Common_SourceData.Common_SourceData_EFN2O_Data(), Table_SourceData_Common_EFN2O[[#Headers],[Production system j]], 0)</f>
        <v>5.0000000000000001E-3</v>
      </c>
      <c r="F185" s="40" t="str" cm="1">
        <f t="array" ref="F185">Common_InputFunctions.Utility_DisplayArrayInTable(Common_SourceData.Common_SourceData_EFN2O_Data(), Table_SourceData_Common_EFN2O[[#Headers],[Production system j]], 0)</f>
        <v>Rice</v>
      </c>
      <c r="G185" s="40" t="str" cm="1">
        <f t="array" ref="G185">Common_InputFunctions.Utility_DisplayArrayInTable(Common_SourceData.Common_SourceData_EFN2O_Data(), Table_SourceData_Common_EFN2O[[#Headers],[Production system j]], 0)</f>
        <v>Single and multiple drainage, or alternate wetting and drying</v>
      </c>
      <c r="H185" s="40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40" t="str" cm="1">
        <f t="array" ref="D186">Common_InputFunctions.Utility_DisplayArrayInTable(Common_SourceData.Common_SourceData_EFN2O_Data(), Table_SourceData_Common_EFN2O[[#Headers],[Production system j]], 0)</f>
        <v>Aquaculture</v>
      </c>
      <c r="E186" s="40" cm="1">
        <f t="array" ref="E186">Common_InputFunctions.Utility_DisplayArrayInTable(Common_SourceData.Common_SourceData_EFN2O_Data(), Table_SourceData_Common_EFN2O[[#Headers],[Production system j]], 0)</f>
        <v>2.5999999999999999E-3</v>
      </c>
      <c r="F186" s="40" t="str" cm="1">
        <f t="array" ref="F186">Common_InputFunctions.Utility_DisplayArrayInTable(Common_SourceData.Common_SourceData_EFN2O_Data(), Table_SourceData_Common_EFN2O[[#Headers],[Production system j]], 0)</f>
        <v>Aquaculture</v>
      </c>
      <c r="G186" s="40" t="str" cm="1">
        <f t="array" ref="G186">Common_InputFunctions.Utility_DisplayArrayInTable(Common_SourceData.Common_SourceData_EFN2O_Data(), Table_SourceData_Common_EFN2O[[#Headers],[Production system j]], 0)</f>
        <v>Any</v>
      </c>
      <c r="H186" s="40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40" t="str" cm="1">
        <f t="array" ref="D187">Common_InputFunctions.Utility_DisplayArrayInTable(Common_SourceData.Common_SourceData_EFN2O_Data(), Table_SourceData_Common_EFN2O[[#Headers],[Production system j]], 0)</f>
        <v>Forestry</v>
      </c>
      <c r="E187" s="40" cm="1">
        <f t="array" ref="E187">Common_InputFunctions.Utility_DisplayArrayInTable(Common_SourceData.Common_SourceData_EFN2O_Data(), Table_SourceData_Common_EFN2O[[#Headers],[Production system j]], 0)</f>
        <v>1.8E-3</v>
      </c>
      <c r="F187" s="40" t="str" cm="1">
        <f t="array" ref="F187">Common_InputFunctions.Utility_DisplayArrayInTable(Common_SourceData.Common_SourceData_EFN2O_Data(), Table_SourceData_Common_EFN2O[[#Headers],[Production system j]], 0)</f>
        <v>Forestry</v>
      </c>
      <c r="G187" s="40" t="str" cm="1">
        <f t="array" ref="G187">Common_InputFunctions.Utility_DisplayArrayInTable(Common_SourceData.Common_SourceData_EFN2O_Data(), Table_SourceData_Common_EFN2O[[#Headers],[Production system j]], 0)</f>
        <v>Any</v>
      </c>
      <c r="H187" s="40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40" t="str" cm="1">
        <f t="array" ref="D188">Common_InputFunctions.Utility_DisplayArrayInTable(Common_SourceData.Common_SourceData_EFN2O_Data(), Table_SourceData_Common_EFN2O[[#Headers],[Production system j]], 0)</f>
        <v/>
      </c>
      <c r="E188" s="40" t="str" cm="1">
        <f t="array" ref="E188">Common_InputFunctions.Utility_DisplayArrayInTable(Common_SourceData.Common_SourceData_EFN2O_Data(), Table_SourceData_Common_EFN2O[[#Headers],[Production system j]], 0)</f>
        <v/>
      </c>
      <c r="F188" s="40" t="str" cm="1">
        <f t="array" ref="F188">Common_InputFunctions.Utility_DisplayArrayInTable(Common_SourceData.Common_SourceData_EFN2O_Data(), Table_SourceData_Common_EFN2O[[#Headers],[Production system j]], 0)</f>
        <v/>
      </c>
      <c r="G188" s="40" t="str" cm="1">
        <f t="array" ref="G188">Common_InputFunctions.Utility_DisplayArrayInTable(Common_SourceData.Common_SourceData_EFN2O_Data(), Table_SourceData_Common_EFN2O[[#Headers],[Production system j]], 0)</f>
        <v/>
      </c>
      <c r="H188" s="40" t="str" cm="1">
        <f t="array" ref="H188">Common_InputFunctions.Utility_DisplayArrayInTable(Common_SourceData.Common_SourceData_EFN2O_Data(), Table_SourceData_Common_EFN2O[[#Headers],[Production system j]], 0)</f>
        <v/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FwAdQAwADAAMgA3AG4AbwAgAGQAYQB0AGEAXAB1ADAAMAAyADcAIAB2AGEAbAB1AGUAcw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BcACIATgBvACAAZABhAHQAYQBcACIALAAgADAALgAwADEALAAgADAALgAwADEALAAgADAALgAwADEALAAgAFwAIgBOAG8AIABkAGEAdABhAFwAIgAsACAAXAAiAEQAcgB5AGwAbwB0ACAAKABmAGUAZQBkACAAcABhAGQAKQBcACIAOwAgAFwAbgAgACAAIAAgACAAIAAgACAAIAAgAFwAIgBTAGUAYwBvAG4AZABhAHIAeQBcACIALAAgAFwAIgBTAG8AbABpAGQAIABTAHQAbwByAGEAZwBlACAAKABTAHQAbwBjAGsAcABpAGwAZQApAFwAIgAsACAAMAAuADAAMgAsACAAMAAuADAAMgAsACAAMAAuADAAMgAsACAAXAAiAE4AbwAgAGQAYQB0AGEAXAAiACwAIAAwAC4AMAAyACwAIAAwAC4AMAAyACwAIAAwAC4AMAAyACwAIABcACIATgBvACAAZABhAHQAYQBcACIALAAgAFwAIgBTAG8AbABpAGQAIABzAHQAbwByAGEAZwBlAFwAIgA7ACAAXABuACAAIAAgACAAIAAgACAAIAAgACAAXAAiAFMAZQBjAG8AbgBkAGEAcgB5AFwAIgAsACAAXAAiAEMAbwBtAHAAbwBzAHQAaQBuAGcAIAAoAFAAYQBzAHMAaQB2AGUAIABXAGkAbgBkAHIAbwB3ACkAXAAiACwAIAAwAC4AMAAxACwAIAAwAC4AMAAxACwAIAAwAC4AMAAxACwAIABcACIATgBvACAAZABhAHQAYQBcACIALAAgADAALgAwADEALAAgADAALgAwADEALAAgADAALgAwADEALAAgAFwAIgBOAG8AIABkAGEAdABhAFwAIgAsACAAXAAiAEMAbwBtAHAAbwBzAHQAaQBuAGcAIAAoAHAAYQBzAHMAaQB2AGUAIAB3AGkAbgBkAHIAbwB3ACkAXAAiADsAIABcAG4AIAAgACAAIAAgACAAIAAgACAAIABcACIAUwBlAGMAbwBuAGQAYQByAHkAXAAiACwAIABcACIARABpAHIAZQBjAHQAIABBAHAAcABsAGkAYwBhAHQAaQBvAG4AIAB0AG8AIABzAG8AaQBsAFwAIgAsACAAMAAsACAAMAAsACAAMAAsACAAXAAiAE4AbwAgAGQAYQB0AGEAXAAiACwAIAAwACwAIAAwACwAIAAwACwAIABcACIATgBvACAAZABhAHQAYQBcACI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BcACIATgBvACAAZABhAHQAYQBcACIALAAgADAALgA3ADUALAAgADAALgA3ADUALAAgADAALgA3ADcALAAgAFwAIgBOAG8AIABkAGEAdABhAFwAIg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XwBqAFwAIgAsAFwAIgBsAGUAbgBnAHQAaAAgAG8AZgAgAHMAdABhAHkAIABvAGYAIABlAGEAYwBoACAAYwBhAHQAdABsAGUAIABnAHIAbwB1AHAAIAA6ACAAZABhAHkAcwBcACIAOwBcAG4AIAAgACAAIAAgACAAIAAgACAAIABcACIATQBfAGoAbQBUAFwAIgAsAFwAIgBtAGUAdABoAGEAbgBlACAAcAByAG8AZAB1AGMAdABpAG8AbgAgAGYAcgBvAG0AIABtAGEAbgB1AHIAZQAgAHAAZQByACAAYwBhAHQAdABsAGUAIABnAHIAbwB1AHAALAAgAE0ATQBTACwAIABhAG4AZAAgAHQAcgBlAGEAdABtAGUAbgB0ACAAcwB0AGEAZwBlACAAOgAgAGsAZwAgAEMASAA0AC8AaABlAGEAZAAvAGQAYQB5AFwAIgA7AFwAbgAgACAAIAAgACAAIAAgACAAIAAgAFwAIgBOAF8AagBcACIALABcACIAbgB1AG0AYgBlAHIAcwAgAG8AZgAgAGIAZQBlAGYAIABjAGEAdAB0AGwAZQAgAGkAbgAgAGUAYQBjAGgAIABnAHIAbwB1AHA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yAF8AUwB0AGEAZwBlADEATQBlAHQAaABhAG4AZQBQAHIAbwBkAHUAYwB0AGkAbwBuAEQAcgB5AGwAbwB0AFwAbgBQAHIAbwBkAHUAYwB0AGkAbwBuACAAbwBmACAAbQBlAHQAaABhAG4AZQAgAGkAbgAgAHQAcgBlAGEAdABtAGUAbgB0ACAAcwB0AGEAZwBlACAAMQAgAE0ATQBTAFwAbgBNAF8AagBtADUAVAAxAFwAbgBrAGcAIABDAEgANAAvAGgAZQBhAGQALwBkAGEAeQBcAG4ATQBfAHsAagBtAD0ANQAsAFQAPQAxAH0APQBWAFMAXwB7AGoAfQBcAFwAdABpAG0AZQBzACAAQgBPAFwAXAB0AGkAbQBlAHMAIABNAE0AUwBfAHsAbQA9ADUALABUAD0AMQB9AFwAXAB0AGkAbQBlAHMAIABNAEMARgBfAHsAaQBtAD0AN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1AFQAMQAgAD0AIABmAHIAYQBjAHQAaQBvAG4AIABvAGYAIABtAGEAbgB1AHIAZQAgAGkAbgAgAHAAcgBpAG0AYQByAHkAIABzAHkAcwB0AGUAbQAgAGQAcgB5AGwAbwB0ACAATQBNAFMAIAA6ACAAZgByAGEAYwB0AGkAbwBuAFwAbgBNAEMARgBfAGkAbQA1ACAAPQAgAG0AZQB0AGgAYQBuAGUAIABjAG8AbgB2AGUAcgBzAGkAbwBuACAAZgBhAGMAdABvAHIAIABmAG8AcgAgAHQAZQBtAHAAZQByAGEAdAB1AHIAZQAgAHoAbwBu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NQBUADEAXAAiACwAXAAiAGYAcgBhAGMAdABpAG8AbgAgAG8AZgAgAG0AYQBuAHUAcgBlACAAaQBuACAAcAByAGkAbQBhAHIAeQAgAHMAeQBzAHQAZQBtACAAZAByAHkAbABvAHQAIABNAE0AUwAgADoAIABmAHIAYQBjAHQAaQBvAG4AXAAiADsAXABuACAAIAAgACAAIAAgACAAIAAgACAAXAAiAE0AQwBGAF8AaQBtADUAXAAiACwAXAAiAG0AZQB0AGgAYQBuAGUAIABjAG8AbgB2AGUAcgBzAGkAbwBuACAAZgBhAGMAdABvAHIAIABmAG8AcgAgAHQAZQBtAHAAZQByAGEAdAB1AHIAZQAgAHoAbwBuAGUAIABhAG4AZAAgAGQAcgB5AGwAbwB0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I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CAAOgAgAGYAcgBhAGMAdABpAG8AbgBcACIAO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HQAZQBtAHAAZQByAGEAdAB1AHIAZQAgAHoAbwBuAGUAIABhAG4AZAAgAGEAbgBhAGUAcgBvAGIAaQBjACAAbABhAGcAbwBvAG4AIABzAHkAcwB0AGUAbQ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0AF8AUwB0AGEAZwBlADMATQBlAHQAaABhAG4AZQBQAHIAbwBkAHUAYwB0AGkAbwBuAEEAbgBhAGUAcgBvAGIAaQBjAEwAYQBnAG8AbwBuAFwAbgAgACAAPQBMAEEATQBCAEQAQQAoAFwAbgAgACAAIAAgAFYAUwBfAGoALAAgAEIATwAsACAATQBNAFMAXwBtADEAVAAzACwAIABNAEMARgBfAGkAbQAxACwAIAByAGgAbwAsAFwAbgAgACAAIAAgAFYAUwBfAGoAIAAqACAAQgBPACAAKgAgAE0ATQBTAF8AbQAxAFQAMwAgACoAIABNAEMARgBfAGkAbQAxACAAKgAgAHIAaABvAFwAbgAgACAAKQA7AFwAbgBcAG4AVgBFAEUAUgBHAF8ANABfADEAXwAxAF8AMQBfAF8ANABfAFMAdABhAGcAZQAzAE0AZQB0AGgAYQBuAGUAUAByAG8AZAB1AGMAdABpAG8AbgBBAG4AYQBlAHIAbwBiAGkAYwBMAGEAZwBvAG8AbgBfAFQAaQB0AGwAZQBcAG4AIAAgAD0ATABBAE0AQgBEAEEAKABcACIAUAByAG8AZAB1AGMAdABpAG8AbgAgAG8AZgAgAG0AZQB0AGgAYQBuAGUAIABpAG4AIAB0AHIAZQBhAHQAbQBlAG4AdAAgAHMAdABhAGcAZQAgADMAIABNAE0AUwBcACIAKQA7AFwAbgBcAG4AVgBFAEUAUgBHAF8ANABfADEAXwAxAF8AMQBfAF8ANABfAFMAdABhAGcAZQAzAE0AZQB0AGgAYQBuAGUAUAByAG8AZAB1AGMAdABpAG8AbgBBAG4AYQBlAHIAbwBiAGkAYwBMAGEAZwBvAG8AbgBfAFYAYQByAGkAYQBiAGwAZQBcAG4AIAAgAD0ATABBAE0AQgBEAEEAKABcACIATQBfAGoAbQAxAFQAMwBcACIAKQA7AFwAbgBcAG4AVgBFAEUAUgBHAF8ANABfADEAXwAxAF8AMQBfAF8ANABfAFMAdABhAGcAZQAzAE0AZQB0AGgAYQBuAGUAUAByAG8AZAB1AGMAdABpAG8AbgBBAG4AYQBlAHIAbwBiAGkAYwBMAGEAZwBvAG8AbgBfAFUAbgBpAHQAXABuACAAIAA9AEwAQQBNAEIARABBACgAXAAiAGsAZwAgAEMASAA0AC8AaABlAGEAZAAvAGQAYQB5AFwAIgApADsAXABuAFwAbgBWAEUARQBSAEcAXwA0AF8AMQBfADEAXwAxAF8AXwA0AF8AUwB0AGEAZwBlADMATQBlAHQAaABhAG4AZQBQAHIAbwBkAHUAYwB0AGkAbwBuAEEAbgBhAGUAcgBvAGIAaQBjAEwAYQBnAG8AbwBuAF8AUwBvAHUAcgBjAGUAXABuACAAIAA9AEwAQQBNAEIARABBACgAXAAiAFYARQBFAFIARwAgADIAMAAyADYAOgAgADQALgAxAC4AMQAuADEALAAgAEUAcQB1AGEAdABpAG8AbgAgACgANAApAFwAIgApADsAXABuAFwAbgBWAEUARQBSAEcAXwA0AF8AMQBfADEAXwAxAF8AXwA0AF8AUwB0AGEAZwBlADMATQBlAHQAaABhAG4AZQBQAHIAbwBkAHUAYwB0AGkAbwBuAEEAbgBhAGUAcgBvAGIAaQBjAEwAYQBnAG8AbwBuAF8ATgBJAFIAUgBlAGYAZQByAGUAbgBjAGUAXABuACAAIAA9AEwAQQBNAEIARABBACgAXAAiAFwAIgApADsAXABuAFwAbgBWAEUARQBSAEcAXwA0AF8AMQBfADEAXwAxAF8AXwA0AF8AUwB0AGEAZwBlADMATQBlAHQAaABhAG4AZQBQAHIAbwBkAHUAYwB0AGkAbwBuAEEAbgBhAGUAcgBvAGIAaQBjAEwAYQBnAG8AbwBuAF8ATABhAHQAZQB4AEUAcQB1AGEAdABpAG8AbgBcAG4AIAAgAD0ATABBAE0AQgBEAEEAKABcACIATQBfAHsAagBtAD0AMQAsAFQAPQAzAH0APQBWAFMAXwB7AGoAfQBcAFwAdABpAG0AZQBzACAAQgBPAFwAXAB0AGkAbQBlAHMAIABNAE0AUwBfAHsAbQA9ADEALABUAD0AMwB9AFwAXAB0AGkAbQBlAHMAIABNAEMARgBfAHsAaQBtAD0AMQB9AFwAXAB0AGkAbQBlAHMAIABcAFwAcgBoAG8AXAAiACkAOwBcAG4AXABuAFYARQBFAFIARwBfADQAXwAxAF8AMQBfADEAXwBfADQAXwBTAHQAYQBnAGUAMwBNAGUAdABoAGEAbgBlAFAAcgBvAGQAdQBjAHQAaQBvAG4AQQBuAGEAZQByAG8AYgBpAGMATABhAGcAbwBvAG4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AgADoAIABrAGcALwBoAGUAYQBkAC8AZABhAHkAXAAiADsAXABuACAAIAAgACAAIAAgACAAIAAgACAAXAAiAEIATwBcACIALABcACIAZQBtAGkAcwBzAGkAbwBuAHMAIABwAG8AdABlAG4AdABpAGEAbAAgADoAIABtADMAIABDAEgANAAvAGsAZwAgAFYAUwBcACIAOwBcAG4AIAAgACAAIAAgACAAIAAgACAAIABcACIATQBNAFMAXwBtADEAVAAzAFwAIgAsAFwAIgBmAHIAYQBjAHQAaQBvAG4AIABvAGYAIABtAGEAbgB1AHIAZQAgAHQAbwAgAHQAZQByAHQAaQBhAHIAeQAgAGEAbgBhAGUAcgBvAGIAaQBjACAAbABhAGcAbwBvAG4AIABzAHkAcwB0AGUAbQAgADoAIABmAHIAYQBjAHQAaQBvAG4AXAAiADsAXABuACAAIAAgACAAIAAgACAAIAAgACAAXAAiAE0AQwBGAF8AaQBtADEAXAAiACwAXAAiAG0AZQB0AGgAYQBuAGUAIABjAG8AbgB2AGUAcgBzAGkAbwBuACAAZgBhAGMAdABvAHIAIABmAG8AcgAgAHQAZQBtAHAAZQByAGEAdAB1AHIAZQAgAHoAbwBuAGUAIABhAG4AZAAgAGEAbgBhAGUAcgBvAGIAaQBjACAAbABhAGcAbwBvAG4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FwAIgAsAFwAIgBkAHIAeQAgAG0AYQB0AHQAZQByACAAaQBuAHQAYQBrAGUAIABmAG8AcgAgAGUAYQBjAGgAIABnAHIAbwB1AHAAIABqACAAOgAgAGsAZwAgAEQATQAvAGgAZQBhAGQALwBkAGEAeQBcACIAOwBcAG4AIAAgACAAIAAgACAAIAAgACAAIABcACIARABNAEQAXwBqAFwAIgAsAFwAIgBkAHIAeQAgAG0AYQB0AHQAZQByACAAZABpAGcAZQBzAHQAaQBiAGkAbABpAHQAeQAgAGYAbwByACAAZQBhAGMAaAAgAGcAcgBvAHUAcAAgAGoAIAA6ACAAZgByAGEAYwB0AGkAbwBuAFwAIgA7AFwAbgAgACAAIAAgACAAIAAgACAAIAAgAFwAIgBBAFwAIgAsAFwAIgBhAHMAaAAgAGMAbwBuAHQAZQBuAHQAIABvAGYAIABtAGEAbgB1AHIAZQAgADoAIABmAHIAYQBjAHQAaQBvAG4AXAAiAFwAbgAgACAAIAAgACAAIAAgACAAfQAsACAAcgAsACAAYwApAFwAbgAgACAAIAAgACAAIAApAFwAbgAgACAAIAAgACkAXABuACAAIAApADsAXABuAFwAbgBcAG4AXABuAFwAbgBcAG4AXABuACIAfQAsAHsAIgBwAGEAdABoACIAOgAiAC8AcAByAG8AagBlAGMAdABzAC8ATQBNAFMAXwBGAGUAZQBkAGwAbwB0AF8ATgAyAE8AX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Mg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CAAOgAgAGsAZwAgAE4AXAAiADsAXABuACAAIAAgACAAIAAgACAAIAAgACAAXAAiAEUARgBfAGoAbQBcACIALABcACIAbgBpAHQAcgBvAHUAcwAgAG8AeABpAGQAZQAgAGUAbQBpAHMAcwBpAG8AbgAgAGYAYQBjAHQAbwByACAAZgBvAHIAIABNAE0AUw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IAXwBTAHQAYQBnAGUAMQBOAGkAdAByAG8AZwBlAG4ASQBuAE0ATQBTAEQAcgB5AGwAbwB0AFwAbgBOAGkAdAByAG8AZwBlAG4AIABpAG4AIAB0AHIAZQBhAHQAbQBlAG4AdAAgAHMAdABhAGcAZQAgADEAIABNAE0AUwBcAG4ATQBOAF8AagBtADUAVAAxAFwAbgBrAGcAIABOAFwAbgBNAE4AXwB7AGoAbQA9ADUALABUAD0AMQB9AD0AQQBFAF8AewBqAH0AXABcAHQAaQBtAGUAcwAgAE0ATQBTAF8AewBqAG0APQA1ACwAVAA9ADEAfQBcAG4AQQBFAF8AagAgAD0AIAB0AG8AdABhAGwAIABuAGkAdAByAG8AZwBlAG4AIABlAHgAYwByAGUAdABlAGQAIABiAHkAIABlAGEAYwBoACAAYwBhAHQAdABsAGUAIABnAHIAbwB1AHAAIAA6ACAAawBnACAATgBcAG4ATQBNAFMAXwBqAG0ANQBUADEAIAA9ACAAZgByAGEAYwB0AGkAbwBuACAAbwBmACAAbQBhAG4AdQByAGUAIABpAG4AIABwAHIAaQBtAGEAcgB5ACAAcwB5AHMAdABlAG0AIABkAHIAeQBsAG8AdAAgAE0ATQBTACAAOgAgAGYAcgBhAGMAdABpAG8AbgBcAG4ALQAtAC0ALQAtAC0ALQAtAC0ALQAtAC0ALQAtAC0ALQAtAC0ALQAtAC0ALQAtAC0ALQAtAC0ALQAtAC0ALQAtAC0ALQAtAC0ALQAtAFwAbgAqAC8AXABuAFwAbgBWAEUARQBSAEcAXwA0AF8AMQBfADEAXwAzAF8AXwAyAF8AUwB0AGEAZwBlADEATgBpAHQAcgBvAGcAZQBuAEkAbgBNAE0AUwBEAHIAeQBsAG8AdABcAG4AIAAgAD0ATABBAE0AQgBEAEEAKABcAG4AIAAgACAAIABBAEUAXwBqACwAIABNAE0AUwBfAGoAbQA1AFQAMQAsAFwAbgAgACAAIAAgAEEARQBfAGoAIAAqACAATQBNAFMAXwBqAG0ANQBUADEAXABuACAAIAApADsAXABuAFwAbgBWAEUARQBSAEcAXwA0AF8AMQBfADEAXwAzAF8AXwAyAF8AUwB0AGEAZwBlADEATgBpAHQAcgBvAGcAZQBuAEkAbgBNAE0AUwBEAHIAeQBsAG8AdABfAFQAaQB0AGwAZQBcAG4AIAAgAD0ATABBAE0AQgBEAEEAKABcACIATgBpAHQAcgBvAGcAZQBuACAAaQBuACAAdAByAGUAYQB0AG0AZQBuAHQAIABzAHQAYQBnAGUAIAAxACAATQBNAFMAXAAiACkAOwBcAG4AXABuAFYARQBFAFIARwBfADQAXwAxAF8AMQBfADMAXwBfADIAXwBTAHQAYQBnAGUAMQBOAGkAdAByAG8AZwBlAG4ASQBuAE0ATQBTAEQAcgB5AGwAbwB0AF8AVgBhAHIAaQBhAGIAbABlAFwAbgAgACAAPQBMAEEATQBCAEQAQQAoAFwAIgBNAE4AXwBqAG0ANQBUADEAXAAiACkAOwBcAG4AXABuAFYARQBFAFIARwBfADQAXwAxAF8AMQBfADMAXwBfADIAXwBTAHQAYQBnAGUAMQBOAGkAdAByAG8AZwBlAG4ASQBuAE0ATQBTAEQAcgB5AGwAbwB0AF8AVQBuAGkAdABcAG4AIAAgAD0ATABBAE0AQgBEAEEAKABcACIAawBnACAATgBcACIAKQA7AFwAbgBcAG4AVgBFAEUAUgBHAF8ANABfADEAXwAxAF8AMwBfAF8AMgBfAFMAdABhAGcAZQAxAE4AaQB0AHIAbwBnAGUAbgBJAG4ATQBNAFMARAByAHkAbABvAHQAXwBTAG8AdQByAGMAZQBcAG4AIAAgAD0ATABBAE0AQgBEAEEAKABcACIAVgBFAEUAUgBHACAAMgAwADIANgA6ACAANAAuADEALgAxAC4AMwAsACAARQBxAHUAYQB0AGkAbwBuACAAKAAyACkAXAAiACkAOwBcAG4AXABuAFYARQBFAFIARwBfADQAXwAxAF8AMQBfADMAXwBfADIAXwBTAHQAYQBnAGUAMQBOAGkAdAByAG8AZwBlAG4ASQBuAE0ATQBTAEQAcgB5AGwAbwB0AF8ATgBJAFIAUgBlAGYAZQByAGUAbgBjAGUAXABuACAAIAA9AEwAQQBNAEIARABBACgAXAAiAFwAIgApADsAXABuAFwAbgBWAEUARQBSAEcAXwA0AF8AMQBfADEAXwAzAF8AXwAyAF8AUwB0AGEAZwBlADEATgBpAHQAcgBvAGcAZQBuAEkAbgBNAE0AUwBEAHIAeQBsAG8AdABfAEwAYQB0AGUAeABFAHEAdQBhAHQAaQBvAG4AXABuACAAIAA9AEwAQQBNAEIARABBACgAXAAiAE0ATgBfAHsAagBtAD0ANQAsAFQAPQAxAH0APQBBAEUAXwB7AGoAfQBcAFwAdABpAG0AZQBzACAATQBNAFMAXwB7AGoAbQA9ADUALABUAD0AMQB9AFwAIgApADsAXABuAFwAbgBWAEUARQBSAEcAXwA0AF8AMQBfADEAXwAzAF8AXwAyAF8AUwB0AGEAZwBlADEATgBpAHQAcgBvAGcAZQBuAEkAbgBNAE0AUwBEAHIAeQBsAG8AdABfAEEAcgBnAHUAbQBlAG4AdABzAFwAbgAgACAAPQBMAEEATQBCAEQAQQAoAFwAbgAgACAAIAAgAE0AQQBLAEUAQQBSAFIAQQBZACgAMgAsACAAMgAsAFwAbgAgACAAIAAgACAAIABMAEEATQBCAEQAQQAoAHIALABjACwAXABuACAAIAAgACAAIAAgACAAIABJAE4ARABFAFgAKAB7AFwAbgAgACAAIAAgACAAIAAgACAAIAAgAFwAIgBBAEUAXwBqAFwAIgAsAFwAIgB0AG8AdABhAGwAIABuAGkAdAByAG8AZwBlAG4AIABlAHgAYwByAGUAdABlAGQAIABiAHkAIABlAGEAYwBoACAAYwBhAHQAdABsAGUAIABnAHIAbwB1AHAAIAA6ACAAawBnACAATgBcACIAOwBcAG4AIAAgACAAIAAgACAAIAAgACAAIABcACIATQBNAFMAXwBqAG0ANQBUADEAXAAiACwAXAAiAGYAcgBhAGMAdABpAG8AbgAgAG8AZgAgAG0AYQBuAHUAcgBlACAAaQBuACAAcAByAGkAbQBhAHIAeQAgAHMAeQBzAHQAZQBtACAAZAByAHkAbABvAHQAIABNAE0AUw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wBfAEEAbgBuAHUAYQBsAE4AaQB0AHIAbwBnAGUAbgBFAHgAYwByAGUAdABpAG8AbgBcAG4AQQBuAG4AdQBhAGwAIABuAGkAdAByAG8AZwBlAG4AIABlAHgAYwByAGUAdABpAG8AbgAgAGYAcgBvAG0AIABlAGEAYwBoACAAZgBlAGUAZABsAG8AdAAgAGMAYQB0AHQAbABlACAAZwByAG8AdQBwAFwAbgBBAEUAXwBqAFwAbgBrAGcAIABOAFwAbgBBAEUAXwB7AGoAfQA9AE4AXwB7AGoAfQBcAFwAdABpAG0AZQBzACAATgBFAF8AewBqAH0AXABcAHQAaQBtAGUAcwAgAEQAXwB7AGoAfQBcAG4ATgBfAGoAIAA9ACAAbgB1AG0AYgBlAHIAIABvAGYAIABjAGEAdAB0AGwAZQAgAGkAbgAgAGUAYQBjAGgAIABnAHIAbwB1AHAAIAA6ACAAaABlAGEAZABcAG4ATgBFAF8AagAgAD0AIABuAGkAdAByAG8AZwBlAG4AIABlAHgAYwByAGUAdABpAG8AbgAgADoAIABrAGcAIABOAC8AaABlAGEAZAAvAGQAYQB5AFwAbgBEAF8AagAgAD0AIABkAHUAcgBhAHQAaQBvAG4AIABvAGYAIABzAHQAYQB5ACAAbwBmACAAYwBhAHQAdABsAGUAIABnAHIAbwB1AHAAIAA6ACAAZABhAHkAcwBcAG4ALQAtAC0ALQAtAC0ALQAtAC0ALQAtAC0ALQAtAC0ALQAtAC0ALQAtAC0ALQAtAC0ALQAtAC0ALQAtAC0ALQAtAC0ALQAtAC0ALQAtAFwAbgAqAC8AXABuAFwAbgBWAEUARQBSAEcAXwA0AF8AMQBfADEAXwAzAF8AXwAzAF8AQQBuAG4AdQBhAGwATgBpAHQAcgBvAGcAZQBuAEUAeABjAHIAZQB0AGkAbwBuAFwAbgAgACAAPQBMAEEATQBCAEQAQQAoAFwAbgAgACAAIAAgAE4AXwBqACwAIABOAEUAXwBqACwAIABEAF8AagAsAFwAbgAgACAAIAAgAE4AXwBqACAAKgAgAE4ARQBfAGoAIAAqACAARABfAGoAXABuACAAIAApADsAXABuAFwAbgBWAEUARQBSAEcAXwA0AF8AMQBfADEAXwAzAF8AXwAzAF8AQQBuAG4AdQBhAGwATgBpAHQAcgBvAGcAZQBuAEUAeABjAHIAZQB0AGkAbwBuAF8AVABpAHQAbABlAFwAbgAgACAAPQBMAEEATQBCAEQAQQAoAFwAIgBBAG4AbgB1AGEAbAAgAG4AaQB0AHIAbwBnAGUAbgAgAGUAeABjAHIAZQB0AGkAbwBuACAAZgByAG8AbQAgAGUAYQBjAGgAIABmAGUAZQBkAGwAbwB0ACAAYwBhAHQAdABsAGUAIABnAHIAbwB1AHAAXAAiACkAOwBcAG4AXABuAFYARQBFAFIARwBfADQAXwAxAF8AMQBfADMAXwBfADMAXwBBAG4AbgB1AGEAbABOAGkAdAByAG8AZwBlAG4ARQB4AGMAcgBlAHQAaQBvAG4AXwBWAGEAcgBpAGEAYgBsAGUAXABuACAAIAA9AEwAQQBNAEIARABBACgAXAAiAEEARQBfAGoAXAAiACkAOwBcAG4AXABuAFYARQBFAFIARwBfADQAXwAxAF8AMQBfADMAXwBfADMAXwBBAG4AbgB1AGEAbABOAGkAdAByAG8AZwBlAG4ARQB4AGMAcgBlAHQAaQBvAG4AXwBVAG4AaQB0AFwAbgAgACAAPQBMAEEATQBCAEQAQQAoAFwAIgBrAGcAIABOAFwAIgApADsAXABuAFwAbgBWAEUARQBSAEcAXwA0AF8AMQBfADEAXwAzAF8AXwAzAF8AQQBuAG4AdQBhAGwATgBpAHQAcgBvAGcAZQBuAEUAeABjAHIAZQB0AGkAbwBuAF8AUwBvAHUAcgBjAGUAXABuACAAIAA9AEwAQQBNAEIARABBACgAXAAiAFYARQBFAFIARwAgADIAMAAyADYAOgAgADQALgAxAC4AMQAuADMALAAgAEUAcQB1AGEAdABpAG8AbgAgACgAMwApAFwAIgApADsAXABuAFwAbgBWAEUARQBSAEcAXwA0AF8AMQBfADEAXwAzAF8AXwAzAF8AQQBuAG4AdQBhAGwATgBpAHQAcgBvAGcAZQBuAEUAeABjAHIAZQB0AGkAbwBuAF8ATgBJAFIAUgBlAGYAZQByAGUAbgBjAGUAXABuACAAIAA9AEwAQQBNAEIARABBACgAXAAiAFwAIgApADsAXABuAFwAbgBWAEUARQBSAEcAXwA0AF8AMQBfADEAXwAzAF8AXwAzAF8AQQBuAG4AdQBhAGwATgBpAHQAcgBvAGcAZQBuAEUAeABjAHIAZQB0AGkAbwBuAF8ATABhAHQAZQB4AEUAcQB1AGEAdABpAG8AbgBcAG4AIAAgAD0ATABBAE0AQgBEAEEAKABcACIAQQBFAF8AewBqAH0APQBOAF8AewBqAH0AXABcAHQAaQBtAGUAcwAgAE4ARQBfAHsAagB9AFwAXAB0AGkAbQBlAHMAIABEAF8AewBqAH0AXAAiACkAOwBcAG4AXABuAFYARQBFAFIARwBfADQAXwAxAF8AMQBfADMAXwBfADM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XAAiACwAXAAiAG4AdQBtAGIAZQByACAAbwBmACAAYwBhAHQAdABsAGUAIABpAG4AIABlAGEAYwBoACAAZwByAG8AdQBwACAAOgAgAGgAZQBhAGQAXAAiADsAXABuACAAIAAgACAAIAAgACAAIAAgACAAXAAiAE4ARQBfAGoAXAAiACwAXAAiAG4AaQB0AHIAbwBnAGUAbgAgAGUAeABjAHIAZQB0AGkAbwBuACAAOgAgAGsAZwAgAE4ALwBoAGUAYQBkAC8AZABhAHkAXAAiADsAXABuACAAIAAgACAAIAAgACAAIAAgACAAXAAiAEQAXwBqAFwAIgAsAFwAIgBkAHUAcgBhAHQAaQBvAG4AIABvAGYAIABzAHQAYQB5ACAAbwBmACAAYwBhAHQAdABsAGUAIABnAHIAbwB1AHAAIAA6ACAAZABhAHkAc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0AF8ATgBpAHQAcgBvAGcAZQBuAEUAeABjAHIAZQB0AGkAbwBuAFAAZQByAEgAZQBhAGQAXABuAE4AaQB0AHIAbwBnAGUAbgAgAGUAeABjAHIAZQB0AGkAbwBuACAAcABlAHIAIABoAGUAYQBkACAAcABlAHIAIABkAGEAeQBcAG4ATgBFAF8AagBcAG4AawBnACAATgAvAGgAZQBhAGQALwBkAGEAeQBcAG4ATgBFAF8AewBqAH0APQBOAEkAXwB7AGoAfQBcAFwAdABpAG0AZQBzACgAMQAtAE4AUgBfAHsAagB9ACkAXABuAE4ASQBfAGoAIAA9ACAAbgBpAHQAcgBvAGcAZQBuACAAaQBuAHQAYQBrAGUAIAA6ACAAawBnACAATgAvAGgAZQBhAGQALwBkAGEAeQBcAG4ATgBSAF8Aag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MQBfADEAXwAzAF8AXwA0AF8ATgBpAHQAcgBvAGcAZQBuAEUAeABjAHIAZQB0AGkAbwBuAFAAZQByAEgAZQBhAGQAXABuACAAIAA9AEwAQQBNAEIARABBACgAXABuACAAIAAgACAATgBJAF8AagAsACAATgBSAF8AagAsAFwAbgAgACAAIAAgAE4ASQBfAGoAIAAqACAAKAAxACAALQAgAE4AUgBfAGoAKQBcAG4AIAAgACkAOwBcAG4AXABuAFYARQBFAFIARwBfADQAXwAxAF8AMQBfADMAXwBfADQAXwBOAGkAdAByAG8AZwBlAG4ARQB4AGMAcgBlAHQAaQBvAG4AUABlAHIASABlAGEAZABfAFQAaQB0AGwAZQBcAG4AIAAgAD0ATABBAE0AQgBEAEEAKABcACIATgBpAHQAcgBvAGcAZQBuACAAZQB4AGMAcgBlAHQAaQBvAG4AIABwAGUAcgAgAGgAZQBhAGQAIABwAGUAcgAgAGQAYQB5AFwAIgApADsAXABuAFwAbgBWAEUARQBSAEcAXwA0AF8AMQBfADEAXwAzAF8AXwA0AF8ATgBpAHQAcgBvAGcAZQBuAEUAeABjAHIAZQB0AGkAbwBuAFAAZQByAEgAZQBhAGQAXwBWAGEAcgBpAGEAYgBsAGUAXABuACAAIAA9AEwAQQBNAEIARABBACgAXAAiAE4ARQBfAGoAXAAiACkAOwBcAG4AXABuAFYARQBFAFIARwBfADQAXwAxAF8AMQBfADMAXwBfADQAXwBOAGkAdAByAG8AZwBlAG4ARQB4AGMAcgBlAHQAaQBvAG4AUABlAHIASABlAGEAZABfAFUAbgBpAHQAXABuACAAIAA9AEwAQQBNAEIARABBACgAXAAiAGsAZwAgAE4ALwBoAGUAYQBkAC8AZABhAHkAXAAiACkAOwBcAG4AXABuAFYARQBFAFIARwBfADQAXwAxAF8AMQBfADMAXwBfADQAXwBOAGkAdAByAG8AZwBlAG4ARQB4AGMAcgBlAHQAaQBvAG4AUABlAHIASABlAGEAZABfAFMAbwB1AHIAYwBlAFwAbgAgACAAPQBMAEEATQBCAEQAQQAoAFwAIgBWAEUARQBSAEcAIAAyADAAMgA2ADoAIAA0AC4AMQAuADEALgAzACwAIABFAHEAdQBhAHQAaQBvAG4AIAAoADQAKQBcACIAKQA7AFwAbgBcAG4AVgBFAEUAUgBHAF8ANABfADEAXwAxAF8AMwBfAF8ANABfAE4AaQB0AHIAbwBnAGUAbgBFAHgAYwByAGUAdABpAG8AbgBQAGUAcgBIAGUAYQBkAF8ATgBJAFIAUgBlAGYAZQByAGUAbgBjAGUAXABuACAAIAA9AEwAQQBNAEIARABBACgAXAAiAFwAIgApADsAXABuAFwAbgBWAEUARQBSAEcAXwA0AF8AMQBfADEAXwAzAF8AXwA0AF8ATgBpAHQAcgBvAGcAZQBuAEUAeABjAHIAZQB0AGkAbwBuAFAAZQByAEgAZQBhAGQAXwBMAGEAdABlAHgARQBxAHUAYQB0AGkAbwBuAFwAbgAgACAAPQBMAEEATQBCAEQAQQAoAFwAIgBOAEUAXwB7AGoAfQA9AE4ASQBfAHsAagB9AFwAXAB0AGkAbQBlAHMAKAAxAC0ATgBSAF8AewBqAH0AKQBcACIAKQA7AFwAbgBcAG4AVgBFAEUAUgBHAF8ANABfADEAXwAxAF8AMwBfAF8ANABfAE4AaQB0AHIAbwBnAGUAbgBFAHgAYwByAGUAdABpAG8AbgBQAGUAcgBIAGUAYQBkAF8AQQByAGcAdQBtAGUAbgB0AHMAXABuACAAIAA9AEwAQQBNAEIARABBACgAXABuACAAIAAgACAATQBBAEsARQBBAFIAUgBBAFkAKAAyACwAIAAyACwAXABuACAAIAAgACAAIAAgAEwAQQBNAEIARABBACgAcgAsAGMALABcAG4AIAAgACAAIAAgACAAIAAgAEkATgBEAEUAWAAoAHsAXABuACAAIAAgACAAIAAgACAAIAAgACAAXAAiAE4ASQBfAGoAXAAiACwAXAAiAG4AaQB0AHIAbwBnAGUAbgAgAGkAbgB0AGEAawBlACAAOgAgAGsAZwAgAE4ALwBoAGUAYQBkAC8AZABhAHkAXAAiADsAXABuACAAIAAgACAAIAAgACAAIAAgACAAXAAiAE4AUgBfAGoAXAAiACwAXAAiAG4AaQB0AHIAbwBnAGUAbgAgAHIAZQB0AGUAbgB0AGkAbwBuACAAZQB4AHAAcgBlAHMAcwBlAGQAIABhAHMAIABhACAAZgByAGEAYwB0AGkAbwBuACAAbwBmACAAaQBuAHQAYQBrAGU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UAXwBOAGkAdAByAG8AZwBlAG4ASQBuAHQAYQBrAGUAXABuAE4AaQB0AHIAbwBnAGUAbgAgAGkAbgB0AGEAawBlACAAbwBmACAAZgBlAGUAZABsAG8AdAAgAGMAYQB0AHQAbABlAFwAbgBOAEkAXwBqAFwAbgBrAGcAIABOAC8AaABlAGEAZAAvAGQAYQB5AFwAbgBOAEkAXwB7AGoAfQA9AEkAXwB7AGoAfQBcAFwAdABpAG0AZQBzACAAQwBQAF8AewBqAH0AXABcAGQAaQB2ACAANgAuADIANQBcAG4ASQBfAGoAIAA9ACAAZAByAHkAIABtAGEAdAB0AGUAcgAgAGkAbgB0AGEAawBlACAAOgAgAGsAZwAgAEQATQAvAGgAZQBhAGQALwBkAGEAeQBcAG4AQwBQAF8Aag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xAF8AMQBfADMAXwBfADUAXwBOAGkAdAByAG8AZwBlAG4ASQBuAHQAYQBrAGUAXABuACAAIAA9AEwAQQBNAEIARABBACgAXABuACAAIAAgACAASQBfAGoALAAgAEMAUABfAGoALABcAG4AIAAgACAAIABJAF8AagAgACoAIABDAFAAXwBqACAALwAgADYALgAyADUAXABuACAAIAApADsAXABuAFwAbgBWAEUARQBSAEcAXwA0AF8AMQBfADEAXwAzAF8AXwA1AF8ATgBpAHQAcgBvAGcAZQBuAEkAbgB0AGEAawBlAF8AVABpAHQAbABlAFwAbgAgACAAPQBMAEEATQBCAEQAQQAoAFwAIgBOAGkAdAByAG8AZwBlAG4AIABpAG4AdABhAGsAZQAgAG8AZgAgAGYAZQBlAGQAbABvAHQAIABjAGEAdAB0AGwAZQBcACIAKQA7AFwAbgBcAG4AVgBFAEUAUgBHAF8ANABfADEAXwAxAF8AMwBfAF8ANQBfAE4AaQB0AHIAbwBnAGUAbgBJAG4AdABhAGsAZQBfAFYAYQByAGkAYQBiAGwAZQBcAG4AIAAgAD0ATABBAE0AQgBEAEEAKABcACIATgBJAF8AagBcACIAKQA7AFwAbgBcAG4AVgBFAEUAUgBHAF8ANABfADEAXwAxAF8AMwBfAF8ANQBfAE4AaQB0AHIAbwBnAGUAbgBJAG4AdABhAGsAZQBfAFUAbgBpAHQAXABuACAAIAA9AEwAQQBNAEIARABBACgAXAAiAGsAZwAgAE4ALwBoAGUAYQBkAC8AZABhAHkAXAAiACkAOwBcAG4AXABuAFYARQBFAFIARwBfADQAXwAxAF8AMQBfADMAXwBfADUAXwBOAGkAdAByAG8AZwBlAG4ASQBuAHQAYQBrAGUAXwBTAG8AdQByAGMAZQBcAG4AIAAgAD0ATABBAE0AQgBEAEEAKABcACIAVgBFAEUAUgBHACAAMgAwADIANgA6ACAANAAuADEALgAxAC4AMwAsACAARQBxAHUAYQB0AGkAbwBuACAAKAA1ACkAXAAiACkAOwBcAG4AXABuAFYARQBFAFIARwBfADQAXwAxAF8AMQBfADMAXwBfADUAXwBOAGkAdAByAG8AZwBlAG4ASQBuAHQAYQBrAGUAXwBOAEkAUgBSAGUAZgBlAHIAZQBuAGMAZQBcAG4AIAAgAD0ATABBAE0AQgBEAEEAKABcACIAXAAiACkAOwBcAG4AXABuAFYARQBFAFIARwBfADQAXwAxAF8AMQBfADMAXwBfADUAXwBOAGkAdAByAG8AZwBlAG4ASQBuAHQAYQBrAGUAXwBMAGEAdABlAHgARQBxAHUAYQB0AGkAbwBuAFwAbgAgACAAPQBMAEEATQBCAEQAQQAoAFwAIgBOAEkAXwB7AGoAfQA9AEkAXwB7AGoAfQBcAFwAdABpAG0AZQBzACAAQwBQAF8AewBqAH0AXABcAGQAaQB2ACAANgAuADIANQBcACIAKQA7AFwAbgBcAG4AVgBFAEUAUgBHAF8ANABfADEAXwAxAF8AMwBfAF8ANQBfAE4AaQB0AHIAbwBnAGUAbgBJAG4AdABhAGsAZQ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OgAgAGsAZwAgAEQATQAvAGgAZQBhAGQALwBkAGEAeQBcACIAOwBcAG4AIAAgACAAIAAgACAAIAAgACAAIABcACIAQwBQAF8AagBcACIALABcACIAYwByAHUAZABlACAAcAByAG8AdABlAGkAbgAgAGMAbwBuAHQAZQBuAHQAIABvAGYAIABmAGUAZQBkACAAOgAgAGYAcgBhAGMAdABpAG8AbgBcACIAOwBcAG4AIAAgACAAIAAgACAAIAAgACAAIABcACIANgAuADIANQBcACIALABcACIAZgBhAGMAdABvAHIAIABmAG8AcgAgAGMAbwBuAHYAZQByAHQAaQBuAGcAIABjAHIAdQBkAGUAIABwAHIAbwB0AGUAaQBuACAAaQBuAHQAbwAgAG4AaQB0AHIAbwBnAGUAbg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DoAIABrAGcAIABOAFwAbgBNAE0AUwBfAGoAbQBUADIAIAA9ACAAZgByAGEAYwB0AGkAbwBuACAAbwBmACAAbQBhAG4AdQByAGUAIABpAG4AIABlAGEAYwBoACAAcwBlAGMAbwBuAGQAYQByAHkAIABzAHkAcwB0AGUAbQAgADoAIABmAHIAYQBjAHQAaQBvAG4AXABuAC0ALQAtAC0ALQAtAC0ALQAtAC0ALQAtAC0ALQAtAC0ALQAtAC0ALQAtAC0ALQAtAC0ALQAtAC0ALQAtAC0ALQAtAC0ALQAtAC0ALQBcAG4AKgAvAFwAbgBcAG4AVgBFAEUAUgBHAF8ANABfADE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MQBfADEAXwAzAF8AXwA2AF8AUwB0AGEAZwBlADIATgBpAHQAcgBvAGcAZQBuAEkAbgBNAE0AUwBfAFQAaQB0AGwAZQBcAG4AIAAgAD0ATABBAE0AQgBEAEEAKABcACIATgBpAHQAcgBvAGcAZQBuACAAaQBuACAAdAByAGUAYQB0AG0AZQBuAHQAIABzAHQAYQBnAGUAIAAyACAATQBNAFMAXAAiACkAOwBcAG4AXABuAFYARQBFAFIARwBfADQAXwAxAF8AMQBfADMAXwBfADYAXwBTAHQAYQBnAGUAMgBOAGkAdAByAG8AZwBlAG4ASQBuAE0ATQBTAF8AVgBhAHIAaQBhAGIAbABlAFwAbgAgACAAPQBMAEEATQBCAEQAQQAoAFwAIgBNAE4AXwBqAG0AVAAyAFwAIgApADsAXABuAFwAbgBWAEUARQBSAEcAXwA0AF8AMQBfADEAXwAzAF8AXwA2AF8AUwB0AGEAZwBlADIATgBpAHQAcgBvAGcAZQBuAEkAbgBNAE0AUwBfAFUAbgBpAHQAXABuACAAIAA9AEwAQQBNAEIARABBACgAXAAiAGsAZwAgAE4AXAAiACkAOwBcAG4AXABuAFYARQBFAFIARwBfADQAXwAxAF8AMQBfADMAXwBfADYAXwBTAHQAYQBnAGUAMgBOAGkAdAByAG8AZwBlAG4ASQBuAE0ATQBTAF8AUwBvAHUAcgBjAGUAXABuACAAIAA9AEwAQQBNAEIARABBACgAXAAiAFYARQBFAFIARwAgADIAMAAyADYAOgAgADQALgAxAC4AMQAuADMALAAgAEUAcQB1AGEAdABpAG8AbgAgACgANgApAFwAIgApADsAXABuAFwAbgBWAEUARQBSAEcAXwA0AF8AMQBfADEAXwAzAF8AXwA2AF8AUwB0AGEAZwBlADIATgBpAHQAcgBvAGcAZQBuAEkAbgBNAE0AUwBfAE4ASQBSAFIAZQBmAGUAcgBlAG4AYwBlAFwAbgAgACAAPQBMAEEATQBCAEQAQQAoAFwAIgBcACIAKQA7AFwAbgBcAG4AVgBFAEUAUgBHAF8ANABfADE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MQBfADEAXwAzAF8AXwA2AF8AUwB0AGEAZwBlADIATgBpAHQAcgBvAGcAZQBuAEkAbgBNAE0AUwBfAEEAcgBnAHUAbQBlAG4AdABzAFwAbgAgACAAPQBMAEEATQBCAEQAQQAoAFwAbgAgACAAIAAgAE0AQQBLAEUAQQBSAFIAQQBZACgAMgAsACAAMgAsAFwAbgAgACAAIAAgACAAIABMAEEATQBCAEQAQQAoAHIALABjACwAXABuACAAIAAgACAAIAAgACAAIABJAE4ARABFAFgAKAB7AFwAbgAgACAAIAAgACAAIAAgACAAIAAgAFwAIgBOAFQAXwBqAG0AVAAyAFwAIgAsAFwAIgBuAGkAdAByAG8AZwBlAG4AIAB0AHIAYQBuAHMAZgBlAHIAcgBlAGQAIAB0AG8AIABzAGUAYwBvAG4AZABhAHIAeQAgAHQAcgBlAGEAdABtAGUAbgB0ACAATQBNAFMAIAA6ACAAawBnACAATgBcACIAOwBcAG4AIAAgACAAIAAgACAAIAAgACAAIABcACIATQBNAFMAXwBqAG0AVAAyAFwAIgAsAFwAIgBmAHIAYQBjAHQAaQBvAG4AIABvAGYAIABtAGEAbgB1AHIAZQAgAGkAbgAgAGUAYQBjAGgAIABzAGUAYwBvAG4AZA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MgAsAFwAbgAgACAAIAAgACAAIABMAEEATQBCAEQAQQAoAHIALABjACwAXABuACAAIAAgACAAIAAgACAAIABJAE4ARABFAFgAKAB7AFwAbgAgACAAIAAgACAAIAAgACAAIAAgAFwAIgBNAE4AXwBqAG0ANQBUADEAXAAiACwAXAAiAG4AaQB0AHIAbwBnAGUAbgAgAGkAbgAgAE0ATQBTACAAdAByAGUAYQB0AG0AZQBuAHQAIABzAHQAYQBnAGUAIAAxACAAOgAgAGsAZwAgAE4AXAAiADsAXABuACAAIAAgACAAIAAgACAAIAAgACAAXAAiAEYAcgBhAGMARwBBAFMATQBfAG0ANQBcACIALABcACIAZgByAGEAYwB0AGkAbwBuACAAbwBmACAATgAgAHYAbwBsAGEAdABpAGwAaQBzAGUAZAAgAGYAcgBvAG0AIABkAHIAeQBsAG8AdAAgAE0ATQBTACAAOgAgAGYAcgBhAGMAdABpAG8AbgBcACIAOwBcAG4AIAAgACAAIAAgACAAIAAgACAAIABcACIARQBGAF8AbQA1AFwAIgAsAFwAIgBuAGkAdAByAG8AdQBzACAAbwB4AGkAZABlACAAZQBtAGkAcwBzAGkAbwBuACAAZgBhAGMAdABvAHIAIABmAG8AcgAgAGQAcgB5AGwAbwB0ACAATQBNAFMAIAA6ACAAawBnACAATgAyAE8ALQBOAC8AawBnACAATgAgAGQAZQBwAG8AcwBpAHQAZQBkAFwAIgA7AFwAbgAgACAAIAAgACAAIAAgACAAIAAgAFwAIgBNAE4AXwBqAG0AVAAzAFwAIgAsAFwAIgBuAGkAdAByAG8AZwBlAG4AIABpAG4AIABNAE0AUwAgAHQAcgBlAGEAdABtAGUAbgB0ACAAcwB0AGEAZwBlACAAMwAgADoAIABrAGcAIABO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gAXwBTAHQAYQBnAGUAMwBOAGkAdAByAG8AZwBlAG4ASQBuAE0ATQBTAEEAbgBhAGUAcgBvAGIAaQBjAEwAYQBnAG8AbwBuAFwAbgBOAGkAdAByAG8AZwBlAG4AIABpAG4AIAB0AHIAZQBhAHQAbQBlAG4AdAAgAHMAdABhAGcAZQAgADMAIABNAE0AUwBcAG4ATQBOAF8AagBtADEAVAAzAFwAbgBrAGcAIABOAFwAbgBNAE4AXwB7AGoAbQA9ADEALABUAD0AMwB9AD0AQQBFAF8AewBqAH0AXABcAHQAaQBtAGUAcwAgAE0ATQBTAF8AewBqAG0APQAxACwAVAA9ADMAfQBcAG4AQQBFAF8AagAgAD0AIAB0AG8AdABhAGwAIABuAGkAdAByAG8AZwBlAG4AIABlAHgAYwByAGUAdABlAGQAIABiAHkAIABlAGEAYwBoACAAYwBhAHQAdABsAGUAIABnAHIAbwB1AHAAIAA6ACAAawBnACAATgBcAG4ATQBNAFMAXwBqAG0AMQBUADMAIAA9ACAAZgByAGEAYwB0AGkAbwBuACAAbwBmACAAbQBhAG4AdQByAGUAIAB0AG8AIAB0AGUAcgB0AGkAYQByAHkAIABhAG4AYQBlAHIAbwBiAGkAYwAgAGwAYQBnAG8AbwBuACAAcwB5AHMAdABlAG0AIAA6ACAAZgByAGEAYwB0AGkAbwBuAFwAbgAtAC0ALQAtAC0ALQAtAC0ALQAtAC0ALQAtAC0ALQAtAC0ALQAtAC0ALQAtAC0ALQAtAC0ALQAtAC0ALQAtAC0ALQAtAC0ALQAtAC0AXABuACoALwBcAG4AXABuAFYARQBFAFIARwBfADQAXwAxAF8AMQBfADMAXwBfADgAXwBTAHQAYQBnAGUAMwBOAGkAdAByAG8AZwBlAG4ASQBuAE0ATQBTAEEAbgBhAGUAcgBvAGIAaQBjAEwAYQBnAG8AbwBuAFwAbgAgACAAPQBMAEEATQBCAEQAQQAoAFwAbgAgACAAIAAgAEEARQBfAGoALAAgAE0ATQBTAF8AagBtADEAVAAzACwAXABuACAAIAAgACAAQQBFAF8AagAgACoAIABNAE0AUwBfAGoAbQAxAFQAMwBcAG4AIAAgACkAOwBcAG4AXABuAFYARQBFAFIARwBfADQAXwAxAF8AMQBfADMAXwBfADgAXwBTAHQAYQBnAGUAMwBOAGkAdAByAG8AZwBlAG4ASQBuAE0ATQBTAEEAbgBhAGUAcgBvAGIAaQBjAEwAYQBnAG8AbwBuAF8AVABpAHQAbABlAFwAbgAgACAAPQBMAEEATQBCAEQAQQAoAFwAIgBOAGkAdAByAG8AZwBlAG4AIABpAG4AIAB0AHIAZQBhAHQAbQBlAG4AdAAgAHMAdABhAGcAZQAgADMAIABNAE0AUwBcACIAKQA7AFwAbgBcAG4AVgBFAEUAUgBHAF8ANABfADEAXwAxAF8AMwBfAF8AOABfAFMAdABhAGcAZQAzAE4AaQB0AHIAbwBnAGUAbgBJAG4ATQBNAFMAQQBuAGEAZQByAG8AYgBpAGMATABhAGcAbwBvAG4AXwBWAGEAcgBpAGEAYgBsAGUAXABuACAAIAA9AEwAQQBNAEIARABBACgAXAAiAE0ATgBfAGoAbQAxAFQAMwBcACIAKQA7AFwAbgBcAG4AVgBFAEUAUgBHAF8ANABfADEAXwAxAF8AMwBfAF8AOABfAFMAdABhAGcAZQAzAE4AaQB0AHIAbwBnAGUAbgBJAG4ATQBNAFMAQQBuAGEAZQByAG8AYgBpAGMATABhAGcAbwBvAG4AXwBVAG4AaQB0AFwAbgAgACAAPQBMAEEATQBCAEQAQQAoAFwAIgBrAGcAIABOAFwAIgApADsAXABuAFwAbgBWAEUARQBSAEcAXwA0AF8AMQBfADEAXwAzAF8AXwA4AF8AUwB0AGEAZwBlADMATgBpAHQAcgBvAGcAZQBuAEkAbgBNAE0AUwBBAG4AYQBlAHIAbwBiAGkAYwBMAGEAZwBvAG8AbgBfAFMAbwB1AHIAYwBlAFwAbgAgACAAPQBMAEEATQBCAEQAQQAoAFwAIgBWAEUARQBSAEcAIAAyADAAMgA2ADoAIAA0AC4AMQAuADEALgAzACwAIABFAHEAdQBhAHQAaQBvAG4AIAAoADgAKQBcACIAKQA7AFwAbgBcAG4AVgBFAEUAUgBHAF8ANABfADEAXwAxAF8AMwBfAF8AOABfAFMAdABhAGcAZQAzAE4AaQB0AHIAbwBnAGUAbgBJAG4ATQBNAFMAQQBuAGEAZQByAG8AYgBpAGMATABhAGcAbwBvAG4AXwBOAEkAUgBSAGUAZgBlAHIAZQBuAGMAZQBcAG4AIAAgAD0ATABBAE0AQgBEAEEAKABcACIAXAAiACkAOwBcAG4AXABuAFYARQBFAFIARwBfADQAXwAxAF8AMQBfADMAXwBfADgAXwBTAHQAYQBnAGUAMwBOAGkAdAByAG8AZwBlAG4ASQBuAE0ATQBTAEEAbgBhAGUAcgBvAGIAaQBjAEwAYQBnAG8AbwBuAF8ATABhAHQAZQB4AEUAcQB1AGEAdABpAG8AbgBcAG4AIAAgAD0ATABBAE0AQgBEAEEAKABcACIATQBOAF8AewBqAG0APQAxACwAVAA9ADMAfQA9AEEARQBfAHsAagB9AFwAXAB0AGkAbQBlAHMAIABNAE0AUwBfAHsAagBtAD0AMQAsAFQAPQAzAH0AXAAiACkAOwBcAG4AXABuAFYARQBFAFIARwBfADQAXwAxAF8AMQBfADMAXwBfADgAXwBTAHQAYQBnAGUAMwBOAGkAdAByAG8AZwBlAG4ASQBuAE0ATQBTAEEAbgBhAGUAcgBvAGIAaQBjAEwAYQBnAG8AbwBuAF8AQQByAGcAdQBtAGUAbgB0AHMAXABuACAAIAA9AEwAQQBNAEIARABBACgAXABuACAAIAAgACAATQBBAEsARQBBAFIAUgBBAFkAKAAyACwAIAAyACwAXABuACAAIAAgACAAIAAgAEwAQQBNAEIARABBACgAcgAsAGMALABcAG4AIAAgACAAIAAgACAAIAAgAEkATgBEAEUAWAAoAHsAXABuACAAIAAgACAAIAAgACAAIAAgACAAXAAiAEEARQBfAGoAXAAiACwAXAAiAHQAbwB0AGEAbAAgAG4AaQB0AHIAbwBnAGUAbgAgAGUAeABjAHIAZQB0AGUAZAAgAGIAeQAgAGUAYQBjAGgAIABjAGEAdAB0AGwAZQAgAGcAcgBvAHUAcAAgADoAIABrAGcAIABOAFwAIgA7AFwAbgAgACAAIAAgACAAIAAgACAAIAAgAFwAIgBNAE0AUwBfAGoAbQAxAFQAMwBcACIALABcACIAZgByAGEAYwB0AGkAbwBuACAAbwBmACAAbQBhAG4AdQByAGUAIAB0AG8AIAB0AGUAcgB0AGkAYQByAHkAIABhAG4AYQBlAHIAbwBiAGkAYwAgAGwAYQBnAG8AbwBuACAAcwB5AHMAdABlAG0AIAA6ACAAZgByAGEAYwB0AGkAbwBuAFwAIgBcAG4AIAAgACAAIAAgACAAIAAgAH0ALAAgAHIALAAgAGMAKQBcAG4AIAAgACAAIAAgACAAKQBcAG4AIAAgACAAIAApAFwAbgAgACAAKQA7AFwAbgBcAG4AIgB9ACwAewAiAHAAYQB0AGgAIgA6ACIALwBwAHIAbwBqAGUAYwB0AHMALwBNAE0AUwBfAEYAZQBlAGQAbABvAHQ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G4ATQBOAF8AagBtAFQAMgAzACAAPQAgAG0AYQBzAHMAIABvAGYAIABOACAAaQBuACAAcwBlAGMAbwBuAGQAYQByAHkAIABhAG4AZAAgAHQAZQByAHQAaQBhAHIAeQAgAHQAcgBlAGEAdABtAGUAbgB0ACAATQBNAFMAIABzAHQAYQBnAGUAcwAgAGEAcwAgAGMAYQBsAGMAdQBsAGEAdABlAGQAIABmAG8AcgAgAG0AYQBuAHUAcgBlACAAbQBhAG4AYQBnAGUAbQBlAG4AdAAgADoAIABrAGcAIABOAFwAbgBFAEYAXwBtAFQAMgAzACAAPQAgAG4AaQB0AHIAbwB1AHMAIABvAHgAaQBkAGUAIABlAG0AaQBzAHMAaQBvAG4AIABmAGEAYwB0AG8AcgAgAGYAbwByACAAZQBhAGMAaAAgAE0ATQBTACAAOgAgAGsAZwAgAE4AMgBPAC0ATgAvAGsAZwAgAE4AXABuAEYAcgBhAGMARwBBAFMATQBfAG0AVAAyADMAIAA9ACAAZgByAGEAYwB0AGkAbwBuACAAbwBmACAAYQBuAGkAbQBhAGwAIAB3AGEAcwB0AGUAIABOACAAdgBvAGwAYQB0AGkAbABpAHMAZQBkACAAaQBuACAAZQBhAGMAaAAgAE0ATQBTACAAZgBvAHIAIABlAGEAYwBoACAAYwBhAHQAdABsAGUAIABnAHIAbwB1AHAAIAA6ACAAKABrAGcAIABOAEgAMwAtAE4AIAArACAATgBPAHgALQBOACkALwBrAGcAIABOAFwAbgBQAEYAIAA9ACAAZgByAGEAYwB0AGkAbwBuACAAbwBmACAAbQBhAG4AdQByAGUAIABhAHAAcABsAGkAZQBkACAAdABvACAAcwBvAGkAbAAgAHcAaQB0AGgAaQBuACAAdABoAGUAIABmAGUAZQBkAGwAbwB0ACAAYgBvAHUAbgBkAGEAcgB5ACAAOgAgAGYAcgBhAGMAdABpAG8AbgBcAG4ALQAtAC0ALQAtAC0ALQAtAC0ALQAtAC0ALQAtAC0ALQAtAC0ALQAtAC0ALQAtAC0ALQAtAC0ALQAtAC0ALQAtAC0ALQAtAC0ALQAtAFwAbgAqAC8AXABuAFwAbgBWAEUARQBSAEcAXwA0AF8AMQBfADEAXwA5AF8AXwAxAF8ATQBhAHMAcwBPAGYATgBpAHQAcgBvAGcAZQBuAEEAcABwAGwAaQBlAGQAVABvAFMAbwBpAGwAcwBTAGMAbwBwAGUAMQBcAG4AIAAgAD0ATABBAE0AQgBEAEEAKABcAG4AIAAgACAAIABNAE4AXwBqAG0AVAAyADMALAAgAEUARgBfAG0AVAAyADMALAAgAEYAcgBhAGMARwBBAFMATQBfAG0AVAAyADMALAAgAFAARgAsAFwAbgAgACAAIAAgACgATQBOAF8AagBtAFQAMgAzACAAKgAgACgAMQAgAC0AIABFAEYAXwBtAFQAMgAzACAALQAgAEYAcgBhAGMARwBBAFMATQBfAG0AVAAyADMAKQApACAAKgAgAFAARgBcAG4AIAAgACkAOwBcAG4AXABuAFYARQBFAFIARwBfADQAXwAx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MQBfADEAXwA5AF8AXwAxAF8ATQBhAHMAcwBPAGYATgBpAHQAcgBvAGcAZQBuAEEAcABwAGwAaQBlAGQAVABvAFMAbwBpAGwAcwBTAGMAbwBwAGUAMQBfAFYAYQByAGkAYQBiAGwAZQBcAG4AIAAgAD0ATABBAE0AQgBEAEEAKABcACIATQBOAFMAbwBpAGwAXwBzAGMAbwBwAGUAMQBcACIAKQA7AFwAbgBcAG4AVgBFAEUAUgBHAF8ANABfADEAXwAxAF8AOQBfAF8AMQBfAE0AYQBzAHMATwBmAE4AaQB0AHIAbwBnAGUAbgBBAHAAcABsAGkAZQBkAFQAbwBTAG8AaQBsAHMAUwBjAG8AcABlADEAXwBVAG4AaQB0AFwAbgAgACAAPQBMAEEATQBCAEQAQQAoAFwAIgBrAGcAIABOAFwAIgApADsAXABuAFwAbgBWAEUARQBSAEcAXwA0AF8AMQBfADEAXwA5AF8AXwAxAF8ATQBhAHMAcwBPAGYATgBpAHQAcgBvAGcAZQBuAEEAcABwAGwAaQBlAGQAVABvAFMAbwBpAGwAcwBTAGMAbwBwAGUAMQBfAFMAbwB1AHIAYwBlAFwAbgAgACAAPQBMAEEATQBCAEQAQQAoAFwAIgBWAEUARQBSAEcAIAAyADAAMgA2ADoAIAA0AC4AMQAuADEALgA5ACwAIABFAHEAdQBhAHQAaQBvAG4AIAAoADEAKQBcACIAKQA7AFwAbgBcAG4AVgBFAEUAUgBHAF8ANABfADEAXwAxAF8AOQBfAF8AMQBfAE0AYQBzAHMATwBmAE4AaQB0AHIAbwBnAGUAbgBBAHAAcABsAGkAZQBkAFQAbwBTAG8AaQBsAHMAUwBjAG8AcABlADEAXwBOAEkAUgBSAGUAZgBlAHIAZQBuAGMAZQBcAG4AIAAgAD0ATABBAE0AQgBEAEEAKABcACIAXAAiACkAOwBcAG4AXABuAFYARQBFAFIARwBfADQAXwAxAF8AMQBfADkAXwBfADEAXwBNAGEAcwBzAE8AZgBOAGkAdAByAG8AZwBlAG4AQQBwAHAAbABpAGUAZABUAG8AUwBvAGkAbABzAFMAYwBvAHAAZQAxAF8ATABhAHQAZQB4AEUAcQB1AGEAdABpAG8AbgBcAG4AIAAgAD0ATABBAE0AQgBEAEEAKABcACI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IgApADsAXABuAFwAbgBWAEUARQBSAEcAXwA0AF8AMQBfADEAXwA5AF8AXwAxAF8ATQBhAHMAcwBPAGYATgBpAHQAcgBvAGcAZQBuAEEAcABwAGwAaQBlAGQAVABvAFMAbwBpAGwAcwBTAGMAbwBwAGUAMQBfAEEAcgBnAHUAbQBlAG4AdABzAFwAbgAgACAAPQBMAEEATQBCAEQAQQAoAFwAbgAgACAAIAAgAE0AQQBLAEUAQQBSAFIAQQBZACgANAAsACAAMgAsAFwAbgAgACAAIAAgACAAIABMAEEATQBCAEQAQQAoAHIALABjACwAXABuACAAIAAgACAAIAAgACAAIABJAE4ARABFAFgAKAB7AFwAbgAgACAAIAAgACAAIAAgACAAIAAgAFwAIgBNAE4AXwBqAG0AVAAyADMAXAAiACwAXAAiAG0AYQBzAHMAIABvAGYAIABOACAAaQBuACAAcwBlAGMAbwBuAGQAYQByAHkAIABhAG4AZAAgAHQAZQByAHQAaQBhAHIAeQAgAHQAcgBlAGEAdABtAGUAbgB0ACAATQBNAFMAIABzAHQAYQBnAGUAcwAgAGEAcwAgAGMAYQBsAGMAdQBsAGEAdABlAGQAIABmAG8AcgAgAG0AYQBuAHUAcgBlACAAbQBhAG4AYQBnAGUAbQBlAG4AdAAgADoAIABrAGcAIABOAFwAIgA7AFwAbgAgACAAIAAgACAAIAAgACAAIAAgAFwAIgBFAEYAXwBtAFQAMgAzAFwAIgAsAFwAIgBuAGkAdAByAG8AdQBzACAAbwB4AGkAZABlACAAZQBtAGkAcwBzAGkAbwBuACAAZgBhAGMAdABvAHIAIABmAG8AcgAgAGUAYQBjAGgAIABNAE0AUwAgADoAIABrAGcAIABOADIATwAtAE4ALwBrAGcAIABOAFwAIgA7AFwAbgAgACAAIAAgACAAIAAgACAAIAAgAFwAIgBGAHIAYQBjAEcAQQBTAE0AXwBtAFQAMgAzAFwAIgAsAFwAIgBmAHIAYQBjAHQAaQBvAG4AIABvAGYAIABhAG4AaQBtAGEAbAAgAHcAYQBzAHQAZQAgAE4AIAB2AG8AbABhAHQAaQBsAGkAcwBlAGQAIABpAG4AIABlAGEAYwBoACAATQBNAFMAIABmAG8AcgAgAGUAYQBjAGgAIABjAGEAdAB0AGwAZQAgAGcAcgBvAHUAcAAgADoAIAAoAGsAZwAgAE4ASAAzAC0ATgAgACsAIABOAE8AeAAtAE4AKQAvAGsAZwAgAE4AXAAiADsAXABuACAAIAAgACAAIAAgACAAIAAgACAAXAAiAFAARgBcACIALABcACIAZgByAGEAYwB0AGkAbwBuACAAbwBmACAAbQBhAG4AdQByAGUAIABhAHAAcABsAGkAZQBkACAAdABvACAAcwBvAGkAbAAgAHcAaQB0AGgAaQBuACAAdABoAGUAIABmAGUAZQBkAGwAbwB0ACAAYgBvAHUAbgBkAGEAcgB5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y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CAAOgAgAGsAZwAgAE4AXAAiADsAXABuACAAIAAgACAAIAAgACAAIAAgACAAXAAiAEUARgBfAG0AVAAyADMAXAAiACwAXAAiAG4AaQB0AHIAbwB1AHMAIABvAHgAaQBkAGUAIABlAG0AaQBzAHMAaQBvAG4AIABmAGEAYwB0AG8AcgAgAGYAbwByACAAZQBhAGMAaAAgAE0ATQBTACAAOgAgAGsAZwAgAE4AMgBPAC0ATgAvAGsAZwAgAE4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CAAOgAgACgAawBnACAATgBIADMALQBOACAAKwAgAE4ATwB4AC0ATgApAC8AawBnACAATgBcACIAOwBcAG4AIAAgACAAIAAgACAAIAAgACAAIABcACIAUABGAFwAIgAsAFwAIgBmAHIAYQBjAHQAaQBvAG4AIABvAGYAIABtAGEAbgB1AHIAZQAgAGEAcABwAGwAaQBlAGQAIAB0AG8AIABzAG8AaQBsACAAdwBpAHQAaABpAG4AIAB0AGgAZQAgAGYAZQBlAGQAbABvAHQAIABiAG8AdQBuAGQAYQByAHkAIAA6ACAAZgByAGEAYwB0AGkAbwBuAFwAIgBcAG4AIAAgACAAIAAgACAAIAAgAH0ALAAgAHIALAAgAGMAKQBcAG4AIAAgACAAIAAgACAAKQBcAG4AIAAgACAAIAApAFwAbgAgACAAKQA7AFwAbg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MgAsAFwAbgAgACAAIAAgACAAIABMAEEATQBCAEQAQQAoAHIALABjACwAXABuACAAIAAgACAAIAAgACAAIABJAE4ARABFAFgAKAB7AFwAbgAgACAAIAAgACAAIAAgACAAIAAgAFwAIgBNAE0AUwBfAEEAVABNAE8AUwBcACIALABcACIAbQBhAHMAcwAgAG8AZgAgAE4AIAB2AG8AbABhAHQAaQBsAGkAcwBlAGQAIABmAHIAbwBtACAATQBNAFMAIAA6ACAAawBnACAATgBcACIAOwBcAG4AIAAgACAAIAAgACAAIAAgACAAIABcACIARQBGAF8ATgAyAE8AXAAiACwAXAAiAG4AaQB0AHIAbwB1AHMAIABvAHgAaQBkAGUAIABlAG0AaQBzAHMAaQBvAG4AIABmAGEAYwB0AG8AcgAgAGYAbwByACAAYQB0AG0AbwBzAHAAaABlAHIAaQBjACAAZABlAHAAbwBzAGkAdABpAG8Abg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QBfADEAXwA1AF8AXwAyAF8AVgBvAGwAYQB0AGkAbABpAHMAZQBkAE4AaQB0AHIAbwBnAGUAbgBGAHIAbwBtAE0AYQBuAHUAcgBlAE0AYQBuAGEAZwBlAG0AZQBuAHQAXABuAFYAbwBsAGEAdABpAGwAaQBzAGUAZAAgAG4AaQB0AHIAbwBnAGUAbgAgAGYAcgBvAG0AIABtAGEAbgB1AHIAZQAgAG0AYQBuAGEAZwBlAG0AZQBuAHQ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pAG4AIABlAGEAYwBoACAAdAByAGUAYQB0AG0AZQBuAHQAIABzAHQAYQBnAGUAIABNAE0AUwAgACgAZQB4AGMAbAB1AGQAaQBuAGcAIABNAE4AXwBpAGo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xAF8AMQBfADUAXwBfADIAXwBWAG8AbABhAHQAaQBsAGkAcwBlAGQATgBpAHQAcgBvAGcAZQBuAEYAcgBvAG0ATQBhAG4AdQByAGUATQBhAG4AYQBnAGUAbQBlAG4AdABcAG4AIAAgAD0ATABBAE0AQgBEAEEAKABcAG4AIAAgACAAIABNAE4AXwBqAG0AVAAsACAARgByAGEAYwBHAEEAUwBNAF8AbQBUACwAXABuACAAIAAgACAATQBOAF8AagBtAFQAIAAqACAARgByAGEAYwBHAEEAUwBNAF8AbQBUAFwAbgAgACAAKQA7AFwAbgBcAG4AVgBFAEUAUgBHAF8ANABfADEAXwAxAF8ANQBfAF8AMgBfAFYAbwBsAGEAdABpAGwAaQBzAGUAZABOAGkAdAByAG8AZwBlAG4ARgByAG8AbQBNAGEAbgB1AHIAZQBNAGEAbgBhAGcAZQBtAGUAbgB0AF8AVABpAHQAbABlAFwAbgAgACAAPQBMAEEATQBCAEQAQQAoAFwAIgBWAG8AbABhAHQAaQBsAGkAcwBlAGQAIABuAGkAdAByAG8AZwBlAG4AIABmAHIAbwBtACAAbQBhAG4AdQByAGUAIABtAGEAbgBhAGcAZQBtAGUAbgB0AFwAIgApADsAXABuAFwAbgBWAEUARQBSAEcAXwA0AF8AMQBfADEAXwA1AF8AXwAyAF8AVgBvAGwAYQB0AGkAbABpAHMAZQBkAE4AaQB0AHIAbwBnAGUAbgBGAHIAbwBtAE0AYQBuAHUAcgBlAE0AYQBuAGEAZwBlAG0AZQBuAHQAXwBWAGEAcgBpAGEAYgBsAGUAXABuACAAIAA9AEwAQQBNAEIARABBACgAXAAiAE0ATQBTAF8AQQBUAE0ATwBTAFwAIgApADsAXABuAFwAbgBWAEUARQBSAEcAXwA0AF8AMQBfADEAXwA1AF8AXwAyAF8AVgBvAGwAYQB0AGkAbABpAHMAZQBkAE4AaQB0AHIAbwBnAGUAbgBGAHIAbwBtAE0AYQBuAHUAcgBlAE0AYQBuAGEAZwBlAG0AZQBuAHQAXwBVAG4AaQB0AFwAbgAgACAAPQBMAEEATQBCAEQAQQAoAFwAIgBrAGcAIABOAFwAIgApADsAXABuAFwAbgBWAEUARQBSAEcAXwA0AF8AMQBfADEAXwA1AF8AXwAyAF8AVgBvAGwAYQB0AGkAbABpAHMAZQBkAE4AaQB0AHIAbwBnAGUAbgBGAHIAbwBtAE0AYQBuAHUAcgBlAE0AYQBuAGEAZwBlAG0AZQBuAHQAXwBTAG8AdQByAGMAZQBcAG4AIAAgAD0ATABBAE0AQgBEAEEAKABcACIAVgBFAEUAUgBHACAAMgAwADIANgA6ACAANAAuADEALgAxAC4ANQAsACAARQBxAHUAYQB0AGkAbwBuACAAKAAyACkAXAAiACkAOwBcAG4AXABuAFYARQBFAFIARwBfADQAXwAxAF8AMQBfADUAXwBfADIAXwBWAG8AbABhAHQAaQBsAGkAcwBlAGQATgBpAHQAcgBvAGcAZQBuAEYAcgBvAG0ATQBhAG4AdQByAGUATQBhAG4AYQBnAGUAbQBlAG4AdABfAE4ASQBSAFIAZQBmAGUAcgBlAG4AYwBlAFwAbgAgACAAPQBMAEEATQBCAEQAQQAoAFwAIgBcACIAKQA7AFwAbgBcAG4AVgBFAEUAUgBHAF8ANABfADEAXwAxAF8ANQBfAF8AMgBfAFYAbwBsAGEAdABpAGwAaQBzAGUAZABOAGkAdAByAG8AZwBlAG4ARgByAG8AbQBNAGEAbgB1AHIAZQBNAGEAbgBhAGcAZQBtAGUAbgB0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EAXwAxAF8ANQBfAF8AMgBfAFYAbwBsAGEAdABpAGwAaQBzAGUAZABOAGkAdAByAG8AZwBlAG4ARgByAG8AbQBNAGEAbgB1AHIAZQBNAGEAbgBhAGcAZQBtAGUAbgB0AF8AQQByAGcAdQBtAGUAbgB0AHMAXABuACAAIAA9AEwAQQBNAEIARABBACgAXABuACAAIAAgACAATQBBAEsARQBBAFIAUgBBAFkAKAAyACwAIAAyACwAXABuACAAIAAgACAAIAAgAEwAQQBNAEIARABBACgAcgAsAGMALABcAG4AIAAgACAAIAAgACAAIAAgAEkATgBEAEUAWAAoAHsAXABuACAAIAAgACAAIAAgACAAIAAgACAAXAAiAE0ATgBfAGoAbQBUAFwAIgAsAFwAIgBuAGkAdAByAG8AZwBlAG4AIABpAG4AIABlAGEAYwBoACAAdAByAGUAYQB0AG0AZQBuAHQAIABzAHQAYQBnAGUAIABNAE0AUwAgACgAZQB4AGMAbAB1AGQAaQBuAGcAIABNAE4AXwBpAGoAbQAxADMAVAAyACkAIAA6ACAAawBnACAATgBcACIAOwBcAG4AIAAgACAAIAAgACAAIAAgACAAIABcACIARgByAGEAYwBHAEEAUwBNAF8AbQBUAFwAIgAsAFwAIgBmAHIAYQBjAHQAaQBvAG4AIABvAGYAIABOACAAdgBvAGwAYQB0AGkAbABpAHMAZQBkACAAaQBuACAAZQBhAGMAaAAgAE0ATQBTACAAOgAgACgAawBnACAATgBIADMALQBOACAAKwAgAE4ATwB4AC0ATgApAC8AawBnACAATg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wBfAFMAdABhAGcAZQAyAE0AZQB0AGgAYQBuAGUAUAByAG8AZAB1AGMAdABpAG8AbgAiACwAIgBNAE0AUwBfAEYAZQBlAGQAbABvAHQAXwBNAGUAdABoAGEAbgBlAF8ARQBxAHUAYQB0AGkAbwBuAHMALgBWAEUARQBSAEcAXwA0AF8AMQBfADEAXwAxAF8AXwAzAF8AUwB0AGEAZwBlADIATQBlAHQAaABhAG4AZQBQAHIAbwBkAHUAYwB0AGkAbwBuAF8AVABpAHQAbABlACIALAAiAE0ATQBTAF8ARgBlAGUAZABsAG8AdABfAE0AZQB0AGgAYQBuAGUAXwBFAHEAdQBhAHQAaQBvAG4AcwAuAFYARQBFAFIARwBfADQAXwAxAF8AMQBfADEAXwBfADMAXwBTAHQAYQBnAGUAMgBNAGUAdABoAGEAbgBlAFAAcgBvAGQAdQBjAHQAaQBvAG4AXwBWAGEAcgBpAGEAYgBsAGUAIgAsACIATQBNAFMAXwBGAGUAZQBkAGwAbwB0AF8ATQBlAHQAaABhAG4AZQBfAEUAcQB1AGEAdABpAG8AbgBzAC4AVgBFAEUAUgBHAF8ANABfADEAXwAxAF8AMQBfAF8AMwBfAFMAdABhAGcAZQAyAE0AZQB0AGgAYQBuAGUAUAByAG8AZAB1AGMAdABpAG8AbgBfAFUAbgBpAHQAIgAsACIATQBNAFMAXwBGAGUAZQBkAGwAbwB0AF8ATQBlAHQAaABhAG4AZQBfAEUAcQB1AGEAdABpAG8AbgBzAC4AVgBFAEUAUgBHAF8ANABfADEAXwAxAF8AMQBfAF8AMwBfAFMAdABhAGcAZQAyAE0AZQB0AGgAYQBuAGUAUAByAG8AZAB1AGMAdABpAG8AbgBfAFMAbwB1AHIAYwBlACIALAAiAE0ATQBTAF8ARgBlAGUAZABsAG8AdABfAE0AZQB0AGgAYQBuAGUAXwBFAHEAdQBhAHQAaQBvAG4AcwAuAFYARQBFAFIARwBfADQAXwAxAF8AMQBfADEAXwBfADMAXwBTAHQAYQBnAGUAMgBNAGUAdABoAGEAbgBlAFAAcgBvAGQAdQBjAHQAaQBvAG4AXwBOAEkAUgBSAGUAZgBlAHIAZQBuAGMAZQAiACwAIgBNAE0AUwBfAEYAZQBlAGQAbABvAHQAXwBNAGUAdABoAGEAbgBlAF8ARQBxAHUAYQB0AGkAbwBuAHMALgBWAEUARQBSAEcAXwA0AF8AMQBfADEAXwAxAF8AXwAzAF8AUwB0AGEAZwBlADIATQBlAHQAaABhAG4AZQBQAHIAbwBkAHUAYwB0AGkAbwBuAF8ATABhAHQAZQB4AEUAcQB1AGEAdABpAG8AbgAiACwAIgBNAE0AUwBfAEYAZQBlAGQAbABvAHQAXwBNAGUAdABoAGEAbgBlAF8ARQBxAHUAYQB0AGkAbwBuAHMALgBWAEUARQBSAEcAXwA0AF8AMQBfADEAXwAxAF8AXwAzAF8AUwB0AGEAZwBlADIATQBlAHQAaABhAG4AZQBQAHIAbwBkAHUAYwB0AGkAbwBuAF8AQQByAGcAdQBtAGUAbgB0AHM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gAyAE8AXwBEAGkAcgBlAGMAdABfAEUAcQB1AGEAdABpAG8AbgBzAC4AVgBFAEUAUgBHAF8ANABfADEAXwAxAF8AMwBfAF8AMQBfAFQAbwB0AGEAbABBAG4AbgB1AGEAbABEAGkAcgBlAGMAdABOAGkAdAByAG8AdQBzAE8AeABpAGQAZQBFAG0AaQBzAHMAaQBvAG4AcwAiACwAIgBNAE0AUwBfAEYAZQBlAGQAbABvAHQAXwBOADIATwBfAEQAaQByAGUAYwB0AF8ARQBxAHUAYQB0AGkAbwBuAHMALgBWAEUARQBSAEcAXwA0AF8AMQBfADEAXwAzAF8AXwAxAF8AVABvAHQAYQBsAEEAbgBuAHUAYQBsAEQAaQByAGUAYwB0AE4AaQB0AHIAbwB1AHMATwB4AGkAZABlAEUAbQBpAHMAcwBpAG8AbgBzAF8AVABpAHQAbABlACIALAAiAE0ATQBTAF8ARgBlAGUAZABsAG8AdABfAE4AMgBPAF8ARABpAHIAZQBjAHQAXwBFAHEAdQBhAHQAaQBvAG4AcwAuAFYARQBFAFIARwBfADQAXwAxAF8AMQBfADMAXwBfADEAXwBUAG8AdABhAGwAQQBuAG4AdQBhAGwARABpAHIAZQBjAHQATgBpAHQAcgBvAHUAcwBPAHgAaQBkAGUARQBtAGkAcwBzAGkAbwBuAHMAXwBWAGEAcgBpAGEAYgBsAGUAIgAsACIATQBNAFMAXwBGAGUAZQBkAGwAbwB0AF8ATgAyAE8AXwBEAGkAcgBlAGMAdABfAEUAcQB1AGEAdABpAG8AbgBzAC4AVgBFAEUAUgBHAF8ANABfADEAXwAxAF8AMwBfAF8AMQBfAFQAbwB0AGEAbABBAG4AbgB1AGEAbABEAGkAcgBlAGMAdABOAGkAdAByAG8AdQBzAE8AeABpAGQAZQBFAG0AaQBzAHMAaQBvAG4AcwBfAFUAbgBpAHQAIgAsACIATQBNAFMAXwBGAGUAZQBkAGwAbwB0AF8ATgAyAE8AXwBEAGkAcgBlAGMAdABfAEUAcQB1AGEAdABpAG8AbgBzAC4AVgBFAEUAUgBHAF8ANABfADEAXwAxAF8AMwBfAF8AMQBfAFQAbwB0AGEAbABBAG4AbgB1AGEAbABEAGkAcgBlAGMAdABOAGkAdAByAG8AdQBzAE8AeABpAGQAZQBFAG0AaQBzAHMAaQBvAG4AcwBfAFMAbwB1AHIAYwBlACIALAAiAE0ATQBTAF8ARgBlAGUAZABsAG8AdABfAE4AMgBPAF8ARABpAHIAZQBjAHQAXwBFAHEAdQBhAHQAaQBvAG4AcwAuAFYARQBFAFIARwBfADQAXwAxAF8AMQBfADMAXwBfADEAXwBUAG8AdABhAGwAQQBuAG4AdQBhAGwARABpAHIAZQBjAHQATgBpAHQAcgBvAHUAcwBPAHgAaQBkAGUARQBtAGkAcwBzAGkAbwBuAHMAXwBOAEkAUgBSAGUAZgBlAHIAZQBuAGMAZQAiACwAIgBNAE0AUwBfAEYAZQBlAGQAbABvAHQAXwBOADIATwBfAEQAaQByAGUAYwB0AF8ARQBxAHUAYQB0AGkAbwBuAHMALgBWAEUARQBSAEcAXwA0AF8AMQBfADEAXwAzAF8AXwAxAF8AVABvAHQAYQBsAEEAbgBuAHUAYQBsAEQAaQByAGUAYwB0AE4AaQB0AHIAbwB1AHMATwB4AGkAZABlAEUAbQBpAHMAcwBpAG8AbgBzAF8ATABhAHQAZQB4AEUAcQB1AGEAdABpAG8AbgAiACwAIgBNAE0AUwBfAEYAZQBlAGQAbABvAHQAXwBOADIATwBfAEQAaQByAGUAYwB0AF8ARQBxAHUAYQB0AGkAbwBuAHMALgBWAEUARQBSAEcAXwA0AF8AMQBfADEAXwAzAF8AXwAxAF8AVABvAHQAYQBsAEEAbgBuAHUAYQBsAEQAaQByAGUAYwB0AE4AaQB0AHIAbwB1AHMATwB4AGkAZABlAEUAbQBpAHMAcwBpAG8AbgBzAF8AQQByAGcAdQBtAGUAbgB0AHMAIgAsACIATQBNAFMAXwBGAGUAZQBkAGwAbwB0AF8ATgAyAE8AXwBEAGkAcgBlAGMAdABfAEUAcQB1AGEAdABpAG8AbgBzAC4AVgBFAEUAUgBHAF8ANABfADEAXwAxAF8AMwBfAF8AMgBfAFMAdABhAGcAZQAxAE4AaQB0AHIAbwBnAGUAbgBJAG4ATQBNAFMARAByAHkAbABvAHQAIgAsACIATQBNAFMAXwBGAGUAZQBkAGwAbwB0AF8ATgAyAE8AXwBEAGkAcgBlAGMAdABfAEUAcQB1AGEAdABpAG8AbgBzAC4AVgBFAEUAUgBHAF8ANABfADEAXwAxAF8AMwBfAF8AMgBfAFMAdABhAGcAZQAxAE4AaQB0AHIAbwBnAGUAbgBJAG4ATQBNAFMARAByAHkAbABvAHQAXwBUAGkAdABsAGUAIgAsACIATQBNAFMAXwBGAGUAZQBkAGwAbwB0AF8ATgAyAE8AXwBEAGkAcgBlAGMAdABfAEUAcQB1AGEAdABpAG8AbgBzAC4AVgBFAEUAUgBHAF8ANABfADEAXwAxAF8AMwBfAF8AMgBfAFMAdABhAGcAZQAxAE4AaQB0AHIAbwBnAGUAbgBJAG4ATQBNAFMARAByAHkAbABvAHQAXwBWAGEAcgBpAGEAYgBsAGUAIgAsACIATQBNAFMAXwBGAGUAZQBkAGwAbwB0AF8ATgAyAE8AXwBEAGkAcgBlAGMAdABfAEUAcQB1AGEAdABpAG8AbgBzAC4AVgBFAEUAUgBHAF8ANABfADEAXwAxAF8AMwBfAF8AMgBfAFMAdABhAGcAZQAxAE4AaQB0AHIAbwBnAGUAbgBJAG4ATQBNAFMARAByAHkAbABvAHQAXwBVAG4AaQB0ACIALAAiAE0ATQBTAF8ARgBlAGUAZABsAG8AdABfAE4AMgBPAF8ARABpAHIAZQBjAHQAXwBFAHEAdQBhAHQAaQBvAG4AcwAuAFYARQBFAFIARwBfADQAXwAxAF8AMQBfADMAXwBfADIAXwBTAHQAYQBnAGUAMQBOAGkAdAByAG8AZwBlAG4ASQBuAE0ATQBTAEQAcgB5AGwAbwB0AF8AUwBvAHUAcgBjAGUAIgAsACIATQBNAFMAXwBGAGUAZQBkAGwAbwB0AF8ATgAyAE8AXwBEAGkAcgBlAGMAdABfAEUAcQB1AGEAdABpAG8AbgBzAC4AVgBFAEUAUgBHAF8ANABfADEAXwAxAF8AMwBfAF8AMgBfAFMAdABhAGcAZQAxAE4AaQB0AHIAbwBnAGUAbgBJAG4ATQBNAFMARAByAHkAbABvAHQAXwBOAEkAUgBSAGUAZgBlAHIAZQBuAGMAZQAiACwAIgBNAE0AUwBfAEYAZQBlAGQAbABvAHQAXwBOADIATwBfAEQAaQByAGUAYwB0AF8ARQBxAHUAYQB0AGkAbwBuAHMALgBWAEUARQBSAEcAXwA0AF8AMQBfADEAXwAzAF8AXwAyAF8AUwB0AGEAZwBlADEATgBpAHQAcgBvAGcAZQBuAEkAbgBNAE0AUwBEAHIAeQBsAG8AdABfAEwAYQB0AGUAeABFAHEAdQBhAHQAaQBvAG4AIgAsACIATQBNAFMAXwBGAGUAZQBkAGwAbwB0AF8ATgAyAE8AXwBEAGkAcgBlAGMAdABfAEUAcQB1AGEAdABpAG8AbgBzAC4AVgBFAEUAUgBHAF8ANABfADEAXwAxAF8AMwBfAF8AMgBfAFMAdABhAGcAZQAxAE4AaQB0AHIAbwBnAGUAbgBJAG4ATQBNAFMARAByAHkAbABvAHQAXwBBAHIAZwB1AG0AZQBuAHQAcwAiACwAIgBNAE0AUwBfAEYAZQBlAGQAbABvAHQAXwBOADIATwBfAEQAaQByAGUAYwB0AF8ARQBxAHUAYQB0AGkAbwBuAHMALgBWAEUARQBSAEcAXwA0AF8AMQBfADEAXwAzAF8AXwAzAF8AQQBuAG4AdQBhAGwATgBpAHQAcgBvAGcAZQBuAEUAeABjAHIAZQB0AGkAbwBuACIALAAiAE0ATQBTAF8ARgBlAGUAZABsAG8AdABfAE4AMgBPAF8ARABpAHIAZQBjAHQAXwBFAHEAdQBhAHQAaQBvAG4AcwAuAFYARQBFAFIARwBfADQAXwAxAF8AMQBfADMAXwBfADMAXwBBAG4AbgB1AGEAbABOAGkAdAByAG8AZwBlAG4ARQB4AGMAcgBlAHQAaQBvAG4AXwBUAGkAdABsAGUAIgAsACIATQBNAFMAXwBGAGUAZQBkAGwAbwB0AF8ATgAyAE8AXwBEAGkAcgBlAGMAdABfAEUAcQB1AGEAdABpAG8AbgBzAC4AVgBFAEUAUgBHAF8ANABfADEAXwAxAF8AMwBfAF8AMwBfAEEAbgBuAHUAYQBsAE4AaQB0AHIAbwBnAGUAbgBFAHgAYwByAGUAdABpAG8AbgBfAFYAYQByAGkAYQBiAGwAZQAiACwAIgBNAE0AUwBfAEYAZQBlAGQAbABvAHQAXwBOADIATwBfAEQAaQByAGUAYwB0AF8ARQBxAHUAYQB0AGkAbwBuAHMALgBWAEUARQBSAEcAXwA0AF8AMQBfADEAXwAzAF8AXwAzAF8AQQBuAG4AdQBhAGwATgBpAHQAcgBvAGcAZQBuAEUAeABjAHIAZQB0AGkAbwBuAF8AVQBuAGkAdAAiACwAIgBNAE0AUwBfAEYAZQBlAGQAbABvAHQAXwBOADIATwBfAEQAaQByAGUAYwB0AF8ARQBxAHUAYQB0AGkAbwBuAHMALgBWAEUARQBSAEcAXwA0AF8AMQBfADEAXwAzAF8AXwAzAF8AQQBuAG4AdQBhAGwATgBpAHQAcgBvAGcAZQBuAEUAeABjAHIAZQB0AGkAbwBuAF8AUwBvAHUAcgBjAGUAIgAsACIATQBNAFMAXwBGAGUAZQBkAGwAbwB0AF8ATgAyAE8AXwBEAGkAcgBlAGMAdABfAEUAcQB1AGEAdABpAG8AbgBzAC4AVgBFAEUAUgBHAF8ANABfADEAXwAxAF8AMwBfAF8AMwBfAEEAbgBuAHUAYQBsAE4AaQB0AHIAbwBnAGUAbgBFAHgAYwByAGUAdABpAG8AbgBfAE4ASQBSAFIAZQBmAGUAcgBlAG4AYwBlACIALAAiAE0ATQBTAF8ARgBlAGUAZABsAG8AdABfAE4AMgBPAF8ARABpAHIAZQBjAHQAXwBFAHEAdQBhAHQAaQBvAG4AcwAuAFYARQBFAFIARwBfADQAXwAxAF8AMQBfADMAXwBfADMAXwBBAG4AbgB1AGEAbABOAGkAdAByAG8AZwBlAG4ARQB4AGMAcgBlAHQAaQBvAG4AXwBMAGEAdABlAHgARQBxAHUAYQB0AGkAbwBuACIALAAiAE0ATQBTAF8ARgBlAGUAZABsAG8AdABfAE4AMgBPAF8ARABpAHIAZQBjAHQAXwBFAHEAdQBhAHQAaQBvAG4AcwAuAFYARQBFAFIARwBfADQAXwAxAF8AMQBfADMAXwBfADMAXwBBAG4AbgB1AGEAbABOAGkAdAByAG8AZwBlAG4ARQB4AGMAcgBlAHQAaQBvAG4AXwBBAHIAZwB1AG0AZQBuAHQAcwAiACwAIgBNAE0AUwBfAEYAZQBlAGQAbABvAHQAXwBOADIATwBfAEQAaQByAGUAYwB0AF8ARQBxAHUAYQB0AGkAbwBuAHMALgBWAEUARQBSAEcAXwA0AF8AMQBfADEAXwAzAF8AXwA0AF8ATgBpAHQAcgBvAGcAZQBuAEUAeABjAHIAZQB0AGkAbwBuAFAAZQByAEgAZQBhAGQAIgAsACIATQBNAFMAXwBGAGUAZQBkAGwAbwB0AF8ATgAyAE8AXwBEAGkAcgBlAGMAdABfAEUAcQB1AGEAdABpAG8AbgBzAC4AVgBFAEUAUgBHAF8ANABfADEAXwAxAF8AMwBfAF8ANABfAE4AaQB0AHIAbwBnAGUAbgBFAHgAYwByAGUAdABpAG8AbgBQAGUAcgBIAGUAYQBkAF8AVABpAHQAbABlACIALAAiAE0ATQBTAF8ARgBlAGUAZABsAG8AdABfAE4AMgBPAF8ARABpAHIAZQBjAHQAXwBFAHEAdQBhAHQAaQBvAG4AcwAuAFYARQBFAFIARwBfADQAXwAxAF8AMQBfADMAXwBfADQAXwBOAGkAdAByAG8AZwBlAG4ARQB4AGMAcgBlAHQAaQBvAG4AUABlAHIASABlAGEAZABfAFYAYQByAGkAYQBiAGwAZQAiACwAIgBNAE0AUwBfAEYAZQBlAGQAbABvAHQAXwBOADIATwBfAEQAaQByAGUAYwB0AF8ARQBxAHUAYQB0AGkAbwBuAHMALgBWAEUARQBSAEcAXwA0AF8AMQBfADEAXwAzAF8AXwA0AF8ATgBpAHQAcgBvAGcAZQBuAEUAeABjAHIAZQB0AGkAbwBuAFAAZQByAEgAZQBhAGQAXwBVAG4AaQB0ACIALAAiAE0ATQBTAF8ARgBlAGUAZABsAG8AdABfAE4AMgBPAF8ARABpAHIAZQBjAHQAXwBFAHEAdQBhAHQAaQBvAG4AcwAuAFYARQBFAFIARwBfADQAXwAxAF8AMQBfADMAXwBfADQAXwBOAGkAdAByAG8AZwBlAG4ARQB4AGMAcgBlAHQAaQBvAG4AUABlAHIASABlAGEAZABfAFMAbwB1AHIAYwBlACIALAAiAE0ATQBTAF8ARgBlAGUAZABsAG8AdABfAE4AMgBPAF8ARABpAHIAZQBjAHQAXwBFAHEAdQBhAHQAaQBvAG4AcwAuAFYARQBFAFIARwBfADQAXwAxAF8AMQBfADMAXwBfADQAXwBOAGkAdAByAG8AZwBlAG4ARQB4AGMAcgBlAHQAaQBvAG4AUABlAHIASABlAGEAZABfAE4ASQBSAFIAZQBmAGUAcgBlAG4AYwBlACIALAAiAE0ATQBTAF8ARgBlAGUAZABsAG8AdABfAE4AMgBPAF8ARABpAHIAZQBjAHQAXwBFAHEAdQBhAHQAaQBvAG4AcwAuAFYARQBFAFIARwBfADQAXwAxAF8AMQBfADMAXwBfADQAXwBOAGkAdAByAG8AZwBlAG4ARQB4AGMAcgBlAHQAaQBvAG4AUABlAHIASABlAGEAZABfAEwAYQB0AGUAeABFAHEAdQBhAHQAaQBvAG4AIgAsACIATQBNAFMAXwBGAGUAZQBkAGwAbwB0AF8ATgAyAE8AXwBEAGkAcgBlAGMAdABfAEUAcQB1AGEAdABpAG8AbgBzAC4AVgBFAEUAUgBHAF8ANABfADEAXwAxAF8AMwBfAF8ANABfAE4AaQB0AHIAbwBnAGUAbgBFAHgAYwByAGUAdABpAG8AbgBQAGUAcgBIAGUAYQBkAF8AQQByAGcAdQBtAGUAbgB0AHMAIgAsACIATQBNAFMAXwBGAGUAZQBkAGwAbwB0AF8ATgAyAE8AXwBEAGkAcgBlAGMAdABfAEUAcQB1AGEAdABpAG8AbgBzAC4AVgBFAEUAUgBHAF8ANABfADEAXwAxAF8AMwBfAF8ANQBfAE4AaQB0AHIAbwBnAGUAbgBJAG4AdABhAGsAZQAiACwAIgBNAE0AUwBfAEYAZQBlAGQAbABvAHQAXwBOADIATwBfAEQAaQByAGUAYwB0AF8ARQBxAHUAYQB0AGkAbwBuAHMALgBWAEUARQBSAEcAXwA0AF8AMQBfADEAXwAzAF8AXwA1AF8ATgBpAHQAcgBvAGcAZQBuAEkAbgB0AGEAawBlAF8AVABpAHQAbABlACIALAAiAE0ATQBTAF8ARgBlAGUAZABsAG8AdABfAE4AMgBPAF8ARABpAHIAZQBjAHQAXwBFAHEAdQBhAHQAaQBvAG4AcwAuAFYARQBFAFIARwBfADQAXwAxAF8AMQBfADMAXwBfADUAXwBOAGkAdAByAG8AZwBlAG4ASQBuAHQAYQBrAGUAXwBWAGEAcgBpAGEAYgBsAGUAIgAsACIATQBNAFMAXwBGAGUAZQBkAGwAbwB0AF8ATgAyAE8AXwBEAGkAcgBlAGMAdABfAEUAcQB1AGEAdABpAG8AbgBzAC4AVgBFAEUAUgBHAF8ANABfADEAXwAxAF8AMwBfAF8ANQBfAE4AaQB0AHIAbwBnAGUAbgBJAG4AdABhAGsAZQBfAFUAbgBpAHQAIgAsACIATQBNAFMAXwBGAGUAZQBkAGwAbwB0AF8ATgAyAE8AXwBEAGkAcgBlAGMAdABfAEUAcQB1AGEAdABpAG8AbgBzAC4AVgBFAEUAUgBHAF8ANABfADEAXwAxAF8AMwBfAF8ANQBfAE4AaQB0AHIAbwBnAGUAbgBJAG4AdABhAGsAZQBfAFMAbwB1AHIAYwBlACIALAAiAE0ATQBTAF8ARgBlAGUAZABsAG8AdABfAE4AMgBPAF8ARABpAHIAZQBjAHQAXwBFAHEAdQBhAHQAaQBvAG4AcwAuAFYARQBFAFIARwBfADQAXwAxAF8AMQBfADMAXwBfADUAXwBOAGkAdAByAG8AZwBlAG4ASQBuAHQAYQBrAGUAXwBOAEkAUgBSAGUAZgBlAHIAZQBuAGMAZQAiACwAIgBNAE0AUwBfAEYAZQBlAGQAbABvAHQAXwBOADIATwBfAEQAaQByAGUAYwB0AF8ARQBxAHUAYQB0AGkAbwBuAHMALgBWAEUARQBSAEcAXwA0AF8AMQBfADEAXwAzAF8AXwA1AF8ATgBpAHQAcgBvAGcAZQBuAEkAbgB0AGEAawBlAF8ATABhAHQAZQB4AEUAcQB1AGEAdABpAG8AbgAiACwAIgBNAE0AUwBfAEYAZQBlAGQAbABvAHQAXwBOADIATwBfAEQAaQByAGUAYwB0AF8ARQBxAHUAYQB0AGkAbwBuAHMALgBWAEUARQBSAEcAXwA0AF8AMQBfADEAXwAzAF8AXwA1AF8ATgBpAHQAcgBvAGcAZQBuAEkAbgB0AGEAawBlAF8AQQByAGcAdQBtAGUAbgB0AHMAIgAsACIATQBNAFMAXwBGAGUAZQBkAGwAbwB0AF8ATgAyAE8AXwBEAGkAcgBlAGMAdABfAEUAcQB1AGEAdABpAG8AbgBzAC4AVgBFAEUAUgBHAF8ANABfADEAXwAxAF8AMwBfAF8ANgBfAFMAdABhAGcAZQAyAE4AaQB0AHIAbwBnAGUAbgBJAG4ATQBNAFMAIgAsACIATQBNAFMAXwBGAGUAZQBkAGwAbwB0AF8ATgAyAE8AXwBEAGkAcgBlAGMAdABfAEUAcQB1AGEAdABpAG8AbgBzAC4AVgBFAEUAUgBHAF8ANABfADEAXwAxAF8AMwBfAF8ANgBfAFMAdABhAGcAZQAyAE4AaQB0AHIAbwBnAGUAbgBJAG4ATQBNAFMAXwBUAGkAdABsAGUAIgAsACIATQBNAFMAXwBGAGUAZQBkAGwAbwB0AF8ATgAyAE8AXwBEAGkAcgBlAGMAdABfAEUAcQB1AGEAdABpAG8AbgBzAC4AVgBFAEUAUgBHAF8ANABfADEAXwAxAF8AMwBfAF8ANgBfAFMAdABhAGcAZQAyAE4AaQB0AHIAbwBnAGUAbgBJAG4ATQBNAFMAXwBWAGEAcgBpAGEAYgBsAGUAIgAsACIATQBNAFMAXwBGAGUAZQBkAGwAbwB0AF8ATgAyAE8AXwBEAGkAcgBlAGMAdABfAEUAcQB1AGEAdABpAG8AbgBzAC4AVgBFAEUAUgBHAF8ANABfADEAXwAxAF8AMwBfAF8ANgBfAFMAdABhAGcAZQAyAE4AaQB0AHIAbwBnAGUAbgBJAG4ATQBNAFMAXwBVAG4AaQB0ACIALAAiAE0ATQBTAF8ARgBlAGUAZABsAG8AdABfAE4AMgBPAF8ARABpAHIAZQBjAHQAXwBFAHEAdQBhAHQAaQBvAG4AcwAuAFYARQBFAFIARwBfADQAXwAxAF8AMQBfADMAXwBfADYAXwBTAHQAYQBnAGUAMgBOAGkAdAByAG8AZwBlAG4ASQBuAE0ATQBTAF8AUwBvAHUAcgBjAGUAIgAsACIATQBNAFMAXwBGAGUAZQBkAGwAbwB0AF8ATgAyAE8AXwBEAGkAcgBlAGMAdABfAEUAcQB1AGEAdABpAG8AbgBzAC4AVgBFAEUAUgBHAF8ANABfADEAXwAxAF8AMwBfAF8ANgBfAFMAdABhAGcAZQAyAE4AaQB0AHIAbwBnAGUAbgBJAG4ATQBNAFMAXwBOAEkAUgBSAGUAZgBlAHIAZQBuAGMAZQAiACwAIgBNAE0AUwBfAEYAZQBlAGQAbABvAHQAXwBOADIATwBfAEQAaQByAGUAYwB0AF8ARQBxAHUAYQB0AGkAbwBuAHMALgBWAEUARQBSAEcAXwA0AF8AMQBfADEAXwAzAF8AXwA2AF8AUwB0AGEAZwBlADIATgBpAHQAcgBvAGcAZQBuAEkAbgBNAE0AUwBfAEwAYQB0AGUAeABFAHEAdQBhAHQAaQBvAG4AIgAsACIATQBNAFMAXwBGAGUAZQBkAGwAbwB0AF8ATgAyAE8AXwBEAGkAcgBlAGMAdABfAEUAcQB1AGEAdABpAG8AbgBzAC4AVgBFAEUAUgBHAF8ANABfADEAXwAxAF8AMwBfAF8ANgBfAFMAdABhAGcAZQAyAE4AaQB0AHIAbwBnAGUAbgBJAG4ATQBNAFMAXwBBAHIAZwB1AG0AZQBuAHQAcwAiACwAIgBNAE0AUwBfAEYAZQBlAGQAbABvAHQAXwBOADIATwBfAEQAaQByAGUAYwB0AF8ARQBxAHUAYQB0AGkAbwBuAHMALgBWAEUARQBSAEcAXwA0AF8AMQBfADEAXwAzAF8AXwA3AF8ATgBpAHQAcgBvAGcAZQBuAFQAcgBhAG4AcwBmAGUAcgByAGUAZABUAG8AUwB0AGEAZwBlADIAIgAsACIATQBNAFMAXwBGAGUAZQBkAGwAbwB0AF8ATgAyAE8AXwBEAGkAcgBlAGMAdABfAEUAcQB1AGEAdABpAG8AbgBzAC4AVgBFAEUAUgBHAF8ANABfADEAXwAxAF8AMwBfAF8ANwBfAE4AaQB0AHIAbwBnAGUAbgBUAHIAYQBuAHMAZgBlAHIAcgBlAGQAVABvAFMAdABhAGcAZQAyAF8AVABpAHQAbABlACIALAAiAE0ATQBTAF8ARgBlAGUAZABsAG8AdABfAE4AMgBPAF8ARABpAHIAZQBjAHQAXwBFAHEAdQBhAHQAaQBvAG4AcwAuAFYARQBFAFIARwBfADQAXwAxAF8AMQBfADMAXwBfADcAXwBOAGkAdAByAG8AZwBlAG4AVAByAGEAbgBzAGYAZQByAHIAZQBkAFQAbwBTAHQAYQBnAGUAMgBfAFYAYQByAGkAYQBiAGwAZQAiACwAIgBNAE0AUwBfAEYAZQBlAGQAbABvAHQAXwBOADIATwBfAEQAaQByAGUAYwB0AF8ARQBxAHUAYQB0AGkAbwBuAHMALgBWAEUARQBSAEcAXwA0AF8AMQBfADEAXwAzAF8AXwA3AF8ATgBpAHQAcgBvAGcAZQBuAFQAcgBhAG4AcwBmAGUAcgByAGUAZABUAG8AUwB0AGEAZwBlADIAXwBVAG4AaQB0ACIALAAiAE0ATQBTAF8ARgBlAGUAZABsAG8AdABfAE4AMgBPAF8ARABpAHIAZQBjAHQAXwBFAHEAdQBhAHQAaQBvAG4AcwAuAFYARQBFAFIARwBfADQAXwAxAF8AMQBfADMAXwBfADcAXwBOAGkAdAByAG8AZwBlAG4AVAByAGEAbgBzAGYAZQByAHIAZQBkAFQAbwBTAHQAYQBnAGUAMgBfAFMAbwB1AHIAYwBlACIALAAiAE0ATQBTAF8ARgBlAGUAZABsAG8AdABfAE4AMgBPAF8ARABpAHIAZQBjAHQAXwBFAHEAdQBhAHQAaQBvAG4AcwAuAFYARQBFAFIARwBfADQAXwAxAF8AMQBfADMAXwBfADcAXwBOAGkAdAByAG8AZwBlAG4AVAByAGEAbgBzAGYAZQByAHIAZQBkAFQAbwBTAHQAYQBnAGUAMgBfAE4ASQBSAFIAZQBmAGUAcgBlAG4AYwBlACIALAAiAE0ATQBTAF8ARgBlAGUAZABsAG8AdABfAE4AMgBPAF8ARABpAHIAZQBjAHQAXwBFAHEAdQBhAHQAaQBvAG4AcwAuAFYARQBFAFIARwBfADQAXwAxAF8AMQBfADMAXwBfADcAXwBOAGkAdAByAG8AZwBlAG4AVAByAGEAbgBzAGYAZQByAHIAZQBkAFQAbwBTAHQAYQBnAGUAMgBfAEwAYQB0AGUAeABFAHEAdQBhAHQAaQBvAG4AIgAsACIATQBNAFMAXwBGAGUAZQBkAGwAbwB0AF8ATgAyAE8AXwBEAGkAcgBlAGMAdABfAEUAcQB1AGEAdABpAG8AbgBzAC4AVgBFAEUAUgBHAF8ANABfADEAXwAxAF8AMwBfAF8ANwBfAE4AaQB0AHIAbwBnAGUAbgBUAHIAYQBuAHMAZgBlAHIAcgBlAGQAVABvAFMAdABhAGcAZQAyAF8AQQByAGcAdQBtAGUAbgB0AHMAIgAsACIATQBNAFMAXwBGAGUAZQBkAGwAbwB0AF8ATgAyAE8AXwBEAGkAcgBlAGMAdABfAEUAcQB1AGEAdABpAG8AbgBzAC4AVgBFAEUAUgBHAF8ANABfADEAXwAxAF8AMwBfAF8AOABfAFMAdABhAGcAZQAzAE4AaQB0AHIAbwBnAGUAbgBJAG4ATQBNAFMAQQBuAGEAZQByAG8AYgBpAGMATABhAGcAbwBvAG4AIgAsACIATQBNAFMAXwBGAGUAZQBkAGwAbwB0AF8ATgAyAE8AXwBEAGkAcgBlAGMAdABfAEUAcQB1AGEAdABpAG8AbgBzAC4AVgBFAEUAUgBHAF8ANABfADEAXwAxAF8AMwBfAF8AOABfAFMAdABhAGcAZQAzAE4AaQB0AHIAbwBnAGUAbgBJAG4ATQBNAFMAQQBuAGEAZQByAG8AYgBpAGMATABhAGcAbwBvAG4AXwBUAGkAdABsAGUAIgAsACIATQBNAFMAXwBGAGUAZQBkAGwAbwB0AF8ATgAyAE8AXwBEAGkAcgBlAGMAdABfAEUAcQB1AGEAdABpAG8AbgBzAC4AVgBFAEUAUgBHAF8ANABfADEAXwAxAF8AMwBfAF8AOABfAFMAdABhAGcAZQAzAE4AaQB0AHIAbwBnAGUAbgBJAG4ATQBNAFMAQQBuAGEAZQByAG8AYgBpAGMATABhAGcAbwBvAG4AXwBWAGEAcgBpAGEAYgBsAGUAIgAsACIATQBNAFMAXwBGAGUAZQBkAGwAbwB0AF8ATgAyAE8AXwBEAGkAcgBlAGMAdABfAEUAcQB1AGEAdABpAG8AbgBzAC4AVgBFAEUAUgBHAF8ANABfADEAXwAxAF8AMwBfAF8AOABfAFMAdABhAGcAZQAzAE4AaQB0AHIAbwBnAGUAbgBJAG4ATQBNAFMAQQBuAGEAZQByAG8AYgBpAGMATABhAGcAbwBvAG4AXwBVAG4AaQB0ACIALAAiAE0ATQBTAF8ARgBlAGUAZABsAG8AdABfAE4AMgBPAF8ARABpAHIAZQBjAHQAXwBFAHEAdQBhAHQAaQBvAG4AcwAuAFYARQBFAFIARwBfADQAXwAxAF8AMQBfADMAXwBfADgAXwBTAHQAYQBnAGUAMwBOAGkAdAByAG8AZwBlAG4ASQBuAE0ATQBTAEEAbgBhAGUAcgBvAGIAaQBjAEwAYQBnAG8AbwBuAF8AUwBvAHUAcgBjAGUAIgAsACIATQBNAFMAXwBGAGUAZQBkAGwAbwB0AF8ATgAyAE8AXwBEAGkAcgBlAGMAdABfAEUAcQB1AGEAdABpAG8AbgBzAC4AVgBFAEUAUgBHAF8ANABfADEAXwAxAF8AMwBfAF8AOABfAFMAdABhAGcAZQAzAE4AaQB0AHIAbwBnAGUAbgBJAG4ATQBNAFMAQQBuAGEAZQByAG8AYgBpAGMATABhAGcAbwBvAG4AXwBOAEkAUgBSAGUAZgBlAHIAZQBuAGMAZQAiACwAIgBNAE0AUwBfAEYAZQBlAGQAbABvAHQAXwBOADIATwBfAEQAaQByAGUAYwB0AF8ARQBxAHUAYQB0AGkAbwBuAHMALgBWAEUARQBSAEcAXwA0AF8AMQBfADEAXwAzAF8AXwA4AF8AUwB0AGEAZwBlADMATgBpAHQAcgBvAGcAZQBuAEkAbgBNAE0AUwBBAG4AYQBlAHIAbwBiAGkAYwBMAGEAZwBvAG8AbgBfAEwAYQB0AGUAeABFAHEAdQBhAHQAaQBvAG4AIgAsACIATQBNAFMAXwBGAGUAZQBkAGwAbwB0AF8ATgAyAE8AXwBEAGkAcgBlAGMAdABfAEUAcQB1AGEAdABpAG8AbgBzAC4AVgBFAEUAUgBHAF8ANABfADEAXwAxAF8AMwBfAF8AOABfAFMAdABhAGcAZQAzAE4AaQB0AHIAbwBnAGUAbgBJAG4ATQBNAFMAQQBuAGEAZQByAG8AYgBpAGMATABhAGcAbw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 template</vt:lpstr>
      <vt:lpstr>Home</vt:lpstr>
      <vt:lpstr>Results</vt:lpstr>
      <vt:lpstr>Input - Site</vt:lpstr>
      <vt:lpstr>Input - MMS - Feedlot</vt:lpstr>
      <vt:lpstr>4.1.1.1-2 Methane</vt:lpstr>
      <vt:lpstr>4.1.1.3-4 Direct N20</vt:lpstr>
      <vt:lpstr>4.1.1.5-6 Atmos Deposition</vt:lpstr>
      <vt:lpstr>4.1.1.9 Manure applied to soils</vt:lpstr>
      <vt:lpstr>Source Data - Feedlot</vt:lpstr>
      <vt:lpstr>Constants - Livestock</vt:lpstr>
      <vt:lpstr>Acknowledgements</vt:lpstr>
      <vt:lpstr>Constants -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