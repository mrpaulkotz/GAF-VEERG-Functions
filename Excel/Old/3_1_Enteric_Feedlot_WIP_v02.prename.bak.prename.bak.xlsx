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9CD3736-1CBA-4D9E-851F-648A9F0FA4A5}" xr6:coauthVersionLast="47" xr6:coauthVersionMax="47" xr10:uidLastSave="{00000000-0000-0000-0000-000000000000}"/>
  <bookViews>
    <workbookView xWindow="390" yWindow="390" windowWidth="28800" windowHeight="15345" firstSheet="7" activeTab="7"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6" r:id="rId8"/>
    <sheet name="Constants - Livestock" sheetId="43" r:id="rId9"/>
    <sheet name="Acknowledgements" sheetId="72" r:id="rId10"/>
    <sheet name="Tab template" sheetId="74" r:id="rId11"/>
  </sheets>
  <externalReferences>
    <externalReference r:id="rId12"/>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
  )</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Site_EndDate">'Input - Site'!$E$13</definedName>
    <definedName name="Input_Site_FarmName">'Input - Site'!$E$7</definedName>
    <definedName name="Input_Site_ReportingEntityName">'Input - Site'!$E$8</definedName>
    <definedName name="Input_Site_StartDate">'Input - Site'!$E$12</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Range_LivestockStartingValues">#REF!</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Table_D_j">'3.1.1.1-2 Enteric Methane'!$D$54:$F$55</definedName>
    <definedName name="Table_N_j">'3.1.1.1-2 Enteric Methane'!$D$59:$F$60</definedName>
    <definedName name="VEERG_3_1_1_1__1_TotalAnnualMethaneFromEntericFermentation_Result">'3.1.1.1-2 Enteric Methane'!$E$67</definedName>
    <definedName name="X_Table_Feedlot_HerdMovement">'Input - Feedlot'!$D$7:$G$9</definedName>
    <definedName name="X_Table_Feedlot_Intake_Method1">'Input - Feedlot'!$D$13:$G$16</definedName>
    <definedName name="X_Table_Feedlot_Intake_Method2">'Input - Feedlot'!$D$18:$G$21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6" a="1"/>
  <c r="E259" i="106" s="1"/>
  <c r="D259" i="106" a="1"/>
  <c r="D259" i="106" s="1"/>
  <c r="E258" i="106" a="1"/>
  <c r="E258" i="106" s="1"/>
  <c r="D258" i="106" a="1"/>
  <c r="D258" i="106" s="1"/>
  <c r="D256" i="106"/>
  <c r="D256" i="106" a="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c r="D229" i="106" a="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c r="D211" i="106" a="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a="1"/>
  <c r="D180" i="106" s="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c r="D151" i="106" a="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c r="D124" i="106" a="1"/>
  <c r="G121" i="106" a="1"/>
  <c r="G121" i="106" s="1"/>
  <c r="F121" i="106" a="1"/>
  <c r="F121" i="106" s="1"/>
  <c r="E121" i="106" a="1"/>
  <c r="E121" i="106" s="1"/>
  <c r="D121" i="106" a="1"/>
  <c r="D121" i="106" s="1"/>
  <c r="G120" i="106" a="1"/>
  <c r="G120" i="106" s="1"/>
  <c r="F120" i="106" a="1"/>
  <c r="F120" i="106" s="1"/>
  <c r="E120" i="106" a="1"/>
  <c r="E120" i="106" s="1"/>
  <c r="D120" i="106" a="1"/>
  <c r="D120" i="106" s="1"/>
  <c r="D117" i="106" a="1"/>
  <c r="D117" i="106" s="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c r="D107" i="106" a="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a="1"/>
  <c r="D82" i="106" s="1"/>
  <c r="D81" i="106" a="1"/>
  <c r="D81" i="106" s="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a="1"/>
  <c r="D45" i="106" s="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F7" i="106" a="1"/>
  <c r="F7" i="106" s="1"/>
  <c r="E7" i="106" a="1"/>
  <c r="E7" i="106" s="1"/>
  <c r="D7" i="106" a="1"/>
  <c r="D7" i="106" s="1"/>
  <c r="D5" i="106" a="1"/>
  <c r="D5" i="106" s="1"/>
  <c r="D60" i="69" a="1"/>
  <c r="D60" i="69" s="1"/>
  <c r="D55" i="69" a="1"/>
  <c r="D55" i="69" s="1"/>
  <c r="H48" i="106" l="1"/>
  <c r="H53" i="106"/>
  <c r="H54" i="106"/>
  <c r="H52" i="106"/>
  <c r="H51" i="106"/>
  <c r="H50" i="106"/>
  <c r="H49" i="106"/>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E41" i="69" l="1"/>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G14" i="70" a="1"/>
  <c r="G14" i="70" s="1"/>
  <c r="E15" i="70" a="1"/>
  <c r="E15" i="70" s="1"/>
  <c r="F14" i="70" a="1"/>
  <c r="F14" i="70" s="1"/>
  <c r="E14" i="70" a="1"/>
  <c r="E14" i="70" s="1"/>
  <c r="G21" i="70" a="1"/>
  <c r="G21" i="70" s="1"/>
  <c r="F19" i="70" a="1"/>
  <c r="F19" i="70" s="1"/>
  <c r="G19" i="70" a="1"/>
  <c r="G19" i="70" s="1"/>
  <c r="G15" i="70" a="1"/>
  <c r="G15" i="70" s="1"/>
  <c r="E16" i="70" a="1"/>
  <c r="E16" i="70" s="1"/>
  <c r="F16" i="70" a="1"/>
  <c r="F16" i="70" s="1"/>
  <c r="G16" i="70" a="1"/>
  <c r="G16" i="70" s="1"/>
  <c r="E20" i="70" a="1"/>
  <c r="E20" i="70" s="1"/>
  <c r="E21" i="70" a="1"/>
  <c r="E21" i="70" s="1"/>
  <c r="M30" i="69" s="1" a="1"/>
  <c r="M30" i="69" s="1"/>
  <c r="F21" i="70" a="1"/>
  <c r="F21" i="70" s="1"/>
  <c r="F15" i="70" a="1"/>
  <c r="F15" i="70" s="1"/>
  <c r="F20" i="70" a="1"/>
  <c r="F20" i="70" s="1"/>
  <c r="G20" i="70" a="1"/>
  <c r="G20" i="70" s="1"/>
  <c r="D69" i="69" a="1"/>
  <c r="D69" i="69" s="1"/>
  <c r="F72" i="69" a="1"/>
  <c r="F72" i="69" s="1"/>
  <c r="M20" i="69" l="1" a="1"/>
  <c r="M20" i="69" s="1"/>
  <c r="D25" i="69" a="1"/>
  <c r="D25" i="69" s="1"/>
  <c r="M25" i="69" a="1"/>
  <c r="M25" i="69" s="1"/>
  <c r="D20" i="69" a="1"/>
  <c r="D20" i="69" s="1"/>
  <c r="D30" i="69" a="1"/>
  <c r="D30" i="69" s="1"/>
  <c r="M35" i="69" l="1" a="1"/>
  <c r="M35" i="69" s="1"/>
  <c r="M65" i="69" s="1" a="1"/>
  <c r="M65" i="69" s="1"/>
  <c r="O35" i="69" a="1"/>
  <c r="O35" i="69" s="1"/>
  <c r="O65" i="69" s="1" a="1"/>
  <c r="O65" i="69" s="1"/>
  <c r="N35" i="69" a="1"/>
  <c r="N35" i="69" s="1"/>
  <c r="N65" i="69" s="1" a="1"/>
  <c r="N65" i="69" s="1"/>
  <c r="D8" i="70"/>
  <c r="D9" i="70"/>
  <c r="G35" i="69" l="1"/>
  <c r="P65" i="69"/>
  <c r="H69" i="69"/>
  <c r="Q69" i="69"/>
  <c r="G65" i="69"/>
  <c r="O67" i="69"/>
  <c r="F67" i="69"/>
  <c r="G7" i="13" s="1"/>
  <c r="F35" i="69" a="1"/>
  <c r="F35" i="69" s="1"/>
  <c r="F65" i="69" s="1" a="1"/>
  <c r="F65" i="69" s="1"/>
  <c r="E35" i="69" a="1"/>
  <c r="E35" i="69" s="1"/>
  <c r="E65" i="69" s="1" a="1"/>
  <c r="E65" i="69" s="1"/>
  <c r="D35" i="69"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N67" i="69"/>
  <c r="P69" i="69" s="1"/>
  <c r="N72" i="69" s="1" a="1"/>
  <c r="N72" i="69" s="1"/>
  <c r="I7" i="13" s="1"/>
  <c r="I8" i="13" s="1"/>
  <c r="G69" i="69" l="1"/>
  <c r="E72" i="69" s="1" a="1"/>
  <c r="E72" i="69" s="1"/>
  <c r="H7" i="13" s="1"/>
  <c r="H8" i="13" s="1"/>
  <c r="E7" i="13"/>
  <c r="F7"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<sst xmlns="http://schemas.openxmlformats.org/spreadsheetml/2006/main" count="287" uniqueCount="188">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</sst>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22/10/relationships/richValueRel" Target="richData/richValueRel.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AE3AF9-4DB0-43EA-BF3A-34D64DD2F96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016623-9111-4AF2-9A98-C5CB68257AED}" name="State/Territory">
      <calculatedColumnFormula array="1">Common_InputFunctions.Utility_DisplayArrayInTable(Common_SourceData.Common_SourceData_AustralianStatesTerritories_Data(),Table_AustralianStates[[#Headers],[State/Territory]],0)</calculatedColumnFormula>
    </tableColumn>
    <tableColumn id="2" xr3:uid="{5E996B45-8231-4D5A-9360-1969C0F60593}" name="Common Name">
      <calculatedColumnFormula array="1">Common_InputFunctions.Utility_DisplayArrayInTable(Common_SourceData.Common_SourceData_AustralianStatesTerritories_Data(),Table_AustralianStates[[#Headers],[State/Territory]],0)</calculatedColumnFormula>
    </tableColumn>
    <tableColumn id="3" xr3:uid="{284FD036-41D9-4465-A8B1-BE254A8E2A8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F201CE5-89DA-438F-A8EE-207D01B73EEE}" name="Table_WASA4Areas" displayName="Table_WASA4Areas" ref="D20:D30" totalsRowShown="0">
  <autoFilter ref="D20:D30" xr:uid="{5FA81339-C6C8-4D36-BEEA-6C4AEDD9E676}">
    <filterColumn colId="0" hiddenButton="1"/>
  </autoFilter>
  <tableColumns count="1">
    <tableColumn id="1" xr3:uid="{41BC2FC5-7B11-4384-A008-EAE2183B104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F1451BA-BCDB-44AD-BF28-0B882E6D0ED5}" name="Table_GWPData" displayName="Table_GWPData" ref="D36:E43" totalsRowShown="0">
  <autoFilter ref="D36:E43" xr:uid="{B8E87A66-3E41-4AD3-925D-01EE21B43D7A}">
    <filterColumn colId="0" hiddenButton="1"/>
    <filterColumn colId="1" hiddenButton="1"/>
  </autoFilter>
  <tableColumns count="2">
    <tableColumn id="1" xr3:uid="{055E6137-24C0-4B23-B62F-FD7A6498CB6B}" name="Gas">
      <calculatedColumnFormula array="1">Common_InputFunctions.Utility_DisplayArrayInTable(Common_SourceData.Common_SourceData_GWP_Data(), Table_GWPData[[#Headers],[Gas]], 0)</calculatedColumnFormula>
    </tableColumn>
    <tableColumn id="2" xr3:uid="{F02ABF89-4B82-4B37-A184-D27A92530E3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F254599-24BB-4A60-B9F2-D5922FC18CE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6C6B492-3C75-42E9-BDB3-383AE032C42B}" name="Gas">
      <calculatedColumnFormula array="1">Common_InputFunctions.Utility_DisplayArrayInTable(Common_SourceData.Common_SourceData_ConvertGasElementalToMolecular_Data(),Table_GasToMolecularConversionFactor[[#Headers],[Gas]], 0)</calculatedColumnFormula>
    </tableColumn>
    <tableColumn id="5" xr3:uid="{36940A80-9410-4B0B-AD88-18C0ADB67E22}" name="Conversion factor">
      <calculatedColumnFormula array="1">Common_InputFunctions.Utility_DisplayArrayInTable(Common_SourceData.Common_SourceData_ConvertGasElementalToMolecular_Data(),Table_GasToMolecularConversionFactor[[#Headers],[Gas]], 0)</calculatedColumnFormula>
    </tableColumn>
    <tableColumn id="2" xr3:uid="{56DCEEA1-97F7-4AEF-9C87-9BD77C2D177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4DAF970-C775-47E2-9B2C-F9495E6C5D2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9251D9E3-A05C-4FB8-AB84-49D33F00BF2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40B1C8-74D0-4C31-88BC-32D45E68D42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A26A4C2-8E78-4726-BA63-698E8E0BA24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C268598-F274-41DA-8892-E466A9DE9497}"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1AD04A1C-DB01-4C9E-BCD5-B7194E2F9CB8}"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2074850A-C3CC-40A3-A0AD-CDC1309207A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604BACD1-BA9D-4741-A49A-5226F77836F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2707F6F7-ABD9-4779-9853-3C3A79BD3181}"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60BAD0EB-73A7-41FB-B23D-E22C4A268F2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3B193449-8EF3-4E3E-AB43-742845653363}"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CD0C8DB5-3FB1-4A05-938C-8BDD89A29A58}"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7F573F67-4198-4957-8891-5C33C047C293}"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1891836B-6B41-4C7F-91D8-5A335BB10AA7}"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5E313A81-3941-4684-B16D-94F55B8007EB}"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A2125259-D89A-4BA2-A97E-895D1223FF82}"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3C0D1B67-CFDB-4677-8F5F-4227F92A370A}"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ED050E57-3D91-4A80-9F61-D8917E882E4A}"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CE459763-6B40-4176-9360-CF9DE0130FC6}"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5A88837-A1B7-40E5-800B-F2CF2B896C3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3084658-D31E-4148-9EC5-ED4D0636935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BA22F25-94F8-435E-8656-31D9989B8C3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128BB59-E877-4190-AEF6-11AD923081B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9716885-0E03-45B9-ABFE-8BB0CC0782E5}" name="Temperature Zone">
      <calculatedColumnFormula array="1">Common_InputFunctions.Utility_DisplayArrayInTable(Common_SourceData.Common_SourceData_TemperatureZones_Data(),Table_SourceData_TemperatureZones[[#Headers],[Temperature Zone]],0)</calculatedColumnFormula>
    </tableColumn>
    <tableColumn id="2" xr3:uid="{3EAA9D7F-08DE-4953-B01E-F9D70456EA7E}" name="MAT">
      <calculatedColumnFormula array="1">Common_InputFunctions.Utility_DisplayArrayInTable(Common_SourceData.Common_SourceData_TemperatureZones_Data(),Table_SourceData_TemperatureZones[[#Headers],[Temperature Zone]],0)</calculatedColumnFormula>
    </tableColumn>
    <tableColumn id="3" xr3:uid="{DD5AC1C1-0F8D-4350-BCCC-6995CA422AE4}" name="Min MAT">
      <calculatedColumnFormula array="1">Common_InputFunctions.Utility_DisplayArrayInTable(Common_SourceData.Common_SourceData_TemperatureZones_Data(),Table_SourceData_TemperatureZones[[#Headers],[Temperature Zone]],0)</calculatedColumnFormula>
    </tableColumn>
    <tableColumn id="4" xr3:uid="{58820687-B306-441F-8136-90360826141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7081B80-7FD4-4D98-AC47-CD7543C3A03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9CD9BB9-2171-4E67-B9B6-21B123FA1B69}" name="Rainfall Zone">
      <calculatedColumnFormula array="1">Common_InputFunctions.Utility_DisplayArrayInTable(Common_SourceData.Common_SourceData_RainfallZones_Data(),Table_SourceData_RainfallZones[[#Headers],[Rainfall Zone]],0)</calculatedColumnFormula>
    </tableColumn>
    <tableColumn id="2" xr3:uid="{33743EEB-FE0F-442C-A3C3-9090E704F6DF}" name="Annual rainfall">
      <calculatedColumnFormula array="1">Common_InputFunctions.Utility_DisplayArrayInTable(Common_SourceData.Common_SourceData_RainfallZones_Data(),Table_SourceData_RainfallZones[[#Headers],[Rainfall Zone]],0)</calculatedColumnFormula>
    </tableColumn>
    <tableColumn id="3" xr3:uid="{FB36B090-8B4F-498F-810B-CE0F15D18335}" name="Min rainfall">
      <calculatedColumnFormula array="1">Common_InputFunctions.Utility_DisplayArrayInTable(Common_SourceData.Common_SourceData_RainfallZones_Data(),Table_SourceData_RainfallZones[[#Headers],[Rainfall Zone]],0)</calculatedColumnFormula>
    </tableColumn>
    <tableColumn id="4" xr3:uid="{5649DC37-517D-4BB2-A59F-A5527C3DEDB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8D1CA58-8DD5-4DBD-8EC4-01FC618E4F3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F856DAA-3E4F-4081-95BD-D3B18500D1FF}" name="Leaching Zone">
      <calculatedColumnFormula array="1">Common_InputFunctions.Utility_DisplayArrayInTable(Common_SourceData.Common_SourceData_LeachingZones_Data(), Table_SourceData_LeachingZones[[#Headers],[Leaching Zone]], 0)</calculatedColumnFormula>
    </tableColumn>
    <tableColumn id="2" xr3:uid="{226870E2-A037-49B3-ABA5-3ACA5B6202E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0045FA6-FB22-4B73-AB52-0CB8D8478E4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ADB1BD4-AA35-40E9-90E9-CA274C2AFE85}" name="Data source">
      <calculatedColumnFormula array="1">Common_InputFunctions.Utility_DisplayArrayInTable(Common_SourceData.Common_SourceData_DataScores_Scope3_Data(), Table_SourceData_DataScores_Scope3[[#Headers],[Data source]], 0)</calculatedColumnFormula>
    </tableColumn>
    <tableColumn id="2" xr3:uid="{CF6BA90C-9C6C-458F-93C1-D259720C0C7B}"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3364BDE-6DE9-4C0C-9AC6-0A44A332C680}" name="Table_SourceData_FracWET" displayName="Table_SourceData_FracWET" ref="D134:E136" totalsRowShown="0">
  <autoFilter ref="D134:E136" xr:uid="{308E99BE-FE1F-47A4-B2CA-97217277C4E9}">
    <filterColumn colId="0" hiddenButton="1"/>
    <filterColumn colId="1" hiddenButton="1"/>
  </autoFilter>
  <tableColumns count="2">
    <tableColumn id="1" xr3:uid="{4F389808-F31D-4034-AD4B-662900D74906}" name="Is in leaching zone">
      <calculatedColumnFormula array="1">Common_InputFunctions.Utility_DisplayArrayInTable(Common_SourceData.Common_SourceData_FracWET_Data(),Table_SourceData_FracWET[[#Headers],[Is in leaching zone]],0)</calculatedColumnFormula>
    </tableColumn>
    <tableColumn id="2" xr3:uid="{7656A28A-A695-4883-9C7A-D369DE5EDA3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ED52A799-BC36-4B32-A233-E3C9129F3CE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003EB2C-5828-45C7-939E-8B5145ED792B}" name="Production system j">
      <calculatedColumnFormula array="1">Common_InputFunctions.Utility_DisplayArrayInTable(Common_SourceData.Common_SourceData_EFN2O_Data(), Table_SourceData_Common_EFN2O[[#Headers],[Production system j]], 0)</calculatedColumnFormula>
    </tableColumn>
    <tableColumn id="2" xr3:uid="{A5C427DC-6B89-428F-B087-3D81ED2B2DE5}" name="EFN2O">
      <calculatedColumnFormula array="1">Common_InputFunctions.Utility_DisplayArrayInTable(Common_SourceData.Common_SourceData_EFN2O_Data(), Table_SourceData_Common_EFN2O[[#Headers],[Production system j]], 0)</calculatedColumnFormula>
    </tableColumn>
    <tableColumn id="3" xr3:uid="{67A034F4-B9F4-4D1E-9595-2EF20F33D947}" name="Production system only">
      <calculatedColumnFormula array="1">Common_InputFunctions.Utility_DisplayArrayInTable(Common_SourceData.Common_SourceData_EFN2O_Data(), Table_SourceData_Common_EFN2O[[#Headers],[Production system j]], 0)</calculatedColumnFormula>
    </tableColumn>
    <tableColumn id="4" xr3:uid="{639E9A01-233F-4781-84B6-69EDBCB01E53}" name="Irrigation method">
      <calculatedColumnFormula array="1">Common_InputFunctions.Utility_DisplayArrayInTable(Common_SourceData.Common_SourceData_EFN2O_Data(), Table_SourceData_Common_EFN2O[[#Headers],[Production system j]], 0)</calculatedColumnFormula>
    </tableColumn>
    <tableColumn id="5" xr3:uid="{BE45B7E3-8DF9-447E-B459-CB6107838414}"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BCB1B26-06C1-4B16-B564-B5DA2FA3EE9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58CEC23-FEC0-40D8-B812-866FF76D299B}" name="Irrigation type i">
      <calculatedColumnFormula array="1">Common_InputFunctions.Utility_DisplayArrayInTable(Common_SourceData.Common_SourceData_FracWETIrrigation_Data(), Table_SourceData_FracWETIrrigation[[#Headers],[Irrigation type i]], 0)</calculatedColumnFormula>
    </tableColumn>
    <tableColumn id="2" xr3:uid="{BDB35183-26A8-47E5-8AAC-9B5F49F0249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950AFA-4B42-4A85-9EF1-7E9A1DBB35B2}"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B51473C-6B5D-4A89-B0EA-2EE4A9717B3C}"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105ACA8-15AE-46DF-A770-9E8ECF766FB4}"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3AB11C0-702F-4A17-848A-FE7B9A9459C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B2F5404-B974-4598-93A5-DC5D6ED613EC}" name="Month">
      <calculatedColumnFormula array="1">Common_InputFunctions.Utility_DisplayArrayInTable(Common_SourceData.Common_SourceData_MonthsToSeasons_Data(), Table_SourceData_Common_MonthToSeason[[#Headers],[Month]], 0)</calculatedColumnFormula>
    </tableColumn>
    <tableColumn id="2" xr3:uid="{0A1D5F2E-D433-4351-8A33-72101DE4CBCF}"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2AA46B2-BB33-4C29-A258-DA055AD21CE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95A6AF7-BECB-4B91-97BB-B2F1AD0100F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9368161D-6E38-40A3-AF02-7F24A4AE2E20}"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1286F75-7812-4FB7-826F-C6EA6D7B3A9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F630324-19F8-4733-A958-945E4F2383B6}"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32F1466D-A863-4922-9B33-79DA98CF71F9}"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4CEF460-CD2F-4921-AF52-EB64B0661EB2}"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8ED0545-9CE1-4290-AF36-9BEE6D9CB845}"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438CBCA-46BE-4B38-97BF-B1B7C5EE9330}"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384F033-CE89-4C01-97A7-29A150F4A6E6}"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3099F03-48F5-44DA-91FE-6AAE33207F41}"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46E633E-9C1F-41A0-888C-5075CE3AF7A8}"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920690F-D9F5-4734-9F91-F51129C64D9A}"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C345C7B7-B4A5-471E-8467-4F6CCEAAFC4C}"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31602C-68FB-4F72-91D6-59252A5110E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C6C2480-622D-47D3-81C6-3C7A0C7C9C02}"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1B7BCD7-4801-48C0-9AC3-7D11388AAFDE}"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B80AFA6-DF04-4EC8-9824-C90ECACA11C6}"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4A93D00-9EBE-4F68-85E0-5A3A3742515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175E17D-948E-47D6-84F5-B05D43DFEC3A}"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 ca="1">VEERG_3_1_1_1__1_TotalAnnualMethaneFromEntericFermentation_Result</f>
        <v>35.420230000000004</v>
      </c>
      <c r="F7" s="98">
        <f ca="1">'3.1.1.1-2 Enteric Methane'!N67</f>
        <v>35.420230000000004</v>
      </c>
      <c r="G7" s="52" t="str">
        <f>'3.1.1.1-2 Enteric Methane'!F67</f>
        <v>t CH4</v>
      </c>
      <c r="H7" s="98">
        <f ca="1">'3.1.1.1-2 Enteric Methane'!E72</f>
        <v>991.7664400000001</v>
      </c>
      <c r="I7" s="98">
        <f ca="1">'3.1.1.1-2 Enteric Methane'!N72</f>
        <v>991.7664400000001</v>
      </c>
      <c r="J7" s="52" t="s">
        <v>140</v>
      </c>
      <c r="K7" s="24"/>
      <c r="L7" s="24"/>
    </row>
    <row r="8" spans="1:12" ht="20.100000000000001" customHeight="1" x14ac:dyDescent="0.3">
      <c r="A8" s="17" t="str">
        <f>HYPERLINK("#'Input - Site'!A1", "Site")</f>
        <v>Site</v>
      </c>
      <c r="C8" s="24"/>
      <c r="D8" s="31" t="s">
        <v>127</v>
      </c>
      <c r="E8" s="25"/>
      <c r="F8" s="31"/>
      <c r="G8" s="31"/>
      <c r="H8" s="99">
        <f ca="1">SUM(H7:H7)</f>
        <v>991.7664400000001</v>
      </c>
      <c r="I8" s="99">
        <f ca="1">SUM(I7:I7)</f>
        <v>991.7664400000001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58</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9</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21" t="str">
        <f>HYPERLINK("#'Input - Site'!A1", "Site")</f>
        <v>Site</v>
      </c>
      <c r="D8" s="10" t="s">
        <v>54</v>
      </c>
      <c r="E8" s="33" t="s">
        <v>55</v>
      </c>
    </row>
    <row r="9" spans="1:24" ht="20.100000000000001" customHeight="1" x14ac:dyDescent="0.25">
      <c r="A9" s="17" t="str">
        <f>HYPERLINK("#'Input - Feedlot'!A1", "Feedlot")</f>
        <v>Feedlot</v>
      </c>
      <c r="N9" s="42"/>
    </row>
    <row r="10" spans="1:24" ht="20.100000000000001" customHeight="1" x14ac:dyDescent="0.25">
      <c r="A10" s="17"/>
      <c r="D10" s="82" t="s">
        <v>72</v>
      </c>
      <c r="E10" s="80"/>
      <c r="F10" s="83"/>
      <c r="G10" s="77"/>
      <c r="N10" s="42"/>
    </row>
    <row r="11" spans="1:24" ht="20.100000000000001" customHeight="1" x14ac:dyDescent="0.25">
      <c r="A11" s="19" t="s">
        <v>58</v>
      </c>
      <c r="N11" s="43"/>
    </row>
    <row r="12" spans="1:24" ht="20.100000000000001" customHeight="1" x14ac:dyDescent="0.25">
      <c r="A12" s="17" t="str">
        <f>HYPERLINK("#'3.1.1.1-2 Enteric Methane'!A1", "3.1.1.1-2 Enteric Methane")</f>
        <v>3.1.1.1-2 Enteric Methane</v>
      </c>
      <c r="D12" s="10" t="s">
        <v>76</v>
      </c>
      <c r="E12" s="59">
        <v>45292</v>
      </c>
      <c r="F12" s="2" t="s">
        <v>53</v>
      </c>
    </row>
    <row r="13" spans="1:24" ht="20.100000000000001" customHeight="1" x14ac:dyDescent="0.25">
      <c r="A13"/>
      <c r="D13" s="10" t="s">
        <v>77</v>
      </c>
      <c r="E13" s="66">
        <f>DATE(YEAR(E12)+1,MONTH(E12),DAY(E12))-1</f>
        <v>45657</v>
      </c>
      <c r="F13" s="2" t="s">
        <v>10</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E9" sqref="E9"/>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84</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87">
        <v>4300</v>
      </c>
      <c r="F8" s="87">
        <v>100</v>
      </c>
      <c r="G8" s="87">
        <v>100</v>
      </c>
      <c r="H8" s="2" t="s">
        <v>86</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87">
        <v>90</v>
      </c>
      <c r="F9" s="87">
        <v>140</v>
      </c>
      <c r="G9" s="87">
        <v>250</v>
      </c>
      <c r="H9" s="2" t="s">
        <v>143</v>
      </c>
      <c r="I9" s="2"/>
      <c r="J9" s="2"/>
      <c r="K9" s="2"/>
    </row>
    <row r="10" spans="1:21" ht="20.100000000000001" customHeight="1" x14ac:dyDescent="0.25">
      <c r="A10" s="17"/>
    </row>
    <row r="11" spans="1:21" ht="20.100000000000001" customHeight="1" x14ac:dyDescent="0.25">
      <c r="A11" s="19" t="s">
        <v>58</v>
      </c>
      <c r="D11" s="6" t="s">
        <v>79</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81</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81</v>
      </c>
      <c r="I19" s="2"/>
    </row>
    <row r="20" spans="1:11" ht="20.100000000000001" customHeight="1" x14ac:dyDescent="0.25">
      <c r="D20" s="1" t="s">
        <v>161</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144</v>
      </c>
      <c r="I20" s="2"/>
      <c r="J20" s="2"/>
      <c r="K20" s="2"/>
    </row>
    <row r="21" spans="1:11" ht="20.100000000000001" customHeight="1" x14ac:dyDescent="0.25">
      <c r="A21" s="17"/>
      <c r="D21" s="1" t="s">
        <v>162</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53" zoomScaleNormal="100" workbookViewId="0">
      <selection activeCell="D60" sqref="D6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17</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20</v>
      </c>
      <c r="E10" s="1" t="str" cm="1">
        <f t="array" ref="E10">EntericMethane_Feedlot_Equations.VEERG_3_1_1_1__2_DailyEntericMethaneProduction_Variable()</f>
        <v>M_j</v>
      </c>
    </row>
    <row r="11" spans="1:19" ht="20.100000000000001" customHeight="1" x14ac:dyDescent="0.25">
      <c r="A11" s="19" t="s">
        <v>58</v>
      </c>
      <c r="D11" s="51" t="s">
        <v>11</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cm="1">
        <f t="array" aca="1" ref="D20:F20" ca="1">OFFSET(X_Table_Feedlot_Intake_Method1, 1,1, 1,3)</f>
        <v>10.4</v>
      </c>
      <c r="E20" s="50">
        <f ca="1"/>
        <v>10.8</v>
      </c>
      <c r="F20" s="50">
        <f ca="1"/>
        <v>8.1999999999999993</v>
      </c>
      <c r="G20" s="2" t="str">
        <f>$G$13</f>
        <v>kg DM/head/day</v>
      </c>
      <c r="M20" s="50" cm="1">
        <f t="array" aca="1" ref="M20:O20" ca="1">OFFSET(X_Table_Feedlot_Intake_Method2, 1,1, 1,3)</f>
        <v>10.4</v>
      </c>
      <c r="N20" s="50">
        <f ca="1"/>
        <v>10.8</v>
      </c>
      <c r="O20" s="50">
        <f ca="1"/>
        <v>8.1999999999999993</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cm="1">
        <f t="array" aca="1" ref="D25:F25" ca="1">OFFSET(X_Table_Feedlot_Intake_Method1, 2,1, 1,3)</f>
        <v>4.8</v>
      </c>
      <c r="E25" s="50">
        <f ca="1"/>
        <v>5</v>
      </c>
      <c r="F25" s="50">
        <f ca="1"/>
        <v>5.5</v>
      </c>
      <c r="G25" s="2" t="str">
        <f>$G$14</f>
        <v>per cent</v>
      </c>
      <c r="M25" s="50" cm="1">
        <f t="array" aca="1" ref="M25:O25" ca="1">OFFSET(X_Table_Feedlot_Intake_Method2, 2,1, 1,3)</f>
        <v>4.8</v>
      </c>
      <c r="N25" s="50">
        <f ca="1"/>
        <v>5</v>
      </c>
      <c r="O25" s="50">
        <f ca="1"/>
        <v>5.5</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cm="1">
        <f t="array" aca="1" ref="D30:F30" ca="1">OFFSET(X_Table_Feedlot_Intake_Method1, 3,1, 1,3)</f>
        <v>22</v>
      </c>
      <c r="E30" s="50">
        <f ca="1"/>
        <v>22</v>
      </c>
      <c r="F30" s="50">
        <f ca="1"/>
        <v>24</v>
      </c>
      <c r="G30" s="2" t="str">
        <f>$G$15</f>
        <v>per cent</v>
      </c>
      <c r="M30" s="50" cm="1">
        <f t="array" aca="1" ref="M30:O30" ca="1">OFFSET(X_Table_Feedlot_Intake_Method2, 3,1, 1,3)</f>
        <v>22</v>
      </c>
      <c r="N30" s="50">
        <f ca="1"/>
        <v>22</v>
      </c>
      <c r="O30" s="50">
        <f ca="1"/>
        <v>24</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aca="1" ref="D35" ca="1">EntericMethane_Feedlot_Equations.VEERG_3_1_1_1__2_DailyEntericMethaneProduction(D20,D25,D30)</f>
        <v>8.3664000000000002E-2</v>
      </c>
      <c r="E35" s="50" cm="1">
        <f t="array" aca="1" ref="E35" ca="1">EntericMethane_Feedlot_Equations.VEERG_3_1_1_1__2_DailyEntericMethaneProduction(E20,E25,E30)</f>
        <v>8.4908000000000011E-2</v>
      </c>
      <c r="F35" s="50" cm="1">
        <f t="array" aca="1" ref="F35" ca="1">EntericMethane_Feedlot_Equations.VEERG_3_1_1_1__2_DailyEntericMethaneProduction(F20,F25,F30)</f>
        <v>7.4142E-2</v>
      </c>
      <c r="G35" s="2" t="str">
        <f>$E$11</f>
        <v>kg CH4/head/day</v>
      </c>
      <c r="M35" s="50" cm="1">
        <f t="array" aca="1" ref="M35" ca="1">EntericMethane_Feedlot_Equations.VEERG_3_1_1_1__2_DailyEntericMethaneProduction(M20,M25,M30)</f>
        <v>8.3664000000000002E-2</v>
      </c>
      <c r="N35" s="50" cm="1">
        <f t="array" aca="1" ref="N35" ca="1">EntericMethane_Feedlot_Equations.VEERG_3_1_1_1__2_DailyEntericMethaneProduction(N20,N25,N30)</f>
        <v>8.4908000000000011E-2</v>
      </c>
      <c r="O35" s="50" cm="1">
        <f t="array" aca="1" ref="O35" ca="1">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17</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20</v>
      </c>
      <c r="E45" s="1" t="str" cm="1">
        <f t="array" ref="E45">EntericMethane_Feedlot_Equations.VEERG_3_1_1_1__1_TotalAnnualMethaneFromEntericFermentation_Variable()</f>
        <v>E_enteric</v>
      </c>
    </row>
    <row r="46" spans="3:18" ht="20.100000000000001" customHeight="1" x14ac:dyDescent="0.25">
      <c r="D46" s="51" t="s">
        <v>11</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87</v>
      </c>
    </row>
    <row r="53" spans="4:15" ht="20.100000000000001" customHeight="1" x14ac:dyDescent="0.25">
      <c r="D53" s="85" t="s">
        <v>85</v>
      </c>
    </row>
    <row r="54" spans="4:15" ht="20.100000000000001" customHeight="1" x14ac:dyDescent="0.25">
      <c r="D54" s="39" t="s">
        <v>96</v>
      </c>
      <c r="E54" s="39" t="s">
        <v>97</v>
      </c>
      <c r="F54" s="39" t="s">
        <v>98</v>
      </c>
    </row>
    <row r="55" spans="4:15" ht="20.100000000000001" customHeight="1" x14ac:dyDescent="0.25">
      <c r="D55" s="88" cm="1">
        <f t="array" aca="1" ref="D55:F55" ca="1">OFFSET(X_Table_Feedlot_HerdMovement, 2, 1, 1, 3)</f>
        <v>90</v>
      </c>
      <c r="E55" s="88">
        <f ca="1"/>
        <v>140</v>
      </c>
      <c r="F55" s="88">
        <f ca="1"/>
        <v>250</v>
      </c>
      <c r="G55" s="2" t="str">
        <f>G48</f>
        <v>days</v>
      </c>
    </row>
    <row r="56" spans="4:15" ht="20.100000000000001" customHeight="1" x14ac:dyDescent="0.25"/>
    <row r="57" spans="4:15" ht="20.100000000000001" customHeight="1" x14ac:dyDescent="0.25">
      <c r="D57" s="86" t="s">
        <v>88</v>
      </c>
    </row>
    <row r="58" spans="4:15" ht="20.100000000000001" customHeight="1" x14ac:dyDescent="0.25">
      <c r="D58" s="85" t="s">
        <v>89</v>
      </c>
    </row>
    <row r="59" spans="4:15" ht="20.100000000000001" customHeight="1" x14ac:dyDescent="0.25">
      <c r="D59" s="39" t="s">
        <v>96</v>
      </c>
      <c r="E59" s="39" t="s">
        <v>97</v>
      </c>
      <c r="F59" s="39" t="s">
        <v>98</v>
      </c>
    </row>
    <row r="60" spans="4:15" ht="20.100000000000001" customHeight="1" x14ac:dyDescent="0.25">
      <c r="D60" s="88" cm="1">
        <f t="array" aca="1" ref="D60:F60" ca="1">OFFSET(X_Table_Feedlot_HerdMovement, 1, 1, 1, 3)</f>
        <v>4300</v>
      </c>
      <c r="E60" s="88">
        <f ca="1"/>
        <v>100</v>
      </c>
      <c r="F60" s="88">
        <f ca="1"/>
        <v>100</v>
      </c>
      <c r="G60" s="2" t="str">
        <f>G50</f>
        <v>head</v>
      </c>
    </row>
    <row r="61" spans="4:15" ht="20.100000000000001" customHeight="1" x14ac:dyDescent="0.25"/>
    <row r="62" spans="4:15" ht="20.100000000000001" customHeight="1" x14ac:dyDescent="0.25">
      <c r="D62" s="86" t="s">
        <v>186</v>
      </c>
      <c r="M62" s="86" t="s">
        <v>184</v>
      </c>
    </row>
    <row r="63" spans="4:15" ht="20.100000000000001" customHeight="1" x14ac:dyDescent="0.25">
      <c r="D63" s="85" t="s">
        <v>187</v>
      </c>
      <c r="M63" s="85" t="s">
        <v>185</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aca="1" ref="D65" ca="1">EntericMethane_Feedlot_Equations.VEERG_3_1_1_1__1_TotalAnnualMethaneFromEntericFermentation(D55,D35,D60)</f>
        <v>32.377968000000003</v>
      </c>
      <c r="E65" s="50" cm="1">
        <f t="array" aca="1" ref="E65" ca="1">EntericMethane_Feedlot_Equations.VEERG_3_1_1_1__1_TotalAnnualMethaneFromEntericFermentation(E55,E35,E60)</f>
        <v>1.1887120000000002</v>
      </c>
      <c r="F65" s="50" cm="1">
        <f t="array" aca="1" ref="F65" ca="1">EntericMethane_Feedlot_Equations.VEERG_3_1_1_1__1_TotalAnnualMethaneFromEntericFermentation(F55,F35,F60)</f>
        <v>1.85355</v>
      </c>
      <c r="G65" s="2" t="str">
        <f>$E$46</f>
        <v>t CH4</v>
      </c>
      <c r="M65" s="50" cm="1">
        <f t="array" aca="1" ref="M65" ca="1">EntericMethane_Feedlot_Equations.VEERG_3_1_1_1__1_TotalAnnualMethaneFromEntericFermentation(D55,M35,D60)</f>
        <v>32.377968000000003</v>
      </c>
      <c r="N65" s="50" cm="1">
        <f t="array" aca="1" ref="N65" ca="1">EntericMethane_Feedlot_Equations.VEERG_3_1_1_1__1_TotalAnnualMethaneFromEntericFermentation(E55,N35,E60)</f>
        <v>1.1887120000000002</v>
      </c>
      <c r="O65" s="50" cm="1">
        <f t="array" aca="1" ref="O65" ca="1">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9" t="s">
        <v>175</v>
      </c>
      <c r="E67" s="90">
        <f ca="1">SUM(D65:F65)</f>
        <v>35.420230000000004</v>
      </c>
      <c r="F67" s="91" t="str">
        <f>$E$46</f>
        <v>t CH4</v>
      </c>
      <c r="M67" s="89" t="s">
        <v>176</v>
      </c>
      <c r="N67" s="90">
        <f ca="1">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 ca="1">E67</f>
        <v>35.420230000000004</v>
      </c>
      <c r="H69" s="2" t="str">
        <f>$E$46</f>
        <v>t CH4</v>
      </c>
      <c r="M69" s="55" t="str" cm="1">
        <f t="array" ref="M69:N70">Common_Equations.Common_ConvertCH4ToCO2e_Arguments()</f>
        <v>ECH4</v>
      </c>
      <c r="N69" s="56" t="str">
        <v>Methane emissions (t CH4)</v>
      </c>
      <c r="O69" s="92"/>
      <c r="P69" s="50">
        <f ca="1">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aca="1" ref="E72" ca="1">Common_Equations.Common_ConvertCH4ToCO2e(G69,G70)</f>
        <v>991.7664400000001</v>
      </c>
      <c r="F72" s="93" t="str" cm="1">
        <f t="array" ref="F72">Common_Equations.Common_ConvertN2OToCO2e_Unit()</f>
        <v>t CO2e</v>
      </c>
      <c r="M72" s="45" t="s">
        <v>113</v>
      </c>
      <c r="N72" s="45" cm="1">
        <f t="array" aca="1" ref="N72" ca="1">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133:G133 E138:G138 N138:P138 D55:F55 D60:F6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58</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83</v>
      </c>
      <c r="G25" s="6" t="s">
        <v>119</v>
      </c>
      <c r="J25" s="6" t="s">
        <v>121</v>
      </c>
      <c r="M25" s="1"/>
    </row>
    <row r="26" spans="1:13" ht="20.100000000000001" customHeight="1" x14ac:dyDescent="0.25">
      <c r="M26" s="1"/>
    </row>
    <row r="27" spans="1:13" ht="20.100000000000001" customHeight="1" x14ac:dyDescent="0.25">
      <c r="D27" s="84" t="s">
        <v>50</v>
      </c>
      <c r="E27" s="37" t="s">
        <v>63</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11</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11</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82</v>
      </c>
      <c r="E88" s="37" t="s">
        <v>80</v>
      </c>
      <c r="F88" s="37" t="s">
        <v>65</v>
      </c>
      <c r="G88" s="37" t="s">
        <v>64</v>
      </c>
      <c r="H88" s="37" t="s">
        <v>67</v>
      </c>
      <c r="I88" s="37" t="s">
        <v>66</v>
      </c>
      <c r="J88" s="37" t="s">
        <v>68</v>
      </c>
      <c r="K88" s="37" t="s">
        <v>70</v>
      </c>
      <c r="L88" s="37" t="s">
        <v>71</v>
      </c>
      <c r="M88" s="37" t="s">
        <v>69</v>
      </c>
      <c r="N88" s="37" t="s">
        <v>78</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82</v>
      </c>
      <c r="E100" s="37" t="s">
        <v>80</v>
      </c>
      <c r="F100" s="37" t="s">
        <v>104</v>
      </c>
      <c r="G100" s="37" t="s">
        <v>78</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82</v>
      </c>
      <c r="E112" s="95" t="s">
        <v>80</v>
      </c>
      <c r="F112" s="95" t="s">
        <v>105</v>
      </c>
      <c r="G112" s="95" t="s">
        <v>78</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3B95B-C0DB-451C-A358-2843E0D0A2E6}">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13</v>
      </c>
      <c r="E6" s="37" t="s">
        <v>14</v>
      </c>
      <c r="F6" s="37" t="s">
        <v>15</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16</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18</v>
      </c>
      <c r="E36" s="37" t="s">
        <v>19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18</v>
      </c>
      <c r="E47" s="37" t="s">
        <v>21</v>
      </c>
      <c r="F47" s="37" t="s">
        <v>22</v>
      </c>
      <c r="G47" s="37" t="s">
        <v>23</v>
      </c>
      <c r="H47" s="37" t="s">
        <v>24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38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26</v>
      </c>
      <c r="F89" s="37" t="s">
        <v>27</v>
      </c>
      <c r="G89" s="37" t="s">
        <v>28</v>
      </c>
      <c r="H89" s="37" t="s">
        <v>29</v>
      </c>
      <c r="I89" s="37" t="s">
        <v>30</v>
      </c>
      <c r="J89" s="37" t="s">
        <v>31</v>
      </c>
      <c r="K89" s="37" t="s">
        <v>32</v>
      </c>
      <c r="L89" s="37" t="s">
        <v>33</v>
      </c>
      <c r="M89" s="37" t="s">
        <v>34</v>
      </c>
      <c r="N89" s="37" t="s">
        <v>35</v>
      </c>
      <c r="O89" s="37" t="s">
        <v>39</v>
      </c>
      <c r="P89" s="37" t="s">
        <v>36</v>
      </c>
      <c r="Q89" s="37" t="s">
        <v>40</v>
      </c>
      <c r="R89" s="37" t="s">
        <v>37</v>
      </c>
      <c r="S89" s="37" t="s">
        <v>41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43</v>
      </c>
      <c r="E109" s="37" t="s">
        <v>26</v>
      </c>
      <c r="F109" s="37" t="s">
        <v>44</v>
      </c>
      <c r="G109" s="37" t="s">
        <v>45</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46</v>
      </c>
      <c r="E119" s="37" t="s">
        <v>47</v>
      </c>
      <c r="F119" s="37" t="s">
        <v>33</v>
      </c>
      <c r="G119" s="37" t="s">
        <v>34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48</v>
      </c>
      <c r="E127" s="37" t="s">
        <v>49</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51</v>
      </c>
      <c r="E153" s="37" t="s">
        <v>52</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42</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61</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62</v>
      </c>
      <c r="E9" s="37" t="s">
        <v>12</v>
      </c>
      <c r="F9" s="37" t="s">
        <v>63</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58</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60</v>
      </c>
    </row>
    <row r="17" spans="1:1" ht="20.100000000000001" customHeight="1" x14ac:dyDescent="0.25">
      <c r="A17" s="62" t="s">
        <v>56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58</v>
      </c>
    </row>
    <row r="22" spans="1:1" ht="20.100000000000001" customHeight="1" x14ac:dyDescent="0.25">
      <c r="A22" s="62" t="s">
        <v>1</v>
      </c>
    </row>
    <row r="23" spans="1:1" ht="20.100000000000001" customHeight="1" x14ac:dyDescent="0.25">
      <c r="A23" s="62" t="s">
        <v>57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60</v>
      </c>
    </row>
    <row r="32" spans="1:1" ht="20.100000000000001" customHeight="1" x14ac:dyDescent="0.25">
      <c r="A32" s="62" t="s">
        <v>56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RQBuAHQAZQByAGkAYwBNAGUAdABoAGEAbgBlAF8ARgBlAGUAZABsAG8AdABfAEUAcQB1AGEAdABpAG8AbgBzAC4AVgBFAEUAUgBHAF8AMwBfADEAXwAxAF8AMQBfAF8AMQBfAFQAbwB0AGEAbABBAG4AbgB1AGEAbABNAGUAdABoAGEAbgBlAEYAcgBvAG0ARQBuAHQAZQByAGkAYwBGAGUAcgBtAGUAbgB0AGEAdABpAG8AbgAiACwAIgBFAG4AdABlAHIAaQBjAE0AZQB0AGgAYQBuAGUAXwBGAGUAZQBkAGwAbwB0AF8ARQBxAHUAYQB0AGkAbwBuAHMALgBWAEUARQBSAEcAXwAzAF8AMQBfADEAXwAxAF8AXwAxAF8AVABvAHQAYQBsAEEAbgBuAHUAYQBsAE0AZQB0AGgAYQBuAGUARgByAG8AbQBFAG4AdABlAHIAaQBjAEYAZQByAG0AZQBuAHQAYQB0AGkAbwBuAF8AVABpAHQAbABlACIALAAiAEUAbgB0AGUAcgBpAGMATQBlAHQAaABhAG4AZQBfAEYAZQBlAGQAbABvAHQAXwBFAHEAdQBhAHQAaQBvAG4AcwAuAFYARQBFAFIARwBfADMAXwAxAF8AMQBfADEAXwBfADEAXwBUAG8AdABhAGwAQQBuAG4AdQBhAGwATQBlAHQAaABhAG4AZQBGAHIAbwBtAEUAbgB0AGUAcgBpAGMARgBlAHIAbQBlAG4AdABhAHQAaQBvAG4AXwBWAGEAcgBpAGEAYgBsAGUAIgAsACIARQBuAHQAZQByAGkAYwBNAGUAdABoAGEAbgBlAF8ARgBlAGUAZABsAG8AdABfAEUAcQB1AGEAdABpAG8AbgBzAC4AVgBFAEUAUgBHAF8AMwBfADEAXwAxAF8AMQBfAF8AMQBfAFQAbwB0AGEAbABBAG4AbgB1AGEAbABNAGUAdABoAGEAbgBlAEYAcgBvAG0ARQBuAHQAZQByAGkAYwBGAGUAcgBtAGUAbgB0AGEAdABpAG8AbgBfAFUAbgBpAHQAIgAsACIARQBuAHQAZQByAGkAYwBNAGUAdABoAGEAbgBlAF8ARgBlAGUAZABsAG8AdABfAEUAcQB1AGEAdABpAG8AbgBzAC4AVgBFAEUAUgBHAF8AMwBfADEAXwAxAF8AMQBfAF8AMQBfAFQAbwB0AGEAbABBAG4AbgB1AGEAbABNAGUAdABoAGEAbgBlAEYAcgBvAG0ARQBuAHQAZQByAGkAYwBGAGUAcgBtAGUAbgB0AGEAdABpAG8AbgBfAFMAbwB1AHIAYwBlACIALAAiAEUAbgB0AGUAcgBpAGMATQBlAHQAaABhAG4AZQBfAEYAZQBlAGQAbABvAHQAXwBFAHEAdQBhAHQAaQBvAG4AcwAuAFYARQBFAFIARwBfADMAXwAxAF8AMQBfADEAXwBfADEAXwBUAG8AdABhAGwAQQBuAG4AdQBhAGwATQBlAHQAaABhAG4AZQBGAHIAbwBtAEUAbgB0AGUAcgBpAGMARgBlAHIAbQBlAG4AdABhAHQAaQBvAG4AXwBOAEkAUgBSAGUAZgBlAHIAZQBuAGMAZQAiACwAIgBFAG4AdABlAHIAaQBjAE0AZQB0AGgAYQBuAGUAXwBGAGUAZQBkAGwAbwB0AF8ARQBxAHUAYQB0AGkAbwBuAHMALgBWAEUARQBSAEcAXwAzAF8AMQBfADEAXwAxAF8AXwAxAF8AVABvAHQAYQBsAEEAbgBuAHUAYQBsAE0AZQB0AGgAYQBuAGUARgByAG8AbQBFAG4AdABlAHIAaQBjAEYAZQByAG0AZQBuAHQAYQB0AGkAbwBuAF8ATABhAHQAZQB4AEUAcQB1AGEAdABpAG8AbgAiACwAIgBFAG4AdABlAHIAaQBjAE0AZQB0AGgAYQBuAGUAXwBGAGUAZQBkAGwAbwB0AF8ARQBxAHUAYQB0AGkAbwBuAHMALgBWAEUARQBSAEcAXwAzAF8AMQBfADEAXwAxAF8AXwAxAF8AVABvAHQAYQBsAEEAbgBuAHUAYQBsAE0AZQB0AGgAYQBuAGUARgByAG8AbQBFAG4AdABlAHIAaQBjAEYAZQByAG0AZQBuAHQAYQB0AGkAbwBuAF8AQQByAGcAdQBtAGUAbgB0AHMAIgAsACIARQBuAHQAZQByAGkAYwBNAGUAdABoAGEAbgBlAF8ARgBlAGUAZABsAG8AdABfAEUAcQB1AGEAdABpAG8AbgBzAC4AVgBFAEUAUgBHAF8AMwBfADEAXwAxAF8AMQBfAF8AMgBfAEQAYQBpAGwAeQBFAG4AdABlAHIAaQBjAE0AZQB0AGgAYQBuAGUAUAByAG8AZAB1AGMAdABpAG8AbgAiACwAIgBFAG4AdABlAHIAaQBjAE0AZQB0AGgAYQBuAGUAXwBGAGUAZQBkAGwAbwB0AF8ARQBxAHUAYQB0AGkAbwBuAHMALgBWAEUARQBSAEcAXwAzAF8AMQBfADEAXwAxAF8AXwAyAF8ARABhAGkAbAB5AEUAbgB0AGUAcgBpAGMATQBlAHQAaABhAG4AZQBQAHIAbwBkAHUAYwB0AGkAbwBuAF8AVABpAHQAbABlACIALAAiAEUAbgB0AGUAcgBpAGMATQBlAHQAaABhAG4AZQBfAEYAZQBlAGQAbABvAHQAXwBFAHEAdQBhAHQAaQBvAG4AcwAuAFYARQBFAFIARwBfADMAXwAxAF8AMQBfADEAXwBfADIAXwBEAGEAaQBsAHkARQBuAHQAZQByAGkAYwBNAGUAdABoAGEAbgBlAFAAcgBvAGQAdQBjAHQAaQBvAG4AXwBWAGEAcgBpAGEAYgBsAGUAIgAsACIARQBuAHQAZQByAGkAYwBNAGUAdABoAGEAbgBlAF8ARgBlAGUAZABsAG8AdABfAEUAcQB1AGEAdABpAG8AbgBzAC4AVgBFAEUAUgBHAF8AMwBfADEAXwAxAF8AMQBfAF8AMgBfAEQAYQBpAGwAeQBFAG4AdABlAHIAaQBjAE0AZQB0AGgAYQBuAGUAUAByAG8AZAB1AGMAdABpAG8AbgBfAFUAbgBpAHQAIgAsACIARQBuAHQAZQByAGkAYwBNAGUAdABoAGEAbgBlAF8ARgBlAGUAZABsAG8AdABfAEUAcQB1AGEAdABpAG8AbgBzAC4AVgBFAEUAUgBHAF8AMwBfADEAXwAxAF8AMQBfAF8AMgBfAEQAYQBpAGwAeQBFAG4AdABlAHIAaQBjAE0AZQB0AGgAYQBuAGUAUAByAG8AZAB1AGMAdABpAG8AbgBfAFMAbwB1AHIAYwBlACIALAAiAEUAbgB0AGUAcgBpAGMATQBlAHQAaABhAG4AZQBfAEYAZQBlAGQAbABvAHQAXwBFAHEAdQBhAHQAaQBvAG4AcwAuAFYARQBFAFIARwBfADMAXwAxAF8AMQBfADEAXwBfADIAXwBEAGEAaQBsAHkARQBuAHQAZQByAGkAYwBNAGUAdABoAGEAbgBlAFAAcgBvAGQAdQBjAHQAaQBvAG4AXwBOAEkAUgBSAGUAZgBlAHIAZQBuAGMAZQAiACwAIgBFAG4AdABlAHIAaQBjAE0AZQB0AGgAYQBuAGUAXwBGAGUAZQBkAGwAbwB0AF8ARQBxAHUAYQB0AGkAbwBuAHMALgBWAEUARQBSAEcAXwAzAF8AMQBfADEAXwAxAF8AXwAyAF8ARABhAGkAbAB5AEUAbgB0AGUAcgBpAGMATQBlAHQAaABhAG4AZQBQAHIAbwBkAHUAYwB0AGkAbwBuAF8ATABhAHQAZQB4AEUAcQB1AGEAdABpAG8AbgAiACwAIgBFAG4AdABlAHIAaQBjAE0AZQB0AGgAYQBuAGUAXwBGAGUAZQBkAGwAbwB0AF8ARQBxAHUAYQB0AGkAbwBuAHMALgBWAEUARQBSAEcAXwAzAF8AMQBfADEAXwAxAF8AXwAyAF8ARABhAGkAbAB5AEUAbgB0AGUAcgBpAGMATQBlAHQAaABhAG4AZQ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21</vt:i4>
      </vt:variant>
    </vt:vector>
  </HeadingPairs>
  <TitlesOfParts>
    <vt:vector size="32"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Common_SourceData_DensityOfMethane_Data</vt:lpstr>
      <vt:lpstr>Input_Site_EndDate</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Table_D_j</vt:lpstr>
      <vt:lpstr>Table_N_j</vt:lpstr>
      <vt:lpstr>VEERG_3_1_1_1__1_TotalAnnualMethaneFromEntericFermentation_Result</vt:lpstr>
      <vt:lpstr>X_Table_Feedlot_HerdMovement</vt:lpstr>
      <vt:lpstr>X_Table_Feedlot_Intake_Method1</vt:lpstr>
      <vt:lpstr>X_Table_Feedlot_Intake_Method2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