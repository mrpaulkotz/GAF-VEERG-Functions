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FC71F06-70D8-4656-887A-FA5137FC36ED}" xr6:coauthVersionLast="47" xr6:coauthVersionMax="47" xr10:uidLastSave="{00000000-0000-0000-0000-000000000000}"/>
  <bookViews>
    <workbookView xWindow="1950" yWindow="1950" windowWidth="21600" windowHeight="12645" firstSheet="8" activeTab="9" xr2:uid="{992023F3-CAB7-4E5B-A348-08D563A0EF40}"/>
  </bookViews>
  <sheets>
    <sheet name="Home" sheetId="71" r:id="rId1"/>
    <sheet name="Results" sheetId="13" r:id="rId2"/>
    <sheet name="Input - Site" sheetId="15" r:id="rId3"/>
    <sheet name="Input - Feedlot" sheetId="70" r:id="rId4"/>
    <sheet name="4.1.1.1-2 Methane" sheetId="69" r:id="rId5"/>
    <sheet name="4.1.1.3-4 Direct N20" sheetId="76" r:id="rId6"/>
    <sheet name="4.1.1.5-6 Atmos Deposition" sheetId="82" r:id="rId7"/>
    <sheet name="4.1.1.9 Manure applied to soils" sheetId="81" r:id="rId8"/>
    <sheet name="Constants - Feedlot" sheetId="79" r:id="rId9"/>
    <sheet name="Constants - Common" sheetId="98" r:id="rId10"/>
    <sheet name="Constants - Livestock" sheetId="43" r:id="rId11"/>
    <sheet name="Acknowledgements" sheetId="72" r:id="rId12"/>
    <sheet name="Tab template" sheetId="74" r:id="rId13"/>
  </sheets>
  <externalReferences>
    <externalReference r:id="rId14"/>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2, _xlfn.LAMBDA(_xlpm.r,_xlpm.c, INDEX({"MMS_ATMOS","mass of N volatilised from MMS : kg N";"EF_N2O","nitrous oxide emission factor for atmospheric deposition : kg N2O-N/kg N";"C_N2O","factor to convert elemental mass of nitrous oxide to molecular mass : ratio";"j","production system";"i","irrigation method";"r","rainfall zone"},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2, _xlfn.LAMBDA(_xlpm.r,_xlpm.c, INDEX({"MN_jmT","nitrogen in each treatment stage MMS (excluding MN_ijm13T2) : kg N";"FracGASM_mT","fraction of N volatilised in each MMS : (kg NH3-N + NOx-N)/kg N"},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2, _xlfn.LAMBDA(_xlpm.r,_xlpm.c, INDEX({"MN_jmT23","mass of N in secondary and tertiary treatment MMS stages as calculated for manure management : kg N";"EF_mT23","nitrous oxide emission factor for each MMS : kg N2O-N/kg N";"FracGASM_mT23","fraction of animal waste N volatilised in each MMS for each cattle group : (kg NH3-N + NOx-N)/kg N";"PF","fraction of manure applied to soil within the feedlot boundary : fraction"},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2, _xlfn.LAMBDA(_xlpm.r,_xlpm.c, INDEX({"MN_jmT23","mass of N in secondary and tertiary treatment MMS stages as calculated for manure management : kg N";"EF_mT23","nitrous oxide emission factor for each MMS : kg N2O-N/kg N";"FracGASM_mT23","fraction of animal waste N volatilised in each MMS for each cattle group : (kg NH3-N + NOx-N)/kg N";"PF","fraction of manure applied to soil within the feedlot boundary : fraction"},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2, _xlfn.LAMBDA(_xlpm.r,_xlpm.c, INDEX({"D_j","length of stay of each cattle group : days";"M_jmT","methane production from manure per cattle group, MMS, and treatment stage : kg CH4/head/day";"N_j","numbers of beef cattle in each group : head"},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2, _xlfn.LAMBDA(_xlpm.r,_xlpm.c, INDEX({"VS_j","volatile solid production from feedlot cattle in each group : kg/head/day";"BO","emissions potential : m3 CH4/kg VS";"MMS_m5T1","fraction of manure in primary system drylot MMS : fraction";"MCF_im5","methane conversion factor for temperature zone and drylot system : fraction";"rho","density of methane : kg/m3";"i","state"},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2, _xlfn.LAMBDA(_xlpm.r,_xlpm.c, INDEX({"VSL","fraction of volatile solids lost during storage in the primary system : fraction";"VS_j","volatile solid production from feedlot cattle in each group : kg/head/day";"BO","emissions potential : m3 CH4/kg VS";"MMS_mT2","fraction of manure in each secondary system : fraction";"MCF_im","methane conversion factor for temperature zone and MMS : fraction";"rho","density of methane : kg/m3";"i","state"},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2, _xlfn.LAMBDA(_xlpm.r,_xlpm.c, INDEX({"VS_j","volatile solid production from feedlot cattle in each group j : kg/head/day";"BO","emissions potential : m3 CH4/kg VS";"MMS_m1T3","fraction of manure to tertiary anaerobic lagoon system : fraction";"MCF_im1","methane conversion factor for temperature zone and anaerobic lagoon system : fraction";"rho","density of methane : kg/m3";"i","state"},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2, _xlfn.LAMBDA(_xlpm.r,_xlpm.c, INDEX({"I_j","dry matter intake for each group j : kg DM/head/day";"DMD_j","dry matter digestibility for each group j : fraction";"A","ash content of manure : fraction"},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2, _xlfn.LAMBDA(_xlpm.r,_xlpm.c, INDEX({"MN_jmT","nitrogen per cattle group, MMS and treatment stage : kg N";"EF_jm","nitrous oxide emission factor for MMS : kg N2O-N/kg N";"C_N2O","factor to convert elemental mass of nitrous oxide to molecular mass : ratio"},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2, _xlfn.LAMBDA(_xlpm.r,_xlpm.c, INDEX({"AE_j","total nitrogen excreted by each cattle group : kg N";"MMS_jm5T1","fraction of manure in primary system drylot MMS : fraction"},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2, _xlfn.LAMBDA(_xlpm.r,_xlpm.c, INDEX({"N_j","number of cattle in each group : head";"NE_j","nitrogen excretion : kg N/head/day";"D_j","duration of stay of cattle group : days"},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2, _xlfn.LAMBDA(_xlpm.r,_xlpm.c, INDEX({"NI_j","nitrogen intake : kg N/head/day";"NR_j","nitrogen retention expressed as a fraction of intake : fraction"},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2, _xlfn.LAMBDA(_xlpm.r,_xlpm.c, INDEX({"I_j","dry matter intake : kg DM/head/day";"CP_j","crude protein content of feed : fraction";"6.25","factor for converting crude protein into nitrogen : ratio"},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2, _xlfn.LAMBDA(_xlpm.r,_xlpm.c, INDEX({"NT_jmT2","nitrogen transferred to secondary treatment MMS : kg N";"MMS_jmT2","fraction of manure in each secondary system : fraction"},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2, _xlfn.LAMBDA(_xlpm.r,_xlpm.c, INDEX({"MN_jm5T1","nitrogen in MMS treatment stage 1 : kg N";"FracGASM_m5","fraction of N volatilised from drylot MMS : fraction";"EF_m5","nitrous oxide emission factor for drylot MMS : kg N2O-N/kg N deposited";"MN_jmT3","nitrogen in MMS treatment stage 3 : kg N"},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2, _xlfn.LAMBDA(_xlpm.r,_xlpm.c, INDEX({"AE_j","total nitrogen excreted by each cattle group : kg N";"MMS_jm1T3","fraction of manure to tertiary anaerobic lagoon system : fraction"},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H111" i="69"/>
  <c r="G74" i="69"/>
  <c r="G46" i="69"/>
  <c r="O59" i="82"/>
  <c r="G59" i="82"/>
  <c r="E30" i="15"/>
  <c r="E33" i="15"/>
  <c r="E32" i="15"/>
  <c r="E31" i="15"/>
  <c r="O60" i="82"/>
  <c r="G60" i="82"/>
  <c r="G190" i="76"/>
  <c r="O68" i="82"/>
  <c r="G68" i="82"/>
  <c r="O212" i="76"/>
  <c r="G212" i="76"/>
  <c r="P171" i="69"/>
  <c r="G171" i="69"/>
  <c r="H112" i="69"/>
  <c r="G75" i="69"/>
  <c r="G47" i="69"/>
  <c r="S250" i="98" a="1"/>
  <c r="S250" i="98" s="1"/>
  <c r="R250" i="98" a="1"/>
  <c r="R250" i="98" s="1"/>
  <c r="Q250" i="98" a="1"/>
  <c r="Q250" i="98" s="1"/>
  <c r="P250" i="98" a="1"/>
  <c r="P250" i="98" s="1"/>
  <c r="O250" i="98" a="1"/>
  <c r="O250" i="98" s="1"/>
  <c r="N250" i="98" a="1"/>
  <c r="N250" i="98" s="1"/>
  <c r="M250" i="98" a="1"/>
  <c r="M250" i="98" s="1"/>
  <c r="L250" i="98" a="1"/>
  <c r="L250" i="98" s="1"/>
  <c r="K250" i="98" a="1"/>
  <c r="K250" i="98" s="1"/>
  <c r="J250" i="98" a="1"/>
  <c r="J250" i="98" s="1"/>
  <c r="I250" i="98" a="1"/>
  <c r="I250" i="98" s="1"/>
  <c r="H250" i="98" a="1"/>
  <c r="H250" i="98" s="1"/>
  <c r="G250" i="98" a="1"/>
  <c r="G250" i="98" s="1"/>
  <c r="F250" i="98" a="1"/>
  <c r="F250" i="98" s="1"/>
  <c r="E250" i="98" a="1"/>
  <c r="E250" i="98" s="1"/>
  <c r="D250" i="98" a="1"/>
  <c r="D250" i="98" s="1"/>
  <c r="S249" i="98" a="1"/>
  <c r="S249" i="98" s="1"/>
  <c r="R249" i="98" a="1"/>
  <c r="R249" i="98" s="1"/>
  <c r="Q249" i="98" a="1"/>
  <c r="Q249" i="98" s="1"/>
  <c r="P249" i="98" a="1"/>
  <c r="P249" i="98" s="1"/>
  <c r="O249" i="98" a="1"/>
  <c r="O249" i="98" s="1"/>
  <c r="N249" i="98" a="1"/>
  <c r="N249" i="98" s="1"/>
  <c r="M249" i="98" a="1"/>
  <c r="M249" i="98" s="1"/>
  <c r="L249" i="98" a="1"/>
  <c r="L249" i="98" s="1"/>
  <c r="K249" i="98" a="1"/>
  <c r="K249" i="98" s="1"/>
  <c r="J249" i="98" a="1"/>
  <c r="J249" i="98" s="1"/>
  <c r="I249" i="98" a="1"/>
  <c r="I249" i="98" s="1"/>
  <c r="H249" i="98" a="1"/>
  <c r="H249" i="98" s="1"/>
  <c r="G249" i="98" a="1"/>
  <c r="G249" i="98" s="1"/>
  <c r="F249" i="98" a="1"/>
  <c r="F249" i="98" s="1"/>
  <c r="E249" i="98" a="1"/>
  <c r="E249" i="98" s="1"/>
  <c r="D249" i="98" a="1"/>
  <c r="D249" i="98" s="1"/>
  <c r="S248" i="98" a="1"/>
  <c r="S248" i="98" s="1"/>
  <c r="R248" i="98" a="1"/>
  <c r="R248" i="98" s="1"/>
  <c r="Q248" i="98" a="1"/>
  <c r="Q248" i="98" s="1"/>
  <c r="P248" i="98" a="1"/>
  <c r="P248" i="98" s="1"/>
  <c r="O248" i="98" a="1"/>
  <c r="O248" i="98" s="1"/>
  <c r="N248" i="98" a="1"/>
  <c r="N248" i="98" s="1"/>
  <c r="M248" i="98" a="1"/>
  <c r="M248" i="98" s="1"/>
  <c r="L248" i="98" a="1"/>
  <c r="L248" i="98" s="1"/>
  <c r="K248" i="98" a="1"/>
  <c r="K248" i="98" s="1"/>
  <c r="J248" i="98" a="1"/>
  <c r="J248" i="98" s="1"/>
  <c r="I248" i="98" a="1"/>
  <c r="I248" i="98" s="1"/>
  <c r="H248" i="98" a="1"/>
  <c r="H248" i="98" s="1"/>
  <c r="G248" i="98" a="1"/>
  <c r="G248" i="98" s="1"/>
  <c r="F248" i="98" a="1"/>
  <c r="F248" i="98" s="1"/>
  <c r="E248" i="98" a="1"/>
  <c r="E248" i="98" s="1"/>
  <c r="D248" i="98" a="1"/>
  <c r="D248" i="98" s="1"/>
  <c r="S247" i="98" a="1"/>
  <c r="S247" i="98" s="1"/>
  <c r="R247" i="98" a="1"/>
  <c r="R247" i="98" s="1"/>
  <c r="Q247" i="98" a="1"/>
  <c r="Q247" i="98" s="1"/>
  <c r="P247" i="98" a="1"/>
  <c r="P247" i="98" s="1"/>
  <c r="O247" i="98" a="1"/>
  <c r="O247" i="98" s="1"/>
  <c r="N247" i="98" a="1"/>
  <c r="N247" i="98" s="1"/>
  <c r="M247" i="98" a="1"/>
  <c r="M247" i="98" s="1"/>
  <c r="L247" i="98" a="1"/>
  <c r="L247" i="98" s="1"/>
  <c r="K247" i="98" a="1"/>
  <c r="K247" i="98" s="1"/>
  <c r="J247" i="98" a="1"/>
  <c r="J247" i="98" s="1"/>
  <c r="I247" i="98" a="1"/>
  <c r="I247" i="98" s="1"/>
  <c r="H247" i="98" a="1"/>
  <c r="H247" i="98" s="1"/>
  <c r="G247" i="98" a="1"/>
  <c r="G247" i="98" s="1"/>
  <c r="F247" i="98" a="1"/>
  <c r="F247" i="98" s="1"/>
  <c r="E247" i="98" a="1"/>
  <c r="E247" i="98" s="1"/>
  <c r="D247" i="98" a="1"/>
  <c r="D247" i="98" s="1"/>
  <c r="S246" i="98" a="1"/>
  <c r="S246" i="98" s="1"/>
  <c r="R246" i="98" a="1"/>
  <c r="R246" i="98" s="1"/>
  <c r="Q246" i="98" a="1"/>
  <c r="Q246" i="98" s="1"/>
  <c r="P246" i="98" a="1"/>
  <c r="P246" i="98" s="1"/>
  <c r="O246" i="98" a="1"/>
  <c r="O246" i="98" s="1"/>
  <c r="N246" i="98" a="1"/>
  <c r="N246" i="98" s="1"/>
  <c r="M246" i="98" a="1"/>
  <c r="M246" i="98" s="1"/>
  <c r="L246" i="98" a="1"/>
  <c r="L246" i="98" s="1"/>
  <c r="K246" i="98" a="1"/>
  <c r="K246" i="98" s="1"/>
  <c r="J246" i="98" a="1"/>
  <c r="J246" i="98" s="1"/>
  <c r="I246" i="98" a="1"/>
  <c r="I246" i="98" s="1"/>
  <c r="H246" i="98" a="1"/>
  <c r="H246" i="98" s="1"/>
  <c r="G246" i="98" a="1"/>
  <c r="G246" i="98" s="1"/>
  <c r="F246" i="98" a="1"/>
  <c r="F246" i="98" s="1"/>
  <c r="E246" i="98" a="1"/>
  <c r="E246" i="98" s="1"/>
  <c r="D246" i="98" a="1"/>
  <c r="D246" i="98" s="1"/>
  <c r="S245" i="98" a="1"/>
  <c r="S245" i="98" s="1"/>
  <c r="R245" i="98" a="1"/>
  <c r="R245" i="98" s="1"/>
  <c r="Q245" i="98" a="1"/>
  <c r="Q245" i="98" s="1"/>
  <c r="P245" i="98" a="1"/>
  <c r="P245" i="98" s="1"/>
  <c r="O245" i="98" a="1"/>
  <c r="O245" i="98" s="1"/>
  <c r="N245" i="98" a="1"/>
  <c r="N245" i="98" s="1"/>
  <c r="M245" i="98" a="1"/>
  <c r="M245" i="98" s="1"/>
  <c r="L245" i="98" a="1"/>
  <c r="L245" i="98" s="1"/>
  <c r="K245" i="98" a="1"/>
  <c r="K245" i="98" s="1"/>
  <c r="J245" i="98" a="1"/>
  <c r="J245" i="98" s="1"/>
  <c r="I245" i="98" a="1"/>
  <c r="I245" i="98" s="1"/>
  <c r="H245" i="98" a="1"/>
  <c r="H245" i="98" s="1"/>
  <c r="G245" i="98" a="1"/>
  <c r="G245" i="98" s="1"/>
  <c r="F245" i="98" a="1"/>
  <c r="F245" i="98" s="1"/>
  <c r="E245" i="98" a="1"/>
  <c r="E245" i="98" s="1"/>
  <c r="D245" i="98" a="1"/>
  <c r="D245" i="98" s="1"/>
  <c r="S244" i="98" a="1"/>
  <c r="S244" i="98" s="1"/>
  <c r="R244" i="98" a="1"/>
  <c r="R244" i="98" s="1"/>
  <c r="Q244" i="98" a="1"/>
  <c r="Q244" i="98" s="1"/>
  <c r="P244" i="98" a="1"/>
  <c r="P244" i="98" s="1"/>
  <c r="O244" i="98" a="1"/>
  <c r="O244" i="98" s="1"/>
  <c r="N244" i="98" a="1"/>
  <c r="N244" i="98" s="1"/>
  <c r="M244" i="98" a="1"/>
  <c r="M244" i="98" s="1"/>
  <c r="L244" i="98" a="1"/>
  <c r="L244" i="98" s="1"/>
  <c r="K244" i="98" a="1"/>
  <c r="K244" i="98" s="1"/>
  <c r="J244" i="98" a="1"/>
  <c r="J244" i="98" s="1"/>
  <c r="I244" i="98" a="1"/>
  <c r="I244" i="98" s="1"/>
  <c r="H244" i="98" a="1"/>
  <c r="H244" i="98" s="1"/>
  <c r="G244" i="98" a="1"/>
  <c r="G244" i="98" s="1"/>
  <c r="F244" i="98" a="1"/>
  <c r="F244" i="98" s="1"/>
  <c r="E244" i="98" a="1"/>
  <c r="E244" i="98" s="1"/>
  <c r="D244" i="98" a="1"/>
  <c r="D244" i="98" s="1"/>
  <c r="S243" i="98" a="1"/>
  <c r="S243" i="98" s="1"/>
  <c r="R243" i="98" a="1"/>
  <c r="R243" i="98" s="1"/>
  <c r="Q243" i="98" a="1"/>
  <c r="Q243" i="98" s="1"/>
  <c r="P243" i="98" a="1"/>
  <c r="P243" i="98" s="1"/>
  <c r="O243" i="98" a="1"/>
  <c r="O243" i="98" s="1"/>
  <c r="N243" i="98" a="1"/>
  <c r="N243" i="98" s="1"/>
  <c r="M243" i="98" a="1"/>
  <c r="M243" i="98" s="1"/>
  <c r="L243" i="98" a="1"/>
  <c r="L243" i="98" s="1"/>
  <c r="K243" i="98" a="1"/>
  <c r="K243" i="98" s="1"/>
  <c r="J243" i="98" a="1"/>
  <c r="J243" i="98" s="1"/>
  <c r="I243" i="98" a="1"/>
  <c r="I243" i="98" s="1"/>
  <c r="H243" i="98" a="1"/>
  <c r="H243" i="98" s="1"/>
  <c r="G243" i="98" a="1"/>
  <c r="G243" i="98" s="1"/>
  <c r="F243" i="98" a="1"/>
  <c r="F243" i="98" s="1"/>
  <c r="E243" i="98" a="1"/>
  <c r="E243" i="98" s="1"/>
  <c r="D243" i="98" a="1"/>
  <c r="D243" i="98" s="1"/>
  <c r="S242" i="98" a="1"/>
  <c r="S242" i="98" s="1"/>
  <c r="R242" i="98" a="1"/>
  <c r="R242" i="98" s="1"/>
  <c r="Q242" i="98" a="1"/>
  <c r="Q242" i="98" s="1"/>
  <c r="P242" i="98" a="1"/>
  <c r="P242" i="98" s="1"/>
  <c r="O242" i="98" a="1"/>
  <c r="O242" i="98" s="1"/>
  <c r="N242" i="98" a="1"/>
  <c r="N242" i="98" s="1"/>
  <c r="M242" i="98" a="1"/>
  <c r="M242" i="98" s="1"/>
  <c r="L242" i="98" a="1"/>
  <c r="L242" i="98" s="1"/>
  <c r="K242" i="98" a="1"/>
  <c r="K242" i="98" s="1"/>
  <c r="J242" i="98" a="1"/>
  <c r="J242" i="98" s="1"/>
  <c r="I242" i="98" a="1"/>
  <c r="I242" i="98" s="1"/>
  <c r="H242" i="98" a="1"/>
  <c r="H242" i="98" s="1"/>
  <c r="G242" i="98" a="1"/>
  <c r="G242" i="98" s="1"/>
  <c r="F242" i="98" a="1"/>
  <c r="F242" i="98" s="1"/>
  <c r="E242" i="98" a="1"/>
  <c r="E242" i="98" s="1"/>
  <c r="D242" i="98" a="1"/>
  <c r="D242" i="98" s="1"/>
  <c r="S241" i="98" a="1"/>
  <c r="S241" i="98" s="1"/>
  <c r="R241" i="98" a="1"/>
  <c r="R241" i="98" s="1"/>
  <c r="Q241" i="98" a="1"/>
  <c r="Q241" i="98" s="1"/>
  <c r="P241" i="98" a="1"/>
  <c r="P241" i="98" s="1"/>
  <c r="O241" i="98" a="1"/>
  <c r="O241" i="98" s="1"/>
  <c r="N241" i="98" a="1"/>
  <c r="N241" i="98" s="1"/>
  <c r="M241" i="98" a="1"/>
  <c r="M241" i="98" s="1"/>
  <c r="L241" i="98" a="1"/>
  <c r="L241" i="98" s="1"/>
  <c r="K241" i="98" a="1"/>
  <c r="K241" i="98" s="1"/>
  <c r="J241" i="98" a="1"/>
  <c r="J241" i="98" s="1"/>
  <c r="I241" i="98" a="1"/>
  <c r="I241" i="98" s="1"/>
  <c r="H241" i="98" a="1"/>
  <c r="H241" i="98" s="1"/>
  <c r="G241" i="98" a="1"/>
  <c r="G241" i="98" s="1"/>
  <c r="F241" i="98" a="1"/>
  <c r="F241" i="98" s="1"/>
  <c r="E241" i="98" a="1"/>
  <c r="E241" i="98" s="1"/>
  <c r="D241" i="98" a="1"/>
  <c r="D241" i="98" s="1"/>
  <c r="S240" i="98" a="1"/>
  <c r="S240" i="98" s="1"/>
  <c r="R240" i="98" a="1"/>
  <c r="R240" i="98" s="1"/>
  <c r="Q240" i="98" a="1"/>
  <c r="Q240" i="98" s="1"/>
  <c r="P240" i="98" a="1"/>
  <c r="P240" i="98" s="1"/>
  <c r="O240" i="98" a="1"/>
  <c r="O240" i="98" s="1"/>
  <c r="N240" i="98" a="1"/>
  <c r="N240" i="98" s="1"/>
  <c r="M240" i="98" a="1"/>
  <c r="M240" i="98" s="1"/>
  <c r="L240" i="98" a="1"/>
  <c r="L240" i="98" s="1"/>
  <c r="K240" i="98" a="1"/>
  <c r="K240" i="98" s="1"/>
  <c r="J240" i="98" a="1"/>
  <c r="J240" i="98" s="1"/>
  <c r="I240" i="98" a="1"/>
  <c r="I240" i="98" s="1"/>
  <c r="H240" i="98" a="1"/>
  <c r="H240" i="98" s="1"/>
  <c r="G240" i="98" a="1"/>
  <c r="G240" i="98" s="1"/>
  <c r="F240" i="98" a="1"/>
  <c r="F240" i="98" s="1"/>
  <c r="E240" i="98" a="1"/>
  <c r="E240" i="98" s="1"/>
  <c r="D240" i="98" a="1"/>
  <c r="D240" i="98" s="1"/>
  <c r="S239" i="98" a="1"/>
  <c r="S239" i="98" s="1"/>
  <c r="R239" i="98" a="1"/>
  <c r="R239" i="98" s="1"/>
  <c r="Q239" i="98" a="1"/>
  <c r="Q239" i="98" s="1"/>
  <c r="P239" i="98" a="1"/>
  <c r="P239" i="98" s="1"/>
  <c r="O239" i="98" a="1"/>
  <c r="O239" i="98" s="1"/>
  <c r="N239" i="98" a="1"/>
  <c r="N239" i="98" s="1"/>
  <c r="M239" i="98" a="1"/>
  <c r="M239" i="98" s="1"/>
  <c r="L239" i="98" a="1"/>
  <c r="L239" i="98" s="1"/>
  <c r="K239" i="98" a="1"/>
  <c r="K239" i="98" s="1"/>
  <c r="J239" i="98" a="1"/>
  <c r="J239" i="98" s="1"/>
  <c r="I239" i="98" a="1"/>
  <c r="I239" i="98" s="1"/>
  <c r="H239" i="98" a="1"/>
  <c r="H239" i="98" s="1"/>
  <c r="G239" i="98" a="1"/>
  <c r="G239" i="98" s="1"/>
  <c r="F239" i="98" a="1"/>
  <c r="F239" i="98" s="1"/>
  <c r="E239" i="98" a="1"/>
  <c r="E239" i="98" s="1"/>
  <c r="D239" i="98" a="1"/>
  <c r="D239" i="98" s="1"/>
  <c r="S238" i="98" a="1"/>
  <c r="S238" i="98" s="1"/>
  <c r="R238" i="98" a="1"/>
  <c r="R238" i="98" s="1"/>
  <c r="Q238" i="98" a="1"/>
  <c r="Q238" i="98" s="1"/>
  <c r="P238" i="98" a="1"/>
  <c r="P238" i="98" s="1"/>
  <c r="O238" i="98" a="1"/>
  <c r="O238" i="98" s="1"/>
  <c r="N238" i="98" a="1"/>
  <c r="N238" i="98" s="1"/>
  <c r="M238" i="98" a="1"/>
  <c r="M238" i="98" s="1"/>
  <c r="L238" i="98" a="1"/>
  <c r="L238" i="98" s="1"/>
  <c r="K238" i="98" a="1"/>
  <c r="K238" i="98" s="1"/>
  <c r="J238" i="98" a="1"/>
  <c r="J238" i="98" s="1"/>
  <c r="I238" i="98" a="1"/>
  <c r="I238" i="98" s="1"/>
  <c r="H238" i="98" a="1"/>
  <c r="H238" i="98" s="1"/>
  <c r="G238" i="98" a="1"/>
  <c r="G238" i="98" s="1"/>
  <c r="F238" i="98" a="1"/>
  <c r="F238" i="98" s="1"/>
  <c r="E238" i="98" a="1"/>
  <c r="E238" i="98" s="1"/>
  <c r="D238" i="98" a="1"/>
  <c r="D238" i="98" s="1"/>
  <c r="S237" i="98" a="1"/>
  <c r="S237" i="98" s="1"/>
  <c r="R237" i="98" a="1"/>
  <c r="R237" i="98" s="1"/>
  <c r="Q237" i="98" a="1"/>
  <c r="Q237" i="98" s="1"/>
  <c r="P237" i="98" a="1"/>
  <c r="P237" i="98" s="1"/>
  <c r="O237" i="98" a="1"/>
  <c r="O237" i="98" s="1"/>
  <c r="N237" i="98" a="1"/>
  <c r="N237" i="98" s="1"/>
  <c r="M237" i="98" a="1"/>
  <c r="M237" i="98" s="1"/>
  <c r="L237" i="98" a="1"/>
  <c r="L237" i="98" s="1"/>
  <c r="K237" i="98" a="1"/>
  <c r="K237" i="98" s="1"/>
  <c r="J237" i="98" a="1"/>
  <c r="J237" i="98" s="1"/>
  <c r="I237" i="98" a="1"/>
  <c r="I237" i="98" s="1"/>
  <c r="H237" i="98" a="1"/>
  <c r="H237" i="98" s="1"/>
  <c r="G237" i="98" a="1"/>
  <c r="G237" i="98" s="1"/>
  <c r="F237" i="98" a="1"/>
  <c r="F237" i="98" s="1"/>
  <c r="E237" i="98" a="1"/>
  <c r="E237" i="98" s="1"/>
  <c r="D237" i="98" a="1"/>
  <c r="D237" i="98" s="1"/>
  <c r="S236" i="98" a="1"/>
  <c r="S236" i="98" s="1"/>
  <c r="R236" i="98" a="1"/>
  <c r="R236" i="98" s="1"/>
  <c r="Q236" i="98" a="1"/>
  <c r="Q236" i="98" s="1"/>
  <c r="P236" i="98" a="1"/>
  <c r="P236" i="98" s="1"/>
  <c r="O236" i="98" a="1"/>
  <c r="O236" i="98" s="1"/>
  <c r="N236" i="98" a="1"/>
  <c r="N236" i="98" s="1"/>
  <c r="M236" i="98" a="1"/>
  <c r="M236" i="98" s="1"/>
  <c r="L236" i="98" a="1"/>
  <c r="L236" i="98" s="1"/>
  <c r="K236" i="98" a="1"/>
  <c r="K236" i="98" s="1"/>
  <c r="J236" i="98" a="1"/>
  <c r="J236" i="98" s="1"/>
  <c r="I236" i="98" a="1"/>
  <c r="I236" i="98" s="1"/>
  <c r="H236" i="98" a="1"/>
  <c r="H236" i="98" s="1"/>
  <c r="G236" i="98" a="1"/>
  <c r="G236" i="98" s="1"/>
  <c r="F236" i="98" a="1"/>
  <c r="F236" i="98" s="1"/>
  <c r="E236" i="98" a="1"/>
  <c r="E236" i="98" s="1"/>
  <c r="D236" i="98" a="1"/>
  <c r="D236" i="98" s="1"/>
  <c r="S235" i="98" a="1"/>
  <c r="S235" i="98" s="1"/>
  <c r="R235" i="98" a="1"/>
  <c r="R235" i="98" s="1"/>
  <c r="Q235" i="98" a="1"/>
  <c r="Q235" i="98" s="1"/>
  <c r="P235" i="98" a="1"/>
  <c r="P235" i="98" s="1"/>
  <c r="O235" i="98" a="1"/>
  <c r="O235" i="98" s="1"/>
  <c r="N235" i="98" a="1"/>
  <c r="N235" i="98" s="1"/>
  <c r="M235" i="98" a="1"/>
  <c r="M235" i="98" s="1"/>
  <c r="L235" i="98" a="1"/>
  <c r="L235" i="98" s="1"/>
  <c r="K235" i="98" a="1"/>
  <c r="K235" i="98" s="1"/>
  <c r="J235" i="98" a="1"/>
  <c r="J235" i="98" s="1"/>
  <c r="I235" i="98" a="1"/>
  <c r="I235" i="98" s="1"/>
  <c r="H235" i="98" a="1"/>
  <c r="H235" i="98" s="1"/>
  <c r="G235" i="98" a="1"/>
  <c r="G235" i="98" s="1"/>
  <c r="F235" i="98" a="1"/>
  <c r="F235" i="98" s="1"/>
  <c r="E235" i="98" a="1"/>
  <c r="E235" i="98" s="1"/>
  <c r="D235" i="98" a="1"/>
  <c r="D235" i="98" s="1"/>
  <c r="S234" i="98" a="1"/>
  <c r="S234" i="98" s="1"/>
  <c r="R234" i="98" a="1"/>
  <c r="R234" i="98" s="1"/>
  <c r="Q234" i="98" a="1"/>
  <c r="Q234" i="98" s="1"/>
  <c r="P234" i="98" a="1"/>
  <c r="P234" i="98" s="1"/>
  <c r="O234" i="98" a="1"/>
  <c r="O234" i="98" s="1"/>
  <c r="N234" i="98" a="1"/>
  <c r="N234" i="98" s="1"/>
  <c r="M234" i="98" a="1"/>
  <c r="M234" i="98" s="1"/>
  <c r="L234" i="98" a="1"/>
  <c r="L234" i="98" s="1"/>
  <c r="K234" i="98" a="1"/>
  <c r="K234" i="98" s="1"/>
  <c r="J234" i="98" a="1"/>
  <c r="J234" i="98" s="1"/>
  <c r="I234" i="98" a="1"/>
  <c r="I234" i="98" s="1"/>
  <c r="H234" i="98" a="1"/>
  <c r="H234" i="98" s="1"/>
  <c r="G234" i="98" a="1"/>
  <c r="G234" i="98" s="1"/>
  <c r="F234" i="98" a="1"/>
  <c r="F234" i="98" s="1"/>
  <c r="E234" i="98" a="1"/>
  <c r="E234" i="98" s="1"/>
  <c r="D234" i="98" a="1"/>
  <c r="D234" i="98" s="1"/>
  <c r="S233" i="98" a="1"/>
  <c r="S233" i="98" s="1"/>
  <c r="R233" i="98" a="1"/>
  <c r="R233" i="98" s="1"/>
  <c r="Q233" i="98" a="1"/>
  <c r="Q233" i="98" s="1"/>
  <c r="P233" i="98" a="1"/>
  <c r="P233" i="98" s="1"/>
  <c r="O233" i="98" a="1"/>
  <c r="O233" i="98" s="1"/>
  <c r="N233" i="98" a="1"/>
  <c r="N233" i="98" s="1"/>
  <c r="M233" i="98" a="1"/>
  <c r="M233" i="98" s="1"/>
  <c r="L233" i="98" a="1"/>
  <c r="L233" i="98" s="1"/>
  <c r="K233" i="98" a="1"/>
  <c r="K233" i="98" s="1"/>
  <c r="J233" i="98" a="1"/>
  <c r="J233" i="98" s="1"/>
  <c r="I233" i="98" a="1"/>
  <c r="I233" i="98" s="1"/>
  <c r="H233" i="98" a="1"/>
  <c r="H233" i="98" s="1"/>
  <c r="G233" i="98" a="1"/>
  <c r="G233" i="98" s="1"/>
  <c r="F233" i="98" a="1"/>
  <c r="F233" i="98" s="1"/>
  <c r="E233" i="98" a="1"/>
  <c r="E233" i="98" s="1"/>
  <c r="D233" i="98" a="1"/>
  <c r="D233" i="98" s="1"/>
  <c r="S232" i="98" a="1"/>
  <c r="S232" i="98" s="1"/>
  <c r="R232" i="98" a="1"/>
  <c r="R232" i="98" s="1"/>
  <c r="Q232" i="98" a="1"/>
  <c r="Q232" i="98" s="1"/>
  <c r="P232" i="98" a="1"/>
  <c r="P232" i="98" s="1"/>
  <c r="O232" i="98" a="1"/>
  <c r="O232" i="98" s="1"/>
  <c r="N232" i="98" a="1"/>
  <c r="N232" i="98" s="1"/>
  <c r="M232" i="98" a="1"/>
  <c r="M232" i="98" s="1"/>
  <c r="L232" i="98" a="1"/>
  <c r="L232" i="98" s="1"/>
  <c r="K232" i="98" a="1"/>
  <c r="K232" i="98" s="1"/>
  <c r="J232" i="98" a="1"/>
  <c r="J232" i="98" s="1"/>
  <c r="I232" i="98" a="1"/>
  <c r="I232" i="98" s="1"/>
  <c r="H232" i="98" a="1"/>
  <c r="H232" i="98" s="1"/>
  <c r="G232" i="98" a="1"/>
  <c r="G232" i="98" s="1"/>
  <c r="F232" i="98" a="1"/>
  <c r="F232" i="98" s="1"/>
  <c r="E232" i="98" a="1"/>
  <c r="E232" i="98" s="1"/>
  <c r="D232" i="98" a="1"/>
  <c r="D232" i="98" s="1"/>
  <c r="D229" i="98" a="1"/>
  <c r="D229" i="98" s="1"/>
  <c r="D228" i="98" a="1"/>
  <c r="D228" i="98" s="1"/>
  <c r="D227" i="98" a="1"/>
  <c r="D227" i="98" s="1"/>
  <c r="E224" i="98" a="1"/>
  <c r="E224" i="98" s="1"/>
  <c r="D224" i="98" a="1"/>
  <c r="D224" i="98" s="1"/>
  <c r="E223" i="98" a="1"/>
  <c r="E223" i="98" s="1"/>
  <c r="D223" i="98" a="1"/>
  <c r="D223" i="98" s="1"/>
  <c r="E222" i="98" a="1"/>
  <c r="E222" i="98" s="1"/>
  <c r="D222" i="98" a="1"/>
  <c r="D222" i="98" s="1"/>
  <c r="E221" i="98" a="1"/>
  <c r="E221" i="98" s="1"/>
  <c r="D221" i="98" a="1"/>
  <c r="D221" i="98" s="1"/>
  <c r="E220" i="98" a="1"/>
  <c r="E220" i="98" s="1"/>
  <c r="D220" i="98" a="1"/>
  <c r="D220" i="98" s="1"/>
  <c r="E219" i="98" a="1"/>
  <c r="E219" i="98" s="1"/>
  <c r="D219" i="98" a="1"/>
  <c r="D219" i="98" s="1"/>
  <c r="E218" i="98" a="1"/>
  <c r="E218" i="98" s="1"/>
  <c r="D218" i="98" a="1"/>
  <c r="D218" i="98" s="1"/>
  <c r="E217" i="98" a="1"/>
  <c r="E217" i="98" s="1"/>
  <c r="D217" i="98" a="1"/>
  <c r="D217" i="98" s="1"/>
  <c r="E216" i="98" a="1"/>
  <c r="E216" i="98" s="1"/>
  <c r="D216" i="98" a="1"/>
  <c r="D216" i="98" s="1"/>
  <c r="E215" i="98" a="1"/>
  <c r="E215" i="98" s="1"/>
  <c r="D215" i="98" a="1"/>
  <c r="D215" i="98" s="1"/>
  <c r="E214" i="98" a="1"/>
  <c r="E214" i="98" s="1"/>
  <c r="D214" i="98" a="1"/>
  <c r="D214" i="98" s="1"/>
  <c r="E213" i="98" a="1"/>
  <c r="E213" i="98" s="1"/>
  <c r="D213" i="98" a="1"/>
  <c r="D213" i="98" s="1"/>
  <c r="D211" i="98" a="1"/>
  <c r="D211" i="98" s="1"/>
  <c r="E208" i="98" a="1"/>
  <c r="E208" i="98" s="1"/>
  <c r="D208" i="98" a="1"/>
  <c r="D208" i="98" s="1"/>
  <c r="E207" i="98" a="1"/>
  <c r="E207" i="98" s="1"/>
  <c r="D207" i="98" a="1"/>
  <c r="D207" i="98" s="1"/>
  <c r="D205" i="98" a="1"/>
  <c r="D205" i="98" s="1"/>
  <c r="D204" i="98" a="1"/>
  <c r="D204" i="98" s="1"/>
  <c r="D203" i="98"/>
  <c r="D203" i="98" a="1"/>
  <c r="D202" i="98" a="1"/>
  <c r="D202" i="98" s="1"/>
  <c r="H199" i="98" a="1"/>
  <c r="H199" i="98" s="1"/>
  <c r="G199" i="98" a="1"/>
  <c r="G199" i="98" s="1"/>
  <c r="F199" i="98" a="1"/>
  <c r="F199" i="98" s="1"/>
  <c r="E199" i="98" a="1"/>
  <c r="E199" i="98" s="1"/>
  <c r="D199" i="98" a="1"/>
  <c r="D199" i="98" s="1"/>
  <c r="H198" i="98" a="1"/>
  <c r="H198" i="98" s="1"/>
  <c r="G198" i="98" a="1"/>
  <c r="G198" i="98" s="1"/>
  <c r="F198" i="98" a="1"/>
  <c r="F198" i="98" s="1"/>
  <c r="E198" i="98" a="1"/>
  <c r="E198" i="98" s="1"/>
  <c r="D198" i="98" a="1"/>
  <c r="D198" i="98" s="1"/>
  <c r="H197" i="98" a="1"/>
  <c r="H197" i="98" s="1"/>
  <c r="G197" i="98" a="1"/>
  <c r="G197" i="98" s="1"/>
  <c r="F197" i="98" a="1"/>
  <c r="F197" i="98" s="1"/>
  <c r="E197" i="98" a="1"/>
  <c r="E197" i="98" s="1"/>
  <c r="D197" i="98" a="1"/>
  <c r="D197" i="98" s="1"/>
  <c r="H196" i="98" a="1"/>
  <c r="H196" i="98" s="1"/>
  <c r="G196" i="98" a="1"/>
  <c r="G196" i="98" s="1"/>
  <c r="F196" i="98" a="1"/>
  <c r="F196" i="98" s="1"/>
  <c r="E196" i="98" a="1"/>
  <c r="E196" i="98" s="1"/>
  <c r="D196" i="98" a="1"/>
  <c r="D196" i="98" s="1"/>
  <c r="H195" i="98" a="1"/>
  <c r="H195" i="98" s="1"/>
  <c r="G195" i="98" a="1"/>
  <c r="G195" i="98" s="1"/>
  <c r="F195" i="98" a="1"/>
  <c r="F195" i="98" s="1"/>
  <c r="E195" i="98" a="1"/>
  <c r="E195" i="98" s="1"/>
  <c r="D195" i="98" a="1"/>
  <c r="D195" i="98" s="1"/>
  <c r="H194" i="98" a="1"/>
  <c r="H194" i="98" s="1"/>
  <c r="G194" i="98" a="1"/>
  <c r="G194" i="98" s="1"/>
  <c r="F194" i="98" a="1"/>
  <c r="F194" i="98" s="1"/>
  <c r="E194" i="98" a="1"/>
  <c r="E194" i="98" s="1"/>
  <c r="D194" i="98" a="1"/>
  <c r="D194" i="98" s="1"/>
  <c r="H193" i="98" a="1"/>
  <c r="H193" i="98" s="1"/>
  <c r="G193" i="98" a="1"/>
  <c r="G193" i="98" s="1"/>
  <c r="F193" i="98" a="1"/>
  <c r="F193" i="98" s="1"/>
  <c r="E193" i="98" a="1"/>
  <c r="E193" i="98" s="1"/>
  <c r="D193" i="98" a="1"/>
  <c r="D193" i="98" s="1"/>
  <c r="H192" i="98" a="1"/>
  <c r="H192" i="98" s="1"/>
  <c r="G192" i="98" a="1"/>
  <c r="G192" i="98" s="1"/>
  <c r="F192" i="98" a="1"/>
  <c r="F192" i="98" s="1"/>
  <c r="E192" i="98" a="1"/>
  <c r="E192" i="98" s="1"/>
  <c r="D192" i="98" a="1"/>
  <c r="D192" i="98" s="1"/>
  <c r="H191" i="98" a="1"/>
  <c r="H191" i="98" s="1"/>
  <c r="G191" i="98" a="1"/>
  <c r="G191" i="98" s="1"/>
  <c r="F191" i="98" a="1"/>
  <c r="F191" i="98" s="1"/>
  <c r="E191" i="98" a="1"/>
  <c r="E191" i="98" s="1"/>
  <c r="D191" i="98" a="1"/>
  <c r="D191" i="98" s="1"/>
  <c r="H190" i="98" a="1"/>
  <c r="H190" i="98" s="1"/>
  <c r="G190" i="98" a="1"/>
  <c r="G190" i="98" s="1"/>
  <c r="F190" i="98" a="1"/>
  <c r="F190" i="98" s="1"/>
  <c r="E190" i="98" a="1"/>
  <c r="E190" i="98" s="1"/>
  <c r="D190" i="98" a="1"/>
  <c r="D190" i="98" s="1"/>
  <c r="H189" i="98" a="1"/>
  <c r="H189" i="98" s="1"/>
  <c r="G189" i="98" a="1"/>
  <c r="G189" i="98" s="1"/>
  <c r="F189" i="98" a="1"/>
  <c r="F189" i="98" s="1"/>
  <c r="E189" i="98" a="1"/>
  <c r="E189" i="98" s="1"/>
  <c r="D189" i="98" a="1"/>
  <c r="D189" i="98" s="1"/>
  <c r="H188" i="98" a="1"/>
  <c r="H188" i="98" s="1"/>
  <c r="G188" i="98" a="1"/>
  <c r="G188" i="98" s="1"/>
  <c r="F188" i="98" a="1"/>
  <c r="F188" i="98" s="1"/>
  <c r="E188" i="98" a="1"/>
  <c r="E188" i="98" s="1"/>
  <c r="D188" i="98" a="1"/>
  <c r="D188" i="98" s="1"/>
  <c r="H187" i="98" a="1"/>
  <c r="H187" i="98" s="1"/>
  <c r="G187" i="98" a="1"/>
  <c r="G187" i="98" s="1"/>
  <c r="F187" i="98" a="1"/>
  <c r="F187" i="98" s="1"/>
  <c r="E187" i="98" a="1"/>
  <c r="E187" i="98" s="1"/>
  <c r="D187" i="98" a="1"/>
  <c r="D187" i="98" s="1"/>
  <c r="D181" i="98" a="1"/>
  <c r="D181" i="98" s="1"/>
  <c r="D180" i="98" a="1"/>
  <c r="D180" i="98" s="1"/>
  <c r="D179" i="98" a="1"/>
  <c r="D179" i="98" s="1"/>
  <c r="D178" i="98"/>
  <c r="D178" i="98" a="1"/>
  <c r="E175" i="98" a="1"/>
  <c r="E175" i="98" s="1"/>
  <c r="D175" i="98" a="1"/>
  <c r="D175" i="98" s="1"/>
  <c r="D174" i="98" a="1"/>
  <c r="D174" i="98" s="1"/>
  <c r="D173" i="98" a="1"/>
  <c r="D173" i="98" s="1"/>
  <c r="D170" i="98" a="1"/>
  <c r="D170" i="98" s="1"/>
  <c r="D169" i="98" a="1"/>
  <c r="D169" i="98" s="1"/>
  <c r="D168" i="98" a="1"/>
  <c r="D168" i="98" s="1"/>
  <c r="D167" i="98" a="1"/>
  <c r="D167" i="98" s="1"/>
  <c r="D164" i="98" a="1"/>
  <c r="D164" i="98" s="1"/>
  <c r="D163" i="98" a="1"/>
  <c r="D163" i="98" s="1"/>
  <c r="D162" i="98" a="1"/>
  <c r="D162" i="98" s="1"/>
  <c r="D161" i="98" a="1"/>
  <c r="D161" i="98" s="1"/>
  <c r="E158" i="98" a="1"/>
  <c r="E158" i="98" s="1"/>
  <c r="D158" i="98" a="1"/>
  <c r="D158" i="98" s="1"/>
  <c r="E157" i="98" a="1"/>
  <c r="E157" i="98" s="1"/>
  <c r="D157" i="98" a="1"/>
  <c r="D157" i="98" s="1"/>
  <c r="E156" i="98" a="1"/>
  <c r="E156" i="98" s="1"/>
  <c r="D156" i="98" a="1"/>
  <c r="D156" i="98" s="1"/>
  <c r="E155" i="98" a="1"/>
  <c r="E155" i="98" s="1"/>
  <c r="D155" i="98" a="1"/>
  <c r="D155" i="98" s="1"/>
  <c r="E154" i="98" a="1"/>
  <c r="E154" i="98" s="1"/>
  <c r="D154" i="98" a="1"/>
  <c r="D154" i="98" s="1"/>
  <c r="D151" i="98" a="1"/>
  <c r="D151" i="98" s="1"/>
  <c r="D150" i="98" a="1"/>
  <c r="D150" i="98" s="1"/>
  <c r="E147" i="98" a="1"/>
  <c r="E147" i="98" s="1"/>
  <c r="D147" i="98" a="1"/>
  <c r="D147" i="98" s="1"/>
  <c r="E146" i="98" a="1"/>
  <c r="E146" i="98" s="1"/>
  <c r="D146" i="98" a="1"/>
  <c r="D146" i="98" s="1"/>
  <c r="E145" i="98" a="1"/>
  <c r="E145" i="98" s="1"/>
  <c r="D145" i="98" a="1"/>
  <c r="D145" i="98" s="1"/>
  <c r="E144" i="98" a="1"/>
  <c r="E144" i="98" s="1"/>
  <c r="D144" i="98" a="1"/>
  <c r="D144" i="98" s="1"/>
  <c r="E143" i="98" a="1"/>
  <c r="E143" i="98" s="1"/>
  <c r="D143" i="98" a="1"/>
  <c r="D143" i="98" s="1"/>
  <c r="D141" i="98" a="1"/>
  <c r="D141" i="98" s="1"/>
  <c r="D140" i="98" a="1"/>
  <c r="D140" i="98" s="1"/>
  <c r="D139" i="98" a="1"/>
  <c r="D139" i="98" s="1"/>
  <c r="E136" i="98" a="1"/>
  <c r="E136" i="98" s="1"/>
  <c r="D136" i="98" a="1"/>
  <c r="D136" i="98" s="1"/>
  <c r="E135" i="98" a="1"/>
  <c r="E135" i="98" s="1"/>
  <c r="D135" i="98" a="1"/>
  <c r="D135" i="98" s="1"/>
  <c r="D133" i="98" a="1"/>
  <c r="D133" i="98" s="1"/>
  <c r="D132" i="98" a="1"/>
  <c r="D132" i="98" s="1"/>
  <c r="E129" i="98" a="1"/>
  <c r="E129" i="98" s="1"/>
  <c r="D129" i="98" a="1"/>
  <c r="D129" i="98" s="1"/>
  <c r="E128" i="98" a="1"/>
  <c r="E128" i="98" s="1"/>
  <c r="D128" i="98" a="1"/>
  <c r="D128" i="98" s="1"/>
  <c r="D125" i="98" a="1"/>
  <c r="D125" i="98" s="1"/>
  <c r="D124" i="98" a="1"/>
  <c r="D124" i="98" s="1"/>
  <c r="G121" i="98" a="1"/>
  <c r="G121" i="98" s="1"/>
  <c r="F121" i="98" a="1"/>
  <c r="F121" i="98" s="1"/>
  <c r="E121" i="98" a="1"/>
  <c r="E121" i="98" s="1"/>
  <c r="D121" i="98" a="1"/>
  <c r="D121" i="98" s="1"/>
  <c r="G120" i="98" a="1"/>
  <c r="G120" i="98" s="1"/>
  <c r="F120" i="98" a="1"/>
  <c r="F120" i="98" s="1"/>
  <c r="E120" i="98" a="1"/>
  <c r="E120" i="98" s="1"/>
  <c r="D120" i="98" a="1"/>
  <c r="D120" i="98" s="1"/>
  <c r="D117" i="98"/>
  <c r="D117" i="98" a="1"/>
  <c r="D116" i="98" a="1"/>
  <c r="D116" i="98" s="1"/>
  <c r="D115" i="98" a="1"/>
  <c r="D115" i="98" s="1"/>
  <c r="G112" i="98" a="1"/>
  <c r="G112" i="98" s="1"/>
  <c r="F112" i="98" a="1"/>
  <c r="F112" i="98" s="1"/>
  <c r="E112" i="98" a="1"/>
  <c r="E112" i="98" s="1"/>
  <c r="D112" i="98" a="1"/>
  <c r="D112" i="98" s="1"/>
  <c r="G111" i="98" a="1"/>
  <c r="G111" i="98" s="1"/>
  <c r="F111" i="98" a="1"/>
  <c r="F111" i="98" s="1"/>
  <c r="E111" i="98" a="1"/>
  <c r="E111" i="98" s="1"/>
  <c r="D111" i="98" a="1"/>
  <c r="D111" i="98" s="1"/>
  <c r="G110" i="98" a="1"/>
  <c r="G110" i="98" s="1"/>
  <c r="F110" i="98" a="1"/>
  <c r="F110" i="98" s="1"/>
  <c r="E110" i="98" a="1"/>
  <c r="E110" i="98" s="1"/>
  <c r="D110" i="98" a="1"/>
  <c r="D110" i="98" s="1"/>
  <c r="D107" i="98" a="1"/>
  <c r="D107" i="98" s="1"/>
  <c r="D106" i="98" a="1"/>
  <c r="D106" i="98" s="1"/>
  <c r="D105" i="98" a="1"/>
  <c r="D105" i="98" s="1"/>
  <c r="D98" i="98" a="1"/>
  <c r="D98" i="98" s="1"/>
  <c r="S97" i="98" a="1"/>
  <c r="S97" i="98" s="1"/>
  <c r="R97" i="98" a="1"/>
  <c r="R97" i="98" s="1"/>
  <c r="Q97" i="98" a="1"/>
  <c r="Q97" i="98" s="1"/>
  <c r="P97" i="98" a="1"/>
  <c r="P97" i="98" s="1"/>
  <c r="O97" i="98" a="1"/>
  <c r="O97" i="98" s="1"/>
  <c r="N97" i="98" a="1"/>
  <c r="N97" i="98" s="1"/>
  <c r="M97" i="98" a="1"/>
  <c r="M97" i="98" s="1"/>
  <c r="L97" i="98" a="1"/>
  <c r="L97" i="98" s="1"/>
  <c r="K97" i="98" a="1"/>
  <c r="K97" i="98" s="1"/>
  <c r="J97" i="98" a="1"/>
  <c r="J97" i="98" s="1"/>
  <c r="I97" i="98" a="1"/>
  <c r="I97" i="98" s="1"/>
  <c r="H97" i="98" a="1"/>
  <c r="H97" i="98" s="1"/>
  <c r="G97" i="98" a="1"/>
  <c r="G97" i="98" s="1"/>
  <c r="F97" i="98" a="1"/>
  <c r="F97" i="98" s="1"/>
  <c r="E97" i="98" a="1"/>
  <c r="E97" i="98" s="1"/>
  <c r="D97" i="98" a="1"/>
  <c r="D97" i="98" s="1"/>
  <c r="S96" i="98" a="1"/>
  <c r="S96" i="98" s="1"/>
  <c r="R96" i="98" a="1"/>
  <c r="R96" i="98" s="1"/>
  <c r="Q96" i="98" a="1"/>
  <c r="Q96" i="98" s="1"/>
  <c r="P96" i="98" a="1"/>
  <c r="P96" i="98" s="1"/>
  <c r="O96" i="98" a="1"/>
  <c r="O96" i="98" s="1"/>
  <c r="N96" i="98" a="1"/>
  <c r="N96" i="98" s="1"/>
  <c r="M96" i="98" a="1"/>
  <c r="M96" i="98" s="1"/>
  <c r="L96" i="98" a="1"/>
  <c r="L96" i="98" s="1"/>
  <c r="K96" i="98" a="1"/>
  <c r="K96" i="98" s="1"/>
  <c r="J96" i="98" a="1"/>
  <c r="J96" i="98" s="1"/>
  <c r="I96" i="98" a="1"/>
  <c r="I96" i="98" s="1"/>
  <c r="H96" i="98" a="1"/>
  <c r="H96" i="98" s="1"/>
  <c r="G96" i="98" a="1"/>
  <c r="G96" i="98" s="1"/>
  <c r="F96" i="98" a="1"/>
  <c r="F96" i="98" s="1"/>
  <c r="E96" i="98" a="1"/>
  <c r="E96" i="98" s="1"/>
  <c r="D96" i="98" a="1"/>
  <c r="D96" i="98" s="1"/>
  <c r="S95" i="98" a="1"/>
  <c r="S95" i="98" s="1"/>
  <c r="R95" i="98" a="1"/>
  <c r="R95" i="98" s="1"/>
  <c r="Q95" i="98" a="1"/>
  <c r="Q95" i="98" s="1"/>
  <c r="P95" i="98" a="1"/>
  <c r="P95" i="98" s="1"/>
  <c r="O95" i="98" a="1"/>
  <c r="O95" i="98" s="1"/>
  <c r="N95" i="98" a="1"/>
  <c r="N95" i="98" s="1"/>
  <c r="M95" i="98" a="1"/>
  <c r="M95" i="98" s="1"/>
  <c r="L95" i="98" a="1"/>
  <c r="L95" i="98" s="1"/>
  <c r="K95" i="98" a="1"/>
  <c r="K95" i="98" s="1"/>
  <c r="J95" i="98" a="1"/>
  <c r="J95" i="98" s="1"/>
  <c r="I95" i="98" a="1"/>
  <c r="I95" i="98" s="1"/>
  <c r="H95" i="98" a="1"/>
  <c r="H95" i="98" s="1"/>
  <c r="G95" i="98" a="1"/>
  <c r="G95" i="98" s="1"/>
  <c r="F95" i="98" a="1"/>
  <c r="F95" i="98" s="1"/>
  <c r="E95" i="98" a="1"/>
  <c r="E95" i="98" s="1"/>
  <c r="D95" i="98" a="1"/>
  <c r="D95" i="98" s="1"/>
  <c r="S94" i="98" a="1"/>
  <c r="S94" i="98" s="1"/>
  <c r="R94" i="98" a="1"/>
  <c r="R94" i="98" s="1"/>
  <c r="Q94" i="98" a="1"/>
  <c r="Q94" i="98" s="1"/>
  <c r="P94" i="98" a="1"/>
  <c r="P94" i="98" s="1"/>
  <c r="O94" i="98" a="1"/>
  <c r="O94" i="98" s="1"/>
  <c r="N94" i="98" a="1"/>
  <c r="N94" i="98" s="1"/>
  <c r="M94" i="98" a="1"/>
  <c r="M94" i="98" s="1"/>
  <c r="L94" i="98" a="1"/>
  <c r="L94" i="98" s="1"/>
  <c r="K94" i="98" a="1"/>
  <c r="K94" i="98" s="1"/>
  <c r="J94" i="98" a="1"/>
  <c r="J94" i="98" s="1"/>
  <c r="I94" i="98" a="1"/>
  <c r="I94" i="98" s="1"/>
  <c r="H94" i="98" a="1"/>
  <c r="H94" i="98" s="1"/>
  <c r="G94" i="98" a="1"/>
  <c r="G94" i="98" s="1"/>
  <c r="F94" i="98" a="1"/>
  <c r="F94" i="98" s="1"/>
  <c r="E94" i="98" a="1"/>
  <c r="E94" i="98" s="1"/>
  <c r="D94" i="98" a="1"/>
  <c r="D94" i="98" s="1"/>
  <c r="S93" i="98" a="1"/>
  <c r="S93" i="98" s="1"/>
  <c r="R93" i="98" a="1"/>
  <c r="R93" i="98" s="1"/>
  <c r="Q93" i="98" a="1"/>
  <c r="Q93" i="98" s="1"/>
  <c r="P93" i="98" a="1"/>
  <c r="P93" i="98" s="1"/>
  <c r="O93" i="98" a="1"/>
  <c r="O93" i="98" s="1"/>
  <c r="N93" i="98" a="1"/>
  <c r="N93" i="98" s="1"/>
  <c r="M93" i="98" a="1"/>
  <c r="M93" i="98" s="1"/>
  <c r="L93" i="98" a="1"/>
  <c r="L93" i="98" s="1"/>
  <c r="K93" i="98" a="1"/>
  <c r="K93" i="98" s="1"/>
  <c r="J93" i="98" a="1"/>
  <c r="J93" i="98" s="1"/>
  <c r="I93" i="98" a="1"/>
  <c r="I93" i="98" s="1"/>
  <c r="H93" i="98" a="1"/>
  <c r="H93" i="98" s="1"/>
  <c r="G93" i="98" a="1"/>
  <c r="G93" i="98" s="1"/>
  <c r="F93" i="98" a="1"/>
  <c r="F93" i="98" s="1"/>
  <c r="E93" i="98" a="1"/>
  <c r="E93" i="98" s="1"/>
  <c r="D93" i="98" a="1"/>
  <c r="D93" i="98" s="1"/>
  <c r="S92" i="98" a="1"/>
  <c r="S92" i="98" s="1"/>
  <c r="R92" i="98" a="1"/>
  <c r="R92" i="98" s="1"/>
  <c r="Q92" i="98" a="1"/>
  <c r="Q92" i="98" s="1"/>
  <c r="P92" i="98" a="1"/>
  <c r="P92" i="98" s="1"/>
  <c r="O92" i="98" a="1"/>
  <c r="O92" i="98" s="1"/>
  <c r="N92" i="98" a="1"/>
  <c r="N92" i="98" s="1"/>
  <c r="M92" i="98" a="1"/>
  <c r="M92" i="98" s="1"/>
  <c r="L92" i="98" a="1"/>
  <c r="L92" i="98" s="1"/>
  <c r="K92" i="98" a="1"/>
  <c r="K92" i="98" s="1"/>
  <c r="J92" i="98" a="1"/>
  <c r="J92" i="98" s="1"/>
  <c r="I92" i="98" a="1"/>
  <c r="I92" i="98" s="1"/>
  <c r="H92" i="98" a="1"/>
  <c r="H92" i="98" s="1"/>
  <c r="G92" i="98" a="1"/>
  <c r="G92" i="98" s="1"/>
  <c r="F92" i="98" a="1"/>
  <c r="F92" i="98" s="1"/>
  <c r="E92" i="98" a="1"/>
  <c r="E92" i="98" s="1"/>
  <c r="D92" i="98" a="1"/>
  <c r="D92" i="98" s="1"/>
  <c r="S91" i="98" a="1"/>
  <c r="S91" i="98" s="1"/>
  <c r="R91" i="98" a="1"/>
  <c r="R91" i="98" s="1"/>
  <c r="Q91" i="98" a="1"/>
  <c r="Q91" i="98" s="1"/>
  <c r="P91" i="98" a="1"/>
  <c r="P91" i="98" s="1"/>
  <c r="O91" i="98" a="1"/>
  <c r="O91" i="98" s="1"/>
  <c r="N91" i="98" a="1"/>
  <c r="N91" i="98" s="1"/>
  <c r="M91" i="98" a="1"/>
  <c r="M91" i="98" s="1"/>
  <c r="L91" i="98" a="1"/>
  <c r="L91" i="98" s="1"/>
  <c r="K91" i="98" a="1"/>
  <c r="K91" i="98" s="1"/>
  <c r="J91" i="98" a="1"/>
  <c r="J91" i="98" s="1"/>
  <c r="I91" i="98" a="1"/>
  <c r="I91" i="98" s="1"/>
  <c r="H91" i="98" a="1"/>
  <c r="H91" i="98" s="1"/>
  <c r="G91" i="98" a="1"/>
  <c r="G91" i="98" s="1"/>
  <c r="F91" i="98" a="1"/>
  <c r="F91" i="98" s="1"/>
  <c r="E91" i="98" a="1"/>
  <c r="E91" i="98" s="1"/>
  <c r="D91" i="98" a="1"/>
  <c r="D91" i="98" s="1"/>
  <c r="S90" i="98" a="1"/>
  <c r="S90" i="98" s="1"/>
  <c r="R90" i="98" a="1"/>
  <c r="R90" i="98" s="1"/>
  <c r="Q90" i="98" a="1"/>
  <c r="Q90" i="98" s="1"/>
  <c r="P90" i="98" a="1"/>
  <c r="P90" i="98" s="1"/>
  <c r="O90" i="98" a="1"/>
  <c r="O90" i="98" s="1"/>
  <c r="N90" i="98" a="1"/>
  <c r="N90" i="98" s="1"/>
  <c r="M90" i="98" a="1"/>
  <c r="M90" i="98" s="1"/>
  <c r="L90" i="98" a="1"/>
  <c r="L90" i="98" s="1"/>
  <c r="K90" i="98" a="1"/>
  <c r="K90" i="98" s="1"/>
  <c r="J90" i="98" a="1"/>
  <c r="J90" i="98" s="1"/>
  <c r="I90" i="98" a="1"/>
  <c r="I90" i="98" s="1"/>
  <c r="H90" i="98" a="1"/>
  <c r="H90" i="98" s="1"/>
  <c r="G90" i="98" a="1"/>
  <c r="G90" i="98" s="1"/>
  <c r="F90" i="98" a="1"/>
  <c r="F90" i="98" s="1"/>
  <c r="E90" i="98" a="1"/>
  <c r="E90" i="98" s="1"/>
  <c r="D90" i="98" a="1"/>
  <c r="D90" i="98" s="1"/>
  <c r="D83" i="98" a="1"/>
  <c r="D83" i="98" s="1"/>
  <c r="D82" i="98" a="1"/>
  <c r="D82" i="98" s="1"/>
  <c r="D81" i="98" a="1"/>
  <c r="D81" i="98" s="1"/>
  <c r="E77" i="98" a="1"/>
  <c r="E77" i="98" s="1"/>
  <c r="D77" i="98" a="1"/>
  <c r="D77" i="98" s="1"/>
  <c r="E76" i="98" a="1"/>
  <c r="E76" i="98" s="1"/>
  <c r="D76" i="98" a="1"/>
  <c r="D76" i="98" s="1"/>
  <c r="E75" i="98" a="1"/>
  <c r="E75" i="98" s="1"/>
  <c r="D75" i="98" a="1"/>
  <c r="D75" i="98" s="1"/>
  <c r="E74" i="98" a="1"/>
  <c r="E74" i="98" s="1"/>
  <c r="D74" i="98" a="1"/>
  <c r="D74" i="98" s="1"/>
  <c r="E73" i="98" a="1"/>
  <c r="E73" i="98" s="1"/>
  <c r="D73" i="98" a="1"/>
  <c r="D73" i="98" s="1"/>
  <c r="E72" i="98" a="1"/>
  <c r="E72" i="98" s="1"/>
  <c r="D72" i="98" a="1"/>
  <c r="D72" i="98" s="1"/>
  <c r="E71" i="98" a="1"/>
  <c r="E71" i="98" s="1"/>
  <c r="D71" i="98" a="1"/>
  <c r="D71" i="98" s="1"/>
  <c r="E70" i="98" a="1"/>
  <c r="E70" i="98" s="1"/>
  <c r="D70" i="98" a="1"/>
  <c r="D70" i="98" s="1"/>
  <c r="E69" i="98" a="1"/>
  <c r="E69" i="98" s="1"/>
  <c r="D69" i="98" a="1"/>
  <c r="D69" i="98" s="1"/>
  <c r="E68" i="98" a="1"/>
  <c r="E68" i="98" s="1"/>
  <c r="D68" i="98" a="1"/>
  <c r="D68" i="98" s="1"/>
  <c r="E67" i="98" a="1"/>
  <c r="E67" i="98" s="1"/>
  <c r="D67" i="98" a="1"/>
  <c r="D67" i="98" s="1"/>
  <c r="E66" i="98" a="1"/>
  <c r="E66" i="98" s="1"/>
  <c r="D66" i="98" a="1"/>
  <c r="D66" i="98" s="1"/>
  <c r="E65" i="98" a="1"/>
  <c r="E65" i="98" s="1"/>
  <c r="D65" i="98" a="1"/>
  <c r="D65" i="98" s="1"/>
  <c r="E64" i="98" a="1"/>
  <c r="E64" i="98" s="1"/>
  <c r="D64" i="98" a="1"/>
  <c r="D64" i="98" s="1"/>
  <c r="D59" i="98" a="1"/>
  <c r="D59" i="98" s="1"/>
  <c r="D58" i="98"/>
  <c r="D58" i="98" a="1"/>
  <c r="D57" i="98" a="1"/>
  <c r="D57" i="98" s="1"/>
  <c r="G54" i="98" a="1"/>
  <c r="G54" i="98" s="1"/>
  <c r="F54" i="98" a="1"/>
  <c r="F54" i="98" s="1"/>
  <c r="E54" i="98" a="1"/>
  <c r="E54" i="98" s="1"/>
  <c r="D54" i="98" a="1"/>
  <c r="D54" i="98" s="1"/>
  <c r="G53" i="98" a="1"/>
  <c r="G53" i="98" s="1"/>
  <c r="F53" i="98" a="1"/>
  <c r="F53" i="98" s="1"/>
  <c r="E53" i="98" a="1"/>
  <c r="E53" i="98" s="1"/>
  <c r="D53" i="98" a="1"/>
  <c r="D53" i="98" s="1"/>
  <c r="G52" i="98" a="1"/>
  <c r="G52" i="98" s="1"/>
  <c r="F52" i="98" a="1"/>
  <c r="F52" i="98" s="1"/>
  <c r="E52" i="98" a="1"/>
  <c r="E52" i="98" s="1"/>
  <c r="D52" i="98" a="1"/>
  <c r="D52" i="98" s="1"/>
  <c r="G51" i="98" a="1"/>
  <c r="G51" i="98" s="1"/>
  <c r="F51" i="98" a="1"/>
  <c r="F51" i="98" s="1"/>
  <c r="E51" i="98" a="1"/>
  <c r="E51" i="98" s="1"/>
  <c r="D51" i="98" a="1"/>
  <c r="D51" i="98" s="1"/>
  <c r="G50" i="98" a="1"/>
  <c r="G50" i="98" s="1"/>
  <c r="F50" i="98" a="1"/>
  <c r="F50" i="98" s="1"/>
  <c r="E50" i="98" a="1"/>
  <c r="E50" i="98" s="1"/>
  <c r="D50" i="98" a="1"/>
  <c r="D50" i="98" s="1"/>
  <c r="G49" i="98" a="1"/>
  <c r="G49" i="98" s="1"/>
  <c r="F49" i="98" a="1"/>
  <c r="F49" i="98" s="1"/>
  <c r="E49" i="98" a="1"/>
  <c r="E49" i="98" s="1"/>
  <c r="D49" i="98" a="1"/>
  <c r="D49" i="98" s="1"/>
  <c r="G48" i="98" a="1"/>
  <c r="G48" i="98" s="1"/>
  <c r="F48" i="98" a="1"/>
  <c r="F48" i="98" s="1"/>
  <c r="E48" i="98" a="1"/>
  <c r="E48" i="98" s="1"/>
  <c r="D48" i="98" a="1"/>
  <c r="D48" i="98" s="1"/>
  <c r="D46" i="98" a="1"/>
  <c r="D46" i="98" s="1"/>
  <c r="D45" i="98" a="1"/>
  <c r="D45" i="98" s="1"/>
  <c r="E43" i="98" a="1"/>
  <c r="E43" i="98" s="1"/>
  <c r="D43" i="98" a="1"/>
  <c r="D43" i="98" s="1"/>
  <c r="E42" i="98" a="1"/>
  <c r="E42" i="98" s="1"/>
  <c r="D42" i="98" a="1"/>
  <c r="D42" i="98" s="1"/>
  <c r="E41" i="98" a="1"/>
  <c r="E41" i="98" s="1"/>
  <c r="D41" i="98" a="1"/>
  <c r="D41" i="98" s="1"/>
  <c r="E40" i="98" a="1"/>
  <c r="E40" i="98" s="1"/>
  <c r="D40" i="98" a="1"/>
  <c r="D40" i="98" s="1"/>
  <c r="E39" i="98" a="1"/>
  <c r="E39" i="98" s="1"/>
  <c r="D39" i="98" a="1"/>
  <c r="D39" i="98" s="1"/>
  <c r="E38" i="98" a="1"/>
  <c r="E38" i="98" s="1"/>
  <c r="D38" i="98" a="1"/>
  <c r="D38" i="98" s="1"/>
  <c r="E37" i="98" a="1"/>
  <c r="E37" i="98" s="1"/>
  <c r="D37" i="98" a="1"/>
  <c r="D37" i="98" s="1"/>
  <c r="D35" i="98" a="1"/>
  <c r="D35" i="98" s="1"/>
  <c r="D34" i="98" a="1"/>
  <c r="D34" i="98" s="1"/>
  <c r="D30" i="98" a="1"/>
  <c r="D30" i="98" s="1"/>
  <c r="D29" i="98" a="1"/>
  <c r="D29" i="98" s="1"/>
  <c r="D28" i="98" a="1"/>
  <c r="D28" i="98" s="1"/>
  <c r="D27" i="98" a="1"/>
  <c r="D27" i="98" s="1"/>
  <c r="D26" i="98" a="1"/>
  <c r="D26" i="98" s="1"/>
  <c r="D25" i="98" a="1"/>
  <c r="D25" i="98" s="1"/>
  <c r="D24" i="98" a="1"/>
  <c r="D24" i="98" s="1"/>
  <c r="D23" i="98" a="1"/>
  <c r="D23" i="98" s="1"/>
  <c r="D22" i="98" a="1"/>
  <c r="D22" i="98" s="1"/>
  <c r="D21" i="98" a="1"/>
  <c r="D21" i="98" s="1"/>
  <c r="D19" i="98" a="1"/>
  <c r="D19" i="98" s="1"/>
  <c r="D18" i="98" a="1"/>
  <c r="D18" i="98" s="1"/>
  <c r="F14" i="98" a="1"/>
  <c r="F14" i="98" s="1"/>
  <c r="E14" i="98" a="1"/>
  <c r="E14" i="98" s="1"/>
  <c r="D14" i="98" a="1"/>
  <c r="D14" i="98" s="1"/>
  <c r="F13" i="98" a="1"/>
  <c r="F13" i="98" s="1"/>
  <c r="E13" i="98" a="1"/>
  <c r="E13" i="98" s="1"/>
  <c r="D13" i="98" a="1"/>
  <c r="D13" i="98" s="1"/>
  <c r="F12" i="98" a="1"/>
  <c r="F12" i="98" s="1"/>
  <c r="E12" i="98" a="1"/>
  <c r="E12" i="98" s="1"/>
  <c r="D12" i="98" a="1"/>
  <c r="D12" i="98" s="1"/>
  <c r="F11" i="98" a="1"/>
  <c r="F11" i="98" s="1"/>
  <c r="E11" i="98" a="1"/>
  <c r="E11" i="98" s="1"/>
  <c r="D11" i="98" a="1"/>
  <c r="D11" i="98" s="1"/>
  <c r="F10" i="98" a="1"/>
  <c r="F10" i="98" s="1"/>
  <c r="E10" i="98" a="1"/>
  <c r="E10" i="98" s="1"/>
  <c r="D10" i="98" a="1"/>
  <c r="D10" i="98" s="1"/>
  <c r="F9" i="98" a="1"/>
  <c r="F9" i="98" s="1"/>
  <c r="E9" i="98" a="1"/>
  <c r="E9" i="98" s="1"/>
  <c r="D9" i="98" a="1"/>
  <c r="D9" i="98" s="1"/>
  <c r="F8" i="98" a="1"/>
  <c r="F8" i="98" s="1"/>
  <c r="E8" i="98" a="1"/>
  <c r="E8" i="98" s="1"/>
  <c r="D8" i="98" a="1"/>
  <c r="D8" i="98" s="1"/>
  <c r="F7" i="98" a="1"/>
  <c r="F7" i="98" s="1"/>
  <c r="E7" i="98" a="1"/>
  <c r="E7" i="98" s="1"/>
  <c r="D7" i="98" a="1"/>
  <c r="D7" i="98" s="1"/>
  <c r="D5" i="98" a="1"/>
  <c r="D5" i="98" s="1"/>
  <c r="E50" i="81"/>
  <c r="K34" i="70"/>
  <c r="L108" i="81"/>
  <c r="D108" i="81"/>
  <c r="D100" i="81"/>
  <c r="L84" i="81"/>
  <c r="D84" i="81"/>
  <c r="E101" i="81"/>
  <c r="E99" i="81"/>
  <c r="E98" i="81"/>
  <c r="D42" i="81"/>
  <c r="E51" i="81"/>
  <c r="K33" i="70"/>
  <c r="E49" i="81" s="1"/>
  <c r="K32" i="70"/>
  <c r="E48" i="81" s="1"/>
  <c r="K38" i="70"/>
  <c r="D37" i="70"/>
  <c r="D31" i="70"/>
  <c r="L43" i="82"/>
  <c r="D43" i="82"/>
  <c r="L26" i="82"/>
  <c r="D26" i="82"/>
  <c r="L58" i="81"/>
  <c r="D58" i="81"/>
  <c r="D50" i="81"/>
  <c r="D24" i="81"/>
  <c r="L24" i="81"/>
  <c r="L206" i="76"/>
  <c r="D206" i="76"/>
  <c r="Q164" i="69" a="1"/>
  <c r="Q164" i="69" s="1"/>
  <c r="P164" i="69" a="1"/>
  <c r="P164" i="69" s="1"/>
  <c r="O164" i="69" a="1"/>
  <c r="O164" i="69" s="1"/>
  <c r="N164" i="69"/>
  <c r="E164" i="69"/>
  <c r="Q150" i="69"/>
  <c r="P150" i="69"/>
  <c r="O150" i="69"/>
  <c r="N150" i="69"/>
  <c r="H150" i="69"/>
  <c r="G150" i="69"/>
  <c r="F150" i="69"/>
  <c r="E150" i="69"/>
  <c r="M95" i="69"/>
  <c r="D95" i="69"/>
  <c r="E82" i="69"/>
  <c r="D82" i="69"/>
  <c r="L176" i="76"/>
  <c r="D176" i="76"/>
  <c r="G168" i="76"/>
  <c r="F168" i="76"/>
  <c r="E168" i="76"/>
  <c r="D169" i="76"/>
  <c r="G34" i="70"/>
  <c r="G169" i="76" s="1"/>
  <c r="F34" i="70"/>
  <c r="F169" i="76" s="1"/>
  <c r="E34" i="70"/>
  <c r="E169" i="76" s="1"/>
  <c r="H51" i="98" l="1"/>
  <c r="H48" i="98"/>
  <c r="H54" i="98"/>
  <c r="H52" i="98"/>
  <c r="H53" i="98"/>
  <c r="H50" i="98"/>
  <c r="H49" i="98"/>
  <c r="D188" i="76" l="1" a="1"/>
  <c r="D188" i="76" s="1"/>
  <c r="E186" i="76" a="1"/>
  <c r="E186" i="76" s="1"/>
  <c r="E185" i="76" a="1"/>
  <c r="E185" i="76" s="1"/>
  <c r="D180" i="76" a="1"/>
  <c r="D180" i="76" s="1"/>
  <c r="D179" i="76" a="1"/>
  <c r="D179" i="76" s="1"/>
  <c r="D161" i="76" a="1"/>
  <c r="D161" i="76" s="1"/>
  <c r="E159" i="76" a="1"/>
  <c r="E159" i="76" s="1"/>
  <c r="E158" i="76" a="1"/>
  <c r="E158" i="76" s="1"/>
  <c r="D154" i="76" a="1"/>
  <c r="D154" i="76" s="1"/>
  <c r="D153" i="76" a="1"/>
  <c r="D153" i="76" s="1"/>
  <c r="D141" i="76" a="1"/>
  <c r="D141" i="76" s="1"/>
  <c r="E139" i="76" a="1"/>
  <c r="E139" i="76" s="1"/>
  <c r="E138" i="76" a="1"/>
  <c r="E138" i="76" s="1"/>
  <c r="D134" i="76" a="1"/>
  <c r="D134" i="76" s="1"/>
  <c r="D133" i="76" a="1"/>
  <c r="D133" i="76" s="1"/>
  <c r="D118" i="76" a="1"/>
  <c r="D118" i="76" s="1"/>
  <c r="E116" i="76" a="1"/>
  <c r="E116" i="76" s="1"/>
  <c r="E115" i="76" a="1"/>
  <c r="E115" i="76" s="1"/>
  <c r="D111" i="76" a="1"/>
  <c r="D111" i="76" s="1"/>
  <c r="D110" i="76" a="1"/>
  <c r="D110" i="76" s="1"/>
  <c r="D95" i="76" a="1"/>
  <c r="D95" i="76" s="1"/>
  <c r="E93" i="76" a="1"/>
  <c r="E93" i="76" s="1"/>
  <c r="E92" i="76" a="1"/>
  <c r="E92" i="76" s="1"/>
  <c r="D88" i="76" a="1"/>
  <c r="D88" i="76" s="1"/>
  <c r="D87" i="76" a="1"/>
  <c r="D87" i="76" s="1"/>
  <c r="D66" i="76" a="1"/>
  <c r="D66" i="76" s="1"/>
  <c r="E64" i="76" a="1"/>
  <c r="E64" i="76" s="1"/>
  <c r="E63" i="76" a="1"/>
  <c r="E63" i="76" s="1"/>
  <c r="D59" i="76" a="1"/>
  <c r="D59" i="76" s="1"/>
  <c r="D58" i="76" a="1"/>
  <c r="D58" i="76" s="1"/>
  <c r="D43" i="76" a="1"/>
  <c r="D43" i="76" s="1"/>
  <c r="E41" i="76" a="1"/>
  <c r="E41" i="76" s="1"/>
  <c r="E40" i="76" a="1"/>
  <c r="E40" i="76" s="1"/>
  <c r="D35" i="76" a="1"/>
  <c r="D35" i="76" s="1"/>
  <c r="D34" i="76" a="1"/>
  <c r="D34" i="76" s="1"/>
  <c r="D13" i="76" a="1"/>
  <c r="D13" i="76" s="1"/>
  <c r="E11" i="76" a="1"/>
  <c r="E11" i="76" s="1"/>
  <c r="E10" i="76" a="1"/>
  <c r="E10" i="76" s="1"/>
  <c r="D6" i="76" a="1"/>
  <c r="D6" i="76" s="1"/>
  <c r="D5" i="76" a="1"/>
  <c r="D5" i="76" s="1"/>
  <c r="H176" i="76" l="1"/>
  <c r="P176" i="76"/>
  <c r="H206" i="76"/>
  <c r="P206" i="76"/>
  <c r="A20" i="79"/>
  <c r="A19" i="79"/>
  <c r="A18" i="79"/>
  <c r="A17" i="79"/>
  <c r="A14" i="79"/>
  <c r="A13" i="79"/>
  <c r="A12" i="79"/>
  <c r="A11" i="79"/>
  <c r="A8" i="79"/>
  <c r="A7" i="79"/>
  <c r="A4" i="79"/>
  <c r="A3" i="79"/>
  <c r="A20" i="81"/>
  <c r="A19" i="81"/>
  <c r="A18" i="81"/>
  <c r="A17" i="81"/>
  <c r="A14" i="81"/>
  <c r="A13" i="81"/>
  <c r="A12" i="81"/>
  <c r="A11" i="81"/>
  <c r="A8" i="81"/>
  <c r="A7" i="81"/>
  <c r="A4" i="81"/>
  <c r="A3" i="81"/>
  <c r="A20" i="82"/>
  <c r="A19" i="82"/>
  <c r="A18" i="82"/>
  <c r="A17" i="82"/>
  <c r="A14" i="82"/>
  <c r="A13" i="82"/>
  <c r="A12" i="82"/>
  <c r="A11" i="82"/>
  <c r="A8" i="82"/>
  <c r="A7" i="82"/>
  <c r="A4" i="82"/>
  <c r="A3" i="82"/>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17" i="13"/>
  <c r="A14" i="13"/>
  <c r="A11" i="13"/>
  <c r="A12" i="13"/>
  <c r="A13" i="13"/>
  <c r="A8" i="13"/>
  <c r="N70" i="82" a="1"/>
  <c r="N70" i="82" s="1"/>
  <c r="L67" i="82" a="1"/>
  <c r="L67" i="82" s="1"/>
  <c r="F70" i="82" a="1"/>
  <c r="F70" i="82" s="1"/>
  <c r="D67" i="82" a="1"/>
  <c r="D67" i="82" s="1"/>
  <c r="O62" i="82"/>
  <c r="O61" i="82"/>
  <c r="L58" i="82" a="1"/>
  <c r="L58" i="82" s="1"/>
  <c r="D51" i="82" a="1"/>
  <c r="D51" i="82" s="1"/>
  <c r="G61" i="82"/>
  <c r="G62" i="82"/>
  <c r="E52" i="82" a="1"/>
  <c r="E52" i="82" l="1"/>
  <c r="E56" i="82" a="1"/>
  <c r="E56" i="82" s="1"/>
  <c r="E55" i="82" a="1"/>
  <c r="E55" i="82" s="1"/>
  <c r="D58" i="82" a="1"/>
  <c r="D58" i="82" s="1"/>
  <c r="D50" i="82" a="1"/>
  <c r="D50" i="82" s="1"/>
  <c r="L40" i="82"/>
  <c r="L23" i="82"/>
  <c r="D40" i="82"/>
  <c r="G15" i="82"/>
  <c r="D32" i="82"/>
  <c r="G14" i="82"/>
  <c r="D23" i="82"/>
  <c r="D6" i="82" a="1"/>
  <c r="D6" i="82" s="1"/>
  <c r="E11" i="82" a="1"/>
  <c r="E11" i="82" s="1"/>
  <c r="E12" i="82" a="1"/>
  <c r="E12" i="82" s="1"/>
  <c r="D14" i="82" a="1"/>
  <c r="D14" i="82" s="1"/>
  <c r="D5" i="82" a="1"/>
  <c r="D5" i="82" s="1"/>
  <c r="H77" i="81"/>
  <c r="H76" i="81"/>
  <c r="H75" i="81"/>
  <c r="H74" i="81"/>
  <c r="H17" i="81"/>
  <c r="H16" i="81"/>
  <c r="H15" i="81"/>
  <c r="H14" i="81"/>
  <c r="D66" i="81" a="1"/>
  <c r="D66" i="81" s="1"/>
  <c r="E71" i="81" a="1"/>
  <c r="E71" i="81" s="1"/>
  <c r="E72" i="81" a="1"/>
  <c r="E72" i="81" s="1"/>
  <c r="D74" i="81" a="1"/>
  <c r="D74" i="81" s="1"/>
  <c r="D65" i="81" a="1"/>
  <c r="D65" i="81" s="1"/>
  <c r="D6" i="81" a="1"/>
  <c r="D6" i="81" s="1"/>
  <c r="D91" i="81" s="1"/>
  <c r="D39" i="81"/>
  <c r="D30" i="81"/>
  <c r="E11" i="81" a="1"/>
  <c r="E11" i="81" s="1"/>
  <c r="E12" i="81" a="1"/>
  <c r="E12" i="81" s="1"/>
  <c r="D14" i="81" a="1"/>
  <c r="D14" i="81" s="1"/>
  <c r="D5" i="81" a="1"/>
  <c r="D5" i="81" s="1"/>
  <c r="O173" i="69" a="1"/>
  <c r="O173" i="69" s="1"/>
  <c r="M170" i="69" a="1"/>
  <c r="M170" i="69" s="1"/>
  <c r="N161" i="69"/>
  <c r="N147" i="69"/>
  <c r="M57" i="69"/>
  <c r="N214" i="76" a="1"/>
  <c r="N214" i="76" s="1"/>
  <c r="L211" i="76" a="1"/>
  <c r="L211" i="76" s="1"/>
  <c r="L203" i="76"/>
  <c r="D211" i="76" a="1"/>
  <c r="D211" i="76" s="1"/>
  <c r="F214" i="76" a="1"/>
  <c r="F214" i="76" s="1"/>
  <c r="D203" i="76"/>
  <c r="G189" i="76"/>
  <c r="D195" i="76"/>
  <c r="G188" i="76"/>
  <c r="E181" i="76" a="1"/>
  <c r="E67" i="81" a="1"/>
  <c r="E7" i="81" a="1"/>
  <c r="E7" i="82" a="1"/>
  <c r="P84" i="81" l="1"/>
  <c r="H84" i="81"/>
  <c r="P108" i="81"/>
  <c r="H108" i="81"/>
  <c r="F46" i="82"/>
  <c r="P43" i="82"/>
  <c r="H43" i="82"/>
  <c r="F87" i="81"/>
  <c r="F18" i="13" s="1"/>
  <c r="H58" i="81"/>
  <c r="P58" i="81"/>
  <c r="G63" i="82"/>
  <c r="O63" i="82"/>
  <c r="N65" i="82"/>
  <c r="F65" i="82"/>
  <c r="G9" i="13" s="1"/>
  <c r="H41" i="82"/>
  <c r="H42" i="82"/>
  <c r="H44" i="82"/>
  <c r="H57" i="81"/>
  <c r="H40" i="82"/>
  <c r="N46" i="82"/>
  <c r="E7" i="82"/>
  <c r="P56" i="81"/>
  <c r="P59" i="81"/>
  <c r="N61" i="81"/>
  <c r="P107" i="81"/>
  <c r="P109" i="81"/>
  <c r="N87" i="81"/>
  <c r="E67" i="81"/>
  <c r="E7" i="81"/>
  <c r="H82" i="81"/>
  <c r="H85" i="81"/>
  <c r="H106" i="81"/>
  <c r="H107" i="81"/>
  <c r="H83" i="81"/>
  <c r="P82" i="81"/>
  <c r="P83" i="81"/>
  <c r="H56" i="81"/>
  <c r="H109" i="81"/>
  <c r="P106" i="81"/>
  <c r="P85" i="81"/>
  <c r="H59" i="81"/>
  <c r="P57" i="81"/>
  <c r="F111" i="81"/>
  <c r="F17" i="13" s="1"/>
  <c r="N111" i="81"/>
  <c r="F61" i="81"/>
  <c r="F16" i="13" s="1"/>
  <c r="E181" i="76"/>
  <c r="G161" i="76" l="1"/>
  <c r="G144" i="76"/>
  <c r="G119" i="76"/>
  <c r="G118" i="76"/>
  <c r="G95" i="76"/>
  <c r="G149" i="76"/>
  <c r="G141" i="76"/>
  <c r="G162" i="76"/>
  <c r="G167" i="76"/>
  <c r="F167" i="76"/>
  <c r="E167" i="76"/>
  <c r="H81" i="69"/>
  <c r="H80" i="69"/>
  <c r="G81" i="69"/>
  <c r="G80" i="69"/>
  <c r="F81" i="69"/>
  <c r="F80" i="69"/>
  <c r="L106" i="76"/>
  <c r="E101" i="76"/>
  <c r="D106" i="76"/>
  <c r="G96" i="76"/>
  <c r="G101" i="76"/>
  <c r="F101" i="76"/>
  <c r="D101" i="76"/>
  <c r="P106" i="76"/>
  <c r="G66" i="76"/>
  <c r="F73" i="76"/>
  <c r="E73" i="76"/>
  <c r="D73" i="76"/>
  <c r="G68" i="76"/>
  <c r="F78" i="76"/>
  <c r="E78" i="76"/>
  <c r="D78" i="76"/>
  <c r="G67" i="76"/>
  <c r="O83" i="76"/>
  <c r="G44" i="76"/>
  <c r="G43" i="76"/>
  <c r="O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G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G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G14" i="76"/>
  <c r="G13" i="76"/>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O30" i="76"/>
  <c r="A39" i="74"/>
  <c r="A38" i="74"/>
  <c r="A37" i="74"/>
  <c r="A36" i="74"/>
  <c r="A33" i="74"/>
  <c r="A30" i="74"/>
  <c r="A29" i="74"/>
  <c r="A28" i="74"/>
  <c r="A27" i="74"/>
  <c r="A26" i="74"/>
  <c r="A25" i="74"/>
  <c r="A24" i="74"/>
  <c r="A19" i="74"/>
  <c r="A18" i="74"/>
  <c r="A15" i="74"/>
  <c r="A14" i="74"/>
  <c r="A13" i="74"/>
  <c r="A12" i="74"/>
  <c r="A11" i="74"/>
  <c r="A10" i="74"/>
  <c r="A9" i="74"/>
  <c r="A8" i="74"/>
  <c r="A7" i="74"/>
  <c r="A4" i="74"/>
  <c r="E112" i="76" a="1"/>
  <c r="E89" i="76" a="1"/>
  <c r="E36" i="76" a="1"/>
  <c r="E60" i="76" a="1"/>
  <c r="E135" i="76" a="1"/>
  <c r="E7" i="76" a="1"/>
  <c r="E155" i="76" a="1"/>
  <c r="E33" i="81" l="1"/>
  <c r="E42" i="81"/>
  <c r="H129" i="76"/>
  <c r="E32" i="82"/>
  <c r="E195" i="76"/>
  <c r="E30" i="81"/>
  <c r="G17" i="70" a="1"/>
  <c r="G17" i="70" s="1"/>
  <c r="F49" i="76" s="1"/>
  <c r="E20" i="70" a="1"/>
  <c r="E20" i="70" s="1"/>
  <c r="E39" i="81"/>
  <c r="E23" i="70" a="1"/>
  <c r="E23" i="70" s="1"/>
  <c r="L49" i="76" s="1"/>
  <c r="F23" i="70" a="1"/>
  <c r="F23" i="70" s="1"/>
  <c r="M49" i="76" s="1"/>
  <c r="G23" i="70" a="1"/>
  <c r="G23" i="70" s="1"/>
  <c r="N49" i="76" s="1"/>
  <c r="E17" i="70" a="1"/>
  <c r="E17" i="70" s="1"/>
  <c r="D49" i="76" s="1"/>
  <c r="F17" i="70" a="1"/>
  <c r="F17" i="70" s="1"/>
  <c r="E49" i="76" s="1"/>
  <c r="P175" i="76"/>
  <c r="P174" i="76"/>
  <c r="H174" i="76"/>
  <c r="H175" i="76"/>
  <c r="P129" i="76"/>
  <c r="O149" i="76"/>
  <c r="P204" i="76"/>
  <c r="N209" i="76"/>
  <c r="P207" i="76"/>
  <c r="F209" i="76"/>
  <c r="G8" i="13" s="1"/>
  <c r="P205" i="76"/>
  <c r="H207" i="76"/>
  <c r="H205" i="76"/>
  <c r="H204" i="76"/>
  <c r="H203" i="76"/>
  <c r="P203" i="76"/>
  <c r="E155" i="76"/>
  <c r="E135" i="76"/>
  <c r="E112" i="76"/>
  <c r="H106" i="76"/>
  <c r="E60" i="76"/>
  <c r="E89" i="76"/>
  <c r="G83" i="76"/>
  <c r="G30" i="76"/>
  <c r="G54" i="76"/>
  <c r="E36" i="76"/>
  <c r="E7" i="76"/>
  <c r="G14" i="70" a="1"/>
  <c r="G14" i="70" s="1"/>
  <c r="F20" i="76" s="1"/>
  <c r="F30" i="76" s="1" a="1"/>
  <c r="F30" i="76" s="1"/>
  <c r="F54" i="76" s="1" a="1"/>
  <c r="F54" i="76" s="1"/>
  <c r="F83" i="76" s="1" a="1"/>
  <c r="F83" i="76" s="1"/>
  <c r="E15" i="70" a="1"/>
  <c r="E15" i="70" s="1"/>
  <c r="F14" i="70" a="1"/>
  <c r="F14" i="70" s="1"/>
  <c r="E20" i="76" s="1"/>
  <c r="E14" i="70" a="1"/>
  <c r="E14" i="70" s="1"/>
  <c r="D20" i="76" s="1"/>
  <c r="G22" i="70" a="1"/>
  <c r="G22" i="70" s="1"/>
  <c r="N25" i="76" s="1"/>
  <c r="F20" i="70" a="1"/>
  <c r="F20" i="70" s="1"/>
  <c r="G20" i="70" a="1"/>
  <c r="G20" i="70" s="1"/>
  <c r="G15" i="70" a="1"/>
  <c r="G15" i="70" s="1"/>
  <c r="E16" i="70" a="1"/>
  <c r="E16" i="70" s="1"/>
  <c r="D25" i="76" s="1"/>
  <c r="F16" i="70" a="1"/>
  <c r="F16" i="70" s="1"/>
  <c r="E25" i="76" s="1"/>
  <c r="G16" i="70" a="1"/>
  <c r="G16" i="70" s="1"/>
  <c r="F25" i="76" s="1"/>
  <c r="E21" i="70" a="1"/>
  <c r="E21" i="70" s="1"/>
  <c r="M25" i="69" s="1"/>
  <c r="E22" i="70" a="1"/>
  <c r="E22" i="70" s="1"/>
  <c r="L25" i="76" s="1"/>
  <c r="F22" i="70" a="1"/>
  <c r="F22" i="70" s="1"/>
  <c r="M25" i="76" s="1"/>
  <c r="F15" i="70" a="1"/>
  <c r="F15" i="70" s="1"/>
  <c r="F21" i="70" a="1"/>
  <c r="F21" i="70" s="1"/>
  <c r="N25" i="69" s="1"/>
  <c r="G21" i="70" a="1"/>
  <c r="G21" i="70" s="1"/>
  <c r="O25" i="69" s="1"/>
  <c r="G15" i="76"/>
  <c r="E161" i="69"/>
  <c r="D170" i="69" a="1"/>
  <c r="D170" i="69" s="1"/>
  <c r="F173" i="69" a="1"/>
  <c r="F173" i="69" s="1"/>
  <c r="E128" i="69" a="1"/>
  <c r="E30" i="76" l="1" a="1"/>
  <c r="E30" i="76" s="1"/>
  <c r="E54" i="76" s="1" a="1"/>
  <c r="E54" i="76" s="1"/>
  <c r="E83" i="76" s="1" a="1"/>
  <c r="E83" i="76" s="1"/>
  <c r="F106" i="76" s="1" a="1"/>
  <c r="F106" i="76" s="1"/>
  <c r="G106" i="76" a="1"/>
  <c r="G106" i="76" s="1"/>
  <c r="D30" i="76" a="1"/>
  <c r="D30" i="76" s="1"/>
  <c r="D54" i="76" s="1" a="1"/>
  <c r="D54" i="76" s="1"/>
  <c r="D83" i="76" s="1" a="1"/>
  <c r="D83" i="76" s="1"/>
  <c r="M20" i="69"/>
  <c r="L20" i="76"/>
  <c r="N20" i="69"/>
  <c r="M20" i="76"/>
  <c r="O20" i="69"/>
  <c r="N20" i="76"/>
  <c r="E128" i="69"/>
  <c r="F203" i="76" l="1" a="1"/>
  <c r="F203" i="76" s="1"/>
  <c r="N30" i="76" a="1"/>
  <c r="N30" i="76" s="1"/>
  <c r="N54" i="76" s="1" a="1"/>
  <c r="N54" i="76" s="1"/>
  <c r="N83" i="76" s="1" a="1"/>
  <c r="N83" i="76" s="1"/>
  <c r="M30" i="76" a="1"/>
  <c r="M30" i="76" s="1"/>
  <c r="M54" i="76" s="1" a="1"/>
  <c r="M54" i="76" s="1"/>
  <c r="M83" i="76" s="1" a="1"/>
  <c r="M83" i="76" s="1"/>
  <c r="L30" i="76" a="1"/>
  <c r="L30" i="76" s="1"/>
  <c r="L54" i="76" s="1" a="1"/>
  <c r="L54" i="76" s="1"/>
  <c r="L83" i="76" s="1" a="1"/>
  <c r="L83" i="76" s="1"/>
  <c r="E106" i="76" a="1"/>
  <c r="E106" i="76" s="1"/>
  <c r="G203" i="76" a="1"/>
  <c r="G203" i="76" s="1"/>
  <c r="G23" i="82"/>
  <c r="G40" i="82" s="1" a="1"/>
  <c r="G40" i="82" s="1"/>
  <c r="F23" i="82"/>
  <c r="F40" i="82" s="1" a="1"/>
  <c r="F40" i="82" s="1"/>
  <c r="E147" i="69"/>
  <c r="F156" i="69"/>
  <c r="E156" i="69"/>
  <c r="D156" i="69"/>
  <c r="H135" i="69"/>
  <c r="H137" i="69"/>
  <c r="H136" i="69"/>
  <c r="F142" i="69"/>
  <c r="E142" i="69"/>
  <c r="D142" i="69"/>
  <c r="D8" i="70"/>
  <c r="D9" i="70"/>
  <c r="F164" i="69" l="1" a="1"/>
  <c r="F164" i="69" s="1"/>
  <c r="G164" i="69" a="1"/>
  <c r="G164" i="69" s="1"/>
  <c r="H164" i="69" a="1"/>
  <c r="H164" i="69" s="1"/>
  <c r="M106" i="76" a="1"/>
  <c r="M106" i="76" s="1"/>
  <c r="N106" i="76" a="1"/>
  <c r="N106" i="76" s="1"/>
  <c r="E203" i="76" a="1"/>
  <c r="E203" i="76" s="1"/>
  <c r="O106" i="76" a="1"/>
  <c r="O106" i="76" s="1"/>
  <c r="E23" i="82"/>
  <c r="E40" i="82" s="1" a="1"/>
  <c r="E40" i="82" s="1"/>
  <c r="E133" i="69" a="1"/>
  <c r="E133" i="69" s="1"/>
  <c r="E132" i="69" a="1"/>
  <c r="E132" i="69" s="1"/>
  <c r="D127" i="69" a="1"/>
  <c r="D127" i="69" s="1"/>
  <c r="D135" i="69" a="1"/>
  <c r="D135" i="69" s="1"/>
  <c r="D126" i="69" a="1"/>
  <c r="D126" i="69" s="1"/>
  <c r="H109" i="69"/>
  <c r="H107" i="69"/>
  <c r="D100" i="69" a="1"/>
  <c r="D100" i="69" s="1"/>
  <c r="E104" i="69" a="1"/>
  <c r="E104" i="69" s="1"/>
  <c r="E105" i="69" a="1"/>
  <c r="E105" i="69" s="1"/>
  <c r="D107" i="69" a="1"/>
  <c r="D107" i="69" s="1"/>
  <c r="D99" i="69" a="1"/>
  <c r="D99" i="69" s="1"/>
  <c r="G13" i="69"/>
  <c r="G14" i="69"/>
  <c r="G42" i="69"/>
  <c r="G70" i="69"/>
  <c r="G44" i="69"/>
  <c r="G73" i="69"/>
  <c r="G72" i="69"/>
  <c r="A20" i="13"/>
  <c r="A18" i="13"/>
  <c r="A19" i="13"/>
  <c r="A7" i="13"/>
  <c r="A4" i="13"/>
  <c r="A3" i="13"/>
  <c r="D69" i="69" a="1"/>
  <c r="D69" i="69" s="1"/>
  <c r="E67" i="69" a="1"/>
  <c r="E67" i="69" s="1"/>
  <c r="E66" i="69" a="1"/>
  <c r="E66" i="69" s="1"/>
  <c r="D62" i="69" a="1"/>
  <c r="D62" i="69" s="1"/>
  <c r="D61" i="69" a="1"/>
  <c r="D61" i="69" s="1"/>
  <c r="D42" i="69" a="1"/>
  <c r="D42"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63" i="69" a="1"/>
  <c r="E101" i="69" a="1"/>
  <c r="R164" i="69" l="1"/>
  <c r="I164" i="69"/>
  <c r="Q95" i="69"/>
  <c r="H95" i="69"/>
  <c r="M203" i="76" a="1"/>
  <c r="M203" i="76" s="1"/>
  <c r="M23" i="82"/>
  <c r="M40" i="82" s="1" a="1"/>
  <c r="M40" i="82" s="1"/>
  <c r="N203" i="76" a="1"/>
  <c r="N203" i="76" s="1"/>
  <c r="N23" i="82"/>
  <c r="N40" i="82" s="1" a="1"/>
  <c r="N40" i="82" s="1"/>
  <c r="O203" i="76" a="1"/>
  <c r="O203" i="76" s="1"/>
  <c r="O23" i="82"/>
  <c r="O40" i="82" s="1" a="1"/>
  <c r="O40" i="82" s="1"/>
  <c r="G30" i="69"/>
  <c r="P30" i="69"/>
  <c r="G45" i="69"/>
  <c r="R161" i="69"/>
  <c r="H170" i="69"/>
  <c r="Q170" i="69"/>
  <c r="I165" i="69"/>
  <c r="I163" i="69"/>
  <c r="I162" i="69"/>
  <c r="I161" i="69"/>
  <c r="O168" i="69"/>
  <c r="F168" i="69"/>
  <c r="G7" i="13" s="1"/>
  <c r="R165" i="69"/>
  <c r="R162" i="69"/>
  <c r="R163" i="69"/>
  <c r="H122" i="69"/>
  <c r="Q122" i="69"/>
  <c r="H93" i="69"/>
  <c r="Q94" i="69"/>
  <c r="Q93" i="69"/>
  <c r="H57" i="69"/>
  <c r="Q57" i="69"/>
  <c r="H94" i="69"/>
  <c r="E63" i="69"/>
  <c r="E101" i="69"/>
  <c r="D81" i="69"/>
  <c r="D80" i="69"/>
  <c r="D57" i="69"/>
  <c r="G52" i="69"/>
  <c r="F52" i="69"/>
  <c r="E52" i="69"/>
  <c r="D52" i="69"/>
  <c r="F25" i="69"/>
  <c r="E25" i="69"/>
  <c r="D25" i="69"/>
  <c r="F20" i="69"/>
  <c r="E20" i="69"/>
  <c r="D20" i="69"/>
  <c r="G15" i="69"/>
  <c r="G69" i="69"/>
  <c r="E36" i="69" a="1"/>
  <c r="E7" i="69" a="1"/>
  <c r="D30" i="69" l="1" a="1"/>
  <c r="D30" i="69" s="1"/>
  <c r="M30" i="69" a="1"/>
  <c r="M30" i="69" s="1"/>
  <c r="O30" i="69" a="1"/>
  <c r="O30" i="69" s="1"/>
  <c r="N30" i="69" a="1"/>
  <c r="N30" i="69" s="1"/>
  <c r="G38" i="70"/>
  <c r="F38" i="70"/>
  <c r="E38" i="70"/>
  <c r="E30" i="69" a="1"/>
  <c r="E30" i="69" s="1"/>
  <c r="G43" i="69"/>
  <c r="H108" i="69"/>
  <c r="F30" i="69" a="1"/>
  <c r="F30" i="69" s="1"/>
  <c r="H110" i="69"/>
  <c r="G71" i="69"/>
  <c r="D58" i="69"/>
  <c r="E36" i="69"/>
  <c r="E7" i="69"/>
  <c r="O57" i="69" l="1" a="1"/>
  <c r="O57" i="69" s="1"/>
  <c r="P147" i="69" s="1"/>
  <c r="P161" i="69" s="1" a="1"/>
  <c r="P161" i="69" s="1"/>
  <c r="P57" i="69" a="1"/>
  <c r="P57" i="69" s="1"/>
  <c r="Q147" i="69" s="1"/>
  <c r="Q161" i="69" s="1" a="1"/>
  <c r="Q161" i="69" s="1"/>
  <c r="N57" i="69" a="1"/>
  <c r="N57" i="69" s="1"/>
  <c r="O147" i="69" s="1"/>
  <c r="O161" i="69" s="1" a="1"/>
  <c r="O161" i="69" s="1"/>
  <c r="E117" i="69"/>
  <c r="N122" i="69" s="1" a="1"/>
  <c r="N122" i="69" s="1"/>
  <c r="O151" i="69" s="1"/>
  <c r="O165" i="69" s="1" a="1"/>
  <c r="O165" i="69" s="1"/>
  <c r="E124" i="76"/>
  <c r="F117" i="69"/>
  <c r="O122" i="69" s="1" a="1"/>
  <c r="O122" i="69" s="1"/>
  <c r="P151" i="69" s="1"/>
  <c r="P165" i="69" s="1" a="1"/>
  <c r="P165" i="69" s="1"/>
  <c r="F124" i="76"/>
  <c r="G117" i="69"/>
  <c r="G122" i="69" s="1" a="1"/>
  <c r="G122" i="69" s="1"/>
  <c r="H151" i="69" s="1"/>
  <c r="H165" i="69" s="1" a="1"/>
  <c r="H165" i="69" s="1"/>
  <c r="G124" i="76"/>
  <c r="G57" i="69" a="1"/>
  <c r="G57" i="69" s="1"/>
  <c r="H147" i="69" s="1"/>
  <c r="H161" i="69" s="1" a="1"/>
  <c r="H161" i="69" s="1"/>
  <c r="E57" i="69" a="1"/>
  <c r="E57" i="69" s="1"/>
  <c r="F57" i="69" a="1"/>
  <c r="F57" i="69" s="1"/>
  <c r="G147" i="69" s="1"/>
  <c r="G161" i="69" s="1" a="1"/>
  <c r="G161" i="69" s="1"/>
  <c r="G129" i="76" l="1" a="1"/>
  <c r="G129" i="76" s="1"/>
  <c r="F149" i="76" s="1" a="1"/>
  <c r="F149" i="76" s="1"/>
  <c r="G176" i="76" s="1" a="1"/>
  <c r="G176" i="76" s="1"/>
  <c r="G24" i="81" s="1"/>
  <c r="O129" i="76" a="1"/>
  <c r="O129" i="76" s="1"/>
  <c r="N149" i="76" s="1" a="1"/>
  <c r="N149" i="76" s="1"/>
  <c r="O176" i="76" s="1" a="1"/>
  <c r="O176" i="76" s="1"/>
  <c r="O24" i="81" s="1"/>
  <c r="F129" i="76" a="1"/>
  <c r="F129" i="76" s="1"/>
  <c r="E149" i="76" s="1" a="1"/>
  <c r="E149" i="76" s="1"/>
  <c r="F176" i="76" s="1" a="1"/>
  <c r="F176" i="76" s="1"/>
  <c r="F24" i="81" s="1"/>
  <c r="N129" i="76" a="1"/>
  <c r="N129" i="76" s="1"/>
  <c r="M149" i="76" s="1" a="1"/>
  <c r="M149" i="76" s="1"/>
  <c r="N176" i="76" s="1" a="1"/>
  <c r="N176" i="76" s="1"/>
  <c r="N24" i="81" s="1"/>
  <c r="E129" i="76" a="1"/>
  <c r="E129" i="76" s="1"/>
  <c r="D149" i="76" s="1" a="1"/>
  <c r="D149" i="76" s="1"/>
  <c r="E176" i="76" s="1" a="1"/>
  <c r="E176" i="76" s="1"/>
  <c r="E24" i="81" s="1"/>
  <c r="M129" i="76" a="1"/>
  <c r="M129" i="76" s="1"/>
  <c r="L149" i="76" s="1" a="1"/>
  <c r="L149" i="76" s="1"/>
  <c r="M176" i="76" s="1" a="1"/>
  <c r="M176" i="76" s="1"/>
  <c r="M24" i="81" s="1"/>
  <c r="E122" i="69" a="1"/>
  <c r="E122" i="69" s="1"/>
  <c r="F151" i="69" s="1"/>
  <c r="F165" i="69" s="1" a="1"/>
  <c r="F165" i="69" s="1"/>
  <c r="F122" i="69" a="1"/>
  <c r="F122" i="69" s="1"/>
  <c r="G151" i="69" s="1"/>
  <c r="G165" i="69" s="1" a="1"/>
  <c r="G165" i="69" s="1"/>
  <c r="F147" i="69"/>
  <c r="F161" i="69" s="1" a="1"/>
  <c r="F161" i="69" s="1"/>
  <c r="P122" i="69" a="1"/>
  <c r="P122" i="69" s="1"/>
  <c r="Q151" i="69" s="1"/>
  <c r="Q165" i="69" s="1" a="1"/>
  <c r="Q165" i="69" s="1"/>
  <c r="G27" i="82" l="1"/>
  <c r="F27" i="82"/>
  <c r="M174" i="76" a="1"/>
  <c r="M174" i="76" s="1"/>
  <c r="M175" i="76" a="1"/>
  <c r="M175" i="76" s="1"/>
  <c r="E174" i="76" a="1"/>
  <c r="E174" i="76" s="1"/>
  <c r="E175" i="76" a="1"/>
  <c r="E175" i="76" s="1"/>
  <c r="N174" i="76" a="1"/>
  <c r="N174" i="76" s="1"/>
  <c r="N175" i="76" a="1"/>
  <c r="N175" i="76" s="1"/>
  <c r="E27" i="82"/>
  <c r="F175" i="76" a="1"/>
  <c r="F175" i="76" s="1"/>
  <c r="F174" i="76" a="1"/>
  <c r="F174" i="76" s="1"/>
  <c r="O174" i="76" a="1"/>
  <c r="O174" i="76" s="1"/>
  <c r="O175" i="76" a="1"/>
  <c r="O175" i="76" s="1"/>
  <c r="G174" i="76" a="1"/>
  <c r="G174" i="76" s="1"/>
  <c r="G175" i="76" a="1"/>
  <c r="G175" i="76" s="1"/>
  <c r="M25" i="81"/>
  <c r="M27" i="82"/>
  <c r="O25" i="81"/>
  <c r="O27" i="82"/>
  <c r="N25" i="81"/>
  <c r="N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G25" i="82"/>
  <c r="D30" i="79"/>
  <c r="D33" i="70" s="1"/>
  <c r="E25" i="82"/>
  <c r="D38" i="70"/>
  <c r="L41" i="82" l="1"/>
  <c r="D24" i="82"/>
  <c r="D33" i="82"/>
  <c r="E33" i="82" s="1"/>
  <c r="L24" i="82"/>
  <c r="D41" i="82"/>
  <c r="G22" i="81"/>
  <c r="G24" i="82"/>
  <c r="F22" i="81"/>
  <c r="F24" i="82"/>
  <c r="N23" i="81"/>
  <c r="N25" i="82"/>
  <c r="M22" i="81"/>
  <c r="M24" i="82"/>
  <c r="O22" i="81"/>
  <c r="O24" i="82"/>
  <c r="N22" i="81"/>
  <c r="N24" i="82"/>
  <c r="E22" i="81"/>
  <c r="E24" i="82"/>
  <c r="M23" i="81"/>
  <c r="M25" i="82"/>
  <c r="O23" i="81"/>
  <c r="O25" i="82"/>
  <c r="L27" i="82"/>
  <c r="D44" i="82"/>
  <c r="D27" i="82"/>
  <c r="L44" i="82"/>
  <c r="D35" i="82"/>
  <c r="E35" i="82" s="1"/>
  <c r="L25" i="82"/>
  <c r="D42" i="82"/>
  <c r="D34" i="82"/>
  <c r="E34" i="82" s="1"/>
  <c r="G42" i="82" s="1" a="1"/>
  <c r="G42" i="82" s="1"/>
  <c r="L42" i="82"/>
  <c r="D25" i="82"/>
  <c r="L106" i="81"/>
  <c r="L56" i="81"/>
  <c r="D56" i="81"/>
  <c r="L82" i="81"/>
  <c r="D106" i="81"/>
  <c r="D98" i="81"/>
  <c r="D82" i="81"/>
  <c r="L22" i="81"/>
  <c r="L85" i="81"/>
  <c r="D109" i="81"/>
  <c r="L59" i="81"/>
  <c r="D85" i="81"/>
  <c r="D101" i="81"/>
  <c r="L25" i="81"/>
  <c r="L109" i="81"/>
  <c r="D59" i="81"/>
  <c r="D107" i="81"/>
  <c r="D99" i="81"/>
  <c r="L83" i="81"/>
  <c r="L57" i="81"/>
  <c r="D57" i="81"/>
  <c r="D83" i="81"/>
  <c r="L23" i="81"/>
  <c r="L107" i="81"/>
  <c r="D23" i="81"/>
  <c r="D49" i="81"/>
  <c r="D41" i="81"/>
  <c r="E41" i="81" s="1"/>
  <c r="D32" i="81"/>
  <c r="E32" i="81" s="1"/>
  <c r="D31" i="81"/>
  <c r="D22" i="81"/>
  <c r="D48" i="81"/>
  <c r="D40" i="81"/>
  <c r="E40" i="81" s="1"/>
  <c r="D34" i="81"/>
  <c r="E34" i="81" s="1"/>
  <c r="D25" i="81"/>
  <c r="D51" i="81"/>
  <c r="D43" i="81"/>
  <c r="E43" i="81" s="1"/>
  <c r="G23" i="81"/>
  <c r="F23" i="81"/>
  <c r="E23" i="81"/>
  <c r="L205" i="76"/>
  <c r="L175" i="76"/>
  <c r="N149" i="69"/>
  <c r="D197" i="76"/>
  <c r="E197" i="76" s="1"/>
  <c r="M94" i="69"/>
  <c r="D205" i="76"/>
  <c r="N163" i="69"/>
  <c r="D175" i="76"/>
  <c r="D168" i="76"/>
  <c r="D94" i="69"/>
  <c r="E163" i="69"/>
  <c r="E149" i="69"/>
  <c r="E88" i="69"/>
  <c r="F88" i="69" s="1" a="1"/>
  <c r="F88" i="69" s="1"/>
  <c r="G94" i="69" s="1" a="1"/>
  <c r="G94" i="69" s="1"/>
  <c r="H149" i="69" s="1"/>
  <c r="H163" i="69" s="1" a="1"/>
  <c r="H163" i="69" s="1"/>
  <c r="E81" i="69"/>
  <c r="L204" i="76"/>
  <c r="L174" i="76"/>
  <c r="N148" i="69"/>
  <c r="D196" i="76"/>
  <c r="D204" i="76"/>
  <c r="N162" i="69"/>
  <c r="M93" i="69"/>
  <c r="D167" i="76"/>
  <c r="D174" i="76"/>
  <c r="D93" i="69"/>
  <c r="E148" i="69"/>
  <c r="E87" i="69"/>
  <c r="F87" i="69" s="1" a="1"/>
  <c r="F87" i="69" s="1"/>
  <c r="F93" i="69" s="1" a="1"/>
  <c r="F93" i="69" s="1"/>
  <c r="G148" i="69" s="1"/>
  <c r="G162" i="69" s="1" a="1"/>
  <c r="G162" i="69" s="1"/>
  <c r="E80" i="69"/>
  <c r="E162" i="69"/>
  <c r="L207" i="76"/>
  <c r="M122" i="69"/>
  <c r="D122" i="69"/>
  <c r="D117" i="69"/>
  <c r="N151" i="69"/>
  <c r="D198" i="76"/>
  <c r="E198" i="76" s="1"/>
  <c r="L129" i="76"/>
  <c r="D207" i="76"/>
  <c r="N165" i="69"/>
  <c r="D129" i="76"/>
  <c r="D124" i="76"/>
  <c r="E165" i="69"/>
  <c r="E151" i="69"/>
  <c r="F57" i="81" l="1" a="1"/>
  <c r="F57" i="81" s="1"/>
  <c r="E57" i="81" a="1"/>
  <c r="E57" i="81" s="1"/>
  <c r="G57" i="81" a="1"/>
  <c r="G57" i="81" s="1"/>
  <c r="N57" i="81" a="1"/>
  <c r="N57" i="81" s="1"/>
  <c r="M57" i="81" a="1"/>
  <c r="M57" i="81" s="1"/>
  <c r="O57" i="81" a="1"/>
  <c r="O57" i="81" s="1"/>
  <c r="F107" i="81" a="1"/>
  <c r="F107" i="81" s="1"/>
  <c r="G107" i="81" a="1"/>
  <c r="G107" i="81" s="1"/>
  <c r="E107" i="81" a="1"/>
  <c r="E107" i="81" s="1"/>
  <c r="G59" i="81" a="1"/>
  <c r="G59" i="81" s="1"/>
  <c r="F59" i="81" a="1"/>
  <c r="F59" i="81" s="1"/>
  <c r="E59" i="81" a="1"/>
  <c r="E59" i="81" s="1"/>
  <c r="E31" i="81"/>
  <c r="E56" i="81" s="1" a="1"/>
  <c r="E56" i="81" s="1"/>
  <c r="M84" i="81" a="1"/>
  <c r="M84" i="81" s="1"/>
  <c r="E58" i="81" a="1"/>
  <c r="E58" i="81" s="1"/>
  <c r="N108" i="81" a="1"/>
  <c r="N108" i="81" s="1"/>
  <c r="F108" i="81" a="1"/>
  <c r="F108" i="81" s="1"/>
  <c r="M108" i="81" a="1"/>
  <c r="M108" i="81" s="1"/>
  <c r="E84" i="81" a="1"/>
  <c r="E84" i="81" s="1"/>
  <c r="N58" i="81" a="1"/>
  <c r="N58" i="81" s="1"/>
  <c r="E108" i="81" a="1"/>
  <c r="E108" i="81" s="1"/>
  <c r="G58" i="81" a="1"/>
  <c r="G58" i="81" s="1"/>
  <c r="G84" i="81" a="1"/>
  <c r="G84" i="81" s="1"/>
  <c r="O84" i="81" a="1"/>
  <c r="O84" i="81" s="1"/>
  <c r="O58" i="81" a="1"/>
  <c r="O58" i="81" s="1"/>
  <c r="O108" i="81" a="1"/>
  <c r="O108" i="81" s="1"/>
  <c r="N84" i="81" a="1"/>
  <c r="N84" i="81" s="1"/>
  <c r="F84" i="81" a="1"/>
  <c r="F84" i="81" s="1"/>
  <c r="G108" i="81" a="1"/>
  <c r="G108" i="81" s="1"/>
  <c r="M58" i="81" a="1"/>
  <c r="M58" i="81" s="1"/>
  <c r="F58" i="81" a="1"/>
  <c r="F58" i="81" s="1"/>
  <c r="N109" i="81" a="1"/>
  <c r="N109" i="81" s="1"/>
  <c r="M109" i="81" a="1"/>
  <c r="M109" i="81" s="1"/>
  <c r="O109" i="81" a="1"/>
  <c r="O109" i="81" s="1"/>
  <c r="M85" i="81" a="1"/>
  <c r="M85" i="81" s="1"/>
  <c r="O85" i="81" a="1"/>
  <c r="O85" i="81" s="1"/>
  <c r="N85" i="81" a="1"/>
  <c r="N85" i="81" s="1"/>
  <c r="F83" i="81" a="1"/>
  <c r="F83" i="81" s="1"/>
  <c r="E83" i="81" a="1"/>
  <c r="E83" i="81" s="1"/>
  <c r="G83" i="81" a="1"/>
  <c r="G83" i="81" s="1"/>
  <c r="O83" i="81" a="1"/>
  <c r="O83" i="81" s="1"/>
  <c r="N83" i="81" a="1"/>
  <c r="N83" i="81" s="1"/>
  <c r="M83" i="81" a="1"/>
  <c r="M83" i="81" s="1"/>
  <c r="G85" i="81" a="1"/>
  <c r="G85" i="81" s="1"/>
  <c r="E85" i="81" a="1"/>
  <c r="E85" i="81" s="1"/>
  <c r="F85" i="81" a="1"/>
  <c r="F85" i="81" s="1"/>
  <c r="O59" i="81" a="1"/>
  <c r="O59" i="81" s="1"/>
  <c r="N59" i="81" a="1"/>
  <c r="N59" i="81" s="1"/>
  <c r="M59" i="81" a="1"/>
  <c r="M59" i="81" s="1"/>
  <c r="O107" i="81" a="1"/>
  <c r="O107" i="81" s="1"/>
  <c r="N107" i="81" a="1"/>
  <c r="N107" i="81" s="1"/>
  <c r="M107" i="81" a="1"/>
  <c r="M107" i="81" s="1"/>
  <c r="G109" i="81" a="1"/>
  <c r="G109" i="81" s="1"/>
  <c r="E109" i="81" a="1"/>
  <c r="E109" i="81" s="1"/>
  <c r="F109" i="81" a="1"/>
  <c r="F109" i="81" s="1"/>
  <c r="G207" i="76" a="1"/>
  <c r="G207" i="76" s="1"/>
  <c r="F207" i="76" a="1"/>
  <c r="F207" i="76" s="1"/>
  <c r="E207" i="76" a="1"/>
  <c r="E207" i="76" s="1"/>
  <c r="O207" i="76" a="1"/>
  <c r="O207" i="76" s="1"/>
  <c r="M207" i="76" a="1"/>
  <c r="M207" i="76" s="1"/>
  <c r="N207" i="76" a="1"/>
  <c r="N207" i="76" s="1"/>
  <c r="G205" i="76" a="1"/>
  <c r="G205" i="76" s="1"/>
  <c r="F205" i="76" a="1"/>
  <c r="F205" i="76" s="1"/>
  <c r="E205" i="76" a="1"/>
  <c r="E205" i="76" s="1"/>
  <c r="O205" i="76" a="1"/>
  <c r="O205" i="76" s="1"/>
  <c r="M205" i="76" a="1"/>
  <c r="M205" i="76" s="1"/>
  <c r="N205" i="76" a="1"/>
  <c r="N205" i="76" s="1"/>
  <c r="M41" i="82" a="1"/>
  <c r="M41" i="82" s="1"/>
  <c r="N41" i="82" a="1"/>
  <c r="N41" i="82" s="1"/>
  <c r="N42" i="82" a="1"/>
  <c r="N42" i="82" s="1"/>
  <c r="O42" i="82" a="1"/>
  <c r="O42" i="82" s="1"/>
  <c r="G41" i="82" a="1"/>
  <c r="G41" i="82" s="1"/>
  <c r="E41" i="82" a="1"/>
  <c r="E41" i="82" s="1"/>
  <c r="M42" i="82" a="1"/>
  <c r="M42" i="82" s="1"/>
  <c r="E42" i="82" a="1"/>
  <c r="E42" i="82" s="1"/>
  <c r="F42" i="82" a="1"/>
  <c r="F42" i="82" s="1"/>
  <c r="F41" i="82" a="1"/>
  <c r="F41" i="82" s="1"/>
  <c r="E44" i="82" a="1"/>
  <c r="E44" i="82" s="1"/>
  <c r="G44" i="82" a="1"/>
  <c r="G44" i="82" s="1"/>
  <c r="F44" i="82" a="1"/>
  <c r="F44" i="82" s="1"/>
  <c r="O44" i="82" a="1"/>
  <c r="O44" i="82" s="1"/>
  <c r="N44" i="82" a="1"/>
  <c r="N44" i="82" s="1"/>
  <c r="M44" i="82" a="1"/>
  <c r="M44" i="82" s="1"/>
  <c r="O41" i="82" a="1"/>
  <c r="O41" i="82" s="1"/>
  <c r="E196" i="76"/>
  <c r="F94" i="69" a="1"/>
  <c r="F94" i="69" s="1"/>
  <c r="G149" i="69" s="1"/>
  <c r="G163" i="69" s="1" a="1"/>
  <c r="G163" i="69" s="1"/>
  <c r="E94" i="69" a="1"/>
  <c r="E94" i="69" s="1"/>
  <c r="F149" i="69" s="1"/>
  <c r="F163" i="69" s="1" a="1"/>
  <c r="F163" i="69" s="1"/>
  <c r="G93" i="69" a="1"/>
  <c r="G93" i="69" s="1"/>
  <c r="H148" i="69" s="1"/>
  <c r="H162" i="69" s="1" a="1"/>
  <c r="H162" i="69" s="1"/>
  <c r="E93" i="69" a="1"/>
  <c r="E93" i="69" s="1"/>
  <c r="F148" i="69" s="1"/>
  <c r="F162" i="69" s="1" a="1"/>
  <c r="F162" i="69" s="1"/>
  <c r="O93" i="69" a="1"/>
  <c r="O93" i="69" s="1"/>
  <c r="P148" i="69" s="1"/>
  <c r="P162" i="69" s="1" a="1"/>
  <c r="P162" i="69" s="1"/>
  <c r="N93" i="69" a="1"/>
  <c r="N93" i="69" s="1"/>
  <c r="O148" i="69" s="1"/>
  <c r="O162" i="69" s="1" a="1"/>
  <c r="O162" i="69" s="1"/>
  <c r="P93" i="69" a="1"/>
  <c r="P93" i="69" s="1"/>
  <c r="Q148" i="69" s="1"/>
  <c r="Q162" i="69" s="1" a="1"/>
  <c r="Q162" i="69" s="1"/>
  <c r="O94" i="69" a="1"/>
  <c r="O94" i="69" s="1"/>
  <c r="P149" i="69" s="1"/>
  <c r="P163" i="69" s="1" a="1"/>
  <c r="P163" i="69" s="1"/>
  <c r="N94" i="69" a="1"/>
  <c r="N94" i="69" s="1"/>
  <c r="O149" i="69" s="1"/>
  <c r="O163" i="69" s="1" a="1"/>
  <c r="O163" i="69" s="1"/>
  <c r="P94" i="69" a="1"/>
  <c r="P94" i="69" s="1"/>
  <c r="Q149" i="69" s="1"/>
  <c r="Q163" i="69" s="1" a="1"/>
  <c r="Q163" i="69" s="1"/>
  <c r="M56" i="81" l="1" a="1"/>
  <c r="M56" i="81" s="1"/>
  <c r="E106" i="81" a="1"/>
  <c r="E106" i="81" s="1"/>
  <c r="N82" i="81" a="1"/>
  <c r="N82" i="81" s="1"/>
  <c r="O56" i="81" a="1"/>
  <c r="O56" i="81" s="1"/>
  <c r="N56" i="81" a="1"/>
  <c r="N56" i="81" s="1"/>
  <c r="M61" i="81" s="1"/>
  <c r="G56" i="81" a="1"/>
  <c r="G56" i="81" s="1"/>
  <c r="O106" i="81" a="1"/>
  <c r="O106" i="81" s="1"/>
  <c r="F56" i="81" a="1"/>
  <c r="F56" i="81" s="1"/>
  <c r="E61" i="81" s="1"/>
  <c r="E16" i="13" s="1"/>
  <c r="M106" i="81" a="1"/>
  <c r="M106" i="81" s="1"/>
  <c r="F106" i="81" a="1"/>
  <c r="F106" i="81" s="1"/>
  <c r="E82" i="81" a="1"/>
  <c r="E82" i="81" s="1"/>
  <c r="F82" i="81" a="1"/>
  <c r="F82" i="81" s="1"/>
  <c r="G82" i="81" a="1"/>
  <c r="G82" i="81" s="1"/>
  <c r="G106" i="81" a="1"/>
  <c r="G106" i="81" s="1"/>
  <c r="O82" i="81" a="1"/>
  <c r="O82" i="81" s="1"/>
  <c r="M82" i="81" a="1"/>
  <c r="M82" i="81" s="1"/>
  <c r="N106" i="81" a="1"/>
  <c r="N106" i="81" s="1"/>
  <c r="F204" i="76" a="1"/>
  <c r="F204" i="76" s="1"/>
  <c r="G204" i="76" a="1"/>
  <c r="G204" i="76" s="1"/>
  <c r="E204" i="76" a="1"/>
  <c r="E204" i="76" s="1"/>
  <c r="M204" i="76" a="1"/>
  <c r="M204" i="76" s="1"/>
  <c r="O204" i="76" a="1"/>
  <c r="O204" i="76" s="1"/>
  <c r="N204" i="76" a="1"/>
  <c r="N204" i="76" s="1"/>
  <c r="M46" i="82"/>
  <c r="O58" i="82" s="1"/>
  <c r="M65" i="82" s="1" a="1"/>
  <c r="M65" i="82" s="1"/>
  <c r="E46" i="82"/>
  <c r="G58" i="82" s="1"/>
  <c r="E65" i="82" s="1" a="1"/>
  <c r="E65" i="82" s="1"/>
  <c r="E168" i="69"/>
  <c r="N168" i="69"/>
  <c r="E29" i="15"/>
  <c r="M111" i="81" l="1"/>
  <c r="E111" i="81"/>
  <c r="E17" i="13" s="1"/>
  <c r="E87" i="81"/>
  <c r="E18" i="13" s="1"/>
  <c r="M87" i="81"/>
  <c r="E9" i="13"/>
  <c r="G67" i="82"/>
  <c r="E70" i="82" s="1" a="1"/>
  <c r="E70" i="82" s="1"/>
  <c r="H9" i="13" s="1"/>
  <c r="F9" i="13"/>
  <c r="O67" i="82"/>
  <c r="M70" i="82" s="1" a="1"/>
  <c r="M70" i="82" s="1"/>
  <c r="I9" i="13" s="1"/>
  <c r="P170" i="69"/>
  <c r="N173" i="69" s="1" a="1"/>
  <c r="N173" i="69" s="1"/>
  <c r="I7" i="13" s="1"/>
  <c r="F7" i="13"/>
  <c r="G170" i="69"/>
  <c r="E173" i="69" s="1" a="1"/>
  <c r="E173" i="69" s="1"/>
  <c r="H7" i="13" s="1"/>
  <c r="E7" i="13"/>
  <c r="M209" i="76"/>
  <c r="E209" i="76"/>
  <c r="G211" i="76" l="1"/>
  <c r="E214" i="76" s="1" a="1"/>
  <c r="E214" i="76" s="1"/>
  <c r="H8" i="13" s="1"/>
  <c r="H10" i="13" s="1"/>
  <c r="E8" i="13"/>
  <c r="O211" i="76"/>
  <c r="M214" i="76" s="1" a="1"/>
  <c r="M214" i="76" s="1"/>
  <c r="I8" i="13" s="1"/>
  <c r="I10" i="13" s="1"/>
  <c r="F8"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<sst xmlns="http://schemas.openxmlformats.org/spreadsheetml/2006/main" count="890" uniqueCount="358">
  <si>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</si>
  <si>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</si>
  <si>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</si>
  <si>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</si>
  <si>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</si>
  <si>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</si>
  <si>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</si>
  <si>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</si>
  <si>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</si>
  <si>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</si>
  <si>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</si>
  <si>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</si>
  <si>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</si>
  <si>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</si>
  <si>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</si>
  <si>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</si>
  <si>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</si>
  <si>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</si>
  <si>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</si>
  <si>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</si>
  <si>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</si>
  <si>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</si>
  <si>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</si>
  <si>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</si>
  <si>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</si>
  <si>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</si>
  <si>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</si>
  <si>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</si>
  <si>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</si>
  <si>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</si>
  <si>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</si>
  <si>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</si>
  <si>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</si>
  <si>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</si>
  <si>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</si>
  <si>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</si>
  <si>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</si>
  <si>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</si>
  <si>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</si>
  <si>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</si>
  <si>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</si>
  <si>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</si>
  <si>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</si>
  <si>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</si>
  <si>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</si>
  <si>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</si>
  <si>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</si>
  <si>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</si>
  <si>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</si>
  <si>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</si>
  <si>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</si>
  <si>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</si>
  <si>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</si>
  <si>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</si>
  <si>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</si>
  <si>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</si>
  <si>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</si>
  <si>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</si>
  <si>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</si>
  <si>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</si>
  <si>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</si>
  <si>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</si>
  <si>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</si>
  <si>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</si>
  <si>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</si>
  <si>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</si>
  <si>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</si>
  <si>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</si>
  <si>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</si>
  <si>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</si>
  <si>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</si>
  <si>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</si>
  <si>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</si>
  <si>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</si>
  <si>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</si>
  <si>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</si>
  <si>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</si>
  <si>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</si>
  <si>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</si>
  <si>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</si>
  <si>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</si>
  <si>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</si>
  <si>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</si>
  <si>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</si>
  <si>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</si>
  <si>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</si>
  <si>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</si>
  <si>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</si>
  <si>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</si>
  <si>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</si>
  <si>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</si>
  <si>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</si>
  <si>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</si>
  <si>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</si>
  <si>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</si>
  <si>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</si>
  <si>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</si>
  <si>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</si>
  <si>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</si>
  <si>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</si>
  <si>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Table_MCF_i_m</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</si>
  <si>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</si>
  <si>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</si>
  <si>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</si>
  <si>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</si>
  <si>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</si>
  <si>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</si>
  <si>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</si>
  <si>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</si>
  <si>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</si>
  <si>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</si>
  <si>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</si>
  <si>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</si>
  <si>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</si>
  <si>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</si>
  <si>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</si>
  <si>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Methane conversion factor for state and MMS</t>
  </si>
  <si>
    <t>New South Wales</t>
  </si>
  <si>
    <t>Table_MMS_m-1_T-3</t>
  </si>
  <si>
    <t>Stage 3 MMS</t>
  </si>
  <si>
    <t>Fraction of manure sent to tertiary MMS</t>
  </si>
  <si>
    <t>Herd movement</t>
  </si>
  <si>
    <t>Duration of stay</t>
  </si>
  <si>
    <t>head</t>
  </si>
  <si>
    <t>Table_D_j</t>
  </si>
  <si>
    <t>Table_N_j</t>
  </si>
  <si>
    <t>Number of head in each group</t>
  </si>
  <si>
    <t>Head</t>
  </si>
  <si>
    <t>Stage</t>
  </si>
  <si>
    <t>kg CH4/head/day</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</si>
  <si>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</si>
  <si>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</si>
  <si>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</si>
  <si>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</si>
  <si>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</si>
  <si>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</si>
  <si>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</si>
  <si>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</si>
  <si>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</si>
  <si>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</si>
  <si>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</si>
  <si>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</si>
  <si>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</si>
  <si>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</si>
  <si>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</si>
  <si>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</si>
  <si>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</si>
  <si>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</si>
  <si>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</si>
  <si>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</si>
  <si>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</si>
  <si>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</si>
  <si>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</si>
  <si>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</si>
  <si>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</si>
  <si>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</si>
  <si>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</si>
  <si>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</si>
  <si>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</si>
  <si>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</si>
  <si>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</si>
  <si>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</si>
  <si>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</si>
  <si>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</si>
  <si>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</si>
  <si>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</si>
  <si>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</si>
  <si>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</si>
  <si>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</si>
  <si>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</si>
  <si>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</si>
  <si>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called MMSjmT2 in N2O calcs</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</si>
  <si>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</si>
  <si>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</si>
  <si>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</si>
  <si>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</si>
  <si>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</si>
  <si>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</si>
  <si>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</si>
  <si>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</si>
  <si>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</si>
  <si>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</si>
  <si>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</si>
  <si>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</si>
  <si>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</si>
  <si>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</si>
  <si>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</si>
  <si>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</si>
  <si>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</si>
  <si>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</si>
  <si>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</si>
  <si>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</si>
  <si>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</si>
  <si>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</si>
  <si>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</si>
  <si>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</si>
  <si>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</si>
  <si>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</si>
  <si>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</si>
  <si>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</si>
  <si>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</si>
  <si>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</si>
  <si>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</si>
  <si>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</si>
  <si>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</si>
  <si>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</si>
  <si>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</si>
  <si>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</si>
  <si>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</si>
  <si>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</si>
  <si>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</si>
  <si>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</si>
  <si>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</si>
  <si>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</si>
  <si>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</si>
  <si>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</si>
  <si>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</si>
  <si>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</si>
  <si>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</si>
  <si>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</si>
  <si>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</si>
  <si>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</si>
  <si>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</si>
  <si>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</si>
  <si>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</si>
  <si>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</si>
  <si>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</si>
  <si>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</si>
  <si>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</si>
  <si>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</si>
  <si>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</si>
  <si>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</si>
  <si>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</si>
  <si>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</si>
  <si>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</si>
  <si>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</si>
  <si>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</si>
  <si>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</si>
  <si>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</si>
  <si>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Percent of intake needs converting to faction of intake before going to equation - needs conversion in equation or change of input unit</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</si>
  <si>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</si>
  <si>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</si>
  <si>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</si>
  <si>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</si>
  <si>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</si>
  <si>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</si>
  <si>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</si>
  <si>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</si>
  <si>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</si>
  <si>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</si>
  <si>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</si>
  <si>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</si>
  <si>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</si>
  <si>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</si>
  <si>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</si>
  <si>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</si>
  <si>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</si>
  <si>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</si>
  <si>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</si>
  <si>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</si>
  <si>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</si>
  <si>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</si>
  <si>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</si>
  <si>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</si>
  <si>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</si>
  <si>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</si>
  <si>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</si>
  <si>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</si>
  <si>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</si>
  <si>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</si>
  <si>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</si>
  <si>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</si>
  <si>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</si>
  <si>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lacking subscripts</t>
  </si>
  <si>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</si>
  <si>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</si>
  <si>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</si>
  <si>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</si>
  <si>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</si>
  <si>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</si>
  <si>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</si>
  <si>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</si>
  <si>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</si>
  <si>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</si>
  <si>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</si>
  <si>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</si>
  <si>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</si>
  <si>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</si>
  <si>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</si>
  <si>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</si>
  <si>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</si>
  <si>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</si>
  <si>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</si>
  <si>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</si>
  <si>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</si>
  <si>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</si>
  <si>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</si>
  <si>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</si>
  <si>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</si>
  <si>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</si>
  <si>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</si>
  <si>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</si>
  <si>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</si>
  <si>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</si>
  <si>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</si>
  <si>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</si>
  <si>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</si>
  <si>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</si>
  <si>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apply queensland</t>
  </si>
  <si>
    <t>use vic</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</si>
  <si>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</si>
  <si>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</si>
  <si>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</si>
  <si>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</si>
  <si>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</si>
  <si>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</si>
  <si>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</si>
  <si>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</si>
  <si>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</si>
  <si>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</si>
  <si>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</si>
  <si>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</si>
  <si>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</si>
  <si>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</si>
  <si>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</si>
  <si>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</si>
  <si>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Input</t>
  </si>
  <si>
    <t>Calculated</t>
  </si>
  <si>
    <t>Constant</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</si>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</sst>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8"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5" borderId="0">
      <alignment horizontal="center" vertical="center"/>
    </xf>
    <xf numFmtId="0" fontId="65" fillId="16" borderId="0">
      <alignment horizontal="center" vertical="center"/>
    </xf>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0" fontId="35" fillId="4" borderId="20"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40" fillId="14" borderId="0" xfId="8" applyFill="1">
      <alignment horizontal="left" vertical="center"/>
    </xf>
    <xf numFmtId="0" fontId="35" fillId="4" borderId="2" xfId="55" applyAlignment="1">
      <alignment vertical="center"/>
    </xf>
    <xf numFmtId="0" fontId="35" fillId="4" borderId="7" xfId="55" applyBorder="1" applyAlignment="1">
      <alignment vertical="center"/>
    </xf>
    <xf numFmtId="0" fontId="35" fillId="4" borderId="8" xfId="55" applyBorder="1" applyAlignment="1">
      <alignmen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0" fillId="14" borderId="0" xfId="8" applyFont="1" applyFill="1">
      <alignment horizontal="left" vertical="center"/>
    </xf>
    <xf numFmtId="0" fontId="64" fillId="15" borderId="0" xfId="65">
      <alignment horizontal="center" vertical="center"/>
    </xf>
    <xf numFmtId="0" fontId="65" fillId="16" borderId="0"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cellXfs>
  <cellStyles count="67">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5">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solid">
          <fgColor indexed="64"/>
          <bgColor rgb="FFFFFF00"/>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solid">
          <fgColor indexed="64"/>
          <bgColor rgb="FFFFFF00"/>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4"/>
      <tableStyleElement type="headerRow" dxfId="73"/>
      <tableStyleElement type="totalRow" dxfId="72"/>
      <tableStyleElement type="firstColumn" dxfId="71"/>
      <tableStyleElement type="firstRowStripe" dxfId="70"/>
      <tableStyleElement type="secondRowStripe" dxfId="69"/>
    </tableStyle>
    <tableStyle name="Equation table" pivot="0" count="6" xr9:uid="{B247698E-E41D-4CCD-AA0A-C14817E9DE65}">
      <tableStyleElement type="wholeTable" dxfId="68"/>
      <tableStyleElement type="headerRow" dxfId="67"/>
      <tableStyleElement type="totalRow" dxfId="66"/>
      <tableStyleElement type="firstColumn" dxfId="65"/>
      <tableStyleElement type="firstRowStripe" dxfId="64"/>
      <tableStyleElement type="secondRowStripe" dxfId="63"/>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104775</xdr:colOff>
      <xdr:row>1</xdr:row>
      <xdr:rowOff>181587</xdr:rowOff>
    </xdr:from>
    <xdr:to>
      <xdr:col>24</xdr:col>
      <xdr:colOff>240154</xdr:colOff>
      <xdr:row>37</xdr:row>
      <xdr:rowOff>182051</xdr:rowOff>
    </xdr:to>
    <xdr:pic>
      <xdr:nvPicPr>
        <xdr:cNvPr id="3" name="Picture 2">
          <a:extLst>
            <a:ext uri="{FF2B5EF4-FFF2-40B4-BE49-F238E27FC236}">
              <a16:creationId xmlns:a16="http://schemas.microsoft.com/office/drawing/2014/main" id="{DC4A658F-DDD0-029E-2397-29F6B6C5ADF6}"/>
            </a:ext>
          </a:extLst>
        </xdr:cNvPr>
        <xdr:cNvPicPr>
          <a:picLocks noChangeAspect="1"/>
        </xdr:cNvPicPr>
      </xdr:nvPicPr>
      <xdr:blipFill>
        <a:blip xmlns:r="http://schemas.openxmlformats.org/officeDocument/2006/relationships" r:embed="rId1"/>
        <a:stretch>
          <a:fillRect/>
        </a:stretch>
      </xdr:blipFill>
      <xdr:spPr>
        <a:xfrm>
          <a:off x="1933575" y="372087"/>
          <a:ext cx="12936979" cy="68584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101</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128</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twoCellAnchor editAs="oneCell">
    <xdr:from>
      <xdr:col>5</xdr:col>
      <xdr:colOff>857250</xdr:colOff>
      <xdr:row>196</xdr:row>
      <xdr:rowOff>66675</xdr:rowOff>
    </xdr:from>
    <xdr:to>
      <xdr:col>9</xdr:col>
      <xdr:colOff>229414</xdr:colOff>
      <xdr:row>198</xdr:row>
      <xdr:rowOff>190586</xdr:rowOff>
    </xdr:to>
    <xdr:pic>
      <xdr:nvPicPr>
        <xdr:cNvPr id="6" name="Picture 5">
          <a:extLst>
            <a:ext uri="{FF2B5EF4-FFF2-40B4-BE49-F238E27FC236}">
              <a16:creationId xmlns:a16="http://schemas.microsoft.com/office/drawing/2014/main" id="{FC563286-ABA2-BA85-9207-773BE20364A1}"/>
            </a:ext>
          </a:extLst>
        </xdr:cNvPr>
        <xdr:cNvPicPr>
          <a:picLocks noChangeAspect="1"/>
        </xdr:cNvPicPr>
      </xdr:nvPicPr>
      <xdr:blipFill>
        <a:blip xmlns:r="http://schemas.openxmlformats.org/officeDocument/2006/relationships" r:embed="rId1"/>
        <a:stretch>
          <a:fillRect/>
        </a:stretch>
      </xdr:blipFill>
      <xdr:spPr>
        <a:xfrm>
          <a:off x="7629525" y="48739425"/>
          <a:ext cx="5830114" cy="6192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2"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1"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0"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59"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8"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7"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6"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5"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4"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3"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2"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6"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39"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6"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5"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9F82E1-8BFB-49BB-A84C-1541D2694B3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0652AFC-F3E8-4421-AFD1-2D686D40D22D}" name="State/Territory">
      <calculatedColumnFormula array="1">Common_InputFunctions.Utility_DisplayArrayInTable(Common_SourceData.Common_SourceData_AustralianStatesTerritories_Data(),Table_AustralianStates[[#Headers],[State/Territory]],0)</calculatedColumnFormula>
    </tableColumn>
    <tableColumn id="2" xr3:uid="{1FA7E548-C0EA-432C-8E8B-704642D10B8B}" name="Common Name">
      <calculatedColumnFormula array="1">Common_InputFunctions.Utility_DisplayArrayInTable(Common_SourceData.Common_SourceData_AustralianStatesTerritories_Data(),Table_AustralianStates[[#Headers],[State/Territory]],0)</calculatedColumnFormula>
    </tableColumn>
    <tableColumn id="3" xr3:uid="{EBC3E112-1444-44E8-96B3-3CA9BA6303F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187021-E65C-4405-B076-51664A260F70}" name="Table_WASA4Areas" displayName="Table_WASA4Areas" ref="D20:D30" totalsRowShown="0">
  <autoFilter ref="D20:D30" xr:uid="{5FA81339-C6C8-4D36-BEEA-6C4AEDD9E676}">
    <filterColumn colId="0" hiddenButton="1"/>
  </autoFilter>
  <tableColumns count="1">
    <tableColumn id="1" xr3:uid="{BE8A74F0-502F-4C09-B30D-79967B1CA4B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185DEA7-0F0B-4043-8184-02AAE04CE1D3}" name="Table_GWPData" displayName="Table_GWPData" ref="D36:E43" totalsRowShown="0">
  <autoFilter ref="D36:E43" xr:uid="{B8E87A66-3E41-4AD3-925D-01EE21B43D7A}">
    <filterColumn colId="0" hiddenButton="1"/>
    <filterColumn colId="1" hiddenButton="1"/>
  </autoFilter>
  <tableColumns count="2">
    <tableColumn id="1" xr3:uid="{969FB6F5-5748-416A-B0E7-0FA856E9228D}" name="Gas">
      <calculatedColumnFormula array="1">Common_InputFunctions.Utility_DisplayArrayInTable(Common_SourceData.Common_SourceData_GWP_Data(), Table_GWPData[[#Headers],[Gas]], 0)</calculatedColumnFormula>
    </tableColumn>
    <tableColumn id="2" xr3:uid="{D288383E-5A93-48FA-8608-CEA132940F2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C1E3F9B-244C-4BDB-9EAA-280B1B88DFD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107412D-787D-4251-B022-2C951856B5CC}" name="Gas">
      <calculatedColumnFormula array="1">Common_InputFunctions.Utility_DisplayArrayInTable(Common_SourceData.Common_SourceData_ConvertGasElementalToMolecular_Data(),Table_GasToMolecularConversionFactor[[#Headers],[Gas]], 0)</calculatedColumnFormula>
    </tableColumn>
    <tableColumn id="5" xr3:uid="{EDAE218C-BED9-4F30-BC1A-BDA604C52911}" name="Conversion factor">
      <calculatedColumnFormula array="1">Common_InputFunctions.Utility_DisplayArrayInTable(Common_SourceData.Common_SourceData_ConvertGasElementalToMolecular_Data(),Table_GasToMolecularConversionFactor[[#Headers],[Gas]], 0)</calculatedColumnFormula>
    </tableColumn>
    <tableColumn id="2" xr3:uid="{7B252330-4D09-4BE1-91E1-8F007E37DA8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B2A94A6-B09F-44FC-92A1-CCB07CD838C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2DB3A9E-EA47-4626-8AA6-4142F2BE5B3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639B46-F2B6-417E-849A-4051D3B16B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5162FA7-7F7F-4C9C-8231-8FC51C581FD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E2C0A27-43A1-4D92-B3A8-944DC7691E0A}" name="MA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3" xr3:uid="{BCEE406F-741C-4AB5-8347-FD3CEB5D1690}" name="MAP"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4" xr3:uid="{BF112A88-84E8-4D38-B54C-79713ED69470}" name="Frost days per year"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5" xr3:uid="{DEDF2179-1AFD-46AA-97FF-2C7CC2C8F0A0}" name="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6" xr3:uid="{517703E3-C0ED-43E3-909F-4C1979577D3C}" name="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7" xr3:uid="{666A24A7-650A-4B3E-982A-50311730DB7C}" name="Min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8" xr3:uid="{5604EDD5-66DF-4ECC-BCE6-DD11FD6DB4D6}" name="Max temp"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9" xr3:uid="{6DA99F2D-CE18-432C-AB0D-72F425C17C5E}" name="Min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0" xr3:uid="{BC2916D3-A7D1-4722-A9DC-991CB2F62BD8}" name="Max rainfall"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1" xr3:uid="{1E64F234-4E02-4B45-A3A1-B18E3FFCFC37}" name="Min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5" xr3:uid="{70F03B18-1155-4824-8E62-AE5F3FA2A39C}" name="Max frost days"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2" xr3:uid="{C3AD9C66-0836-47F7-A64C-E903E6DAF5EE}" name="Min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6" xr3:uid="{ED33ED06-8D20-47FE-B0B6-650FCDD420E2}" name="Max elevation"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3" xr3:uid="{3C28BB66-16DC-4BC9-BE53-61187001ECC2}" name="Min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 id="17" xr3:uid="{FFF015AD-8516-434B-A94C-11CB9D62F62D}" name="Max MAP:PET" totalsRowDxfId="2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975CFAC-C9D3-4E10-914B-A7477650269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BBE1D44-5D3C-421E-B886-5F058BD82B2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3E0B2F3-1F7B-4FCF-B0F4-658087312975}" name="Wet or Dry Zone" totalsRowDxfId="1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86B9BF-70ED-46B9-A712-EA42AC7345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5BB3355-DBBC-43C3-9C8D-BC097471993C}" name="Temperature Zone">
      <calculatedColumnFormula array="1">Common_InputFunctions.Utility_DisplayArrayInTable(Common_SourceData.Common_SourceData_TemperatureZones_Data(),Table_SourceData_TemperatureZones[[#Headers],[Temperature Zone]],0)</calculatedColumnFormula>
    </tableColumn>
    <tableColumn id="2" xr3:uid="{15DB6AA7-91D7-4725-9AA9-D1055AF7678C}" name="MAT">
      <calculatedColumnFormula array="1">Common_InputFunctions.Utility_DisplayArrayInTable(Common_SourceData.Common_SourceData_TemperatureZones_Data(),Table_SourceData_TemperatureZones[[#Headers],[Temperature Zone]],0)</calculatedColumnFormula>
    </tableColumn>
    <tableColumn id="3" xr3:uid="{0AD7766B-F917-4247-BA12-141E5E455D92}" name="Min MAT">
      <calculatedColumnFormula array="1">Common_InputFunctions.Utility_DisplayArrayInTable(Common_SourceData.Common_SourceData_TemperatureZones_Data(),Table_SourceData_TemperatureZones[[#Headers],[Temperature Zone]],0)</calculatedColumnFormula>
    </tableColumn>
    <tableColumn id="4" xr3:uid="{BEC491C5-29B7-47D8-92E3-A6B4AA3DF90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F94A906-91DA-4FAF-A89B-CEF60B0D127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D6E0C09-0BD8-471F-8A53-A12A9E178BF7}" name="Rainfall Zone">
      <calculatedColumnFormula array="1">Common_InputFunctions.Utility_DisplayArrayInTable(Common_SourceData.Common_SourceData_RainfallZones_Data(),Table_SourceData_RainfallZones[[#Headers],[Rainfall Zone]],0)</calculatedColumnFormula>
    </tableColumn>
    <tableColumn id="2" xr3:uid="{13B32985-837D-4685-9D0B-839BCC352710}" name="Annual rainfall">
      <calculatedColumnFormula array="1">Common_InputFunctions.Utility_DisplayArrayInTable(Common_SourceData.Common_SourceData_RainfallZones_Data(),Table_SourceData_RainfallZones[[#Headers],[Rainfall Zone]],0)</calculatedColumnFormula>
    </tableColumn>
    <tableColumn id="3" xr3:uid="{81010191-F2A6-4E17-8104-721B45E9D660}" name="Min rainfall">
      <calculatedColumnFormula array="1">Common_InputFunctions.Utility_DisplayArrayInTable(Common_SourceData.Common_SourceData_RainfallZones_Data(),Table_SourceData_RainfallZones[[#Headers],[Rainfall Zone]],0)</calculatedColumnFormula>
    </tableColumn>
    <tableColumn id="4" xr3:uid="{AD6D3163-2840-4E3F-896D-5DF709C34D9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A2C3C00-7D5E-482F-8CA2-A213D7DF8D3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167ABF-B475-4336-9AEE-96008ED98E6B}" name="Leaching Zone">
      <calculatedColumnFormula array="1">Common_InputFunctions.Utility_DisplayArrayInTable(Common_SourceData.Common_SourceData_LeachingZones_Data(), Table_SourceData_LeachingZones[[#Headers],[Leaching Zone]], 0)</calculatedColumnFormula>
    </tableColumn>
    <tableColumn id="2" xr3:uid="{75B56258-627E-484F-9B94-6FD90490B5C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10AEB1-ABAB-4497-8F48-0C15CDA4602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8FCAEBE-8FA0-4664-B3AE-973A3E77EF02}" name="Data source">
      <calculatedColumnFormula array="1">Common_InputFunctions.Utility_DisplayArrayInTable(Common_SourceData.Common_SourceData_DataScores_Scope3_Data(), Table_SourceData_DataScores_Scope3[[#Headers],[Data source]], 0)</calculatedColumnFormula>
    </tableColumn>
    <tableColumn id="2" xr3:uid="{F269D724-DA61-40DD-B1DD-62089B53A25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5FE08A5-0001-4080-8F90-757F959BAB2B}" name="Table_SourceData_FracWET" displayName="Table_SourceData_FracWET" ref="D134:E136" totalsRowShown="0">
  <autoFilter ref="D134:E136" xr:uid="{308E99BE-FE1F-47A4-B2CA-97217277C4E9}">
    <filterColumn colId="0" hiddenButton="1"/>
    <filterColumn colId="1" hiddenButton="1"/>
  </autoFilter>
  <tableColumns count="2">
    <tableColumn id="1" xr3:uid="{ACC4E2B3-A6FC-4D50-BE90-6D711BFC3B97}" name="Is in leaching zone">
      <calculatedColumnFormula array="1">Common_InputFunctions.Utility_DisplayArrayInTable(Common_SourceData.Common_SourceData_FracWET_Data(),Table_SourceData_FracWET[[#Headers],[Is in leaching zone]],0)</calculatedColumnFormula>
    </tableColumn>
    <tableColumn id="2" xr3:uid="{35F8284C-32FA-4320-AF32-3F44CCB77CF7}" name="FracWET" dataDxfId="1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985452B-55AC-4EB5-AA25-EAD220463DA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4A144B-9F75-433D-BE41-D183AF51F2BB}" name="Production system j">
      <calculatedColumnFormula array="1">Common_InputFunctions.Utility_DisplayArrayInTable(Common_SourceData.Common_SourceData_EFN2O_Data(), Table_SourceData_Common_EFN2O[[#Headers],[Production system j]], 0)</calculatedColumnFormula>
    </tableColumn>
    <tableColumn id="2" xr3:uid="{87B0476D-5F45-43A5-9823-48327AFBBFC0}" name="EFN2O">
      <calculatedColumnFormula array="1">Common_InputFunctions.Utility_DisplayArrayInTable(Common_SourceData.Common_SourceData_EFN2O_Data(), Table_SourceData_Common_EFN2O[[#Headers],[Production system j]], 0)</calculatedColumnFormula>
    </tableColumn>
    <tableColumn id="3" xr3:uid="{A580C8EE-E9FD-4201-94D1-F99A9BC27373}" name="Production system only">
      <calculatedColumnFormula array="1">Common_InputFunctions.Utility_DisplayArrayInTable(Common_SourceData.Common_SourceData_EFN2O_Data(), Table_SourceData_Common_EFN2O[[#Headers],[Production system j]], 0)</calculatedColumnFormula>
    </tableColumn>
    <tableColumn id="4" xr3:uid="{50C2C17E-A21C-4FDA-82A8-EF761C0E6BF7}" name="Irrigation method">
      <calculatedColumnFormula array="1">Common_InputFunctions.Utility_DisplayArrayInTable(Common_SourceData.Common_SourceData_EFN2O_Data(), Table_SourceData_Common_EFN2O[[#Headers],[Production system j]], 0)</calculatedColumnFormula>
    </tableColumn>
    <tableColumn id="5" xr3:uid="{7F2E249C-6080-446E-8674-6F29CE0873E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1D7CB04-0839-425A-B673-CEA7A9C3FB8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328C683-420D-4EA6-AF9D-245995DC8FD1}" name="Irrigation type i">
      <calculatedColumnFormula array="1">Common_InputFunctions.Utility_DisplayArrayInTable(Common_SourceData.Common_SourceData_FracWETIrrigation_Data(), Table_SourceData_FracWETIrrigation[[#Headers],[Irrigation type i]], 0)</calculatedColumnFormula>
    </tableColumn>
    <tableColumn id="2" xr3:uid="{9E5FEA9D-8FB5-494C-9D24-0E6BFC0C6057}" name="FracWET" dataDxfId="1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9AFCB04-6C42-4BD7-84F4-CB502355AF0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B787692-FEAA-422C-9A68-A116E1C1D83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FBB6C89-F456-4C86-80FD-B734DEFDFF30}" name="EFPRP" dataDxfId="1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23F6973-616E-44B9-9455-AEC834A8AAD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0DBFFCC-335E-4C29-BC47-5C2A3243CFF0}" name="Month">
      <calculatedColumnFormula array="1">Common_InputFunctions.Utility_DisplayArrayInTable(Common_SourceData.Common_SourceData_MonthsToSeasons_Data(), Table_SourceData_Common_MonthToSeason[[#Headers],[Month]], 0)</calculatedColumnFormula>
    </tableColumn>
    <tableColumn id="2" xr3:uid="{AC3827EF-FE9E-4E81-A7C7-95A7165D62C5}" name="Season" dataDxfId="1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FD98D7-E5DB-4B28-9E47-A6481BEC137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C0CBC0D-B831-4C7E-9F24-0EE0037F3E6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6E0D171-2FBE-46A9-9B1F-1269E55C1B38}" name="MAT (ºC)"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FF50BBA-30EE-4E1A-9449-9265A1067683}" name="Anaerobic lagoon"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3654E61-5BB1-44D1-A97F-E38B4117F28F}" name="Digester / covered lagoon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736C277-B619-4577-BE61-C6F2CFEBBDF4}" name="Liquid systems"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F5FCA7-77C5-40B2-BAC9-EBF849F5559B}" name="Daily spread"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7CABD47-531A-49AF-865F-934434068DEC}" name="Composting (passive windro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B3C335A-BC58-40E9-8E75-96ED6CCF795D}" name="Solid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D3901FD-AFED-45CA-9E32-1204AF6D4874}" name="Pit storage"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43A0FE7-0AA0-43C9-9A4F-02E9C242020A}" name="Deep litter"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AF69A1E-4587-4DCD-9535-2ECADB3A8A73}" name="Poultry manure with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D86AF5D-FDC1-4EE1-9D47-BA4BE96F619F}" name="Poultry manure without bedd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15483D8-6A7E-4D26-B81F-096629F52A98}" name="Direct processing"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82A14FE-E6A5-4C72-AE16-87CCAF66B3DB}" name="Direct application"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BBFE03E-A035-4E39-B68B-F044C4B1E37F}" name="Pasture range and paddock"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E478F66-8602-4161-AB22-52FED9A026F5}" name="MAT raw" dataDxfId="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31"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4.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J25" sqref="D20:J25"/>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1" t="e" vm="1">
        <v>#VALUE!</v>
      </c>
      <c r="C1" s="134" t="s">
        <v>303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33" t="str">
        <f>HYPERLINK("#'Results'!A1", "Results")</f>
        <v>Results</v>
      </c>
      <c r="C4" s="24"/>
      <c r="D4" s="6" t="s">
        <v>5</v>
      </c>
      <c r="E4" s="26"/>
      <c r="F4" s="26"/>
      <c r="G4" s="26"/>
      <c r="H4" s="6"/>
      <c r="I4" s="6"/>
      <c r="J4" s="6"/>
      <c r="K4" s="6"/>
      <c r="L4" s="27"/>
    </row>
    <row r="5" spans="1:12" ht="20.100000000000001" customHeight="1" x14ac:dyDescent="0.3">
      <c r="A5" s="16"/>
      <c r="C5" s="24"/>
      <c r="D5" s="28"/>
      <c r="E5" s="29"/>
      <c r="F5" s="29"/>
      <c r="G5" s="29"/>
      <c r="H5" s="26"/>
      <c r="I5" s="24"/>
      <c r="J5" s="24"/>
      <c r="K5" s="24"/>
      <c r="L5" s="24"/>
    </row>
    <row r="6" spans="1:12" ht="20.100000000000001" customHeight="1" x14ac:dyDescent="0.25">
      <c r="A6" s="20" t="s">
        <v>3</v>
      </c>
      <c r="C6" s="24"/>
      <c r="D6" s="132" t="s">
        <v>263</v>
      </c>
      <c r="E6" s="132" t="s">
        <v>320</v>
      </c>
      <c r="F6" s="132" t="s">
        <v>321</v>
      </c>
      <c r="G6" s="132" t="s">
        <v>290</v>
      </c>
      <c r="H6" s="132" t="s">
        <v>322</v>
      </c>
      <c r="I6" s="132" t="s">
        <v>324</v>
      </c>
      <c r="J6" s="132" t="s">
        <v>291</v>
      </c>
      <c r="K6" s="24"/>
      <c r="L6" s="24"/>
    </row>
    <row r="7" spans="1:12" ht="20.100000000000001" customHeight="1" x14ac:dyDescent="0.25">
      <c r="A7" s="17" t="str">
        <f>HYPERLINK("#'Input - Site'!A1", "Site")</f>
        <v>Site</v>
      </c>
      <c r="C7" s="24"/>
      <c r="D7" s="1" t="s">
        <v>317</v>
      </c>
      <c r="E7" s="125">
        <f>'4.1.1.1-2 Methane'!E168</f>
        <v>2.7037518842879988</v>
      </c>
      <c r="F7" s="125">
        <f>'4.1.1.1-2 Methane'!N168</f>
        <v>2.7037518842879988</v>
      </c>
      <c r="G7" s="57" t="str">
        <f>'4.1.1.1-2 Methane'!F168</f>
        <v>t CH4</v>
      </c>
      <c r="H7" s="125">
        <f>'4.1.1.1-2 Methane'!E173</f>
        <v>75.705052760063964</v>
      </c>
      <c r="I7" s="125">
        <f>'4.1.1.1-2 Methane'!N173</f>
        <v>75.705052760063964</v>
      </c>
      <c r="J7" s="57" t="s">
        <v>323</v>
      </c>
      <c r="K7" s="24"/>
      <c r="L7" s="24"/>
    </row>
    <row r="8" spans="1:12" ht="20.100000000000001" customHeight="1" x14ac:dyDescent="0.25">
      <c r="A8" s="17" t="str">
        <f>HYPERLINK("#'Input - Feedlot'!A1", "Feedlot")</f>
        <v>Feedlot</v>
      </c>
      <c r="C8" s="24"/>
      <c r="D8" s="1" t="s">
        <v>318</v>
      </c>
      <c r="E8" s="125">
        <f>'4.1.1.3-4 Direct N20'!E209</f>
        <v>0.79920735133264487</v>
      </c>
      <c r="F8" s="125">
        <f>'4.1.1.3-4 Direct N20'!M209</f>
        <v>0.79920735133264487</v>
      </c>
      <c r="G8" s="57" t="str">
        <f>'4.1.1.3-4 Direct N20'!F209</f>
        <v>t N2O</v>
      </c>
      <c r="H8" s="125">
        <f>'4.1.1.3-4 Direct N20'!E214</f>
        <v>211.78994810315089</v>
      </c>
      <c r="I8" s="125">
        <f>'4.1.1.3-4 Direct N20'!M214</f>
        <v>211.78994810315089</v>
      </c>
      <c r="J8" s="57" t="s">
        <v>323</v>
      </c>
      <c r="K8" s="24"/>
      <c r="L8" s="24"/>
    </row>
    <row r="9" spans="1:12" ht="20.100000000000001" customHeight="1" x14ac:dyDescent="0.25">
      <c r="A9" s="17"/>
      <c r="C9" s="24"/>
      <c r="D9" s="1" t="s">
        <v>319</v>
      </c>
      <c r="E9" s="125">
        <f>'4.1.1.5-6 Atmos Deposition'!$E$65</f>
        <v>0.14458898055388003</v>
      </c>
      <c r="F9" s="125">
        <f>'4.1.1.5-6 Atmos Deposition'!$M$65</f>
        <v>0.14458898055388003</v>
      </c>
      <c r="G9" s="57" t="str">
        <f>'4.1.1.5-6 Atmos Deposition'!$F$65</f>
        <v>t N2O</v>
      </c>
      <c r="H9" s="125">
        <f>'4.1.1.5-6 Atmos Deposition'!$E$70</f>
        <v>38.316079846778209</v>
      </c>
      <c r="I9" s="125">
        <f>'4.1.1.5-6 Atmos Deposition'!$M$70</f>
        <v>38.316079846778209</v>
      </c>
      <c r="J9" s="57" t="s">
        <v>323</v>
      </c>
      <c r="K9" s="24"/>
      <c r="L9" s="24"/>
    </row>
    <row r="10" spans="1:12" ht="20.100000000000001" customHeight="1" x14ac:dyDescent="0.3">
      <c r="A10" s="19" t="s">
        <v>76</v>
      </c>
      <c r="C10" s="24"/>
      <c r="D10" s="31" t="s">
        <v>288</v>
      </c>
      <c r="E10" s="25"/>
      <c r="F10" s="31"/>
      <c r="G10" s="31"/>
      <c r="H10" s="129">
        <f>SUM(H7:H8)</f>
        <v>287.49500086321484</v>
      </c>
      <c r="I10" s="129">
        <f>SUM(I7:I8)</f>
        <v>287.49500086321484</v>
      </c>
      <c r="J10" s="114" t="s">
        <v>323</v>
      </c>
      <c r="K10" s="24"/>
      <c r="L10" s="24"/>
    </row>
    <row r="11" spans="1:12" ht="20.100000000000001" customHeight="1" x14ac:dyDescent="0.25">
      <c r="A11" s="17" t="str">
        <f>HYPERLINK("#'4.1.1.1-2 Methane'!A1", "4.1.1.1-2 Methane")</f>
        <v>4.1.1.1-2 Methane</v>
      </c>
      <c r="C11" s="24"/>
      <c r="D11" s="1"/>
      <c r="E11" s="1"/>
      <c r="F11" s="1"/>
      <c r="G11" s="26"/>
      <c r="H11" s="24"/>
      <c r="I11" s="1"/>
      <c r="J11" s="1"/>
      <c r="K11" s="24"/>
      <c r="L11" s="24"/>
    </row>
    <row r="12" spans="1:12" ht="20.100000000000001" customHeight="1" x14ac:dyDescent="0.25">
      <c r="A12" s="17" t="str">
        <f>HYPERLINK("#'4.1.1.3-4 Direct N20'!A1", "4.1.1.3-4 Direct N2O")</f>
        <v>4.1.1.3-4 Direct N2O</v>
      </c>
      <c r="C12" s="24"/>
      <c r="D12" s="51" t="s">
        <v>231</v>
      </c>
      <c r="E12" s="1"/>
      <c r="F12" s="1"/>
      <c r="G12" s="1"/>
      <c r="H12" s="26"/>
      <c r="I12" s="24"/>
      <c r="J12" s="24"/>
      <c r="K12" s="24"/>
      <c r="L12" s="24"/>
    </row>
    <row r="13" spans="1:12" ht="20.100000000000001" customHeight="1" x14ac:dyDescent="0.25">
      <c r="A13" s="17" t="str">
        <f>HYPERLINK("#'4.1.1.5-6 Atmos Deposition'!A1", "4.1.1.5-6 Atmospheric deposition")</f>
        <v>4.1.1.5-6 Atmospheric deposition</v>
      </c>
      <c r="C13" s="24"/>
      <c r="D13" s="115" t="s">
        <v>296</v>
      </c>
      <c r="E13" s="1"/>
      <c r="F13" s="1"/>
      <c r="G13" s="1"/>
      <c r="H13" s="1"/>
      <c r="I13" s="1"/>
      <c r="J13" s="1"/>
      <c r="K13" s="24"/>
      <c r="L13" s="24"/>
    </row>
    <row r="14" spans="1:12" ht="20.100000000000001" customHeight="1" x14ac:dyDescent="0.25">
      <c r="A14" s="17" t="str">
        <f>HYPERLINK("#'4.1.1.9 Manure applied to soils'!A1", "4.1.1.9 Manure applied to soils")</f>
        <v>4.1.1.9 Manure applied to soils</v>
      </c>
      <c r="C14" s="24"/>
      <c r="D14" s="130" t="s">
        <v>302</v>
      </c>
      <c r="E14" s="1"/>
      <c r="F14" s="1"/>
      <c r="G14" s="1"/>
      <c r="H14" s="1"/>
      <c r="I14" s="1"/>
      <c r="J14" s="1"/>
      <c r="K14" s="24"/>
      <c r="L14" s="24"/>
    </row>
    <row r="15" spans="1:12" ht="20.100000000000001" customHeight="1" x14ac:dyDescent="0.25">
      <c r="C15" s="24"/>
      <c r="D15" s="132" t="s">
        <v>297</v>
      </c>
      <c r="E15" s="132" t="s">
        <v>294</v>
      </c>
      <c r="F15" s="132" t="s">
        <v>295</v>
      </c>
      <c r="G15" s="132" t="s">
        <v>289</v>
      </c>
      <c r="H15" s="132" t="s">
        <v>301</v>
      </c>
      <c r="I15" s="1"/>
      <c r="J15" s="1"/>
      <c r="K15" s="24"/>
      <c r="L15" s="24"/>
    </row>
    <row r="16" spans="1:12" ht="20.100000000000001" customHeight="1" x14ac:dyDescent="0.25">
      <c r="A16" s="18" t="s">
        <v>4</v>
      </c>
      <c r="C16" s="24"/>
      <c r="D16" s="1" t="s">
        <v>316</v>
      </c>
      <c r="E16" s="131">
        <f>'4.1.1.9 Manure applied to soils'!$E$61</f>
        <v>24130.039038028423</v>
      </c>
      <c r="F16" s="57" t="str">
        <f>'4.1.1.9 Manure applied to soils'!$F$61</f>
        <v>kg N</v>
      </c>
      <c r="G16" s="1" t="s">
        <v>310</v>
      </c>
      <c r="H16" s="1" t="s">
        <v>300</v>
      </c>
      <c r="I16" s="1"/>
      <c r="J16" s="1"/>
      <c r="K16" s="24"/>
      <c r="L16" s="24"/>
    </row>
    <row r="17" spans="1:12" ht="20.100000000000001" customHeight="1" x14ac:dyDescent="0.25">
      <c r="A17" s="17" t="str">
        <f>HYPERLINK("#'Constants - Feedlot'!A1", "Constants - Feedlot")</f>
        <v>Constants - Feedlot</v>
      </c>
      <c r="C17" s="24"/>
      <c r="D17" s="1" t="s">
        <v>298</v>
      </c>
      <c r="E17" s="131">
        <f>'4.1.1.9 Manure applied to soils'!$E$111</f>
        <v>2202.6859482366731</v>
      </c>
      <c r="F17" s="57" t="str">
        <f>'4.1.1.9 Manure applied to soils'!$F$111</f>
        <v>kg N</v>
      </c>
      <c r="G17" s="1" t="s">
        <v>310</v>
      </c>
      <c r="H17" s="1" t="s">
        <v>300</v>
      </c>
      <c r="I17" s="1"/>
      <c r="J17" s="1"/>
      <c r="K17" s="24"/>
      <c r="L17" s="24"/>
    </row>
    <row r="18" spans="1:12" ht="20.100000000000001" customHeight="1" x14ac:dyDescent="0.25">
      <c r="A18" s="17" t="str">
        <f>HYPERLINK("#'Constants - Livestock'!A1", "Constants - Livestock")</f>
        <v>Constants - Livestock</v>
      </c>
      <c r="C18" s="24"/>
      <c r="D18" s="1" t="s">
        <v>292</v>
      </c>
      <c r="E18" s="131">
        <f>'4.1.1.9 Manure applied to soils'!E87</f>
        <v>2202.6859482366731</v>
      </c>
      <c r="F18" s="57" t="str">
        <f>'4.1.1.9 Manure applied to soils'!F87</f>
        <v>kg N</v>
      </c>
      <c r="G18" s="1" t="s">
        <v>293</v>
      </c>
      <c r="H18" s="1" t="s">
        <v>299</v>
      </c>
      <c r="I18" s="1"/>
      <c r="J18" s="1"/>
      <c r="K18" s="24"/>
      <c r="L18" s="24"/>
    </row>
    <row r="19" spans="1:12" ht="20.100000000000001" customHeight="1" x14ac:dyDescent="0.25">
      <c r="A19" s="17" t="str">
        <f>HYPERLINK("#'Constants - Common'!A1", "Constants - Common")</f>
        <v>Constants - Common</v>
      </c>
      <c r="C19" s="24"/>
      <c r="D19" s="1"/>
      <c r="E19" s="1"/>
      <c r="F19" s="1"/>
      <c r="G19" s="1"/>
      <c r="H19" s="1"/>
      <c r="I19" s="1"/>
      <c r="J19" s="1"/>
      <c r="K19" s="24"/>
      <c r="L19" s="24"/>
    </row>
    <row r="20" spans="1:12" ht="20.100000000000001" customHeight="1" x14ac:dyDescent="0.25">
      <c r="A20" s="17" t="str">
        <f>HYPERLINK("#'Acknowledgements'!A1", "Acknowledgements")</f>
        <v>Acknowledgements</v>
      </c>
      <c r="C20" s="24"/>
      <c r="D20" s="1"/>
      <c r="E20" s="1"/>
      <c r="F20" s="1"/>
      <c r="G20" s="1"/>
      <c r="H20" s="1"/>
      <c r="I20" s="1"/>
      <c r="J20" s="1"/>
      <c r="K20" s="24"/>
      <c r="L20" s="24"/>
    </row>
    <row r="21" spans="1:12" ht="20.100000000000001" customHeight="1" x14ac:dyDescent="0.25">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C24" s="24"/>
      <c r="D24" s="1"/>
      <c r="E24" s="1"/>
      <c r="F24" s="1"/>
      <c r="G24" s="1"/>
      <c r="H24" s="1"/>
      <c r="I24" s="1"/>
      <c r="J24" s="1"/>
      <c r="K24" s="24"/>
      <c r="L24" s="24"/>
    </row>
    <row r="25" spans="1:12" ht="20.100000000000001" customHeight="1" x14ac:dyDescent="0.25">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24"/>
      <c r="J38" s="124"/>
      <c r="K38" s="124"/>
      <c r="L38" s="24"/>
    </row>
    <row r="39" spans="3:12" ht="20.100000000000001" customHeight="1" x14ac:dyDescent="0.25">
      <c r="C39" s="24"/>
      <c r="D39" s="1"/>
      <c r="E39" s="1"/>
      <c r="F39" s="1"/>
      <c r="G39" s="1"/>
      <c r="H39" s="1"/>
      <c r="I39" s="124"/>
      <c r="J39" s="124"/>
      <c r="K39" s="124"/>
      <c r="L39" s="24"/>
    </row>
    <row r="40" spans="3:12" ht="20.100000000000001" customHeight="1" x14ac:dyDescent="0.25">
      <c r="C40" s="24"/>
      <c r="D40" s="1"/>
      <c r="E40" s="1"/>
      <c r="F40" s="1"/>
      <c r="G40" s="1"/>
      <c r="H40" s="1"/>
      <c r="I40" s="124"/>
      <c r="J40" s="124"/>
      <c r="K40" s="124"/>
      <c r="L40" s="24"/>
    </row>
    <row r="41" spans="3:12" ht="20.100000000000001" customHeight="1" x14ac:dyDescent="0.25">
      <c r="C41" s="24"/>
      <c r="D41" s="1"/>
      <c r="E41" s="1"/>
      <c r="F41" s="1"/>
      <c r="G41" s="1"/>
      <c r="H41" s="1"/>
      <c r="I41" s="124"/>
      <c r="J41" s="124"/>
      <c r="K41" s="124"/>
      <c r="L41" s="24"/>
    </row>
    <row r="42" spans="3:12" ht="20.100000000000001" customHeight="1" x14ac:dyDescent="0.25">
      <c r="C42" s="24"/>
      <c r="D42" s="1"/>
      <c r="E42" s="1"/>
      <c r="F42" s="1"/>
      <c r="G42" s="1"/>
      <c r="H42" s="1"/>
      <c r="I42" s="124"/>
      <c r="J42" s="124"/>
      <c r="K42" s="124"/>
      <c r="L42" s="24"/>
    </row>
    <row r="43" spans="3:12" ht="20.100000000000001" customHeight="1" x14ac:dyDescent="0.25">
      <c r="C43" s="24"/>
      <c r="D43" s="1"/>
      <c r="E43" s="1"/>
      <c r="F43" s="1"/>
      <c r="G43" s="1"/>
      <c r="H43" s="1"/>
      <c r="I43" s="124"/>
      <c r="J43" s="124"/>
      <c r="K43" s="124"/>
      <c r="L43" s="24"/>
    </row>
    <row r="44" spans="3:12" ht="20.100000000000001" customHeight="1" x14ac:dyDescent="0.25">
      <c r="C44" s="24"/>
      <c r="D44" s="1"/>
      <c r="E44" s="1"/>
      <c r="F44" s="1"/>
      <c r="G44" s="1"/>
      <c r="H44" s="1"/>
      <c r="I44" s="124"/>
      <c r="J44" s="124"/>
      <c r="K44" s="124"/>
      <c r="L44" s="24"/>
    </row>
    <row r="45" spans="3:12" ht="20.100000000000001" customHeight="1" x14ac:dyDescent="0.25">
      <c r="C45" s="24"/>
      <c r="D45" s="1"/>
      <c r="E45" s="1"/>
      <c r="F45" s="1"/>
      <c r="G45" s="1"/>
      <c r="H45" s="1"/>
      <c r="I45" s="124"/>
      <c r="J45" s="124"/>
      <c r="K45" s="124"/>
      <c r="L45" s="24"/>
    </row>
    <row r="46" spans="3:12" ht="20.100000000000001" customHeight="1" x14ac:dyDescent="0.25">
      <c r="C46" s="24"/>
      <c r="D46" s="1"/>
      <c r="E46" s="1"/>
      <c r="F46" s="1"/>
      <c r="G46" s="1"/>
      <c r="H46" s="1"/>
      <c r="I46" s="124"/>
      <c r="J46" s="124"/>
      <c r="K46" s="124"/>
      <c r="L46" s="24"/>
    </row>
    <row r="47" spans="3:12" ht="20.100000000000001" customHeight="1" x14ac:dyDescent="0.25">
      <c r="C47" s="24"/>
      <c r="D47" s="1"/>
      <c r="E47" s="1"/>
      <c r="F47" s="1"/>
      <c r="G47" s="1"/>
      <c r="H47" s="1"/>
      <c r="I47" s="124"/>
      <c r="J47" s="124"/>
      <c r="K47" s="124"/>
      <c r="L47" s="24"/>
    </row>
    <row r="48" spans="3:12" ht="20.100000000000001" customHeight="1" x14ac:dyDescent="0.25">
      <c r="C48" s="24"/>
      <c r="D48" s="1"/>
      <c r="E48" s="1"/>
      <c r="F48" s="1"/>
      <c r="G48" s="1"/>
      <c r="H48" s="1"/>
      <c r="I48" s="124"/>
      <c r="J48" s="124"/>
      <c r="K48" s="124"/>
      <c r="L48" s="24"/>
    </row>
    <row r="49" spans="3:12" ht="20.100000000000001" customHeight="1" x14ac:dyDescent="0.25">
      <c r="C49" s="24"/>
      <c r="D49" s="1"/>
      <c r="E49" s="1"/>
      <c r="F49" s="1"/>
      <c r="G49" s="1"/>
      <c r="H49" s="124"/>
      <c r="I49" s="124"/>
      <c r="J49" s="124"/>
      <c r="K49" s="124"/>
      <c r="L49" s="24"/>
    </row>
    <row r="50" spans="3:12" ht="20.100000000000001" customHeight="1" x14ac:dyDescent="0.25">
      <c r="C50" s="24"/>
      <c r="D50" s="1"/>
      <c r="E50" s="1"/>
      <c r="F50" s="1"/>
      <c r="G50" s="1"/>
      <c r="H50" s="124"/>
      <c r="I50" s="124"/>
      <c r="J50" s="124"/>
      <c r="K50" s="124"/>
      <c r="L50" s="24"/>
    </row>
    <row r="51" spans="3:12" ht="20.100000000000001" customHeight="1" x14ac:dyDescent="0.25">
      <c r="C51" s="24"/>
      <c r="D51" s="1"/>
      <c r="E51" s="1"/>
      <c r="F51" s="1"/>
      <c r="G51" s="1"/>
      <c r="H51" s="124"/>
      <c r="I51" s="124"/>
      <c r="J51" s="124"/>
      <c r="K51" s="124"/>
      <c r="L51" s="24"/>
    </row>
    <row r="52" spans="3:12" ht="20.100000000000001" customHeight="1" x14ac:dyDescent="0.25">
      <c r="C52" s="24"/>
      <c r="D52" s="1"/>
      <c r="E52" s="1"/>
      <c r="F52" s="1"/>
      <c r="G52" s="1"/>
      <c r="H52" s="124"/>
      <c r="I52" s="124"/>
      <c r="J52" s="124"/>
      <c r="K52" s="124"/>
      <c r="L52" s="24"/>
    </row>
    <row r="53" spans="3:12" ht="20.100000000000001" customHeight="1" x14ac:dyDescent="0.25">
      <c r="C53" s="24"/>
      <c r="D53" s="1"/>
      <c r="E53" s="1"/>
      <c r="F53" s="1"/>
      <c r="G53" s="1"/>
      <c r="H53" s="124"/>
      <c r="I53" s="124"/>
      <c r="J53" s="124"/>
      <c r="K53" s="124"/>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8" sqref="A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73"/>
      <c r="D4" s="73"/>
      <c r="E4" s="73"/>
      <c r="F4" s="73"/>
      <c r="G4" s="73"/>
      <c r="H4" s="73"/>
      <c r="I4" s="73"/>
      <c r="J4" s="73"/>
      <c r="K4" s="73"/>
    </row>
    <row r="5" spans="1:24" ht="20.100000000000001" customHeight="1" x14ac:dyDescent="0.25">
      <c r="D5" s="6" t="s">
        <v>15</v>
      </c>
      <c r="N5" s="43"/>
    </row>
    <row r="6" spans="1:24" ht="20.100000000000001" customHeight="1" x14ac:dyDescent="0.25">
      <c r="A6" s="20" t="s">
        <v>3</v>
      </c>
      <c r="D6" s="14"/>
      <c r="N6" s="44"/>
    </row>
    <row r="7" spans="1:24" ht="20.100000000000001" customHeight="1" x14ac:dyDescent="0.25">
      <c r="A7" s="21" t="str">
        <f>HYPERLINK("#'Input - Site'!A1", "Site")</f>
        <v>Site</v>
      </c>
      <c r="D7" s="1" t="s">
        <v>7</v>
      </c>
      <c r="E7" s="35" t="s">
        <v>6</v>
      </c>
      <c r="F7" s="2"/>
    </row>
    <row r="8" spans="1:24" ht="20.100000000000001" customHeight="1" x14ac:dyDescent="0.25">
      <c r="A8" s="17" t="str">
        <f>HYPERLINK("#'Input - Feedlot'!A1", "Feedlot")</f>
        <v>Feedlot</v>
      </c>
      <c r="D8" s="10" t="s">
        <v>72</v>
      </c>
      <c r="E8" s="35" t="s">
        <v>73</v>
      </c>
    </row>
    <row r="9" spans="1:24" ht="20.100000000000001" customHeight="1" x14ac:dyDescent="0.25">
      <c r="A9" s="17"/>
      <c r="N9" s="45"/>
    </row>
    <row r="10" spans="1:24" ht="20.100000000000001" customHeight="1" x14ac:dyDescent="0.25">
      <c r="A10" s="19" t="s">
        <v>76</v>
      </c>
      <c r="D10" s="98" t="s">
        <v>90</v>
      </c>
      <c r="E10" s="96"/>
      <c r="F10" s="99"/>
      <c r="G10" s="93"/>
      <c r="N10" s="45"/>
    </row>
    <row r="11" spans="1:24" ht="20.100000000000001" customHeight="1" x14ac:dyDescent="0.25">
      <c r="A11" s="17" t="str">
        <f>HYPERLINK("#'4.1.1.1-2 Methane'!A1", "4.1.1.1-2 Methane")</f>
        <v>4.1.1.1-2 Methane</v>
      </c>
      <c r="N11" s="46"/>
    </row>
    <row r="12" spans="1:24" ht="20.100000000000001" customHeight="1" x14ac:dyDescent="0.25">
      <c r="A12" s="17" t="str">
        <f>HYPERLINK("#'4.1.1.3-4 Direct N20'!A1", "4.1.1.3-4 Direct N2O")</f>
        <v>4.1.1.3-4 Direct N2O</v>
      </c>
      <c r="D12" s="10" t="s">
        <v>96</v>
      </c>
      <c r="E12" s="67">
        <v>45292</v>
      </c>
      <c r="F12" s="2" t="s">
        <v>70</v>
      </c>
    </row>
    <row r="13" spans="1:24" ht="20.100000000000001" customHeight="1" x14ac:dyDescent="0.25">
      <c r="A13" s="17" t="str">
        <f>HYPERLINK("#'4.1.1.5-6 Atmos Deposition'!A1", "4.1.1.5-6 Atmospheric deposition")</f>
        <v>4.1.1.5-6 Atmospheric deposition</v>
      </c>
      <c r="D13" s="10" t="s">
        <v>97</v>
      </c>
      <c r="E13" s="74">
        <f>DATE(YEAR(E12)+1,MONTH(E12),DAY(E12))-1</f>
        <v>45657</v>
      </c>
      <c r="F13" s="2" t="s">
        <v>17</v>
      </c>
      <c r="N13" s="40"/>
      <c r="O13" s="40"/>
    </row>
    <row r="14" spans="1:24" ht="20.100000000000001" customHeight="1" x14ac:dyDescent="0.25">
      <c r="A14" s="17" t="str">
        <f>HYPERLINK("#'4.1.1.9 Manure applied to soils'!A1", "4.1.1.9 Manure applied to soils")</f>
        <v>4.1.1.9 Manure applied to soils</v>
      </c>
      <c r="N14" s="40"/>
      <c r="O14" s="40"/>
    </row>
    <row r="15" spans="1:24" ht="20.100000000000001" customHeight="1" x14ac:dyDescent="0.25">
      <c r="A15"/>
      <c r="N15" s="40"/>
      <c r="O15" s="40"/>
    </row>
    <row r="16" spans="1:24" ht="20.100000000000001" customHeight="1" x14ac:dyDescent="0.25">
      <c r="A16" s="18" t="s">
        <v>4</v>
      </c>
      <c r="D16" s="6" t="s">
        <v>14</v>
      </c>
      <c r="N16" s="40"/>
      <c r="O16" s="40"/>
    </row>
    <row r="17" spans="1:25" ht="20.100000000000001" customHeight="1" x14ac:dyDescent="0.25">
      <c r="A17" s="17" t="str">
        <f>HYPERLINK("#'Constants - Feedlot'!A1", "Constants - Feedlot")</f>
        <v>Constants - Feedlot</v>
      </c>
    </row>
    <row r="18" spans="1:25" ht="20.100000000000001" customHeight="1" x14ac:dyDescent="0.25">
      <c r="A18" s="17" t="str">
        <f>HYPERLINK("#'Constants - Livestock'!A1", "Constants - Livestock")</f>
        <v>Constants - Livestock</v>
      </c>
      <c r="D18" s="100" t="s">
        <v>16</v>
      </c>
      <c r="E18" s="95"/>
      <c r="F18" s="95"/>
      <c r="G18" s="91"/>
    </row>
    <row r="19" spans="1:25" ht="20.100000000000001" customHeight="1" x14ac:dyDescent="0.25">
      <c r="A19" s="17" t="str">
        <f>HYPERLINK("#'Constants - Common'!A1", "Constants - Common")</f>
        <v>Constants - Common</v>
      </c>
      <c r="D19" s="97" t="s">
        <v>71</v>
      </c>
      <c r="E19" s="94"/>
      <c r="F19" s="94"/>
      <c r="G19" s="92"/>
      <c r="N19" s="43"/>
    </row>
    <row r="20" spans="1:25" ht="20.100000000000001" customHeight="1" x14ac:dyDescent="0.25">
      <c r="A20" s="17" t="str">
        <f>HYPERLINK("#'Acknowledgements'!A1", "Acknowledgements")</f>
        <v>Acknowledgements</v>
      </c>
      <c r="D20" s="1"/>
      <c r="E20" s="33"/>
      <c r="F20" s="2"/>
      <c r="N20" s="44"/>
    </row>
    <row r="21" spans="1:25" ht="20.100000000000001" customHeight="1" x14ac:dyDescent="0.25">
      <c r="A21"/>
      <c r="D21" s="1" t="s">
        <v>8</v>
      </c>
      <c r="E21" s="42" t="s">
        <v>117</v>
      </c>
      <c r="F21" s="2" t="s">
        <v>11</v>
      </c>
    </row>
    <row r="22" spans="1:25" ht="20.100000000000001" customHeight="1" x14ac:dyDescent="0.25">
      <c r="A22"/>
      <c r="D22" s="1" t="s">
        <v>25</v>
      </c>
      <c r="E22" s="42" t="s">
        <v>34</v>
      </c>
      <c r="F22" s="2" t="s">
        <v>11</v>
      </c>
      <c r="G22" s="1"/>
    </row>
    <row r="23" spans="1:25" ht="20.100000000000001" customHeight="1" x14ac:dyDescent="0.25">
      <c r="A23"/>
      <c r="D23" s="1" t="s">
        <v>9</v>
      </c>
      <c r="E23" s="42" t="s">
        <v>95</v>
      </c>
      <c r="F23" s="2" t="s">
        <v>11</v>
      </c>
    </row>
    <row r="24" spans="1:25" ht="20.100000000000001" customHeight="1" x14ac:dyDescent="0.25">
      <c r="A24"/>
      <c r="D24" s="1" t="s">
        <v>39</v>
      </c>
      <c r="E24" s="35">
        <v>307.7</v>
      </c>
      <c r="F24" s="2" t="s">
        <v>53</v>
      </c>
    </row>
    <row r="25" spans="1:25" ht="20.100000000000001" customHeight="1" x14ac:dyDescent="0.25">
      <c r="A25"/>
      <c r="D25" s="1" t="s">
        <v>61</v>
      </c>
      <c r="E25" s="35">
        <v>18</v>
      </c>
      <c r="F25" s="2" t="s">
        <v>12</v>
      </c>
      <c r="N25" s="44"/>
    </row>
    <row r="26" spans="1:25" ht="20.100000000000001" customHeight="1" x14ac:dyDescent="0.25">
      <c r="A26"/>
      <c r="D26" s="1" t="s">
        <v>62</v>
      </c>
      <c r="E26" s="35">
        <v>601</v>
      </c>
      <c r="F26" s="2" t="s">
        <v>13</v>
      </c>
    </row>
    <row r="27" spans="1:25" ht="20.100000000000001" customHeight="1" x14ac:dyDescent="0.25">
      <c r="A27"/>
      <c r="D27" s="10" t="s">
        <v>63</v>
      </c>
      <c r="E27" s="35">
        <v>1326</v>
      </c>
      <c r="F27" s="2" t="s">
        <v>13</v>
      </c>
    </row>
    <row r="28" spans="1:25" ht="20.100000000000001" customHeight="1" x14ac:dyDescent="0.25">
      <c r="A28"/>
      <c r="D28" s="1" t="s">
        <v>64</v>
      </c>
      <c r="E28" s="35">
        <v>7</v>
      </c>
      <c r="F28" s="2" t="s">
        <v>54</v>
      </c>
    </row>
    <row r="29" spans="1:25" ht="20.100000000000001" customHeight="1" x14ac:dyDescent="0.25">
      <c r="A29"/>
      <c r="D29" s="10" t="s">
        <v>60</v>
      </c>
      <c r="E29" s="55">
        <f>E26/E27</f>
        <v>0.45324283559577677</v>
      </c>
      <c r="F29" s="2"/>
    </row>
    <row r="30" spans="1:25" ht="20.100000000000001" customHeight="1" x14ac:dyDescent="0.25">
      <c r="A30"/>
      <c r="D30" s="10" t="s">
        <v>35</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52</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15" zoomScaleNormal="100" workbookViewId="0">
      <selection activeCell="K34" sqref="K34"/>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1" customFormat="1" ht="30" customHeight="1" x14ac:dyDescent="0.35">
      <c r="A1" s="71" t="e" vm="1">
        <v>#VALUE!</v>
      </c>
      <c r="C1" s="71" t="s">
        <v>107</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HYPERLINK("#'Results'!A1", "Results")</f>
        <v>Results</v>
      </c>
    </row>
    <row r="5" spans="1:21" ht="20.100000000000001" customHeight="1" x14ac:dyDescent="0.25">
      <c r="A5" s="16"/>
      <c r="D5" s="6" t="s">
        <v>121</v>
      </c>
    </row>
    <row r="6" spans="1:21" ht="20.100000000000001" customHeight="1" x14ac:dyDescent="0.25">
      <c r="A6" s="20" t="s">
        <v>3</v>
      </c>
    </row>
    <row r="7" spans="1:21" ht="20.100000000000001" customHeight="1" x14ac:dyDescent="0.25">
      <c r="A7" s="17" t="str">
        <f>HYPERLINK("#'Input - Site'!A1", "Site")</f>
        <v>Site</v>
      </c>
      <c r="D7" s="66"/>
      <c r="E7" s="41" t="s">
        <v>141</v>
      </c>
      <c r="F7" s="41" t="s">
        <v>142</v>
      </c>
      <c r="G7" s="41" t="s">
        <v>143</v>
      </c>
    </row>
    <row r="8" spans="1:21" ht="20.100000000000001" customHeight="1" x14ac:dyDescent="0.25">
      <c r="A8" s="21" t="str">
        <f>HYPERLINK("#'Input - Feedlot'!A1", "Feedlot")</f>
        <v>Feedlot</v>
      </c>
      <c r="D8" s="1" t="str">
        <f>"Average number of head between " &amp; TEXT('Input - Site'!$E$12, "dd mmm yy") &amp; " and " &amp; TEXT('Input - Site'!$E$13, "dd mmm yy")</f>
        <v>Average number of head between 01 Jan 24 and 31 Dec 24</v>
      </c>
      <c r="E8" s="108">
        <v>4300</v>
      </c>
      <c r="F8" s="108">
        <v>100</v>
      </c>
      <c r="G8" s="108">
        <v>100</v>
      </c>
      <c r="H8" s="2" t="s">
        <v>123</v>
      </c>
      <c r="I8" s="2"/>
      <c r="J8" s="2"/>
      <c r="K8" s="2"/>
    </row>
    <row r="9" spans="1:21" ht="20.100000000000001" customHeight="1" x14ac:dyDescent="0.25">
      <c r="A9" s="17"/>
      <c r="D9" s="1" t="str">
        <f>"Average duration of stay between " &amp; TEXT('Input - Site'!$E$12, "dd mmm yy") &amp; " and " &amp; TEXT('Input - Site'!$E$13, "dd mmm yy")</f>
        <v>Average duration of stay between 01 Jan 24 and 31 Dec 24</v>
      </c>
      <c r="E9" s="108">
        <v>90</v>
      </c>
      <c r="F9" s="108">
        <v>140</v>
      </c>
      <c r="G9" s="108">
        <v>250</v>
      </c>
      <c r="H9" s="2" t="s">
        <v>336</v>
      </c>
      <c r="I9" s="2"/>
      <c r="J9" s="2"/>
      <c r="K9" s="2"/>
    </row>
    <row r="10" spans="1:21" ht="20.100000000000001" customHeight="1" x14ac:dyDescent="0.25">
      <c r="A10" s="19" t="s">
        <v>76</v>
      </c>
    </row>
    <row r="11" spans="1:21" ht="20.100000000000001" customHeight="1" x14ac:dyDescent="0.25">
      <c r="A11" s="17" t="str">
        <f>HYPERLINK("#'4.1.1.1-2 Methane'!A1", "4.1.1.1-2 Methane")</f>
        <v>4.1.1.1-2 Methane</v>
      </c>
      <c r="D11" s="6" t="s">
        <v>103</v>
      </c>
    </row>
    <row r="12" spans="1:21" ht="20.100000000000001" customHeight="1" x14ac:dyDescent="0.25">
      <c r="A12" s="17" t="str">
        <f>HYPERLINK("#'4.1.1.3-4 Direct N20'!A1", "4.1.1.3-4 Direct N2O")</f>
        <v>4.1.1.3-4 Direct N2O</v>
      </c>
    </row>
    <row r="13" spans="1:21" ht="20.100000000000001" customHeight="1" x14ac:dyDescent="0.25">
      <c r="A13" s="17" t="str">
        <f>HYPERLINK("#'4.1.1.5-6 Atmos Deposition'!A1", "4.1.1.5-6 Atmospheric deposition")</f>
        <v>4.1.1.5-6 Atmospheric deposition</v>
      </c>
      <c r="D13" s="66" t="s">
        <v>304</v>
      </c>
      <c r="E13" s="41" t="s">
        <v>141</v>
      </c>
      <c r="F13" s="41" t="s">
        <v>142</v>
      </c>
      <c r="G13" s="41" t="s">
        <v>143</v>
      </c>
    </row>
    <row r="14" spans="1:21" ht="20.100000000000001" customHeight="1" x14ac:dyDescent="0.25">
      <c r="A14" s="17" t="str">
        <f>HYPERLINK("#'4.1.1.9 Manure applied to soils'!A1", "4.1.1.9 Manure applied to soils")</f>
        <v>4.1.1.9 Manure applied to soils</v>
      </c>
      <c r="D14" s="1" t="s">
        <v>147</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108</v>
      </c>
      <c r="I14" s="2"/>
      <c r="J14" s="2"/>
      <c r="K14" s="2"/>
    </row>
    <row r="15" spans="1:21" ht="20.100000000000001" customHeight="1" x14ac:dyDescent="0.25">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337</v>
      </c>
      <c r="I15" s="2"/>
      <c r="J15" s="2"/>
      <c r="K15" s="2"/>
    </row>
    <row r="16" spans="1:21" ht="20.100000000000001" customHeight="1" x14ac:dyDescent="0.25">
      <c r="A16" s="18" t="s">
        <v>4</v>
      </c>
      <c r="D16" s="1" t="s">
        <v>134</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337</v>
      </c>
      <c r="I16" s="2"/>
      <c r="J16" s="2"/>
      <c r="K16" s="2"/>
    </row>
    <row r="17" spans="1:11" ht="20.100000000000001" customHeight="1" x14ac:dyDescent="0.25">
      <c r="A17" s="17" t="str">
        <f>HYPERLINK("#'Constants - Feedlot'!A1", "Constants - Feedlot")</f>
        <v>Constants - Feedlot</v>
      </c>
      <c r="D17" s="1" t="s">
        <v>151</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339</v>
      </c>
      <c r="I17" s="2"/>
      <c r="J17" s="2"/>
      <c r="K17" s="2"/>
    </row>
    <row r="18" spans="1:11" ht="20.100000000000001" customHeight="1" x14ac:dyDescent="0.25">
      <c r="A18" s="17" t="str">
        <f>HYPERLINK("#'Constants - Livestock'!A1", "Constants - Livestock")</f>
        <v>Constants - Livestock</v>
      </c>
    </row>
    <row r="19" spans="1:11" ht="20.100000000000001" customHeight="1" x14ac:dyDescent="0.25">
      <c r="A19" s="17" t="str">
        <f>HYPERLINK("#'Constants - Common'!A1", "Constants - Common")</f>
        <v>Constants - Common</v>
      </c>
      <c r="D19" s="66" t="s">
        <v>305</v>
      </c>
      <c r="E19" s="41" t="s">
        <v>141</v>
      </c>
      <c r="F19" s="41" t="s">
        <v>142</v>
      </c>
      <c r="G19" s="41" t="s">
        <v>143</v>
      </c>
    </row>
    <row r="20" spans="1:11" ht="20.100000000000001" customHeight="1" x14ac:dyDescent="0.25">
      <c r="A20" s="17" t="str">
        <f>HYPERLINK("#'Acknowledgements'!A1", "Acknowledgements")</f>
        <v>Acknowledgements</v>
      </c>
      <c r="D20" s="1" t="s">
        <v>147</v>
      </c>
      <c r="E20" s="69" cm="1">
        <f t="array" ref="E20">_xlfn.XLOOKUP(1, (Table_SourceData_Feedlot_AnimalCharacteristics[Feedlot type] = E$19) * (Table_SourceData_Feedlot_AnimalCharacteristics[Characteristic] = $D$20), Table_SourceData_Feedlot_AnimalCharacteristics[2020-2023], "Not Found")</f>
        <v>10.4</v>
      </c>
      <c r="F20" s="69" cm="1">
        <f t="array" ref="F20">_xlfn.XLOOKUP(1, (Table_SourceData_Feedlot_AnimalCharacteristics[Feedlot type] = F$19) * (Table_SourceData_Feedlot_AnimalCharacteristics[Characteristic] = $D$20), Table_SourceData_Feedlot_AnimalCharacteristics[2020-2023], "Not Found")</f>
        <v>10.8</v>
      </c>
      <c r="G20" s="69" cm="1">
        <f t="array" ref="G20">_xlfn.XLOOKUP(1, (Table_SourceData_Feedlot_AnimalCharacteristics[Feedlot type] = G$19) * (Table_SourceData_Feedlot_AnimalCharacteristics[Characteristic] = $D$20), Table_SourceData_Feedlot_AnimalCharacteristics[2020-2023], "Not Found")</f>
        <v>8.1999999999999993</v>
      </c>
      <c r="H20" s="2" t="s">
        <v>108</v>
      </c>
      <c r="I20" s="2"/>
      <c r="J20" s="2"/>
      <c r="K20" s="2"/>
    </row>
    <row r="21" spans="1:11" ht="20.100000000000001" customHeight="1" x14ac:dyDescent="0.25">
      <c r="D21" s="1" t="s">
        <v>18</v>
      </c>
      <c r="E21" s="69" cm="1">
        <f t="array" ref="E21">_xlfn.XLOOKUP(1, (Table_SourceData_Feedlot_DietProperties[Feedlot type] = E$19) * (Table_SourceData_Feedlot_DietProperties[Nutrient analysis] = $D$21), Table_SourceData_Feedlot_DietProperties[2020-2023 Converted to fraction], "Not Found")</f>
        <v>0.81</v>
      </c>
      <c r="F21" s="69" cm="1">
        <f t="array" ref="F21">_xlfn.XLOOKUP(1, (Table_SourceData_Feedlot_DietProperties[Feedlot type] = F$19) * (Table_SourceData_Feedlot_DietProperties[Nutrient analysis] = $D$21), Table_SourceData_Feedlot_DietProperties[2020-2023 Converted to fraction], "Not Found")</f>
        <v>0.81</v>
      </c>
      <c r="G21" s="69" cm="1">
        <f t="array" ref="G21">_xlfn.XLOOKUP(1, (Table_SourceData_Feedlot_DietProperties[Feedlot type] = G$19) * (Table_SourceData_Feedlot_DietProperties[Nutrient analysis] = $D$21), Table_SourceData_Feedlot_DietProperties[2020-2023 Converted to fraction], "Not Found")</f>
        <v>0.81</v>
      </c>
      <c r="H21" s="2" t="s">
        <v>337</v>
      </c>
      <c r="I21" s="2"/>
      <c r="J21" s="2"/>
      <c r="K21" s="2"/>
    </row>
    <row r="22" spans="1:11" ht="20.100000000000001" customHeight="1" x14ac:dyDescent="0.25">
      <c r="D22" s="1" t="s">
        <v>134</v>
      </c>
      <c r="E22" s="69" cm="1">
        <f t="array" ref="E22">_xlfn.XLOOKUP(1, (Table_SourceData_Feedlot_DietProperties[Feedlot type] = E$19) * (Table_SourceData_Feedlot_DietProperties[Nutrient analysis] = $D$22), Table_SourceData_Feedlot_DietProperties[2020-2023 Converted to fraction], "Not Found")</f>
        <v>0.14000000000000001</v>
      </c>
      <c r="F22" s="69" cm="1">
        <f t="array" ref="F22">_xlfn.XLOOKUP(1, (Table_SourceData_Feedlot_DietProperties[Feedlot type] = F$19) * (Table_SourceData_Feedlot_DietProperties[Nutrient analysis] = $D$22), Table_SourceData_Feedlot_DietProperties[2020-2023 Converted to fraction], "Not Found")</f>
        <v>0.12</v>
      </c>
      <c r="G22" s="69" cm="1">
        <f t="array" ref="G22">_xlfn.XLOOKUP(1, (Table_SourceData_Feedlot_DietProperties[Feedlot type] = G$19) * (Table_SourceData_Feedlot_DietProperties[Nutrient analysis] = $D$22), Table_SourceData_Feedlot_DietProperties[2020-2023 Converted to fraction], "Not Found")</f>
        <v>0.12</v>
      </c>
      <c r="H22" s="2" t="s">
        <v>337</v>
      </c>
      <c r="I22" s="2"/>
      <c r="J22" s="2"/>
      <c r="K22" s="2"/>
    </row>
    <row r="23" spans="1:11" ht="20.100000000000001" customHeight="1" x14ac:dyDescent="0.25">
      <c r="D23" s="1" t="s">
        <v>151</v>
      </c>
      <c r="E23" s="69" cm="1">
        <f t="array" ref="E23">_xlfn.XLOOKUP(1, (Table_SourceData_Feedlot_AnimalCharacteristics[Feedlot type] = E$19) * (Table_SourceData_Feedlot_AnimalCharacteristics[Characteristic] = $D$23), Table_SourceData_Feedlot_AnimalCharacteristics[2020-2023], "Not Found")</f>
        <v>20.399999999999999</v>
      </c>
      <c r="F23" s="69" cm="1">
        <f t="array" ref="F23">_xlfn.XLOOKUP(1, (Table_SourceData_Feedlot_AnimalCharacteristics[Feedlot type] = F$19) * (Table_SourceData_Feedlot_AnimalCharacteristics[Characteristic] = $D$23), Table_SourceData_Feedlot_AnimalCharacteristics[2020-2023], "Not Found")</f>
        <v>12.7</v>
      </c>
      <c r="G23" s="69" cm="1">
        <f t="array" ref="G23">_xlfn.XLOOKUP(1, (Table_SourceData_Feedlot_AnimalCharacteristics[Feedlot type] = G$19) * (Table_SourceData_Feedlot_AnimalCharacteristics[Characteristic] = $D$23), Table_SourceData_Feedlot_AnimalCharacteristics[2020-2023], "Not Found")</f>
        <v>7</v>
      </c>
      <c r="H23" s="2" t="s">
        <v>339</v>
      </c>
      <c r="I23" s="2"/>
      <c r="J23" s="2"/>
      <c r="K23" s="2"/>
    </row>
    <row r="24" spans="1:11" ht="20.100000000000001" customHeight="1" x14ac:dyDescent="0.25"/>
    <row r="25" spans="1:11" ht="20.100000000000001" customHeight="1" x14ac:dyDescent="0.25">
      <c r="A25" s="17"/>
      <c r="D25" s="6" t="s">
        <v>112</v>
      </c>
    </row>
    <row r="26" spans="1:11" ht="20.100000000000001" customHeight="1" x14ac:dyDescent="0.25">
      <c r="A26" s="17"/>
    </row>
    <row r="27" spans="1:11" ht="20.100000000000001" customHeight="1" x14ac:dyDescent="0.25">
      <c r="A27" s="17"/>
      <c r="D27" s="66" t="s">
        <v>106</v>
      </c>
      <c r="E27" s="101" t="s">
        <v>141</v>
      </c>
      <c r="F27" s="101" t="s">
        <v>142</v>
      </c>
      <c r="G27" s="101" t="s">
        <v>143</v>
      </c>
    </row>
    <row r="28" spans="1:11" ht="20.100000000000001" customHeight="1" x14ac:dyDescent="0.25">
      <c r="A28" s="17"/>
      <c r="D28" s="141" t="s">
        <v>101</v>
      </c>
      <c r="E28" s="102">
        <v>1</v>
      </c>
      <c r="F28" s="102">
        <v>1</v>
      </c>
      <c r="G28" s="102">
        <v>1</v>
      </c>
      <c r="H28" s="2" t="s">
        <v>338</v>
      </c>
      <c r="I28" s="2"/>
      <c r="J28" s="2"/>
      <c r="K28" s="2"/>
    </row>
    <row r="29" spans="1:11" ht="20.100000000000001" customHeight="1" x14ac:dyDescent="0.25">
      <c r="A29" s="17"/>
      <c r="D29" s="138" t="s">
        <v>330</v>
      </c>
    </row>
    <row r="30" spans="1:11" ht="20.100000000000001" customHeight="1" x14ac:dyDescent="0.25">
      <c r="A30" s="17"/>
      <c r="D30" s="139" t="s">
        <v>102</v>
      </c>
      <c r="E30" s="101" t="s">
        <v>141</v>
      </c>
      <c r="F30" s="101" t="s">
        <v>142</v>
      </c>
      <c r="G30" s="101" t="s">
        <v>143</v>
      </c>
      <c r="H30" s="144" t="s">
        <v>334</v>
      </c>
      <c r="I30" s="66" t="s">
        <v>341</v>
      </c>
      <c r="J30" s="66"/>
      <c r="K30" s="66"/>
    </row>
    <row r="31" spans="1:11" ht="20.100000000000001" customHeight="1" x14ac:dyDescent="0.25">
      <c r="A31" s="70"/>
      <c r="D31" s="142" t="str">
        <f>"From Stage 1: " &amp; $D$28 &amp; " to:"</f>
        <v>From Stage 1: Drylot (feed pad) to:</v>
      </c>
      <c r="E31" s="58"/>
      <c r="I31" s="131" t="s">
        <v>331</v>
      </c>
      <c r="J31" s="131" t="s">
        <v>332</v>
      </c>
      <c r="K31" s="131" t="s">
        <v>333</v>
      </c>
    </row>
    <row r="32" spans="1:11" ht="20.100000000000001" customHeight="1" x14ac:dyDescent="0.25">
      <c r="A32" s="70"/>
      <c r="D32" s="143" t="str">
        <f>'Constants - Feedlot'!D29</f>
        <v>Solid storage</v>
      </c>
      <c r="E32" s="49">
        <v>0.2</v>
      </c>
      <c r="F32" s="49">
        <v>0.2</v>
      </c>
      <c r="G32" s="49">
        <v>0.2</v>
      </c>
      <c r="H32" s="2" t="s">
        <v>338</v>
      </c>
      <c r="I32" s="49">
        <v>0.25</v>
      </c>
      <c r="J32" s="49">
        <v>0.25</v>
      </c>
      <c r="K32" s="102">
        <f t="shared" ref="K32:K34" si="0">1-SUM(I32:J32)</f>
        <v>0.5</v>
      </c>
    </row>
    <row r="33" spans="1:11" ht="20.100000000000001" customHeight="1" x14ac:dyDescent="0.25">
      <c r="A33" s="17"/>
      <c r="D33" s="143" t="str">
        <f>'Constants - Feedlot'!D30</f>
        <v>Composting (passive windrow)</v>
      </c>
      <c r="E33" s="49">
        <v>0.2</v>
      </c>
      <c r="F33" s="49">
        <v>0.2</v>
      </c>
      <c r="G33" s="49">
        <v>0.2</v>
      </c>
      <c r="H33" s="2" t="s">
        <v>338</v>
      </c>
      <c r="I33" s="49">
        <v>0.25</v>
      </c>
      <c r="J33" s="49">
        <v>0.25</v>
      </c>
      <c r="K33" s="102">
        <f t="shared" si="0"/>
        <v>0.5</v>
      </c>
    </row>
    <row r="34" spans="1:11" ht="20.100000000000001" customHeight="1" x14ac:dyDescent="0.25">
      <c r="D34" s="143" t="s">
        <v>329</v>
      </c>
      <c r="E34" s="102">
        <f>1-SUM(E32, E33)</f>
        <v>0.6</v>
      </c>
      <c r="F34" s="102">
        <f t="shared" ref="F34:G34" si="1">1-SUM(F32, F33)</f>
        <v>0.6</v>
      </c>
      <c r="G34" s="102">
        <f t="shared" si="1"/>
        <v>0.6</v>
      </c>
      <c r="H34" s="2" t="s">
        <v>338</v>
      </c>
      <c r="I34" s="102">
        <v>0</v>
      </c>
      <c r="J34" s="102">
        <v>0</v>
      </c>
      <c r="K34" s="102">
        <f t="shared" si="0"/>
        <v>1</v>
      </c>
    </row>
    <row r="35" spans="1:11" ht="20.100000000000001" customHeight="1" x14ac:dyDescent="0.25"/>
    <row r="36" spans="1:11" ht="20.100000000000001" customHeight="1" x14ac:dyDescent="0.25">
      <c r="D36" s="140" t="s">
        <v>119</v>
      </c>
      <c r="E36" s="101" t="s">
        <v>141</v>
      </c>
      <c r="F36" s="101" t="s">
        <v>142</v>
      </c>
      <c r="G36" s="101" t="s">
        <v>143</v>
      </c>
      <c r="H36" s="144" t="s">
        <v>334</v>
      </c>
      <c r="I36" s="66" t="s">
        <v>340</v>
      </c>
      <c r="J36" s="66"/>
      <c r="K36" s="66"/>
    </row>
    <row r="37" spans="1:11" ht="20.100000000000001" customHeight="1" x14ac:dyDescent="0.25">
      <c r="D37" s="142" t="str">
        <f>"From Stage 1: " &amp; $D$28 &amp; " to:"</f>
        <v>From Stage 1: Drylot (feed pad) to:</v>
      </c>
      <c r="I37" s="131" t="s">
        <v>331</v>
      </c>
      <c r="J37" s="131" t="s">
        <v>332</v>
      </c>
      <c r="K37" s="131" t="s">
        <v>333</v>
      </c>
    </row>
    <row r="38" spans="1:11" ht="20.100000000000001" customHeight="1" x14ac:dyDescent="0.25">
      <c r="D38" s="143" t="str">
        <f>'Constants - Feedlot'!$D$32</f>
        <v>Anaerobic lagoon</v>
      </c>
      <c r="E38" s="102">
        <f>'Constants - Feedlot'!$E$12</f>
        <v>0.02</v>
      </c>
      <c r="F38" s="102">
        <f>'Constants - Feedlot'!$E$12</f>
        <v>0.02</v>
      </c>
      <c r="G38" s="102">
        <f>'Constants - Feedlot'!$E$12</f>
        <v>0.02</v>
      </c>
      <c r="H38" s="2" t="s">
        <v>338</v>
      </c>
      <c r="I38" s="49">
        <v>0.25</v>
      </c>
      <c r="J38" s="49">
        <v>0.25</v>
      </c>
      <c r="K38" s="102">
        <f>1-SUM(I38:J38)</f>
        <v>0.5</v>
      </c>
    </row>
    <row r="39" spans="1:11" ht="20.100000000000001" customHeight="1" x14ac:dyDescent="0.25">
      <c r="A39" s="17"/>
    </row>
    <row r="40" spans="1:11" ht="20.100000000000001" customHeight="1" x14ac:dyDescent="0.25"/>
    <row r="41" spans="1:11" ht="20.100000000000001" customHeight="1" x14ac:dyDescent="0.25">
      <c r="A41" s="47"/>
      <c r="D41" s="1" t="s">
        <v>314</v>
      </c>
      <c r="E41" s="42" t="s">
        <v>278</v>
      </c>
      <c r="F41" s="2" t="s">
        <v>11</v>
      </c>
    </row>
    <row r="42" spans="1:11" ht="20.100000000000001" customHeight="1" x14ac:dyDescent="0.25">
      <c r="E42" s="42" t="s">
        <v>282</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5"/>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73"/>
  <sheetViews>
    <sheetView showGridLines="0" topLeftCell="B10" zoomScale="85" zoomScaleNormal="85" workbookViewId="0">
      <selection activeCell="J34" sqref="J3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1" t="e" vm="1">
        <v>#VALUE!</v>
      </c>
      <c r="C1" s="8" t="s">
        <v>264</v>
      </c>
    </row>
    <row r="2" spans="1:19" s="9" customFormat="1" ht="20.100000000000001" customHeight="1" x14ac:dyDescent="0.25"/>
    <row r="3" spans="1:19" ht="20.100000000000001" customHeight="1" x14ac:dyDescent="0.25">
      <c r="A3" s="17" t="str">
        <f>HYPERLINK("#'Home'!A1", "Home")</f>
        <v>Home</v>
      </c>
      <c r="C3" s="4"/>
      <c r="D3" s="4" t="s">
        <v>162</v>
      </c>
      <c r="E3" s="4"/>
      <c r="F3" s="4"/>
      <c r="G3" s="4"/>
      <c r="H3" s="4"/>
      <c r="I3" s="4"/>
      <c r="J3" s="4"/>
      <c r="L3" s="4"/>
      <c r="M3" s="4" t="s">
        <v>163</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MMS_Feedlot_Methane_Equations.VEERG_4_1_1_1__5_VolatileSolidProduction_Title()</f>
        <v>Volatile solid production</v>
      </c>
    </row>
    <row r="6" spans="1:19" ht="20.100000000000001" customHeight="1" x14ac:dyDescent="0.25">
      <c r="A6" s="20" t="s">
        <v>3</v>
      </c>
      <c r="D6" s="5" t="str" cm="1">
        <f t="array" ref="D6">MMS_Feedlot_Methane_Equations.VEERG_4_1_1_1__5_VolatileSolidProduction_Source()</f>
        <v>VEERG 2026: 4.1.1.1, Equation (5)</v>
      </c>
    </row>
    <row r="7" spans="1:19" ht="20.100000000000001" customHeight="1" x14ac:dyDescent="0.25">
      <c r="A7" s="17" t="str">
        <f>HYPERLINK("#'Input - Site'!A1", "Site")</f>
        <v>Site</v>
      </c>
      <c r="D7" s="13" t="s">
        <v>26</v>
      </c>
      <c r="E7" s="13" t="str" cm="1">
        <f t="array" aca="1" ref="E7" ca="1">Common_InputFunctions.Utility_DisplayFunctionName(D30)</f>
        <v>=MMS_Feedlot_Methane_Equations.VEERG_4_1_1_1__5_VolatileSolidProduction</v>
      </c>
    </row>
    <row r="8" spans="1:19" ht="20.100000000000001" customHeight="1" x14ac:dyDescent="0.25">
      <c r="A8" s="17" t="str">
        <f>HYPERLINK("#'Input - Feedlot'!A1", "Feedlot")</f>
        <v>Feedlot</v>
      </c>
    </row>
    <row r="9" spans="1:19" ht="20.100000000000001" customHeight="1" x14ac:dyDescent="0.25">
      <c r="A9" s="17"/>
    </row>
    <row r="10" spans="1:19" ht="20.100000000000001" customHeight="1" x14ac:dyDescent="0.25">
      <c r="A10" s="19" t="s">
        <v>76</v>
      </c>
      <c r="D10" s="56" t="s">
        <v>29</v>
      </c>
      <c r="E10" s="1" t="str" cm="1">
        <f t="array" ref="E10">MMS_Feedlot_Methane_Equations.VEERG_4_1_1_1__5_VolatileSolidProduction_Variable()</f>
        <v>VS_j</v>
      </c>
    </row>
    <row r="11" spans="1:19" ht="20.100000000000001" customHeight="1" x14ac:dyDescent="0.25">
      <c r="A11" s="22" t="str">
        <f>HYPERLINK("#'4.1.1.1-2 Methane'!A1", "4.1.1.1-2 Methane")</f>
        <v>4.1.1.1-2 Methane</v>
      </c>
      <c r="D11" s="56" t="s">
        <v>19</v>
      </c>
      <c r="E11" s="57" t="str" cm="1">
        <f t="array" ref="E11">MMS_Feedlot_Methane_Equations.VEERG_4_1_1_1__5_VolatileSolidProduction_Unit()</f>
        <v>kg/head/day</v>
      </c>
    </row>
    <row r="12" spans="1:19" ht="20.100000000000001" customHeight="1" x14ac:dyDescent="0.25">
      <c r="A12" s="17" t="str">
        <f>HYPERLINK("#'4.1.1.3-4 Direct N20'!A1", "4.1.1.3-4 Direct N2O")</f>
        <v>4.1.1.3-4 Direct N2O</v>
      </c>
    </row>
    <row r="13" spans="1:19" ht="20.100000000000001" customHeight="1" x14ac:dyDescent="0.25">
      <c r="A13" s="17" t="str">
        <f>HYPERLINK("#'4.1.1.5-6 Atmos Deposition'!A1", "4.1.1.5-6 Atmospheric deposition")</f>
        <v>4.1.1.5-6 Atmospheric deposition</v>
      </c>
      <c r="D13" s="60" t="str" cm="1">
        <f t="array" ref="D13:E15">MMS_Feedlot_Methane_Equations.VEERG_4_1_1_1__5_VolatileSolidProduction_Arguments()</f>
        <v>I_j</v>
      </c>
      <c r="E13" s="61" t="str">
        <v>dry matter intake for each group j : kg DM/head/day</v>
      </c>
      <c r="F13" s="62"/>
      <c r="G13" s="60" t="str">
        <f>"See " &amp; D17</f>
        <v>See M1_Table_I_j</v>
      </c>
      <c r="H13" s="136" t="s">
        <v>326</v>
      </c>
    </row>
    <row r="14" spans="1:19" ht="20.100000000000001" customHeight="1" x14ac:dyDescent="0.25">
      <c r="A14" s="17" t="str">
        <f>HYPERLINK("#'4.1.1.9 Manure applied to soils'!A1", "4.1.1.9 Manure applied to soils")</f>
        <v>4.1.1.9 Manure applied to soils</v>
      </c>
      <c r="D14" s="60" t="str">
        <v>DMD_j</v>
      </c>
      <c r="E14" s="61" t="str">
        <v>dry matter digestibility for each group j : fraction</v>
      </c>
      <c r="F14" s="62"/>
      <c r="G14" s="60" t="str">
        <f>"See " &amp; D22</f>
        <v>See M1_Table_DMD_j</v>
      </c>
      <c r="H14" s="136" t="s">
        <v>326</v>
      </c>
    </row>
    <row r="15" spans="1:19" ht="20.100000000000001" customHeight="1" x14ac:dyDescent="0.25">
      <c r="D15" s="60" t="str">
        <v>A</v>
      </c>
      <c r="E15" s="61" t="str">
        <v>ash content of manure : fraction</v>
      </c>
      <c r="F15" s="62"/>
      <c r="G15" s="55">
        <f>'Constants - Feedlot'!$E$17</f>
        <v>0.16</v>
      </c>
      <c r="H15" s="137" t="s">
        <v>328</v>
      </c>
    </row>
    <row r="16" spans="1:19" ht="20.100000000000001" customHeight="1" x14ac:dyDescent="0.25">
      <c r="A16" s="18" t="s">
        <v>4</v>
      </c>
    </row>
    <row r="17" spans="1:16" ht="20.100000000000001" customHeight="1" x14ac:dyDescent="0.25">
      <c r="A17" s="17" t="str">
        <f>HYPERLINK("#'Constants - Feedlot'!A1", "Constants - Feedlot")</f>
        <v>Constants - Feedlot</v>
      </c>
      <c r="D17" s="105" t="s">
        <v>152</v>
      </c>
      <c r="M17" s="105" t="s">
        <v>155</v>
      </c>
    </row>
    <row r="18" spans="1:16" ht="20.100000000000001" customHeight="1" x14ac:dyDescent="0.25">
      <c r="A18" s="17" t="str">
        <f>HYPERLINK("#'Constants - Livestock'!A1", "Constants - Livestock")</f>
        <v>Constants - Livestock</v>
      </c>
      <c r="D18" s="104" t="s">
        <v>200</v>
      </c>
      <c r="M18" s="104" t="s">
        <v>201</v>
      </c>
    </row>
    <row r="19" spans="1:16" ht="20.100000000000001" customHeight="1" x14ac:dyDescent="0.25">
      <c r="A19" s="17" t="str">
        <f>HYPERLINK("#'Constants - Common'!A1", "Constants - Common")</f>
        <v>Constants - Common</v>
      </c>
      <c r="D19" s="41" t="s">
        <v>141</v>
      </c>
      <c r="E19" s="41" t="s">
        <v>142</v>
      </c>
      <c r="F19" s="41" t="s">
        <v>143</v>
      </c>
      <c r="M19" s="41" t="s">
        <v>141</v>
      </c>
      <c r="N19" s="41" t="s">
        <v>142</v>
      </c>
      <c r="O19" s="41" t="s">
        <v>143</v>
      </c>
    </row>
    <row r="20" spans="1:16" ht="20.100000000000001" customHeight="1" x14ac:dyDescent="0.25">
      <c r="A20" s="17" t="str">
        <f>HYPERLINK("#'Acknowledgements'!A1", "Acknowledgements")</f>
        <v>Acknowledgements</v>
      </c>
      <c r="D20" s="55">
        <f>'Input - Feedlot'!$E$14</f>
        <v>10.4</v>
      </c>
      <c r="E20" s="55">
        <f>'Input - Feedlot'!$F$14</f>
        <v>10.8</v>
      </c>
      <c r="F20" s="55">
        <f>'Input - Feedlot'!$G$14</f>
        <v>8.1999999999999993</v>
      </c>
      <c r="G20" s="2" t="s">
        <v>104</v>
      </c>
      <c r="M20" s="55">
        <f>'Input - Feedlot'!$E$20</f>
        <v>10.4</v>
      </c>
      <c r="N20" s="55">
        <f>'Input - Feedlot'!$F$20</f>
        <v>10.8</v>
      </c>
      <c r="O20" s="55">
        <f>'Input - Feedlot'!$G$20</f>
        <v>8.1999999999999993</v>
      </c>
      <c r="P20" s="2" t="s">
        <v>104</v>
      </c>
    </row>
    <row r="21" spans="1:16" ht="20.100000000000001" customHeight="1" x14ac:dyDescent="0.25"/>
    <row r="22" spans="1:16" ht="20.100000000000001" customHeight="1" x14ac:dyDescent="0.25">
      <c r="D22" s="105" t="s">
        <v>204</v>
      </c>
      <c r="M22" s="105" t="s">
        <v>208</v>
      </c>
    </row>
    <row r="23" spans="1:16" ht="20.100000000000001" customHeight="1" x14ac:dyDescent="0.25">
      <c r="D23" s="104" t="s">
        <v>207</v>
      </c>
      <c r="M23" s="104" t="s">
        <v>207</v>
      </c>
    </row>
    <row r="24" spans="1:16" ht="20.100000000000001" customHeight="1" x14ac:dyDescent="0.25">
      <c r="D24" s="41" t="s">
        <v>141</v>
      </c>
      <c r="E24" s="41" t="s">
        <v>142</v>
      </c>
      <c r="F24" s="41" t="s">
        <v>143</v>
      </c>
      <c r="M24" s="41" t="s">
        <v>141</v>
      </c>
      <c r="N24" s="41" t="s">
        <v>142</v>
      </c>
      <c r="O24" s="41" t="s">
        <v>143</v>
      </c>
    </row>
    <row r="25" spans="1:16" ht="20.100000000000001" customHeight="1" x14ac:dyDescent="0.25">
      <c r="D25" s="55">
        <f>'Input - Feedlot'!$E$15</f>
        <v>0.81</v>
      </c>
      <c r="E25" s="55">
        <f>'Input - Feedlot'!$F$15</f>
        <v>0.81</v>
      </c>
      <c r="F25" s="55">
        <f>'Input - Feedlot'!$G$15</f>
        <v>0.81</v>
      </c>
      <c r="G25" s="2" t="s">
        <v>337</v>
      </c>
      <c r="M25" s="55">
        <f>'Input - Feedlot'!$E$21</f>
        <v>0.81</v>
      </c>
      <c r="N25" s="55">
        <f>'Input - Feedlot'!$F$21</f>
        <v>0.81</v>
      </c>
      <c r="O25" s="55">
        <f>'Input - Feedlot'!$G$21</f>
        <v>0.81</v>
      </c>
      <c r="P25" s="2" t="s">
        <v>337</v>
      </c>
    </row>
    <row r="26" spans="1:16" ht="20.100000000000001" customHeight="1" x14ac:dyDescent="0.25"/>
    <row r="27" spans="1:16" ht="20.100000000000001" customHeight="1" x14ac:dyDescent="0.25">
      <c r="D27" s="105" t="s">
        <v>205</v>
      </c>
      <c r="M27" s="105" t="s">
        <v>209</v>
      </c>
    </row>
    <row r="28" spans="1:16" ht="20.100000000000001" customHeight="1" x14ac:dyDescent="0.25">
      <c r="D28" s="104" t="s">
        <v>206</v>
      </c>
      <c r="M28" s="104" t="s">
        <v>210</v>
      </c>
    </row>
    <row r="29" spans="1:16" ht="20.100000000000001" customHeight="1" x14ac:dyDescent="0.25">
      <c r="D29" s="54" t="s">
        <v>141</v>
      </c>
      <c r="E29" s="54" t="s">
        <v>142</v>
      </c>
      <c r="F29" s="54" t="s">
        <v>143</v>
      </c>
      <c r="M29" s="54" t="s">
        <v>141</v>
      </c>
      <c r="N29" s="54" t="s">
        <v>142</v>
      </c>
      <c r="O29" s="54" t="s">
        <v>143</v>
      </c>
    </row>
    <row r="30" spans="1:16" ht="20.100000000000001" customHeight="1" x14ac:dyDescent="0.25">
      <c r="D30" s="55" cm="1">
        <f t="array" ref="D30">MMS_Feedlot_Methane_Equations.VEERG_4_1_1_1__5_VolatileSolidProduction(D20,D25,$G$15)</f>
        <v>1.6598399999999995</v>
      </c>
      <c r="E30" s="55" cm="1">
        <f t="array" ref="E30">MMS_Feedlot_Methane_Equations.VEERG_4_1_1_1__5_VolatileSolidProduction(E20,E25,$G$15)</f>
        <v>1.7236799999999997</v>
      </c>
      <c r="F30" s="55" cm="1">
        <f t="array" ref="F30">MMS_Feedlot_Methane_Equations.VEERG_4_1_1_1__5_VolatileSolidProduction(F20,F25,$G$15)</f>
        <v>1.3087199999999994</v>
      </c>
      <c r="G30" s="2" t="str">
        <f>$E$11</f>
        <v>kg/head/day</v>
      </c>
      <c r="M30" s="55" cm="1">
        <f t="array" ref="M30">MMS_Feedlot_Methane_Equations.VEERG_4_1_1_1__5_VolatileSolidProduction(M20,M25,$G$15)</f>
        <v>1.6598399999999995</v>
      </c>
      <c r="N30" s="55" cm="1">
        <f t="array" ref="N30">MMS_Feedlot_Methane_Equations.VEERG_4_1_1_1__5_VolatileSolidProduction(N20,N25,$G$15)</f>
        <v>1.7236799999999997</v>
      </c>
      <c r="O30" s="55" cm="1">
        <f t="array" ref="O30">MMS_Feedlot_Methane_Equations.VEERG_4_1_1_1__5_VolatileSolidProduction(O20,O25,$G$15)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26</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29</v>
      </c>
      <c r="E39" s="1" t="str" cm="1">
        <f t="array" ref="E39">MMS_Feedlot_Methane_Equations.VEERG_4_1_1_1__2_Stage1MethaneProductionDrylot_Variable()</f>
        <v>M_jm5T1</v>
      </c>
    </row>
    <row r="40" spans="3:18" ht="20.100000000000001" customHeight="1" x14ac:dyDescent="0.25">
      <c r="D40" s="56" t="s">
        <v>19</v>
      </c>
      <c r="E40" s="57" t="str" cm="1">
        <f t="array" ref="E40">MMS_Feedlot_Methane_Equations.VEERG_4_1_1_1__2_Stage1MethaneProductionDrylot_Unit()</f>
        <v>kg CH4/head/day</v>
      </c>
    </row>
    <row r="41" spans="3:18" ht="20.100000000000001" customHeight="1" x14ac:dyDescent="0.25"/>
    <row r="42" spans="3:18" ht="20.100000000000001" customHeight="1" x14ac:dyDescent="0.25">
      <c r="D42" s="60" t="str" cm="1">
        <f t="array" ref="D42:E47">MMS_Feedlot_Methane_Equations.VEERG_4_1_1_1__2_Stage1MethaneProductionDrylot_Arguments()</f>
        <v>VS_j</v>
      </c>
      <c r="E42" s="61" t="str">
        <v>volatile solid production from feedlot cattle in each group : kg/head/day</v>
      </c>
      <c r="F42" s="62"/>
      <c r="G42" s="60" t="str">
        <f>"See " &amp; $D$27</f>
        <v>See M1_Table_VS_j</v>
      </c>
    </row>
    <row r="43" spans="3:18" ht="20.100000000000001" customHeight="1" x14ac:dyDescent="0.25">
      <c r="D43" s="60" t="str">
        <v>BO</v>
      </c>
      <c r="E43" s="61" t="str">
        <v>emissions potential : m3 CH4/kg VS</v>
      </c>
      <c r="F43" s="62"/>
      <c r="G43" s="60">
        <f>'Constants - Feedlot'!$E$22</f>
        <v>0.19</v>
      </c>
    </row>
    <row r="44" spans="3:18" ht="20.100000000000001" customHeight="1" x14ac:dyDescent="0.25">
      <c r="D44" s="60" t="str">
        <v>MMS_m5T1</v>
      </c>
      <c r="E44" s="61" t="str">
        <v>fraction of manure in primary system drylot MMS : fraction</v>
      </c>
      <c r="F44" s="62"/>
      <c r="G44" s="60" t="str">
        <f>"See" &amp; D49</f>
        <v>SeeTable_MMS_m-5_T-1</v>
      </c>
    </row>
    <row r="45" spans="3:18" ht="20.100000000000001" customHeight="1" x14ac:dyDescent="0.25">
      <c r="D45" s="60" t="str">
        <v>MCF_im5</v>
      </c>
      <c r="E45" s="61" t="str">
        <v>methane conversion factor for temperature zone and drylot system : fraction</v>
      </c>
      <c r="F45" s="62"/>
      <c r="G45" s="60">
        <f>HLOOKUP(G47, Table_SourceData_Feedlot_MCF[#All], 2, FALSE)</f>
        <v>0.01</v>
      </c>
    </row>
    <row r="46" spans="3:18" ht="20.100000000000001" customHeight="1" x14ac:dyDescent="0.25">
      <c r="D46" s="60" t="str">
        <v>rho</v>
      </c>
      <c r="E46" s="61" t="str">
        <v>density of methane : kg/m3</v>
      </c>
      <c r="F46" s="62"/>
      <c r="G46" s="60">
        <f>'Constants - Common'!$D$175</f>
        <v>0.6784</v>
      </c>
    </row>
    <row r="47" spans="3:18" ht="20.100000000000001" customHeight="1" x14ac:dyDescent="0.25">
      <c r="D47" s="60" t="str">
        <v>i</v>
      </c>
      <c r="E47" s="61" t="str">
        <v>state</v>
      </c>
      <c r="F47" s="62"/>
      <c r="G47" s="60" t="str">
        <f>Common_InputFunctions.Utility_LookupValueInTable('Input - Site'!$E$21,Table_AustralianStates[Common Name],Table_AustralianStates[Abbreviation])</f>
        <v>NSW</v>
      </c>
    </row>
    <row r="48" spans="3:18" ht="20.100000000000001" customHeight="1" x14ac:dyDescent="0.25"/>
    <row r="49" spans="3:18" ht="20.100000000000001" customHeight="1" x14ac:dyDescent="0.25">
      <c r="D49" s="105" t="s">
        <v>111</v>
      </c>
    </row>
    <row r="50" spans="3:18" ht="20.100000000000001" customHeight="1" x14ac:dyDescent="0.25">
      <c r="D50" s="104" t="s">
        <v>109</v>
      </c>
    </row>
    <row r="51" spans="3:18" ht="20.100000000000001" customHeight="1" x14ac:dyDescent="0.25">
      <c r="D51" s="41" t="s">
        <v>106</v>
      </c>
      <c r="E51" s="41" t="s">
        <v>141</v>
      </c>
      <c r="F51" s="41" t="s">
        <v>142</v>
      </c>
      <c r="G51" s="41" t="s">
        <v>143</v>
      </c>
    </row>
    <row r="52" spans="3:18" ht="20.100000000000001" customHeight="1" x14ac:dyDescent="0.25">
      <c r="D52" s="55" t="str">
        <f>'Input - Feedlot'!$D$28</f>
        <v>Drylot (feed pad)</v>
      </c>
      <c r="E52" s="55">
        <f>'Input - Feedlot'!$E$28</f>
        <v>1</v>
      </c>
      <c r="F52" s="55">
        <f>'Input - Feedlot'!$F$28</f>
        <v>1</v>
      </c>
      <c r="G52" s="55">
        <f>'Input - Feedlot'!$G$28</f>
        <v>1</v>
      </c>
      <c r="H52" s="2" t="s">
        <v>337</v>
      </c>
    </row>
    <row r="53" spans="3:18" ht="20.100000000000001" customHeight="1" x14ac:dyDescent="0.25"/>
    <row r="54" spans="3:18" ht="20.100000000000001" customHeight="1" x14ac:dyDescent="0.25">
      <c r="D54" s="105" t="s">
        <v>211</v>
      </c>
      <c r="M54" s="105" t="s">
        <v>213</v>
      </c>
    </row>
    <row r="55" spans="3:18" ht="20.100000000000001" customHeight="1" x14ac:dyDescent="0.25">
      <c r="D55" s="104" t="s">
        <v>212</v>
      </c>
      <c r="M55" s="104" t="s">
        <v>214</v>
      </c>
    </row>
    <row r="56" spans="3:18" ht="20.100000000000001" customHeight="1" x14ac:dyDescent="0.25">
      <c r="D56" s="54" t="s">
        <v>106</v>
      </c>
      <c r="E56" s="54" t="s">
        <v>141</v>
      </c>
      <c r="F56" s="54" t="s">
        <v>142</v>
      </c>
      <c r="G56" s="54" t="s">
        <v>143</v>
      </c>
      <c r="M56" s="54" t="s">
        <v>106</v>
      </c>
      <c r="N56" s="54" t="s">
        <v>141</v>
      </c>
      <c r="O56" s="54" t="s">
        <v>142</v>
      </c>
      <c r="P56" s="54" t="s">
        <v>143</v>
      </c>
    </row>
    <row r="57" spans="3:18" ht="20.100000000000001" customHeight="1" x14ac:dyDescent="0.25">
      <c r="D57" s="55" t="str">
        <f>'Input - Feedlot'!$D$28</f>
        <v>Drylot (feed pad)</v>
      </c>
      <c r="E57" s="55" cm="1">
        <f t="array" ref="E57">MMS_Feedlot_Methane_Equations.VEERG_4_1_1_1__2_Stage1MethaneProductionDrylot(D30,$G$43,E52,$G$45,$G$46)</f>
        <v>2.1394673663999997E-3</v>
      </c>
      <c r="F57" s="55" cm="1">
        <f t="array" ref="F57">MMS_Feedlot_Methane_Equations.VEERG_4_1_1_1__2_Stage1MethaneProductionDrylot(E30,$G$43,F52,$G$45,$G$46)</f>
        <v>2.2217545727999995E-3</v>
      </c>
      <c r="G57" s="55" cm="1">
        <f t="array" ref="G57">MMS_Feedlot_Methane_Equations.VEERG_4_1_1_1__2_Stage1MethaneProductionDrylot(F30,$G$43,G52,$G$45,$G$46)</f>
        <v>1.6868877311999992E-3</v>
      </c>
      <c r="H57" s="2" t="str">
        <f>$E$40</f>
        <v>kg CH4/head/day</v>
      </c>
      <c r="M57" s="55" t="str">
        <f>'Input - Feedlot'!$D$28</f>
        <v>Drylot (feed pad)</v>
      </c>
      <c r="N57" s="55" cm="1">
        <f t="array" ref="N57">MMS_Feedlot_Methane_Equations.VEERG_4_1_1_1__2_Stage1MethaneProductionDrylot(M30,$G$43,E52,$G$45,$G$46)</f>
        <v>2.1394673663999997E-3</v>
      </c>
      <c r="O57" s="55" cm="1">
        <f t="array" ref="O57">MMS_Feedlot_Methane_Equations.VEERG_4_1_1_1__2_Stage1MethaneProductionDrylot(N30,$G$43,F52,$G$45,$G$46)</f>
        <v>2.2217545727999995E-3</v>
      </c>
      <c r="P57" s="55" cm="1">
        <f t="array" ref="P57">MMS_Feedlot_Methane_Equations.VEERG_4_1_1_1__2_Stage1MethaneProductionDrylot(O30,$G$43,G52,$G$45,$G$46)</f>
        <v>1.6868877311999992E-3</v>
      </c>
      <c r="Q57" s="2" t="str">
        <f>$E$40</f>
        <v>kg CH4/head/day</v>
      </c>
    </row>
    <row r="58" spans="3:18" ht="20.100000000000001" customHeight="1" x14ac:dyDescent="0.25">
      <c r="D58" s="106" t="str">
        <f>IF(ISNUMBER($G$45),"",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26</v>
      </c>
      <c r="E63" s="13" t="str" cm="1">
        <f t="array" aca="1" ref="E63" ca="1">Common_InputFunctions.Utility_DisplayFunctionName(E93)</f>
        <v>=MMS_Feedlot_Methane_Equations.VEERG_4_1_1_1__3_Stage2MethaneProduction</v>
      </c>
    </row>
    <row r="64" spans="3:18" ht="20.100000000000001" customHeight="1" x14ac:dyDescent="0.25"/>
    <row r="65" spans="4:9" ht="20.100000000000001" customHeight="1" x14ac:dyDescent="0.25">
      <c r="D65" s="6"/>
    </row>
    <row r="66" spans="4:9" ht="20.100000000000001" customHeight="1" x14ac:dyDescent="0.25">
      <c r="D66" s="56" t="s">
        <v>29</v>
      </c>
      <c r="E66" s="1" t="str" cm="1">
        <f t="array" ref="E66">MMS_Feedlot_Methane_Equations.VEERG_4_1_1_1__3_Stage2MethaneProduction_Variable()</f>
        <v>M_jmT2</v>
      </c>
    </row>
    <row r="67" spans="4:9" ht="20.100000000000001" customHeight="1" x14ac:dyDescent="0.25">
      <c r="D67" s="56" t="s">
        <v>19</v>
      </c>
      <c r="E67" s="57" t="str" cm="1">
        <f t="array" ref="E67">MMS_Feedlot_Methane_Equations.VEERG_4_1_1_1__3_Stage2MethaneProduction_Unit()</f>
        <v>kg CH4/head/day</v>
      </c>
    </row>
    <row r="68" spans="4:9" ht="20.100000000000001" customHeight="1" x14ac:dyDescent="0.25"/>
    <row r="69" spans="4:9" ht="20.100000000000001" customHeight="1" x14ac:dyDescent="0.25">
      <c r="D69" s="60" t="str" cm="1">
        <f t="array" ref="D69:E75">MMS_Feedlot_Methane_Equations.VEERG_4_1_1_1__3_Stage2MethaneProduction_Arguments()</f>
        <v>VSL</v>
      </c>
      <c r="E69" s="61" t="str">
        <v>fraction of volatile solids lost during storage in the primary system : fraction</v>
      </c>
      <c r="F69" s="62"/>
      <c r="G69" s="60">
        <f>'Constants - Feedlot'!$E$7</f>
        <v>0.5</v>
      </c>
    </row>
    <row r="70" spans="4:9" ht="20.100000000000001" customHeight="1" x14ac:dyDescent="0.25">
      <c r="D70" s="60" t="str">
        <v>VS_j</v>
      </c>
      <c r="E70" s="61" t="str">
        <v>volatile solid production from feedlot cattle in each group : kg/head/day</v>
      </c>
      <c r="F70" s="62"/>
      <c r="G70" s="60" t="str">
        <f>"See " &amp; $D$27</f>
        <v>See M1_Table_VS_j</v>
      </c>
    </row>
    <row r="71" spans="4:9" ht="20.100000000000001" customHeight="1" x14ac:dyDescent="0.25">
      <c r="D71" s="60" t="str">
        <v>BO</v>
      </c>
      <c r="E71" s="61" t="str">
        <v>emissions potential : m3 CH4/kg VS</v>
      </c>
      <c r="F71" s="62"/>
      <c r="G71" s="60">
        <f>'Constants - Feedlot'!$E$22</f>
        <v>0.19</v>
      </c>
    </row>
    <row r="72" spans="4:9" ht="20.100000000000001" customHeight="1" x14ac:dyDescent="0.25">
      <c r="D72" s="60" t="str">
        <v>MMS_mT2</v>
      </c>
      <c r="E72" s="61" t="str">
        <v>fraction of manure in each secondary system : fraction</v>
      </c>
      <c r="F72" s="62"/>
      <c r="G72" s="60" t="str">
        <f>"See " &amp; D77</f>
        <v>See Table_MMS_m_T-2</v>
      </c>
      <c r="H72" s="117" t="s">
        <v>171</v>
      </c>
    </row>
    <row r="73" spans="4:9" ht="20.100000000000001" customHeight="1" x14ac:dyDescent="0.25">
      <c r="D73" s="60" t="str">
        <v>MCF_im</v>
      </c>
      <c r="E73" s="61" t="str">
        <v>methane conversion factor for temperature zone and MMS : fraction</v>
      </c>
      <c r="F73" s="62"/>
      <c r="G73" s="60" t="str">
        <f>"See " &amp; D84</f>
        <v>See Table_MCF_i_m</v>
      </c>
    </row>
    <row r="74" spans="4:9" ht="20.100000000000001" customHeight="1" x14ac:dyDescent="0.25">
      <c r="D74" s="60" t="str">
        <v>rho</v>
      </c>
      <c r="E74" s="61" t="str">
        <v>density of methane : kg/m3</v>
      </c>
      <c r="F74" s="62"/>
      <c r="G74" s="60">
        <f>'Constants - Common'!$D$175</f>
        <v>0.6784</v>
      </c>
    </row>
    <row r="75" spans="4:9" ht="20.100000000000001" customHeight="1" x14ac:dyDescent="0.25">
      <c r="D75" s="60" t="str">
        <v>i</v>
      </c>
      <c r="E75" s="61" t="str">
        <v>state</v>
      </c>
      <c r="F75" s="62"/>
      <c r="G75" s="60" t="str">
        <f>Common_InputFunctions.Utility_LookupValueInTable('Input - Site'!$E$21,Table_AustralianStates[Common Name],Table_AustralianStates[Abbreviation])</f>
        <v>NSW</v>
      </c>
    </row>
    <row r="76" spans="4:9" ht="20.100000000000001" customHeight="1" x14ac:dyDescent="0.25"/>
    <row r="77" spans="4:9" ht="20.100000000000001" customHeight="1" x14ac:dyDescent="0.25">
      <c r="D77" s="105" t="s">
        <v>113</v>
      </c>
    </row>
    <row r="78" spans="4:9" ht="20.100000000000001" customHeight="1" x14ac:dyDescent="0.25">
      <c r="D78" s="104" t="s">
        <v>114</v>
      </c>
    </row>
    <row r="79" spans="4:9" ht="20.100000000000001" customHeight="1" x14ac:dyDescent="0.25">
      <c r="D79" s="41" t="s">
        <v>106</v>
      </c>
      <c r="E79" s="41" t="s">
        <v>102</v>
      </c>
      <c r="F79" s="41" t="s">
        <v>141</v>
      </c>
      <c r="G79" s="41" t="s">
        <v>142</v>
      </c>
      <c r="H79" s="41" t="s">
        <v>143</v>
      </c>
    </row>
    <row r="80" spans="4:9"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
        <v>337</v>
      </c>
    </row>
    <row r="81" spans="4:17" ht="20.100000000000001" customHeight="1" x14ac:dyDescent="0.25">
      <c r="D81" s="55" t="str">
        <f>'Input - Feedlot'!$D$28</f>
        <v>Drylot (feed pad)</v>
      </c>
      <c r="E81" s="55" t="str">
        <f>'Input - Feedlot'!$D$33</f>
        <v>Composting (passive windrow)</v>
      </c>
      <c r="F81" s="55">
        <f>'Input - Feedlot'!$E$34</f>
        <v>0.6</v>
      </c>
      <c r="G81" s="55">
        <f>'Input - Feedlot'!$F$34</f>
        <v>0.6</v>
      </c>
      <c r="H81" s="55">
        <f>'Input - Feedlot'!$G$34</f>
        <v>0.6</v>
      </c>
      <c r="I81" s="2" t="s">
        <v>337</v>
      </c>
    </row>
    <row r="82" spans="4:17" ht="20.100000000000001" customHeight="1" x14ac:dyDescent="0.25">
      <c r="D82" s="55" t="str">
        <f>'Input - Feedlot'!$D$28</f>
        <v>Drylot (feed pad)</v>
      </c>
      <c r="E82" s="55" t="str">
        <f>'Input - Feedlot'!$D$34</f>
        <v>Direct application</v>
      </c>
      <c r="F82" s="55" t="s">
        <v>325</v>
      </c>
      <c r="G82" s="55" t="s">
        <v>325</v>
      </c>
      <c r="H82" s="55" t="s">
        <v>325</v>
      </c>
      <c r="I82" s="2" t="s">
        <v>337</v>
      </c>
    </row>
    <row r="83" spans="4:17" ht="20.100000000000001" customHeight="1" x14ac:dyDescent="0.25"/>
    <row r="84" spans="4:17" ht="20.100000000000001" customHeight="1" x14ac:dyDescent="0.25">
      <c r="D84" s="105" t="s">
        <v>100</v>
      </c>
    </row>
    <row r="85" spans="4:17" ht="20.100000000000001" customHeight="1" x14ac:dyDescent="0.25">
      <c r="D85" s="104" t="s">
        <v>116</v>
      </c>
    </row>
    <row r="86" spans="4:17" ht="20.100000000000001" customHeight="1" x14ac:dyDescent="0.25">
      <c r="D86" s="54" t="s">
        <v>106</v>
      </c>
      <c r="E86" s="54" t="s">
        <v>102</v>
      </c>
      <c r="F86" s="54" t="s">
        <v>98</v>
      </c>
    </row>
    <row r="87" spans="4:17" ht="20.100000000000001" customHeight="1" x14ac:dyDescent="0.25">
      <c r="D87" s="55" t="str">
        <f>'Input - Feedlot'!$D$28</f>
        <v>Drylot (feed pad)</v>
      </c>
      <c r="E87" s="55" t="str">
        <f>'Input - Feedlot'!$D$32</f>
        <v>Solid storage</v>
      </c>
      <c r="F87" s="55" cm="1">
        <f t="array" ref="F87">_xlfn.XLOOKUP($G$75, Table_SourceData_Feedlot_MCF[#Headers], _xlfn.XLOOKUP(E87, Table_SourceData_Feedlot_MCF[NIR definition], Table_SourceData_Feedlot_MCF[]))</f>
        <v>0.02</v>
      </c>
      <c r="G87" s="2" t="s">
        <v>337</v>
      </c>
    </row>
    <row r="88" spans="4:17" ht="20.100000000000001" customHeight="1" x14ac:dyDescent="0.25">
      <c r="D88" s="55" t="str">
        <f>'Input - Feedlot'!$D$28</f>
        <v>Drylot (feed pad)</v>
      </c>
      <c r="E88" s="55" t="str">
        <f>'Input - Feedlot'!$D$33</f>
        <v>Composting (passive windrow)</v>
      </c>
      <c r="F88" s="55" cm="1">
        <f t="array" ref="F88">_xlfn.XLOOKUP($G$75, Table_SourceData_Feedlot_MCF[#Headers], _xlfn.XLOOKUP(E88, Table_SourceData_Feedlot_MCF[NIR definition], Table_SourceData_Feedlot_MCF[]))</f>
        <v>0.01</v>
      </c>
      <c r="G88" s="2" t="s">
        <v>337</v>
      </c>
    </row>
    <row r="89" spans="4:17" ht="20.100000000000001" customHeight="1" x14ac:dyDescent="0.25"/>
    <row r="90" spans="4:17" ht="20.100000000000001" customHeight="1" x14ac:dyDescent="0.25">
      <c r="D90" s="105" t="s">
        <v>215</v>
      </c>
      <c r="M90" s="105" t="s">
        <v>217</v>
      </c>
    </row>
    <row r="91" spans="4:17" ht="20.100000000000001" customHeight="1" x14ac:dyDescent="0.25">
      <c r="D91" s="104" t="s">
        <v>216</v>
      </c>
      <c r="M91" s="104" t="s">
        <v>218</v>
      </c>
    </row>
    <row r="92" spans="4:17" ht="20.100000000000001" customHeight="1" x14ac:dyDescent="0.25">
      <c r="D92" s="54" t="s">
        <v>102</v>
      </c>
      <c r="E92" s="54" t="s">
        <v>141</v>
      </c>
      <c r="F92" s="54" t="s">
        <v>142</v>
      </c>
      <c r="G92" s="54" t="s">
        <v>143</v>
      </c>
      <c r="M92" s="54" t="s">
        <v>102</v>
      </c>
      <c r="N92" s="54" t="s">
        <v>141</v>
      </c>
      <c r="O92" s="54" t="s">
        <v>142</v>
      </c>
      <c r="P92" s="54" t="s">
        <v>143</v>
      </c>
    </row>
    <row r="93" spans="4:17" ht="20.100000000000001" customHeight="1" x14ac:dyDescent="0.25">
      <c r="D93" s="55" t="str">
        <f>'Input - Feedlot'!$D$32</f>
        <v>Solid storage</v>
      </c>
      <c r="E93" s="55" cm="1">
        <f t="array" ref="E93">MMS_Feedlot_Methane_Equations.VEERG_4_1_1_1__3_Stage2MethaneProduction($G$69,D$30,$G$71,F80,$F87,$G$74)</f>
        <v>4.2789347327999993E-4</v>
      </c>
      <c r="F93" s="55" cm="1">
        <f t="array" ref="F93">MMS_Feedlot_Methane_Equations.VEERG_4_1_1_1__3_Stage2MethaneProduction($G$69,E$30,$G$71,G80,$F87,$G$74)</f>
        <v>4.4435091455999993E-4</v>
      </c>
      <c r="G93" s="55" cm="1">
        <f t="array" ref="G93">MMS_Feedlot_Methane_Equations.VEERG_4_1_1_1__3_Stage2MethaneProduction($G$69,F$30,$G$71,H80,$F87,$G$74)</f>
        <v>3.3737754623999993E-4</v>
      </c>
      <c r="H93" s="2" t="str">
        <f>$E$67</f>
        <v>kg CH4/head/day</v>
      </c>
      <c r="M93" s="55" t="str">
        <f>'Input - Feedlot'!$D$32</f>
        <v>Solid storage</v>
      </c>
      <c r="N93" s="55" cm="1">
        <f t="array" ref="N93">MMS_Feedlot_Methane_Equations.VEERG_4_1_1_1__3_Stage2MethaneProduction($G$69,M$30,$G$71,F80,$F87,$G$74)</f>
        <v>4.2789347327999993E-4</v>
      </c>
      <c r="O93" s="55" cm="1">
        <f t="array" ref="O93">MMS_Feedlot_Methane_Equations.VEERG_4_1_1_1__3_Stage2MethaneProduction($G$69,N$30,$G$71,G80,$F87,$G$74)</f>
        <v>4.4435091455999993E-4</v>
      </c>
      <c r="P93" s="55" cm="1">
        <f t="array" ref="P93">MMS_Feedlot_Methane_Equations.VEERG_4_1_1_1__3_Stage2MethaneProduction($G$69,O$30,$G$71,H80,$F87,$G$74)</f>
        <v>3.3737754623999993E-4</v>
      </c>
      <c r="Q93" s="2" t="str">
        <f>$E$67</f>
        <v>kg CH4/head/day</v>
      </c>
    </row>
    <row r="94" spans="4:17" ht="20.100000000000001" customHeight="1" x14ac:dyDescent="0.25">
      <c r="D94" s="55" t="str">
        <f>'Input - Feedlot'!$D$33</f>
        <v>Composting (passive windrow)</v>
      </c>
      <c r="E94" s="55" cm="1">
        <f t="array" ref="E94">MMS_Feedlot_Methane_Equations.VEERG_4_1_1_1__3_Stage2MethaneProduction($G$69,D$30,$G$71,F81,$F88,$G$74)</f>
        <v>6.4184020991999975E-4</v>
      </c>
      <c r="F94" s="55" cm="1">
        <f t="array" ref="F94">MMS_Feedlot_Methane_Equations.VEERG_4_1_1_1__3_Stage2MethaneProduction($G$69,E$30,$G$71,G81,$F88,$G$74)</f>
        <v>6.6652637183999984E-4</v>
      </c>
      <c r="G94" s="55" cm="1">
        <f t="array" ref="G94">MMS_Feedlot_Methane_Equations.VEERG_4_1_1_1__3_Stage2MethaneProduction($G$69,F$30,$G$71,H81,$F88,$G$74)</f>
        <v>5.0606631935999971E-4</v>
      </c>
      <c r="H94" s="2" t="str">
        <f t="shared" ref="H94:H95" si="0">$E$67</f>
        <v>kg CH4/head/day</v>
      </c>
      <c r="M94" s="55" t="str">
        <f>'Input - Feedlot'!$D$33</f>
        <v>Composting (passive windrow)</v>
      </c>
      <c r="N94" s="55" cm="1">
        <f t="array" ref="N94">MMS_Feedlot_Methane_Equations.VEERG_4_1_1_1__3_Stage2MethaneProduction($G$69,M$30,$G$71,F81,$F88,$G$74)</f>
        <v>6.4184020991999975E-4</v>
      </c>
      <c r="O94" s="55" cm="1">
        <f t="array" ref="O94">MMS_Feedlot_Methane_Equations.VEERG_4_1_1_1__3_Stage2MethaneProduction($G$69,N$30,$G$71,G81,$F88,$G$74)</f>
        <v>6.6652637183999984E-4</v>
      </c>
      <c r="P94" s="55" cm="1">
        <f t="array" ref="P94">MMS_Feedlot_Methane_Equations.VEERG_4_1_1_1__3_Stage2MethaneProduction($G$69,O$30,$G$71,H81,$F88,$G$74)</f>
        <v>5.0606631935999971E-4</v>
      </c>
      <c r="Q94" s="2" t="str">
        <f t="shared" ref="Q94:Q95" si="1">$E$67</f>
        <v>kg CH4/head/day</v>
      </c>
    </row>
    <row r="95" spans="4:17" ht="20.100000000000001" customHeight="1" x14ac:dyDescent="0.25">
      <c r="D95" s="55" t="str">
        <f>'Input - Feedlot'!$D$34</f>
        <v>Direct application</v>
      </c>
      <c r="E95" s="55" t="s">
        <v>325</v>
      </c>
      <c r="F95" s="55" t="s">
        <v>325</v>
      </c>
      <c r="G95" s="55" t="s">
        <v>325</v>
      </c>
      <c r="H95" s="2" t="str">
        <f t="shared" si="0"/>
        <v>kg CH4/head/day</v>
      </c>
      <c r="M95" s="55" t="str">
        <f>'Input - Feedlot'!$D$34</f>
        <v>Direct application</v>
      </c>
      <c r="N95" s="55" t="s">
        <v>325</v>
      </c>
      <c r="O95" s="55" t="s">
        <v>325</v>
      </c>
      <c r="P95" s="55" t="s">
        <v>325</v>
      </c>
      <c r="Q95" s="2" t="str">
        <f t="shared" si="1"/>
        <v>kg CH4/head/day</v>
      </c>
    </row>
    <row r="96" spans="4:17" ht="20.100000000000001" customHeight="1" x14ac:dyDescent="0.25"/>
    <row r="97" spans="3:18" ht="20.100000000000001" customHeight="1" x14ac:dyDescent="0.25"/>
    <row r="98" spans="3:18" ht="20.100000000000001" customHeight="1" x14ac:dyDescent="0.25">
      <c r="C98" s="48"/>
      <c r="D98" s="48"/>
      <c r="E98" s="48"/>
      <c r="F98" s="48"/>
      <c r="G98" s="48"/>
      <c r="H98" s="48"/>
      <c r="I98" s="48"/>
      <c r="J98" s="48"/>
      <c r="L98" s="48"/>
      <c r="M98" s="48"/>
      <c r="N98" s="48"/>
      <c r="O98" s="48"/>
      <c r="P98" s="48"/>
      <c r="Q98" s="48"/>
      <c r="R98" s="48"/>
    </row>
    <row r="99" spans="3:18" ht="20.100000000000001" customHeight="1" x14ac:dyDescent="0.25">
      <c r="D99" s="6" t="str" cm="1">
        <f t="array" ref="D99">MMS_Feedlot_Methane_Equations.VEERG_4_1_1_1__4_Stage3MethaneProductionAnaerobicLagoon_Title()</f>
        <v>Production of methane in treatment stage 3 MMS</v>
      </c>
    </row>
    <row r="100" spans="3:18" ht="20.100000000000001" customHeight="1" x14ac:dyDescent="0.25">
      <c r="D100" s="5" t="str" cm="1">
        <f t="array" ref="D100">MMS_Feedlot_Methane_Equations.VEERG_4_1_1_1__4_Stage3MethaneProductionAnaerobicLagoon_Source()</f>
        <v>VEERG 2026: 4.1.1.1, Equation (4)</v>
      </c>
    </row>
    <row r="101" spans="3:18" ht="20.100000000000001" customHeight="1" x14ac:dyDescent="0.25">
      <c r="D101" s="13" t="s">
        <v>26</v>
      </c>
      <c r="E101" s="13" t="str" cm="1">
        <f t="array" aca="1" ref="E101" ca="1">Common_InputFunctions.Utility_DisplayFunctionName(E122)</f>
        <v>=MMS_Feedlot_Methane_Equations.VEERG_4_1_1_1__4_Stage3MethaneProductionAnaerobicLagoon</v>
      </c>
    </row>
    <row r="102" spans="3:18" ht="20.100000000000001" customHeight="1" x14ac:dyDescent="0.25"/>
    <row r="103" spans="3:18" ht="20.100000000000001" customHeight="1" x14ac:dyDescent="0.25">
      <c r="D103" s="6"/>
    </row>
    <row r="104" spans="3:18" ht="20.100000000000001" customHeight="1" x14ac:dyDescent="0.25">
      <c r="D104" s="56" t="s">
        <v>29</v>
      </c>
      <c r="E104" s="1" t="str" cm="1">
        <f t="array" ref="E104">MMS_Feedlot_Methane_Equations.VEERG_4_1_1_1__4_Stage3MethaneProductionAnaerobicLagoon_Variable()</f>
        <v>M_jm1T3</v>
      </c>
    </row>
    <row r="105" spans="3:18" ht="20.100000000000001" customHeight="1" x14ac:dyDescent="0.25">
      <c r="D105" s="56" t="s">
        <v>19</v>
      </c>
      <c r="E105" s="57" t="str" cm="1">
        <f t="array" ref="E105">MMS_Feedlot_Methane_Equations.VEERG_4_1_1_1__4_Stage3MethaneProductionAnaerobicLagoon_Unit()</f>
        <v>kg CH4/head/day</v>
      </c>
    </row>
    <row r="106" spans="3:18" ht="20.100000000000001" customHeight="1" x14ac:dyDescent="0.25"/>
    <row r="107" spans="3:18" ht="20.100000000000001" customHeight="1" x14ac:dyDescent="0.25">
      <c r="D107" s="60" t="str" cm="1">
        <f t="array" ref="D107:E112">MMS_Feedlot_Methane_Equations.VEERG_4_1_1_1__4_Stage3MethaneProductionAnaerobicLagoon_Arguments()</f>
        <v>VS_j</v>
      </c>
      <c r="E107" s="61" t="str">
        <v>volatile solid production from feedlot cattle in each group j : kg/head/day</v>
      </c>
      <c r="F107" s="107"/>
      <c r="G107" s="62"/>
      <c r="H107" s="60" t="str">
        <f>"See " &amp; $D$27</f>
        <v>See M1_Table_VS_j</v>
      </c>
    </row>
    <row r="108" spans="3:18" ht="20.100000000000001" customHeight="1" x14ac:dyDescent="0.25">
      <c r="D108" s="60" t="str">
        <v>BO</v>
      </c>
      <c r="E108" s="61" t="str">
        <v>emissions potential : m3 CH4/kg VS</v>
      </c>
      <c r="F108" s="107"/>
      <c r="G108" s="62"/>
      <c r="H108" s="60">
        <f>'Constants - Feedlot'!$E$22</f>
        <v>0.19</v>
      </c>
    </row>
    <row r="109" spans="3:18" ht="20.100000000000001" customHeight="1" x14ac:dyDescent="0.25">
      <c r="D109" s="60" t="str">
        <v>MMS_m1T3</v>
      </c>
      <c r="E109" s="61" t="str">
        <v>fraction of manure to tertiary anaerobic lagoon system : fraction</v>
      </c>
      <c r="F109" s="107"/>
      <c r="G109" s="62"/>
      <c r="H109" s="60" t="str">
        <f>"See " &amp; D114</f>
        <v>See Table_MMS_m-1_T-3</v>
      </c>
    </row>
    <row r="110" spans="3:18" ht="20.100000000000001" customHeight="1" x14ac:dyDescent="0.25">
      <c r="D110" s="60" t="str">
        <v>MCF_im1</v>
      </c>
      <c r="E110" s="61" t="str">
        <v>methane conversion factor for temperature zone and anaerobic lagoon system : fraction</v>
      </c>
      <c r="F110" s="107"/>
      <c r="G110" s="62"/>
      <c r="H110" s="60">
        <f>HLOOKUP(H112, Table_SourceData_Feedlot_MCF[#All], 6, FALSE)</f>
        <v>0.75</v>
      </c>
    </row>
    <row r="111" spans="3:18" ht="20.100000000000001" customHeight="1" x14ac:dyDescent="0.25">
      <c r="D111" s="60" t="str">
        <v>rho</v>
      </c>
      <c r="E111" s="61" t="str">
        <v>density of methane : kg/m3</v>
      </c>
      <c r="F111" s="107"/>
      <c r="G111" s="62"/>
      <c r="H111" s="60">
        <f>'Constants - Common'!$D$175</f>
        <v>0.6784</v>
      </c>
    </row>
    <row r="112" spans="3:18" ht="20.100000000000001" customHeight="1" x14ac:dyDescent="0.25">
      <c r="D112" s="60" t="str">
        <v>i</v>
      </c>
      <c r="E112" s="61" t="str">
        <v>state</v>
      </c>
      <c r="F112" s="107"/>
      <c r="G112" s="62"/>
      <c r="H112" s="60" t="str">
        <f>Common_InputFunctions.Utility_LookupValueInTable('Input - Site'!$E$21,Table_AustralianStates[Common Name],Table_AustralianStates[Abbreviation])</f>
        <v>NSW</v>
      </c>
    </row>
    <row r="113" spans="3:18" ht="20.100000000000001" customHeight="1" x14ac:dyDescent="0.25"/>
    <row r="114" spans="3:18" ht="20.100000000000001" customHeight="1" x14ac:dyDescent="0.25">
      <c r="D114" s="105" t="s">
        <v>118</v>
      </c>
    </row>
    <row r="115" spans="3:18" ht="20.100000000000001" customHeight="1" x14ac:dyDescent="0.25">
      <c r="D115" s="104" t="s">
        <v>120</v>
      </c>
    </row>
    <row r="116" spans="3:18" ht="20.100000000000001" customHeight="1" x14ac:dyDescent="0.25">
      <c r="D116" s="41" t="s">
        <v>119</v>
      </c>
      <c r="E116" s="41" t="s">
        <v>141</v>
      </c>
      <c r="F116" s="41" t="s">
        <v>142</v>
      </c>
      <c r="G116" s="41" t="s">
        <v>143</v>
      </c>
    </row>
    <row r="117" spans="3:18" ht="20.100000000000001" customHeight="1" x14ac:dyDescent="0.25">
      <c r="D117" s="55" t="str">
        <f>'Input - Feedlot'!$D$38</f>
        <v>Anaerobic lagoon</v>
      </c>
      <c r="E117" s="55">
        <f>'Input - Feedlot'!E38</f>
        <v>0.02</v>
      </c>
      <c r="F117" s="55">
        <f>'Input - Feedlot'!F38</f>
        <v>0.02</v>
      </c>
      <c r="G117" s="55">
        <f>'Input - Feedlot'!G38</f>
        <v>0.02</v>
      </c>
      <c r="H117" s="2" t="s">
        <v>337</v>
      </c>
    </row>
    <row r="118" spans="3:18" ht="20.100000000000001" customHeight="1" x14ac:dyDescent="0.25"/>
    <row r="119" spans="3:18" ht="20.100000000000001" customHeight="1" x14ac:dyDescent="0.25">
      <c r="D119" s="105" t="s">
        <v>219</v>
      </c>
      <c r="M119" s="105" t="s">
        <v>221</v>
      </c>
    </row>
    <row r="120" spans="3:18" ht="20.100000000000001" customHeight="1" x14ac:dyDescent="0.25">
      <c r="D120" s="104" t="s">
        <v>220</v>
      </c>
      <c r="M120" s="104" t="s">
        <v>222</v>
      </c>
    </row>
    <row r="121" spans="3:18" ht="20.100000000000001" customHeight="1" x14ac:dyDescent="0.25">
      <c r="D121" s="54" t="s">
        <v>119</v>
      </c>
      <c r="E121" s="54" t="s">
        <v>141</v>
      </c>
      <c r="F121" s="54" t="s">
        <v>142</v>
      </c>
      <c r="G121" s="54" t="s">
        <v>143</v>
      </c>
      <c r="M121" s="54" t="s">
        <v>119</v>
      </c>
      <c r="N121" s="54" t="s">
        <v>141</v>
      </c>
      <c r="O121" s="54" t="s">
        <v>142</v>
      </c>
      <c r="P121" s="54" t="s">
        <v>143</v>
      </c>
    </row>
    <row r="122" spans="3:18" ht="20.100000000000001" customHeight="1" x14ac:dyDescent="0.25">
      <c r="D122" s="55" t="str">
        <f>'Input - Feedlot'!$D$38</f>
        <v>Anaerobic lagoon</v>
      </c>
      <c r="E122" s="55" cm="1">
        <f t="array" ref="E122">MMS_Feedlot_Methane_Equations.VEERG_4_1_1_1__4_Stage3MethaneProductionAnaerobicLagoon(D$30, $H$108,E117,$H$110,$H$111)</f>
        <v>3.2092010495999991E-3</v>
      </c>
      <c r="F122" s="55" cm="1">
        <f t="array" ref="F122">MMS_Feedlot_Methane_Equations.VEERG_4_1_1_1__4_Stage3MethaneProductionAnaerobicLagoon(E$30, $H$108,F117,$H$110,$H$111)</f>
        <v>3.3326318591999997E-3</v>
      </c>
      <c r="G122" s="55" cm="1">
        <f t="array" ref="G122">MMS_Feedlot_Methane_Equations.VEERG_4_1_1_1__4_Stage3MethaneProductionAnaerobicLagoon(F$30, $H$108,G117,$H$110,$H$111)</f>
        <v>2.530331596799999E-3</v>
      </c>
      <c r="H122" s="2" t="str">
        <f>$E$105</f>
        <v>kg CH4/head/day</v>
      </c>
      <c r="M122" s="55" t="str">
        <f>'Input - Feedlot'!$D$38</f>
        <v>Anaerobic lagoon</v>
      </c>
      <c r="N122" s="55" cm="1">
        <f t="array" ref="N122">MMS_Feedlot_Methane_Equations.VEERG_4_1_1_1__4_Stage3MethaneProductionAnaerobicLagoon(M$30, $H$108,E117,$H$110,$H$111)</f>
        <v>3.2092010495999991E-3</v>
      </c>
      <c r="O122" s="55" cm="1">
        <f t="array" ref="O122">MMS_Feedlot_Methane_Equations.VEERG_4_1_1_1__4_Stage3MethaneProductionAnaerobicLagoon(N$30, $H$108,F117,$H$110,$H$111)</f>
        <v>3.3326318591999997E-3</v>
      </c>
      <c r="P122" s="55" cm="1">
        <f t="array" ref="P122">MMS_Feedlot_Methane_Equations.VEERG_4_1_1_1__4_Stage3MethaneProductionAnaerobicLagoon(O$30, $H$108,G117,$H$110,$H$111)</f>
        <v>2.530331596799999E-3</v>
      </c>
      <c r="Q122" s="2" t="str">
        <f>$E$105</f>
        <v>kg CH4/head/day</v>
      </c>
    </row>
    <row r="123" spans="3:18" ht="20.100000000000001" customHeight="1" x14ac:dyDescent="0.25"/>
    <row r="124" spans="3:18" ht="20.100000000000001" customHeight="1" x14ac:dyDescent="0.25"/>
    <row r="125" spans="3:18" ht="20.100000000000001" customHeight="1" x14ac:dyDescent="0.25">
      <c r="C125" s="48"/>
      <c r="D125" s="48"/>
      <c r="E125" s="48"/>
      <c r="F125" s="48"/>
      <c r="G125" s="48"/>
      <c r="H125" s="48"/>
      <c r="I125" s="48"/>
      <c r="J125" s="48"/>
      <c r="L125" s="48"/>
      <c r="M125" s="48"/>
      <c r="N125" s="48"/>
      <c r="O125" s="48"/>
      <c r="P125" s="48"/>
      <c r="Q125" s="48"/>
      <c r="R125" s="48"/>
    </row>
    <row r="126" spans="3:18" ht="20.100000000000001" customHeight="1" x14ac:dyDescent="0.25">
      <c r="D126" s="6" t="str" cm="1">
        <f t="array" ref="D126">MMS_Feedlot_Methane_Equations.VEERG_4_1_1_1__1_TotalAnnualMethaneEmissions_Title()</f>
        <v>Total annual methane emissions from manure management</v>
      </c>
    </row>
    <row r="127" spans="3:18" ht="20.100000000000001" customHeight="1" x14ac:dyDescent="0.25">
      <c r="D127" s="5" t="str" cm="1">
        <f t="array" ref="D127">MMS_Feedlot_Methane_Equations.VEERG_4_1_1_1__1_TotalAnnualMethaneEmissions_Source()</f>
        <v>VEERG 2026: 4.1.1.1, Equation (1)</v>
      </c>
    </row>
    <row r="128" spans="3:18" ht="20.100000000000001" customHeight="1" x14ac:dyDescent="0.25">
      <c r="D128" s="13" t="s">
        <v>26</v>
      </c>
      <c r="E128" s="13" t="str" cm="1">
        <f t="array" aca="1" ref="E128" ca="1">Common_InputFunctions.Utility_DisplayFunctionName(F161)</f>
        <v>=MMS_Feedlot_Methane_Equations.VEERG_4_1_1_1__1_TotalAnnualMethaneEmissions</v>
      </c>
    </row>
    <row r="129" spans="4:13" ht="20.100000000000001" customHeight="1" x14ac:dyDescent="0.25"/>
    <row r="130" spans="4:13" ht="20.100000000000001" customHeight="1" x14ac:dyDescent="0.25">
      <c r="D130" s="6"/>
    </row>
    <row r="131" spans="4:13" ht="20.100000000000001" customHeight="1" x14ac:dyDescent="0.25"/>
    <row r="132" spans="4:13" ht="20.100000000000001" customHeight="1" x14ac:dyDescent="0.25">
      <c r="D132" s="56" t="s">
        <v>29</v>
      </c>
      <c r="E132" s="1" t="str" cm="1">
        <f t="array" ref="E132">MMS_Feedlot_Methane_Equations.VEERG_4_1_1_1__1_TotalAnnualMethaneEmissions_Variable()</f>
        <v>E_CH4</v>
      </c>
    </row>
    <row r="133" spans="4:13" ht="20.100000000000001" customHeight="1" x14ac:dyDescent="0.25">
      <c r="D133" s="56" t="s">
        <v>19</v>
      </c>
      <c r="E133" s="57" t="str" cm="1">
        <f t="array" ref="E133">MMS_Feedlot_Methane_Equations.VEERG_4_1_1_1__1_TotalAnnualMethaneEmissions_Unit()</f>
        <v>t CH4</v>
      </c>
    </row>
    <row r="134" spans="4:13" ht="20.100000000000001" customHeight="1" x14ac:dyDescent="0.25"/>
    <row r="135" spans="4:13" ht="20.100000000000001" customHeight="1" x14ac:dyDescent="0.25">
      <c r="D135" s="60" t="str" cm="1">
        <f t="array" ref="D135:E137">MMS_Feedlot_Methane_Equations.VEERG_4_1_1_1__1_TotalAnnualMethaneEmissions_Arguments()</f>
        <v>D_j</v>
      </c>
      <c r="E135" s="61" t="str">
        <v>length of stay of each cattle group : days</v>
      </c>
      <c r="F135" s="107"/>
      <c r="G135" s="62"/>
      <c r="H135" s="60" t="str">
        <f>"See " &amp; $D$139</f>
        <v>See Table_D_j</v>
      </c>
    </row>
    <row r="136" spans="4:13" ht="20.100000000000001" customHeight="1" x14ac:dyDescent="0.25">
      <c r="D136" s="60" t="str">
        <v>M_jmT</v>
      </c>
      <c r="E136" s="61" t="str">
        <v>methane production from manure per cattle group, MMS, and treatment stage : kg CH4/head/day</v>
      </c>
      <c r="F136" s="107"/>
      <c r="G136" s="62"/>
      <c r="H136" s="60" t="str">
        <f>"See " &amp; $D$144</f>
        <v>See M1_Table_M_j_m_T</v>
      </c>
    </row>
    <row r="137" spans="4:13" ht="20.100000000000001" customHeight="1" x14ac:dyDescent="0.25">
      <c r="D137" s="60" t="str">
        <v>N_j</v>
      </c>
      <c r="E137" s="61" t="str">
        <v>numbers of beef cattle in each group : head</v>
      </c>
      <c r="F137" s="107"/>
      <c r="G137" s="62"/>
      <c r="H137" s="60" t="str">
        <f>"See " &amp; $D$153</f>
        <v>See Table_N_j</v>
      </c>
    </row>
    <row r="138" spans="4:13" ht="20.100000000000001" customHeight="1" x14ac:dyDescent="0.25"/>
    <row r="139" spans="4:13" ht="20.100000000000001" customHeight="1" x14ac:dyDescent="0.25">
      <c r="D139" s="105" t="s">
        <v>124</v>
      </c>
    </row>
    <row r="140" spans="4:13" ht="20.100000000000001" customHeight="1" x14ac:dyDescent="0.25">
      <c r="D140" s="104" t="s">
        <v>122</v>
      </c>
    </row>
    <row r="141" spans="4:13" ht="20.100000000000001" customHeight="1" x14ac:dyDescent="0.25">
      <c r="D141" s="54" t="s">
        <v>141</v>
      </c>
      <c r="E141" s="54" t="s">
        <v>142</v>
      </c>
      <c r="F141" s="54" t="s">
        <v>143</v>
      </c>
    </row>
    <row r="142" spans="4:13" ht="20.100000000000001" customHeight="1" x14ac:dyDescent="0.25">
      <c r="D142" s="109">
        <f>'Input - Feedlot'!$E$9</f>
        <v>90</v>
      </c>
      <c r="E142" s="109">
        <f>'Input - Feedlot'!$F$9</f>
        <v>140</v>
      </c>
      <c r="F142" s="109">
        <f>'Input - Feedlot'!$G$9</f>
        <v>250</v>
      </c>
      <c r="G142" s="2" t="s">
        <v>54</v>
      </c>
    </row>
    <row r="143" spans="4:13" ht="20.100000000000001" customHeight="1" x14ac:dyDescent="0.25"/>
    <row r="144" spans="4:13" ht="20.100000000000001" customHeight="1" x14ac:dyDescent="0.25">
      <c r="D144" s="105" t="s">
        <v>223</v>
      </c>
      <c r="M144" s="105" t="s">
        <v>225</v>
      </c>
    </row>
    <row r="145" spans="4:18" ht="20.100000000000001" customHeight="1" x14ac:dyDescent="0.25">
      <c r="D145" s="104" t="s">
        <v>224</v>
      </c>
      <c r="M145" s="104" t="s">
        <v>226</v>
      </c>
    </row>
    <row r="146" spans="4:18" ht="20.100000000000001" customHeight="1" x14ac:dyDescent="0.25">
      <c r="D146" s="54" t="s">
        <v>128</v>
      </c>
      <c r="E146" s="54" t="s">
        <v>67</v>
      </c>
      <c r="F146" s="54" t="s">
        <v>141</v>
      </c>
      <c r="G146" s="54" t="s">
        <v>142</v>
      </c>
      <c r="H146" s="54" t="s">
        <v>143</v>
      </c>
      <c r="M146" s="54" t="s">
        <v>128</v>
      </c>
      <c r="N146" s="54" t="s">
        <v>67</v>
      </c>
      <c r="O146" s="54" t="s">
        <v>141</v>
      </c>
      <c r="P146" s="54" t="s">
        <v>142</v>
      </c>
      <c r="Q146" s="54" t="s">
        <v>143</v>
      </c>
    </row>
    <row r="147" spans="4:18" ht="20.100000000000001" customHeight="1" x14ac:dyDescent="0.25">
      <c r="D147" s="55">
        <v>1</v>
      </c>
      <c r="E147" s="55" t="str">
        <f>'Input - Feedlot'!$D$28</f>
        <v>Drylot (feed pad)</v>
      </c>
      <c r="F147" s="55">
        <f>$E$57</f>
        <v>2.1394673663999997E-3</v>
      </c>
      <c r="G147" s="55">
        <f>$F$57</f>
        <v>2.2217545727999995E-3</v>
      </c>
      <c r="H147" s="55">
        <f>$G$57</f>
        <v>1.6868877311999992E-3</v>
      </c>
      <c r="I147" s="2" t="s">
        <v>129</v>
      </c>
      <c r="M147" s="55">
        <v>1</v>
      </c>
      <c r="N147" s="55" t="str">
        <f>'Input - Feedlot'!$D$28</f>
        <v>Drylot (feed pad)</v>
      </c>
      <c r="O147" s="55">
        <f>$N$57</f>
        <v>2.1394673663999997E-3</v>
      </c>
      <c r="P147" s="55">
        <f>$O$57</f>
        <v>2.2217545727999995E-3</v>
      </c>
      <c r="Q147" s="55">
        <f>$P$57</f>
        <v>1.6868877311999992E-3</v>
      </c>
      <c r="R147" s="2" t="s">
        <v>129</v>
      </c>
    </row>
    <row r="148" spans="4:18" ht="20.100000000000001" customHeight="1" x14ac:dyDescent="0.25">
      <c r="D148" s="55">
        <v>2</v>
      </c>
      <c r="E148" s="55" t="str">
        <f>'Input - Feedlot'!$D$32</f>
        <v>Solid storage</v>
      </c>
      <c r="F148" s="55">
        <f>$E$93</f>
        <v>4.2789347327999993E-4</v>
      </c>
      <c r="G148" s="55">
        <f>$F$93</f>
        <v>4.4435091455999993E-4</v>
      </c>
      <c r="H148" s="55">
        <f>$G$93</f>
        <v>3.3737754623999993E-4</v>
      </c>
      <c r="I148" s="2" t="s">
        <v>129</v>
      </c>
      <c r="M148" s="55">
        <v>2</v>
      </c>
      <c r="N148" s="55" t="str">
        <f>'Input - Feedlot'!$D$32</f>
        <v>Solid storage</v>
      </c>
      <c r="O148" s="55">
        <f>$N$93</f>
        <v>4.2789347327999993E-4</v>
      </c>
      <c r="P148" s="55">
        <f>$O$93</f>
        <v>4.4435091455999993E-4</v>
      </c>
      <c r="Q148" s="55">
        <f>$P$93</f>
        <v>3.3737754623999993E-4</v>
      </c>
      <c r="R148" s="2" t="s">
        <v>129</v>
      </c>
    </row>
    <row r="149" spans="4:18" ht="20.100000000000001" customHeight="1" x14ac:dyDescent="0.25">
      <c r="D149" s="55">
        <v>2</v>
      </c>
      <c r="E149" s="55" t="str">
        <f>'Input - Feedlot'!$D$33</f>
        <v>Composting (passive windrow)</v>
      </c>
      <c r="F149" s="55">
        <f>$E$94</f>
        <v>6.4184020991999975E-4</v>
      </c>
      <c r="G149" s="55">
        <f>$F$94</f>
        <v>6.6652637183999984E-4</v>
      </c>
      <c r="H149" s="55">
        <f>$G$94</f>
        <v>5.0606631935999971E-4</v>
      </c>
      <c r="I149" s="2" t="s">
        <v>129</v>
      </c>
      <c r="M149" s="55">
        <v>2</v>
      </c>
      <c r="N149" s="55" t="str">
        <f>'Input - Feedlot'!$D$33</f>
        <v>Composting (passive windrow)</v>
      </c>
      <c r="O149" s="55">
        <f>$N$94</f>
        <v>6.4184020991999975E-4</v>
      </c>
      <c r="P149" s="55">
        <f>$O$94</f>
        <v>6.6652637183999984E-4</v>
      </c>
      <c r="Q149" s="55">
        <f>$P$94</f>
        <v>5.0606631935999971E-4</v>
      </c>
      <c r="R149" s="2" t="s">
        <v>129</v>
      </c>
    </row>
    <row r="150" spans="4:18" ht="20.100000000000001" customHeight="1" x14ac:dyDescent="0.25">
      <c r="D150" s="55">
        <v>2</v>
      </c>
      <c r="E150" s="55" t="str">
        <f>'Input - Feedlot'!$D$34</f>
        <v>Direct application</v>
      </c>
      <c r="F150" s="55" t="str">
        <f>$E$95</f>
        <v>N/A</v>
      </c>
      <c r="G150" s="55" t="str">
        <f t="shared" ref="G150:H150" si="2">$E$95</f>
        <v>N/A</v>
      </c>
      <c r="H150" s="55" t="str">
        <f t="shared" si="2"/>
        <v>N/A</v>
      </c>
      <c r="I150" s="2" t="s">
        <v>129</v>
      </c>
      <c r="M150" s="55">
        <v>2</v>
      </c>
      <c r="N150" s="55" t="str">
        <f>'Input - Feedlot'!$D$34</f>
        <v>Direct application</v>
      </c>
      <c r="O150" s="55" t="str">
        <f>$E$95</f>
        <v>N/A</v>
      </c>
      <c r="P150" s="55" t="str">
        <f t="shared" ref="P150:Q150" si="3">$E$95</f>
        <v>N/A</v>
      </c>
      <c r="Q150" s="55" t="str">
        <f t="shared" si="3"/>
        <v>N/A</v>
      </c>
      <c r="R150" s="2" t="s">
        <v>129</v>
      </c>
    </row>
    <row r="151" spans="4:18" ht="20.100000000000001" customHeight="1" x14ac:dyDescent="0.25">
      <c r="D151" s="55">
        <v>3</v>
      </c>
      <c r="E151" s="55" t="str">
        <f>'Input - Feedlot'!$D$38</f>
        <v>Anaerobic lagoon</v>
      </c>
      <c r="F151" s="55">
        <f>$E$122</f>
        <v>3.2092010495999991E-3</v>
      </c>
      <c r="G151" s="55">
        <f>$F$122</f>
        <v>3.3326318591999997E-3</v>
      </c>
      <c r="H151" s="55">
        <f>$G$122</f>
        <v>2.530331596799999E-3</v>
      </c>
      <c r="I151" s="2" t="s">
        <v>129</v>
      </c>
      <c r="M151" s="55">
        <v>3</v>
      </c>
      <c r="N151" s="55" t="str">
        <f>'Input - Feedlot'!$D$38</f>
        <v>Anaerobic lagoon</v>
      </c>
      <c r="O151" s="55">
        <f>$N$122</f>
        <v>3.2092010495999991E-3</v>
      </c>
      <c r="P151" s="55">
        <f>$O$122</f>
        <v>3.3326318591999997E-3</v>
      </c>
      <c r="Q151" s="55">
        <f>$P$122</f>
        <v>2.530331596799999E-3</v>
      </c>
      <c r="R151" s="2" t="s">
        <v>129</v>
      </c>
    </row>
    <row r="152" spans="4:18" ht="20.100000000000001" customHeight="1" x14ac:dyDescent="0.25"/>
    <row r="153" spans="4:18" ht="20.100000000000001" customHeight="1" x14ac:dyDescent="0.25">
      <c r="D153" s="105" t="s">
        <v>125</v>
      </c>
    </row>
    <row r="154" spans="4:18" ht="20.100000000000001" customHeight="1" x14ac:dyDescent="0.25">
      <c r="D154" s="104" t="s">
        <v>126</v>
      </c>
    </row>
    <row r="155" spans="4:18" ht="20.100000000000001" customHeight="1" x14ac:dyDescent="0.25">
      <c r="D155" s="54" t="s">
        <v>141</v>
      </c>
      <c r="E155" s="54" t="s">
        <v>142</v>
      </c>
      <c r="F155" s="54" t="s">
        <v>143</v>
      </c>
    </row>
    <row r="156" spans="4:18" ht="20.100000000000001" customHeight="1" x14ac:dyDescent="0.25">
      <c r="D156" s="109">
        <f>'Input - Feedlot'!$E$8</f>
        <v>4300</v>
      </c>
      <c r="E156" s="109">
        <f>'Input - Feedlot'!$F$8</f>
        <v>100</v>
      </c>
      <c r="F156" s="109">
        <f>'Input - Feedlot'!$G$8</f>
        <v>100</v>
      </c>
      <c r="G156" s="2" t="s">
        <v>127</v>
      </c>
    </row>
    <row r="157" spans="4:18" ht="20.100000000000001" customHeight="1" x14ac:dyDescent="0.25"/>
    <row r="158" spans="4:18" ht="20.100000000000001" customHeight="1" x14ac:dyDescent="0.25">
      <c r="D158" s="105" t="s">
        <v>131</v>
      </c>
      <c r="M158" s="105" t="s">
        <v>131</v>
      </c>
    </row>
    <row r="159" spans="4:18" ht="20.100000000000001" customHeight="1" x14ac:dyDescent="0.25">
      <c r="D159" s="104" t="s">
        <v>132</v>
      </c>
      <c r="M159" s="104" t="s">
        <v>132</v>
      </c>
    </row>
    <row r="160" spans="4:18" ht="20.100000000000001" customHeight="1" x14ac:dyDescent="0.25">
      <c r="D160" s="54" t="s">
        <v>128</v>
      </c>
      <c r="E160" s="54" t="s">
        <v>67</v>
      </c>
      <c r="F160" s="54" t="s">
        <v>141</v>
      </c>
      <c r="G160" s="54" t="s">
        <v>142</v>
      </c>
      <c r="H160" s="54" t="s">
        <v>143</v>
      </c>
      <c r="M160" s="54" t="s">
        <v>128</v>
      </c>
      <c r="N160" s="54" t="s">
        <v>67</v>
      </c>
      <c r="O160" s="54" t="s">
        <v>141</v>
      </c>
      <c r="P160" s="54" t="s">
        <v>142</v>
      </c>
      <c r="Q160" s="54" t="s">
        <v>143</v>
      </c>
    </row>
    <row r="161" spans="4:18" ht="20.100000000000001" customHeight="1" x14ac:dyDescent="0.25">
      <c r="D161" s="55">
        <v>1</v>
      </c>
      <c r="E161" s="55" t="str">
        <f>'Input - Feedlot'!$D$28</f>
        <v>Drylot (feed pad)</v>
      </c>
      <c r="F161" s="55" cm="1">
        <f t="array" ref="F161">MMS_Feedlot_Methane_Equations.VEERG_4_1_1_1__1_TotalAnnualMethaneEmissions(D$142, F147, D$156)</f>
        <v>0.82797387079679996</v>
      </c>
      <c r="G161" s="55" cm="1">
        <f t="array" ref="G161">MMS_Feedlot_Methane_Equations.VEERG_4_1_1_1__1_TotalAnnualMethaneEmissions(E$142, G147, E$156)</f>
        <v>3.1104564019199994E-2</v>
      </c>
      <c r="H161" s="55" cm="1">
        <f t="array" ref="H161">MMS_Feedlot_Methane_Equations.VEERG_4_1_1_1__1_TotalAnnualMethaneEmissions(F$142, H147, F$156)</f>
        <v>4.2172193279999978E-2</v>
      </c>
      <c r="I161" s="2" t="str">
        <f>$E$133</f>
        <v>t CH4</v>
      </c>
      <c r="M161" s="55">
        <v>1</v>
      </c>
      <c r="N161" s="55" t="str">
        <f>'Input - Feedlot'!$D$28</f>
        <v>Drylot (feed pad)</v>
      </c>
      <c r="O161" s="55" cm="1">
        <f t="array" ref="O161">MMS_Feedlot_Methane_Equations.VEERG_4_1_1_1__1_TotalAnnualMethaneEmissions(D$142, O147, D$156)</f>
        <v>0.82797387079679996</v>
      </c>
      <c r="P161" s="55" cm="1">
        <f t="array" ref="P161">MMS_Feedlot_Methane_Equations.VEERG_4_1_1_1__1_TotalAnnualMethaneEmissions(E$142, P147, E$156)</f>
        <v>3.1104564019199994E-2</v>
      </c>
      <c r="Q161" s="55" cm="1">
        <f t="array" ref="Q161">MMS_Feedlot_Methane_Equations.VEERG_4_1_1_1__1_TotalAnnualMethaneEmissions(F$142, Q147, F$156)</f>
        <v>4.2172193279999978E-2</v>
      </c>
      <c r="R161" s="2" t="str">
        <f>$E$133</f>
        <v>t CH4</v>
      </c>
    </row>
    <row r="162" spans="4:18" ht="20.100000000000001" customHeight="1" x14ac:dyDescent="0.25">
      <c r="D162" s="55">
        <v>2</v>
      </c>
      <c r="E162" s="55" t="str">
        <f>'Input - Feedlot'!$D$32</f>
        <v>Solid storage</v>
      </c>
      <c r="F162" s="55" cm="1">
        <f t="array" ref="F162">MMS_Feedlot_Methane_Equations.VEERG_4_1_1_1__1_TotalAnnualMethaneEmissions(D$142, F148, D$156)</f>
        <v>0.16559477415936</v>
      </c>
      <c r="G162" s="55" cm="1">
        <f t="array" ref="G162">MMS_Feedlot_Methane_Equations.VEERG_4_1_1_1__1_TotalAnnualMethaneEmissions(E$142, G148, E$156)</f>
        <v>6.2209128038399984E-3</v>
      </c>
      <c r="H162" s="55" cm="1">
        <f t="array" ref="H162">MMS_Feedlot_Methane_Equations.VEERG_4_1_1_1__1_TotalAnnualMethaneEmissions(F$142, H148, F$156)</f>
        <v>8.4344386559999981E-3</v>
      </c>
      <c r="I162" s="2" t="str">
        <f>$E$133</f>
        <v>t CH4</v>
      </c>
      <c r="M162" s="55">
        <v>2</v>
      </c>
      <c r="N162" s="55" t="str">
        <f>'Input - Feedlot'!$D$32</f>
        <v>Solid storage</v>
      </c>
      <c r="O162" s="55" cm="1">
        <f t="array" ref="O162">MMS_Feedlot_Methane_Equations.VEERG_4_1_1_1__1_TotalAnnualMethaneEmissions(D$142, O148, D$156)</f>
        <v>0.16559477415936</v>
      </c>
      <c r="P162" s="55" cm="1">
        <f t="array" ref="P162">MMS_Feedlot_Methane_Equations.VEERG_4_1_1_1__1_TotalAnnualMethaneEmissions(E$142, P148, E$156)</f>
        <v>6.2209128038399984E-3</v>
      </c>
      <c r="Q162" s="55" cm="1">
        <f t="array" ref="Q162">MMS_Feedlot_Methane_Equations.VEERG_4_1_1_1__1_TotalAnnualMethaneEmissions(F$142, Q148, F$156)</f>
        <v>8.4344386559999981E-3</v>
      </c>
      <c r="R162" s="2" t="str">
        <f>$E$133</f>
        <v>t CH4</v>
      </c>
    </row>
    <row r="163" spans="4:18" ht="20.100000000000001" customHeight="1" x14ac:dyDescent="0.25">
      <c r="D163" s="55">
        <v>2</v>
      </c>
      <c r="E163" s="55" t="str">
        <f>'Input - Feedlot'!$D$33</f>
        <v>Composting (passive windrow)</v>
      </c>
      <c r="F163" s="55" cm="1">
        <f t="array" ref="F163">MMS_Feedlot_Methane_Equations.VEERG_4_1_1_1__1_TotalAnnualMethaneEmissions(D$142, F149, D$156)</f>
        <v>0.2483921612390399</v>
      </c>
      <c r="G163" s="55" cm="1">
        <f t="array" ref="G163">MMS_Feedlot_Methane_Equations.VEERG_4_1_1_1__1_TotalAnnualMethaneEmissions(E$142, G149, E$156)</f>
        <v>9.3313692057599984E-3</v>
      </c>
      <c r="H163" s="55" cm="1">
        <f t="array" ref="H163">MMS_Feedlot_Methane_Equations.VEERG_4_1_1_1__1_TotalAnnualMethaneEmissions(F$142, H149, F$156)</f>
        <v>1.2651657983999993E-2</v>
      </c>
      <c r="I163" s="2" t="str">
        <f>$E$133</f>
        <v>t CH4</v>
      </c>
      <c r="M163" s="55">
        <v>2</v>
      </c>
      <c r="N163" s="55" t="str">
        <f>'Input - Feedlot'!$D$33</f>
        <v>Composting (passive windrow)</v>
      </c>
      <c r="O163" s="55" cm="1">
        <f t="array" ref="O163">MMS_Feedlot_Methane_Equations.VEERG_4_1_1_1__1_TotalAnnualMethaneEmissions(D$142, O149, D$156)</f>
        <v>0.2483921612390399</v>
      </c>
      <c r="P163" s="55" cm="1">
        <f t="array" ref="P163">MMS_Feedlot_Methane_Equations.VEERG_4_1_1_1__1_TotalAnnualMethaneEmissions(E$142, P149, E$156)</f>
        <v>9.3313692057599984E-3</v>
      </c>
      <c r="Q163" s="55" cm="1">
        <f t="array" ref="Q163">MMS_Feedlot_Methane_Equations.VEERG_4_1_1_1__1_TotalAnnualMethaneEmissions(F$142, Q149, F$156)</f>
        <v>1.2651657983999993E-2</v>
      </c>
      <c r="R163" s="2" t="str">
        <f>$E$133</f>
        <v>t CH4</v>
      </c>
    </row>
    <row r="164" spans="4:18" ht="20.100000000000001" customHeight="1" x14ac:dyDescent="0.25">
      <c r="D164" s="55">
        <v>2</v>
      </c>
      <c r="E164" s="55" t="str">
        <f>'Input - Feedlot'!$D$34</f>
        <v>Direct application</v>
      </c>
      <c r="F164" s="55" cm="1">
        <f t="array" ref="F164">MMS_Feedlot_Methane_Equations.VEERG_4_1_1_1__1_TotalAnnualMethaneEmissions(D$142, 0, D$156)</f>
        <v>0</v>
      </c>
      <c r="G164" s="55" cm="1">
        <f t="array" ref="G164">MMS_Feedlot_Methane_Equations.VEERG_4_1_1_1__1_TotalAnnualMethaneEmissions(E$142, 0, E$156)</f>
        <v>0</v>
      </c>
      <c r="H164" s="55" cm="1">
        <f t="array" ref="H164">MMS_Feedlot_Methane_Equations.VEERG_4_1_1_1__1_TotalAnnualMethaneEmissions(F$142, 0, F$156)</f>
        <v>0</v>
      </c>
      <c r="I164" s="2" t="str">
        <f>$E$133</f>
        <v>t CH4</v>
      </c>
      <c r="M164" s="55">
        <v>2</v>
      </c>
      <c r="N164" s="55" t="str">
        <f>'Input - Feedlot'!$D$34</f>
        <v>Direct application</v>
      </c>
      <c r="O164" s="55" cm="1">
        <f t="array" ref="O164">MMS_Feedlot_Methane_Equations.VEERG_4_1_1_1__1_TotalAnnualMethaneEmissions(M$142, 0, M$156)</f>
        <v>0</v>
      </c>
      <c r="P164" s="55" cm="1">
        <f t="array" ref="P164">MMS_Feedlot_Methane_Equations.VEERG_4_1_1_1__1_TotalAnnualMethaneEmissions(N$142, 0, N$156)</f>
        <v>0</v>
      </c>
      <c r="Q164" s="55" cm="1">
        <f t="array" ref="Q164">MMS_Feedlot_Methane_Equations.VEERG_4_1_1_1__1_TotalAnnualMethaneEmissions(O$142, 0, O$156)</f>
        <v>0</v>
      </c>
      <c r="R164" s="2" t="str">
        <f>$E$133</f>
        <v>t CH4</v>
      </c>
    </row>
    <row r="165" spans="4:18" ht="20.100000000000001" customHeight="1" x14ac:dyDescent="0.25">
      <c r="D165" s="55">
        <v>3</v>
      </c>
      <c r="E165" s="55" t="str">
        <f>'Input - Feedlot'!$D$38</f>
        <v>Anaerobic lagoon</v>
      </c>
      <c r="F165" s="55" cm="1">
        <f t="array" ref="F165">MMS_Feedlot_Methane_Equations.VEERG_4_1_1_1__1_TotalAnnualMethaneEmissions(D$142, F151, D$156)</f>
        <v>1.2419608061951997</v>
      </c>
      <c r="G165" s="55" cm="1">
        <f t="array" ref="G165">MMS_Feedlot_Methane_Equations.VEERG_4_1_1_1__1_TotalAnnualMethaneEmissions(E$142, G151, E$156)</f>
        <v>4.6656846028799999E-2</v>
      </c>
      <c r="H165" s="55" cm="1">
        <f t="array" ref="H165">MMS_Feedlot_Methane_Equations.VEERG_4_1_1_1__1_TotalAnnualMethaneEmissions(F$142, H151, F$156)</f>
        <v>6.3258289919999974E-2</v>
      </c>
      <c r="I165" s="2" t="str">
        <f>$E$133</f>
        <v>t CH4</v>
      </c>
      <c r="M165" s="55">
        <v>3</v>
      </c>
      <c r="N165" s="55" t="str">
        <f>'Input - Feedlot'!$D$38</f>
        <v>Anaerobic lagoon</v>
      </c>
      <c r="O165" s="55" cm="1">
        <f t="array" ref="O165">MMS_Feedlot_Methane_Equations.VEERG_4_1_1_1__1_TotalAnnualMethaneEmissions(D$142, O151, D$156)</f>
        <v>1.2419608061951997</v>
      </c>
      <c r="P165" s="55" cm="1">
        <f t="array" ref="P165">MMS_Feedlot_Methane_Equations.VEERG_4_1_1_1__1_TotalAnnualMethaneEmissions(E$142, P151, E$156)</f>
        <v>4.6656846028799999E-2</v>
      </c>
      <c r="Q165" s="55" cm="1">
        <f t="array" ref="Q165">MMS_Feedlot_Methane_Equations.VEERG_4_1_1_1__1_TotalAnnualMethaneEmissions(F$142, Q151, F$156)</f>
        <v>6.3258289919999974E-2</v>
      </c>
      <c r="R165" s="2" t="str">
        <f>$E$133</f>
        <v>t CH4</v>
      </c>
    </row>
    <row r="168" spans="4:18" ht="20.25" x14ac:dyDescent="0.25">
      <c r="D168" s="110" t="s">
        <v>227</v>
      </c>
      <c r="E168" s="111">
        <f>SUM(F161:H165)</f>
        <v>2.7037518842879988</v>
      </c>
      <c r="F168" s="112" t="str">
        <f>$E$133</f>
        <v>t CH4</v>
      </c>
      <c r="M168" s="110" t="s">
        <v>228</v>
      </c>
      <c r="N168" s="111">
        <f>SUM(O161:Q165)</f>
        <v>2.7037518842879988</v>
      </c>
      <c r="O168" s="112" t="str">
        <f>$E$133</f>
        <v>t CH4</v>
      </c>
    </row>
    <row r="170" spans="4:18" x14ac:dyDescent="0.25">
      <c r="D170" s="60" t="str" cm="1">
        <f t="array" ref="D170:E171">Common_Equations.Common_ConvertCH4ToCO2e_Arguments()</f>
        <v>ECH4</v>
      </c>
      <c r="E170" s="61" t="str">
        <v>Methane emissions (t CH4)</v>
      </c>
      <c r="F170" s="113"/>
      <c r="G170" s="55">
        <f>E168</f>
        <v>2.7037518842879988</v>
      </c>
      <c r="H170" s="2" t="str">
        <f>$E$133</f>
        <v>t CH4</v>
      </c>
      <c r="M170" s="60" t="str" cm="1">
        <f t="array" ref="M170:N171">Common_Equations.Common_ConvertCH4ToCO2e_Arguments()</f>
        <v>ECH4</v>
      </c>
      <c r="N170" s="61" t="str">
        <v>Methane emissions (t CH4)</v>
      </c>
      <c r="O170" s="113"/>
      <c r="P170" s="55">
        <f>N168</f>
        <v>2.7037518842879988</v>
      </c>
      <c r="Q170" s="2" t="str">
        <f>$E$133</f>
        <v>t CH4</v>
      </c>
    </row>
    <row r="171" spans="4:18" x14ac:dyDescent="0.25">
      <c r="D171" s="60" t="str">
        <v>GWPCH4</v>
      </c>
      <c r="E171" s="61" t="str">
        <v>Global warming potential for methane (t CO2-e / t CH4)</v>
      </c>
      <c r="F171" s="113"/>
      <c r="G171" s="55">
        <f>Common_InputFunctions.Utility_LookupValueInTableNumber("CH4",Table_GWPData[Gas],Table_GWPData[CO2-e factor])</f>
        <v>28</v>
      </c>
      <c r="M171" s="60" t="str">
        <v>GWPCH4</v>
      </c>
      <c r="N171" s="61" t="str">
        <v>Global warming potential for methane (t CO2-e / t CH4)</v>
      </c>
      <c r="O171" s="113"/>
      <c r="P171" s="55">
        <f>Common_InputFunctions.Utility_LookupValueInTableNumber("CH4",Table_GWPData[Gas],Table_GWPData[CO2-e factor])</f>
        <v>28</v>
      </c>
    </row>
    <row r="173" spans="4:18" ht="18.75" x14ac:dyDescent="0.25">
      <c r="D173" s="48" t="s">
        <v>229</v>
      </c>
      <c r="E173" s="48" cm="1">
        <f t="array" ref="E173">Common_Equations.Common_ConvertCH4ToCO2e(G170,G171)</f>
        <v>75.705052760063964</v>
      </c>
      <c r="F173" s="114" t="str" cm="1">
        <f t="array" ref="F173">Common_Equations.Common_ConvertN2OToCO2e_Unit()</f>
        <v>t CO2e</v>
      </c>
      <c r="M173" s="48" t="s">
        <v>230</v>
      </c>
      <c r="N173" s="48" cm="1">
        <f t="array" ref="N173">Common_Equations.Common_ConvertCH4ToCO2e(P170,P171)</f>
        <v>75.705052760063964</v>
      </c>
      <c r="O173" s="114" t="str" cm="1">
        <f t="array" ref="O173">Common_Equations.Common_ConvertN2OToCO2e_Unit()</f>
        <v>t CO2e</v>
      </c>
    </row>
  </sheetData>
  <dataValidations disablePrompts="1" count="1">
    <dataValidation operator="equal" allowBlank="1" showInputMessage="1" showErrorMessage="1" sqref="E52:G52 E57:G57 E117:G117 E122:G122 D142:F142 D156:F156 N57:P57 N122:P122"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Q217"/>
  <sheetViews>
    <sheetView showGridLines="0" topLeftCell="B100" zoomScale="85" zoomScaleNormal="85" workbookViewId="0">
      <selection activeCell="E169" sqref="E167:E169"/>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6" width="30.7109375" style="1" customWidth="1"/>
    <col min="17" max="17" width="4.7109375" style="1" customWidth="1"/>
  </cols>
  <sheetData>
    <row r="1" spans="1:17" s="8" customFormat="1" ht="30" customHeight="1" x14ac:dyDescent="0.35">
      <c r="A1" s="71" t="e" vm="1">
        <v>#VALUE!</v>
      </c>
      <c r="C1" s="8" t="s">
        <v>265</v>
      </c>
    </row>
    <row r="2" spans="1:17" s="9" customFormat="1" ht="20.100000000000001" customHeight="1" x14ac:dyDescent="0.25"/>
    <row r="3" spans="1:17" ht="20.100000000000001" customHeight="1" x14ac:dyDescent="0.25">
      <c r="A3" s="17" t="str">
        <f>HYPERLINK("#'Home'!A1", "Home")</f>
        <v>Home</v>
      </c>
      <c r="C3" s="4"/>
      <c r="D3" s="4" t="s">
        <v>162</v>
      </c>
      <c r="E3" s="4"/>
      <c r="F3" s="4"/>
      <c r="G3" s="4"/>
      <c r="H3" s="4"/>
      <c r="I3" s="4"/>
      <c r="K3" s="4"/>
      <c r="L3" s="4" t="s">
        <v>163</v>
      </c>
      <c r="M3" s="4"/>
      <c r="N3" s="4"/>
      <c r="O3" s="4"/>
      <c r="P3" s="4"/>
      <c r="Q3" s="4"/>
    </row>
    <row r="4" spans="1:17" ht="20.100000000000001" customHeight="1" x14ac:dyDescent="0.25">
      <c r="A4" s="17" t="str">
        <f>HYPERLINK("#'Results'!A1", "Results")</f>
        <v>Results</v>
      </c>
    </row>
    <row r="5" spans="1:17" ht="20.100000000000001" customHeight="1" x14ac:dyDescent="0.25">
      <c r="A5" s="16"/>
      <c r="D5" s="6" t="str" cm="1">
        <f t="array" ref="D5">MMS_Feedlot_N2ODirect_Equations.VEERG_4_1_1_3__5_NitrogenIntake_Title()</f>
        <v>Nitrogen intake of feedlot cattle</v>
      </c>
    </row>
    <row r="6" spans="1:17" ht="20.100000000000001" customHeight="1" x14ac:dyDescent="0.25">
      <c r="A6" s="20" t="s">
        <v>3</v>
      </c>
      <c r="D6" s="5" t="str" cm="1">
        <f t="array" ref="D6">MMS_Feedlot_N2ODirect_Equations.VEERG_4_1_1_3__5_NitrogenIntake_Source()</f>
        <v>VEERG 2026: 4.1.1.3, Equation (5)</v>
      </c>
    </row>
    <row r="7" spans="1:17" ht="20.100000000000001" customHeight="1" x14ac:dyDescent="0.25">
      <c r="A7" s="17" t="str">
        <f>HYPERLINK("#'Input - Site'!A1", "Site")</f>
        <v>Site</v>
      </c>
      <c r="D7" s="13" t="s">
        <v>133</v>
      </c>
      <c r="E7" s="13" t="str" cm="1">
        <f t="array" aca="1" ref="E7" ca="1">Common_InputFunctions.Utility_DisplayFunctionName(D30)</f>
        <v>=MMS_Feedlot_N2ODirect_Equations.VEERG_4_1_1_3__5_NitrogenIntake</v>
      </c>
    </row>
    <row r="8" spans="1:17" ht="20.100000000000001" customHeight="1" x14ac:dyDescent="0.25">
      <c r="A8" s="17" t="str">
        <f>HYPERLINK("#'Input - Feedlot'!A1", "Feedlot")</f>
        <v>Feedlot</v>
      </c>
    </row>
    <row r="9" spans="1:17" ht="20.100000000000001" customHeight="1" x14ac:dyDescent="0.25">
      <c r="A9" s="17"/>
    </row>
    <row r="10" spans="1:17" ht="20.100000000000001" customHeight="1" x14ac:dyDescent="0.25">
      <c r="A10" s="19" t="s">
        <v>76</v>
      </c>
      <c r="D10" s="56" t="s">
        <v>29</v>
      </c>
      <c r="E10" s="1" t="str" cm="1">
        <f t="array" ref="E10">MMS_Feedlot_N2ODirect_Equations.VEERG_4_1_1_3__5_NitrogenIntake_Variable()</f>
        <v>NI_j</v>
      </c>
    </row>
    <row r="11" spans="1:17" ht="20.100000000000001" customHeight="1" x14ac:dyDescent="0.25">
      <c r="A11" s="17" t="str">
        <f>HYPERLINK("#'4.1.1.1-2 Methane'!A1", "4.1.1.1-2 Methane")</f>
        <v>4.1.1.1-2 Methane</v>
      </c>
      <c r="D11" s="56" t="s">
        <v>19</v>
      </c>
      <c r="E11" s="57" t="str" cm="1">
        <f t="array" ref="E11">MMS_Feedlot_N2ODirect_Equations.VEERG_4_1_1_3__5_NitrogenIntake_Unit()</f>
        <v>kg N/head/day</v>
      </c>
    </row>
    <row r="12" spans="1:17" ht="20.100000000000001" customHeight="1" x14ac:dyDescent="0.25">
      <c r="A12" s="22" t="str">
        <f>HYPERLINK("#'4.1.1.3-4 Direct N20'!A1", "4.1.1.3-4 Direct N2O")</f>
        <v>4.1.1.3-4 Direct N2O</v>
      </c>
    </row>
    <row r="13" spans="1:17" ht="20.100000000000001" customHeight="1" x14ac:dyDescent="0.25">
      <c r="A13" s="17" t="str">
        <f>HYPERLINK("#'4.1.1.5-6 Atmos Deposition'!A1", "4.1.1.5-6 Atmospheric deposition")</f>
        <v>4.1.1.5-6 Atmospheric deposition</v>
      </c>
      <c r="D13" s="60" t="str" cm="1">
        <f t="array" ref="D13:E15">MMS_Feedlot_N2ODirect_Equations.VEERG_4_1_1_3__5_NitrogenIntake_Arguments()</f>
        <v>I_j</v>
      </c>
      <c r="E13" s="61" t="str">
        <v>dry matter intake : kg DM/head/day</v>
      </c>
      <c r="F13" s="62"/>
      <c r="G13" s="60" t="str">
        <f>"See " &amp;D17</f>
        <v>See M1_Table_I_j</v>
      </c>
      <c r="H13" s="136" t="s">
        <v>326</v>
      </c>
    </row>
    <row r="14" spans="1:17" ht="20.100000000000001" customHeight="1" x14ac:dyDescent="0.25">
      <c r="A14" s="17" t="str">
        <f>HYPERLINK("#'4.1.1.9 Manure applied to soils'!A1", "4.1.1.9 Manure applied to soils")</f>
        <v>4.1.1.9 Manure applied to soils</v>
      </c>
      <c r="D14" s="60" t="str">
        <v>CP_j</v>
      </c>
      <c r="E14" s="61" t="str">
        <v>crude protein content of feed : fraction</v>
      </c>
      <c r="F14" s="62"/>
      <c r="G14" s="60" t="str">
        <f>"See " &amp; D22</f>
        <v>See M1_Table_CP_j</v>
      </c>
      <c r="H14" s="136" t="s">
        <v>326</v>
      </c>
    </row>
    <row r="15" spans="1:17" ht="20.100000000000001" customHeight="1" x14ac:dyDescent="0.25">
      <c r="D15" s="60" t="str">
        <v>6.25</v>
      </c>
      <c r="E15" s="61" t="str">
        <v>factor for converting crude protein into nitrogen : ratio</v>
      </c>
      <c r="F15" s="62"/>
      <c r="G15" s="60" t="str">
        <f>D15</f>
        <v>6.25</v>
      </c>
      <c r="H15" s="137" t="s">
        <v>328</v>
      </c>
    </row>
    <row r="16" spans="1:17" ht="20.100000000000001" customHeight="1" x14ac:dyDescent="0.25">
      <c r="A16" s="18" t="s">
        <v>4</v>
      </c>
    </row>
    <row r="17" spans="1:16" ht="20.100000000000001" customHeight="1" x14ac:dyDescent="0.25">
      <c r="A17" s="17" t="str">
        <f>HYPERLINK("#'Constants - Feedlot'!A1", "Constants - Feedlot")</f>
        <v>Constants - Feedlot</v>
      </c>
      <c r="D17" s="105" t="s">
        <v>152</v>
      </c>
      <c r="L17" s="105" t="s">
        <v>155</v>
      </c>
    </row>
    <row r="18" spans="1:16" ht="20.100000000000001" customHeight="1" x14ac:dyDescent="0.25">
      <c r="A18" s="17" t="str">
        <f>HYPERLINK("#'Constants - Livestock'!A1", "Constants - Livestock")</f>
        <v>Constants - Livestock</v>
      </c>
      <c r="D18" s="104" t="s">
        <v>200</v>
      </c>
      <c r="L18" s="104" t="s">
        <v>201</v>
      </c>
    </row>
    <row r="19" spans="1:16" ht="20.100000000000001" customHeight="1" x14ac:dyDescent="0.25">
      <c r="A19" s="17" t="str">
        <f>HYPERLINK("#'Constants - Common'!A1", "Constants - Common")</f>
        <v>Constants - Common</v>
      </c>
      <c r="D19" s="41" t="s">
        <v>141</v>
      </c>
      <c r="E19" s="41" t="s">
        <v>142</v>
      </c>
      <c r="F19" s="41" t="s">
        <v>143</v>
      </c>
      <c r="L19" s="41" t="s">
        <v>141</v>
      </c>
      <c r="M19" s="41" t="s">
        <v>142</v>
      </c>
      <c r="N19" s="41" t="s">
        <v>143</v>
      </c>
    </row>
    <row r="20" spans="1:16" ht="20.100000000000001" customHeight="1" x14ac:dyDescent="0.25">
      <c r="A20" s="17" t="str">
        <f>HYPERLINK("#'Acknowledgements'!A1", "Acknowledgements")</f>
        <v>Acknowledgements</v>
      </c>
      <c r="D20" s="55">
        <f>'Input - Feedlot'!$E$14</f>
        <v>10.4</v>
      </c>
      <c r="E20" s="55">
        <f>'Input - Feedlot'!$F$14</f>
        <v>10.8</v>
      </c>
      <c r="F20" s="55">
        <f>'Input - Feedlot'!$G$14</f>
        <v>8.1999999999999993</v>
      </c>
      <c r="G20" s="2" t="s">
        <v>104</v>
      </c>
      <c r="H20" s="2"/>
      <c r="L20" s="55">
        <f>'Input - Feedlot'!$E$20</f>
        <v>10.4</v>
      </c>
      <c r="M20" s="55">
        <f>'Input - Feedlot'!$F$20</f>
        <v>10.8</v>
      </c>
      <c r="N20" s="55">
        <f>'Input - Feedlot'!$G$20</f>
        <v>8.1999999999999993</v>
      </c>
      <c r="O20" s="2" t="s">
        <v>104</v>
      </c>
      <c r="P20" s="2"/>
    </row>
    <row r="21" spans="1:16" ht="20.100000000000001" customHeight="1" x14ac:dyDescent="0.25"/>
    <row r="22" spans="1:16" ht="20.100000000000001" customHeight="1" x14ac:dyDescent="0.25">
      <c r="D22" s="105" t="s">
        <v>153</v>
      </c>
      <c r="L22" s="105" t="s">
        <v>156</v>
      </c>
    </row>
    <row r="23" spans="1:16" ht="20.100000000000001" customHeight="1" x14ac:dyDescent="0.25">
      <c r="D23" s="104" t="s">
        <v>199</v>
      </c>
      <c r="L23" s="104" t="s">
        <v>202</v>
      </c>
    </row>
    <row r="24" spans="1:16" ht="20.100000000000001" customHeight="1" x14ac:dyDescent="0.25">
      <c r="D24" s="41" t="s">
        <v>141</v>
      </c>
      <c r="E24" s="41" t="s">
        <v>142</v>
      </c>
      <c r="F24" s="41" t="s">
        <v>143</v>
      </c>
      <c r="L24" s="41" t="s">
        <v>141</v>
      </c>
      <c r="M24" s="41" t="s">
        <v>142</v>
      </c>
      <c r="N24" s="41" t="s">
        <v>143</v>
      </c>
    </row>
    <row r="25" spans="1:16" ht="20.100000000000001" customHeight="1" x14ac:dyDescent="0.25">
      <c r="D25" s="55">
        <f>'Input - Feedlot'!$E$16</f>
        <v>0.14000000000000001</v>
      </c>
      <c r="E25" s="55">
        <f>'Input - Feedlot'!$F$16</f>
        <v>0.12</v>
      </c>
      <c r="F25" s="55">
        <f>'Input - Feedlot'!$G$16</f>
        <v>0.12</v>
      </c>
      <c r="G25" s="2" t="s">
        <v>337</v>
      </c>
      <c r="H25" s="2"/>
      <c r="L25" s="55">
        <f>'Input - Feedlot'!$E$22</f>
        <v>0.14000000000000001</v>
      </c>
      <c r="M25" s="55">
        <f>'Input - Feedlot'!$F$22</f>
        <v>0.12</v>
      </c>
      <c r="N25" s="55">
        <f>'Input - Feedlot'!$G$22</f>
        <v>0.12</v>
      </c>
      <c r="O25" s="2" t="s">
        <v>337</v>
      </c>
      <c r="P25" s="2"/>
    </row>
    <row r="26" spans="1:16" ht="20.100000000000001" customHeight="1" x14ac:dyDescent="0.25"/>
    <row r="27" spans="1:16" ht="20.100000000000001" customHeight="1" x14ac:dyDescent="0.25">
      <c r="D27" s="105" t="s">
        <v>154</v>
      </c>
      <c r="L27" s="105" t="s">
        <v>157</v>
      </c>
    </row>
    <row r="28" spans="1:16" ht="20.100000000000001" customHeight="1" x14ac:dyDescent="0.25">
      <c r="D28" s="104" t="s">
        <v>198</v>
      </c>
      <c r="L28" s="104" t="s">
        <v>203</v>
      </c>
    </row>
    <row r="29" spans="1:16" ht="20.100000000000001" customHeight="1" x14ac:dyDescent="0.25">
      <c r="D29" s="54" t="s">
        <v>141</v>
      </c>
      <c r="E29" s="54" t="s">
        <v>142</v>
      </c>
      <c r="F29" s="54" t="s">
        <v>143</v>
      </c>
      <c r="L29" s="54" t="s">
        <v>141</v>
      </c>
      <c r="M29" s="54" t="s">
        <v>142</v>
      </c>
      <c r="N29" s="54" t="s">
        <v>143</v>
      </c>
    </row>
    <row r="30" spans="1:16"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L30" s="55" cm="1">
        <f t="array" ref="L30">MMS_Feedlot_N2ODirect_Equations.VEERG_4_1_1_3__5_NitrogenIntake(L20,L25)</f>
        <v>0.23296000000000003</v>
      </c>
      <c r="M30" s="55" cm="1">
        <f t="array" ref="M30">MMS_Feedlot_N2ODirect_Equations.VEERG_4_1_1_3__5_NitrogenIntake(M20,M25)</f>
        <v>0.20736000000000002</v>
      </c>
      <c r="N30" s="55" cm="1">
        <f t="array" ref="N30">MMS_Feedlot_N2ODirect_Equations.VEERG_4_1_1_3__5_NitrogenIntake(N20,N25)</f>
        <v>0.15743999999999997</v>
      </c>
      <c r="O30" s="2" t="str">
        <f>$E$11</f>
        <v>kg N/head/day</v>
      </c>
      <c r="P30" s="2"/>
    </row>
    <row r="31" spans="1:16" ht="20.100000000000001" customHeight="1" x14ac:dyDescent="0.25"/>
    <row r="32" spans="1:16" ht="20.100000000000001" customHeight="1" x14ac:dyDescent="0.25"/>
    <row r="33" spans="3:17" ht="20.100000000000001" customHeight="1" x14ac:dyDescent="0.25">
      <c r="C33" s="48"/>
      <c r="D33" s="48"/>
      <c r="E33" s="48"/>
      <c r="F33" s="48"/>
      <c r="G33" s="48"/>
      <c r="H33" s="48"/>
      <c r="I33" s="48"/>
      <c r="K33" s="48"/>
      <c r="L33" s="48"/>
      <c r="M33" s="48"/>
      <c r="N33" s="48"/>
      <c r="O33" s="48"/>
      <c r="P33" s="48"/>
      <c r="Q33" s="48"/>
    </row>
    <row r="34" spans="3:17" ht="20.100000000000001" customHeight="1" x14ac:dyDescent="0.25">
      <c r="D34" s="6" t="str" cm="1">
        <f t="array" ref="D34">MMS_Feedlot_N2ODirect_Equations.VEERG_4_1_1_3__4_NitrogenExcretionPerHead_Title()</f>
        <v>Nitrogen excretion per head per day</v>
      </c>
    </row>
    <row r="35" spans="3:17" ht="20.100000000000001" customHeight="1" x14ac:dyDescent="0.25">
      <c r="D35" s="5" t="str" cm="1">
        <f t="array" ref="D35">MMS_Feedlot_N2ODirect_Equations.VEERG_4_1_1_3__4_NitrogenExcretionPerHead_Source()</f>
        <v>VEERG 2026: 4.1.1.3, Equation (4)</v>
      </c>
    </row>
    <row r="36" spans="3:17" ht="20.100000000000001" customHeight="1" x14ac:dyDescent="0.25">
      <c r="D36" s="13" t="s">
        <v>26</v>
      </c>
      <c r="E36" s="13" t="str" cm="1">
        <f t="array" aca="1" ref="E36" ca="1">Common_InputFunctions.Utility_DisplayFunctionName(D54)</f>
        <v>=MMS_Feedlot_N2ODirect_Equations.VEERG_4_1_1_3__4_NitrogenExcretionPerHead</v>
      </c>
    </row>
    <row r="37" spans="3:17" ht="20.100000000000001" customHeight="1" x14ac:dyDescent="0.25"/>
    <row r="38" spans="3:17" ht="20.100000000000001" customHeight="1" x14ac:dyDescent="0.25">
      <c r="D38" s="6"/>
    </row>
    <row r="39" spans="3:17" ht="20.100000000000001" customHeight="1" x14ac:dyDescent="0.25"/>
    <row r="40" spans="3:17" ht="20.100000000000001" customHeight="1" x14ac:dyDescent="0.25">
      <c r="D40" s="56" t="s">
        <v>29</v>
      </c>
      <c r="E40" s="1" t="str" cm="1">
        <f t="array" ref="E40">MMS_Feedlot_N2ODirect_Equations.VEERG_4_1_1_3__4_NitrogenExcretionPerHead_Variable()</f>
        <v>NE_j</v>
      </c>
    </row>
    <row r="41" spans="3:17" ht="20.100000000000001" customHeight="1" x14ac:dyDescent="0.25">
      <c r="D41" s="56" t="s">
        <v>19</v>
      </c>
      <c r="E41" s="57" t="str" cm="1">
        <f t="array" ref="E41">MMS_Feedlot_N2ODirect_Equations.VEERG_4_1_1_3__4_NitrogenExcretionPerHead_Unit()</f>
        <v>kg N/head/day</v>
      </c>
    </row>
    <row r="42" spans="3:17" ht="20.100000000000001" customHeight="1" x14ac:dyDescent="0.25"/>
    <row r="43" spans="3:17" ht="20.100000000000001" customHeight="1" x14ac:dyDescent="0.25">
      <c r="D43" s="60" t="str" cm="1">
        <f t="array" ref="D43:E44">MMS_Feedlot_N2ODirect_Equations.VEERG_4_1_1_3__4_NitrogenExcretionPerHead_Arguments()</f>
        <v>NI_j</v>
      </c>
      <c r="E43" s="61" t="str">
        <v>nitrogen intake : kg N/head/day</v>
      </c>
      <c r="F43" s="62"/>
      <c r="G43" s="60" t="str">
        <f>"See " &amp; D27</f>
        <v>See M1_Table_NI_j</v>
      </c>
      <c r="H43" s="136" t="s">
        <v>326</v>
      </c>
    </row>
    <row r="44" spans="3:17" ht="20.100000000000001" customHeight="1" x14ac:dyDescent="0.25">
      <c r="D44" s="60" t="str">
        <v>NR_j</v>
      </c>
      <c r="E44" s="61" t="str">
        <v>nitrogen retention expressed as a fraction of intake : fraction</v>
      </c>
      <c r="F44" s="62"/>
      <c r="G44" s="60" t="str">
        <f>"See " &amp; D46</f>
        <v>See M1_Table_NR_j</v>
      </c>
      <c r="H44" s="137" t="s">
        <v>327</v>
      </c>
    </row>
    <row r="45" spans="3:17" ht="20.100000000000001" customHeight="1" x14ac:dyDescent="0.25"/>
    <row r="46" spans="3:17" ht="20.100000000000001" customHeight="1" x14ac:dyDescent="0.25">
      <c r="D46" s="105" t="s">
        <v>158</v>
      </c>
      <c r="E46" s="117" t="s">
        <v>239</v>
      </c>
      <c r="L46" s="105" t="s">
        <v>159</v>
      </c>
      <c r="M46" s="117" t="s">
        <v>239</v>
      </c>
    </row>
    <row r="47" spans="3:17" ht="20.100000000000001" customHeight="1" x14ac:dyDescent="0.25">
      <c r="D47" s="104" t="s">
        <v>196</v>
      </c>
      <c r="L47" s="104" t="s">
        <v>197</v>
      </c>
    </row>
    <row r="48" spans="3:17" ht="20.100000000000001" customHeight="1" x14ac:dyDescent="0.25">
      <c r="D48" s="41" t="s">
        <v>141</v>
      </c>
      <c r="E48" s="41" t="s">
        <v>142</v>
      </c>
      <c r="F48" s="41" t="s">
        <v>143</v>
      </c>
      <c r="L48" s="41" t="s">
        <v>141</v>
      </c>
      <c r="M48" s="41" t="s">
        <v>142</v>
      </c>
      <c r="N48" s="41" t="s">
        <v>143</v>
      </c>
    </row>
    <row r="49" spans="3:17" ht="20.100000000000001" customHeight="1" x14ac:dyDescent="0.25">
      <c r="D49" s="55">
        <f>'Input - Feedlot'!$E$17/100</f>
        <v>0.20399999999999999</v>
      </c>
      <c r="E49" s="55">
        <f>'Input - Feedlot'!$F$17/100</f>
        <v>0.127</v>
      </c>
      <c r="F49" s="55">
        <f>'Input - Feedlot'!$G$17/100</f>
        <v>7.0000000000000007E-2</v>
      </c>
      <c r="G49" s="2" t="s">
        <v>164</v>
      </c>
      <c r="H49" s="2"/>
      <c r="L49" s="55">
        <f>'Input - Feedlot'!$E$23/100</f>
        <v>0.20399999999999999</v>
      </c>
      <c r="M49" s="55">
        <f>'Input - Feedlot'!$F$23/100</f>
        <v>0.127</v>
      </c>
      <c r="N49" s="55">
        <f>'Input - Feedlot'!$G$23/100</f>
        <v>7.0000000000000007E-2</v>
      </c>
      <c r="O49" s="2" t="s">
        <v>337</v>
      </c>
      <c r="P49" s="2"/>
    </row>
    <row r="50" spans="3:17" ht="20.100000000000001" customHeight="1" x14ac:dyDescent="0.25"/>
    <row r="51" spans="3:17" ht="20.100000000000001" customHeight="1" x14ac:dyDescent="0.25">
      <c r="D51" s="105" t="s">
        <v>160</v>
      </c>
      <c r="L51" s="105" t="s">
        <v>161</v>
      </c>
    </row>
    <row r="52" spans="3:17" ht="20.100000000000001" customHeight="1" x14ac:dyDescent="0.25">
      <c r="D52" s="104" t="s">
        <v>196</v>
      </c>
      <c r="L52" s="104" t="s">
        <v>197</v>
      </c>
    </row>
    <row r="53" spans="3:17" ht="20.100000000000001" customHeight="1" x14ac:dyDescent="0.25">
      <c r="D53" s="54" t="s">
        <v>141</v>
      </c>
      <c r="E53" s="54" t="s">
        <v>142</v>
      </c>
      <c r="F53" s="54" t="s">
        <v>143</v>
      </c>
      <c r="L53" s="54" t="s">
        <v>141</v>
      </c>
      <c r="M53" s="54" t="s">
        <v>142</v>
      </c>
      <c r="N53" s="54" t="s">
        <v>143</v>
      </c>
    </row>
    <row r="54" spans="3:17"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L54" s="55" cm="1">
        <f t="array" ref="L54">MMS_Feedlot_N2ODirect_Equations.VEERG_4_1_1_3__4_NitrogenExcretionPerHead(L30,L49)</f>
        <v>0.18543616000000004</v>
      </c>
      <c r="M54" s="55" cm="1">
        <f t="array" ref="M54">MMS_Feedlot_N2ODirect_Equations.VEERG_4_1_1_3__4_NitrogenExcretionPerHead(M30,M49)</f>
        <v>0.18102528000000001</v>
      </c>
      <c r="N54" s="55" cm="1">
        <f t="array" ref="N54">MMS_Feedlot_N2ODirect_Equations.VEERG_4_1_1_3__4_NitrogenExcretionPerHead(N30,N49)</f>
        <v>0.14641919999999997</v>
      </c>
      <c r="O54" s="2" t="str">
        <f>$E$41</f>
        <v>kg N/head/day</v>
      </c>
      <c r="P54" s="2"/>
    </row>
    <row r="55" spans="3:17" ht="20.100000000000001" customHeight="1" x14ac:dyDescent="0.25"/>
    <row r="56" spans="3:17" ht="20.100000000000001" customHeight="1" x14ac:dyDescent="0.25"/>
    <row r="57" spans="3:17" ht="20.100000000000001" customHeight="1" x14ac:dyDescent="0.25">
      <c r="C57" s="48"/>
      <c r="D57" s="48"/>
      <c r="E57" s="48"/>
      <c r="F57" s="48"/>
      <c r="G57" s="48"/>
      <c r="H57" s="48"/>
      <c r="I57" s="48"/>
      <c r="K57" s="48"/>
      <c r="L57" s="48"/>
      <c r="M57" s="48"/>
      <c r="N57" s="48"/>
      <c r="O57" s="48"/>
      <c r="P57" s="48"/>
      <c r="Q57" s="48"/>
    </row>
    <row r="58" spans="3:17" ht="20.100000000000001" customHeight="1" x14ac:dyDescent="0.25">
      <c r="D58" s="6" t="str" cm="1">
        <f t="array" ref="D58">MMS_Feedlot_N2ODirect_Equations.VEERG_4_1_1_3__3_AnnualNitrogenExcretion_Title()</f>
        <v>Annual nitrogen excretion from each feedlot cattle group</v>
      </c>
    </row>
    <row r="59" spans="3:17" ht="20.100000000000001" customHeight="1" x14ac:dyDescent="0.25">
      <c r="D59" s="5" t="str" cm="1">
        <f t="array" ref="D59">MMS_Feedlot_N2ODirect_Equations.VEERG_4_1_1_3__3_AnnualNitrogenExcretion_Source()</f>
        <v>VEERG 2026: 4.1.1.3, Equation (3)</v>
      </c>
    </row>
    <row r="60" spans="3:17" ht="20.100000000000001" customHeight="1" x14ac:dyDescent="0.25">
      <c r="D60" s="13" t="s">
        <v>26</v>
      </c>
      <c r="E60" s="13" t="str" cm="1">
        <f t="array" aca="1" ref="E60" ca="1">Common_InputFunctions.Utility_DisplayFunctionName(D83)</f>
        <v>=MMS_Feedlot_N2ODirect_Equations.VEERG_4_1_1_3__3_AnnualNitrogenExcretion</v>
      </c>
    </row>
    <row r="61" spans="3:17" ht="20.100000000000001" customHeight="1" x14ac:dyDescent="0.25"/>
    <row r="62" spans="3:17" ht="20.100000000000001" customHeight="1" x14ac:dyDescent="0.25">
      <c r="D62" s="6"/>
    </row>
    <row r="63" spans="3:17" ht="20.100000000000001" customHeight="1" x14ac:dyDescent="0.25">
      <c r="D63" s="56" t="s">
        <v>29</v>
      </c>
      <c r="E63" s="1" t="str" cm="1">
        <f t="array" ref="E63">MMS_Feedlot_N2ODirect_Equations.VEERG_4_1_1_3__3_AnnualNitrogenExcretion_Variable()</f>
        <v>AE_j</v>
      </c>
    </row>
    <row r="64" spans="3:17" ht="20.100000000000001" customHeight="1" x14ac:dyDescent="0.25">
      <c r="D64" s="56" t="s">
        <v>19</v>
      </c>
      <c r="E64" s="57" t="str" cm="1">
        <f t="array" ref="E64">MMS_Feedlot_N2ODirect_Equations.VEERG_4_1_1_3__3_AnnualNitrogenExcretion_Unit()</f>
        <v>kg N</v>
      </c>
    </row>
    <row r="65" spans="4:12" ht="20.100000000000001" customHeight="1" x14ac:dyDescent="0.25"/>
    <row r="66" spans="4:12" ht="20.100000000000001" customHeight="1" x14ac:dyDescent="0.25">
      <c r="D66" s="118" t="str" cm="1">
        <f t="array" ref="D66:E68">MMS_Feedlot_N2ODirect_Equations.VEERG_4_1_1_3__3_AnnualNitrogenExcretion_Arguments()</f>
        <v>N_j</v>
      </c>
      <c r="E66" s="120" t="str">
        <v>number of cattle in each group : head</v>
      </c>
      <c r="F66" s="119"/>
      <c r="G66" s="118" t="str">
        <f>"See " &amp; D70</f>
        <v>See Table_N_j</v>
      </c>
      <c r="H66" s="136" t="s">
        <v>326</v>
      </c>
    </row>
    <row r="67" spans="4:12" ht="20.100000000000001" customHeight="1" x14ac:dyDescent="0.25">
      <c r="D67" s="118" t="str">
        <v>NE_j</v>
      </c>
      <c r="E67" s="120" t="str">
        <v>nitrogen excretion : kg N/head/day</v>
      </c>
      <c r="F67" s="119"/>
      <c r="G67" s="118" t="str">
        <f>"See " &amp; D51</f>
        <v>See M1_Table_NE_j</v>
      </c>
      <c r="H67" s="137" t="s">
        <v>327</v>
      </c>
    </row>
    <row r="68" spans="4:12" ht="20.100000000000001" customHeight="1" x14ac:dyDescent="0.25">
      <c r="D68" s="118" t="str">
        <v>D_j</v>
      </c>
      <c r="E68" s="120" t="str">
        <v>duration of stay of cattle group : days</v>
      </c>
      <c r="F68" s="119"/>
      <c r="G68" s="118" t="str">
        <f>"See " &amp; D75</f>
        <v>See Table_D_j</v>
      </c>
      <c r="H68" s="136" t="s">
        <v>326</v>
      </c>
    </row>
    <row r="69" spans="4:12" ht="20.100000000000001" customHeight="1" x14ac:dyDescent="0.25"/>
    <row r="70" spans="4:12" ht="20.100000000000001" customHeight="1" x14ac:dyDescent="0.25">
      <c r="D70" s="105" t="s">
        <v>125</v>
      </c>
    </row>
    <row r="71" spans="4:12" ht="20.100000000000001" customHeight="1" x14ac:dyDescent="0.25">
      <c r="D71" s="104" t="s">
        <v>126</v>
      </c>
    </row>
    <row r="72" spans="4:12" ht="20.100000000000001" customHeight="1" x14ac:dyDescent="0.25">
      <c r="D72" s="41" t="s">
        <v>141</v>
      </c>
      <c r="E72" s="41" t="s">
        <v>142</v>
      </c>
      <c r="F72" s="41" t="s">
        <v>143</v>
      </c>
    </row>
    <row r="73" spans="4:12" ht="20.100000000000001" customHeight="1" x14ac:dyDescent="0.25">
      <c r="D73" s="109">
        <f>'Input - Feedlot'!$E$8</f>
        <v>4300</v>
      </c>
      <c r="E73" s="109">
        <f>'Input - Feedlot'!$F$8</f>
        <v>100</v>
      </c>
      <c r="F73" s="109">
        <f>'Input - Feedlot'!$G$8</f>
        <v>100</v>
      </c>
      <c r="G73" s="2" t="s">
        <v>127</v>
      </c>
      <c r="H73" s="2"/>
    </row>
    <row r="74" spans="4:12" ht="20.100000000000001" customHeight="1" x14ac:dyDescent="0.25"/>
    <row r="75" spans="4:12" ht="20.100000000000001" customHeight="1" x14ac:dyDescent="0.25">
      <c r="D75" s="105" t="s">
        <v>124</v>
      </c>
    </row>
    <row r="76" spans="4:12" ht="20.100000000000001" customHeight="1" x14ac:dyDescent="0.25">
      <c r="D76" s="104" t="s">
        <v>122</v>
      </c>
    </row>
    <row r="77" spans="4:12" ht="20.100000000000001" customHeight="1" x14ac:dyDescent="0.25">
      <c r="D77" s="41" t="s">
        <v>141</v>
      </c>
      <c r="E77" s="41" t="s">
        <v>142</v>
      </c>
      <c r="F77" s="41" t="s">
        <v>143</v>
      </c>
    </row>
    <row r="78" spans="4:12" ht="20.100000000000001" customHeight="1" x14ac:dyDescent="0.25">
      <c r="D78" s="109">
        <f>'Input - Feedlot'!$E$9</f>
        <v>90</v>
      </c>
      <c r="E78" s="109">
        <f>'Input - Feedlot'!$F$9</f>
        <v>140</v>
      </c>
      <c r="F78" s="109">
        <f>'Input - Feedlot'!$G$9</f>
        <v>250</v>
      </c>
      <c r="G78" s="2" t="s">
        <v>54</v>
      </c>
      <c r="H78" s="2"/>
    </row>
    <row r="79" spans="4:12" ht="20.100000000000001" customHeight="1" x14ac:dyDescent="0.25"/>
    <row r="80" spans="4:12" ht="20.100000000000001" customHeight="1" x14ac:dyDescent="0.25">
      <c r="D80" s="105" t="s">
        <v>165</v>
      </c>
      <c r="L80" s="105" t="s">
        <v>166</v>
      </c>
    </row>
    <row r="81" spans="3:17" ht="20.100000000000001" customHeight="1" x14ac:dyDescent="0.25">
      <c r="D81" s="104" t="s">
        <v>194</v>
      </c>
      <c r="L81" s="104" t="s">
        <v>195</v>
      </c>
    </row>
    <row r="82" spans="3:17" ht="20.100000000000001" customHeight="1" x14ac:dyDescent="0.25">
      <c r="D82" s="54" t="s">
        <v>141</v>
      </c>
      <c r="E82" s="54" t="s">
        <v>142</v>
      </c>
      <c r="F82" s="54" t="s">
        <v>143</v>
      </c>
      <c r="L82" s="54" t="s">
        <v>141</v>
      </c>
      <c r="M82" s="54" t="s">
        <v>142</v>
      </c>
      <c r="N82" s="54" t="s">
        <v>143</v>
      </c>
    </row>
    <row r="83" spans="3:17" ht="20.100000000000001" customHeight="1" x14ac:dyDescent="0.25">
      <c r="D83" s="109" cm="1">
        <f t="array" ref="D83">MMS_Feedlot_N2ODirect_Equations.VEERG_4_1_1_3__3_AnnualNitrogenExcretion(D73,D54,D78)</f>
        <v>71763.793920000026</v>
      </c>
      <c r="E83" s="109" cm="1">
        <f t="array" ref="E83">MMS_Feedlot_N2ODirect_Equations.VEERG_4_1_1_3__3_AnnualNitrogenExcretion(E73,E54,E78)</f>
        <v>2534.35392</v>
      </c>
      <c r="F83" s="109" cm="1">
        <f t="array" ref="F83">MMS_Feedlot_N2ODirect_Equations.VEERG_4_1_1_3__3_AnnualNitrogenExcretion(F73,F54,F78)</f>
        <v>3660.4799999999991</v>
      </c>
      <c r="G83" s="2" t="str">
        <f>$E$64</f>
        <v>kg N</v>
      </c>
      <c r="H83" s="2"/>
      <c r="L83" s="109" cm="1">
        <f t="array" ref="L83">MMS_Feedlot_N2ODirect_Equations.VEERG_4_1_1_3__3_AnnualNitrogenExcretion(D73,L54,D78)</f>
        <v>71763.793920000026</v>
      </c>
      <c r="M83" s="109" cm="1">
        <f t="array" ref="M83">MMS_Feedlot_N2ODirect_Equations.VEERG_4_1_1_3__3_AnnualNitrogenExcretion(E73,M54,E78)</f>
        <v>2534.35392</v>
      </c>
      <c r="N83" s="109" cm="1">
        <f t="array" ref="N83">MMS_Feedlot_N2ODirect_Equations.VEERG_4_1_1_3__3_AnnualNitrogenExcretion(F73,N54,F78)</f>
        <v>3660.4799999999991</v>
      </c>
      <c r="O83" s="2" t="str">
        <f>$E$64</f>
        <v>kg N</v>
      </c>
      <c r="P83" s="2"/>
    </row>
    <row r="84" spans="3:17" ht="20.100000000000001" customHeight="1" x14ac:dyDescent="0.25"/>
    <row r="85" spans="3:17" ht="20.100000000000001" customHeight="1" x14ac:dyDescent="0.25"/>
    <row r="86" spans="3:17" ht="20.100000000000001" customHeight="1" x14ac:dyDescent="0.25">
      <c r="C86" s="48"/>
      <c r="D86" s="48"/>
      <c r="E86" s="48"/>
      <c r="F86" s="48"/>
      <c r="G86" s="48"/>
      <c r="H86" s="48"/>
      <c r="I86" s="48"/>
      <c r="K86" s="48"/>
      <c r="L86" s="48"/>
      <c r="M86" s="48"/>
      <c r="N86" s="48"/>
      <c r="O86" s="48"/>
      <c r="P86" s="48"/>
      <c r="Q86" s="48"/>
    </row>
    <row r="87" spans="3:17" ht="20.100000000000001" customHeight="1" x14ac:dyDescent="0.25">
      <c r="D87" s="6" t="str" cm="1">
        <f t="array" ref="D87">MMS_Feedlot_N2ODirect_Equations.VEERG_4_1_1_3__2_Stage1NitrogenInMMSDrylot_Title()</f>
        <v>Nitrogen in treatment stage 1 MMS</v>
      </c>
    </row>
    <row r="88" spans="3:17" ht="20.100000000000001" customHeight="1" x14ac:dyDescent="0.25">
      <c r="D88" s="5" t="str" cm="1">
        <f t="array" ref="D88">MMS_Feedlot_N2ODirect_Equations.VEERG_4_1_1_3__2_Stage1NitrogenInMMSDrylot_Source()</f>
        <v>VEERG 2026: 4.1.1.3, Equation (2)</v>
      </c>
    </row>
    <row r="89" spans="3:17" ht="20.100000000000001" customHeight="1" x14ac:dyDescent="0.25">
      <c r="D89" s="13" t="s">
        <v>26</v>
      </c>
      <c r="E89" s="13" t="str" cm="1">
        <f t="array" aca="1" ref="E89" ca="1">Common_InputFunctions.Utility_DisplayFunctionName(E106)</f>
        <v>=MMS_Feedlot_N2ODirect_Equations.VEERG_4_1_1_3__2_Stage1NitrogenInMMSDrylot</v>
      </c>
    </row>
    <row r="90" spans="3:17" ht="20.100000000000001" customHeight="1" x14ac:dyDescent="0.25"/>
    <row r="91" spans="3:17" ht="20.100000000000001" customHeight="1" x14ac:dyDescent="0.25">
      <c r="D91" s="6"/>
    </row>
    <row r="92" spans="3:17" ht="20.100000000000001" customHeight="1" x14ac:dyDescent="0.25">
      <c r="D92" s="56" t="s">
        <v>29</v>
      </c>
      <c r="E92" s="1" t="str" cm="1">
        <f t="array" ref="E92">MMS_Feedlot_N2ODirect_Equations.VEERG_4_1_1_3__2_Stage1NitrogenInMMSDrylot_Variable()</f>
        <v>MN_jm5T1</v>
      </c>
    </row>
    <row r="93" spans="3:17" ht="20.100000000000001" customHeight="1" x14ac:dyDescent="0.25">
      <c r="D93" s="56" t="s">
        <v>19</v>
      </c>
      <c r="E93" s="57" t="str" cm="1">
        <f t="array" ref="E93">MMS_Feedlot_N2ODirect_Equations.VEERG_4_1_1_3__2_Stage1NitrogenInMMSDrylot_Unit()</f>
        <v>kg N</v>
      </c>
    </row>
    <row r="94" spans="3:17" ht="20.100000000000001" customHeight="1" x14ac:dyDescent="0.25"/>
    <row r="95" spans="3:17" ht="20.100000000000001" customHeight="1" x14ac:dyDescent="0.25">
      <c r="D95" s="60" t="str" cm="1">
        <f t="array" ref="D95:E96">MMS_Feedlot_N2ODirect_Equations.VEERG_4_1_1_3__2_Stage1NitrogenInMMSDrylot_Arguments()</f>
        <v>AE_j</v>
      </c>
      <c r="E95" s="61" t="str">
        <v>total nitrogen excreted by each cattle group : kg N</v>
      </c>
      <c r="F95" s="62"/>
      <c r="G95" s="60" t="str">
        <f>"See " &amp; $D$80</f>
        <v>See M1_Table_AE_j</v>
      </c>
      <c r="H95" s="137" t="s">
        <v>327</v>
      </c>
    </row>
    <row r="96" spans="3:17" ht="20.100000000000001" customHeight="1" x14ac:dyDescent="0.25">
      <c r="D96" s="60" t="str">
        <v>MMS_jm5T1</v>
      </c>
      <c r="E96" s="61" t="str">
        <v>fraction of manure in primary system drylot MMS : fraction</v>
      </c>
      <c r="F96" s="62"/>
      <c r="G96" s="60" t="str">
        <f>"See " &amp; D98</f>
        <v>See Table_MMS_j_m-5_T-1</v>
      </c>
      <c r="H96" s="136" t="s">
        <v>326</v>
      </c>
    </row>
    <row r="97" spans="3:17" ht="20.100000000000001" customHeight="1" x14ac:dyDescent="0.25"/>
    <row r="98" spans="3:17" ht="20.100000000000001" customHeight="1" x14ac:dyDescent="0.25">
      <c r="D98" s="105" t="s">
        <v>167</v>
      </c>
    </row>
    <row r="99" spans="3:17" ht="20.100000000000001" customHeight="1" x14ac:dyDescent="0.25">
      <c r="D99" s="104" t="s">
        <v>109</v>
      </c>
    </row>
    <row r="100" spans="3:17" ht="20.100000000000001" customHeight="1" x14ac:dyDescent="0.25">
      <c r="D100" s="41" t="s">
        <v>106</v>
      </c>
      <c r="E100" s="41" t="s">
        <v>141</v>
      </c>
      <c r="F100" s="41" t="s">
        <v>142</v>
      </c>
      <c r="G100" s="41" t="s">
        <v>143</v>
      </c>
    </row>
    <row r="101" spans="3:17" ht="20.100000000000001" customHeight="1" x14ac:dyDescent="0.25">
      <c r="D101" s="55" t="str">
        <f>'Input - Feedlot'!$D$28</f>
        <v>Drylot (feed pad)</v>
      </c>
      <c r="E101" s="55">
        <f>'Input - Feedlot'!$E$28</f>
        <v>1</v>
      </c>
      <c r="F101" s="55">
        <f>'Input - Feedlot'!$F$28</f>
        <v>1</v>
      </c>
      <c r="G101" s="55">
        <f>'Input - Feedlot'!$G$28</f>
        <v>1</v>
      </c>
      <c r="H101" s="2" t="s">
        <v>337</v>
      </c>
    </row>
    <row r="102" spans="3:17" ht="20.100000000000001" customHeight="1" x14ac:dyDescent="0.25"/>
    <row r="103" spans="3:17" ht="20.100000000000001" customHeight="1" x14ac:dyDescent="0.25">
      <c r="D103" s="105" t="s">
        <v>168</v>
      </c>
      <c r="L103" s="105" t="s">
        <v>169</v>
      </c>
    </row>
    <row r="104" spans="3:17" ht="20.100000000000001" customHeight="1" x14ac:dyDescent="0.25">
      <c r="D104" s="104" t="s">
        <v>192</v>
      </c>
      <c r="L104" s="104" t="s">
        <v>193</v>
      </c>
    </row>
    <row r="105" spans="3:17" ht="20.100000000000001" customHeight="1" x14ac:dyDescent="0.25">
      <c r="D105" s="54" t="s">
        <v>106</v>
      </c>
      <c r="E105" s="54" t="s">
        <v>141</v>
      </c>
      <c r="F105" s="54" t="s">
        <v>142</v>
      </c>
      <c r="G105" s="54" t="s">
        <v>143</v>
      </c>
      <c r="L105" s="54" t="s">
        <v>106</v>
      </c>
      <c r="M105" s="54" t="s">
        <v>141</v>
      </c>
      <c r="N105" s="54" t="s">
        <v>142</v>
      </c>
      <c r="O105" s="54" t="s">
        <v>143</v>
      </c>
    </row>
    <row r="106" spans="3:17" ht="20.100000000000001" customHeight="1" x14ac:dyDescent="0.25">
      <c r="D106" s="55" t="str">
        <f>'Input - Feedlot'!$D$28</f>
        <v>Drylot (feed pad)</v>
      </c>
      <c r="E106" s="55" cm="1">
        <f t="array" ref="E106">MMS_Feedlot_N2ODirect_Equations.VEERG_4_1_1_3__2_Stage1NitrogenInMMSDrylot(D83,E101)</f>
        <v>71763.793920000026</v>
      </c>
      <c r="F106" s="55" cm="1">
        <f t="array" ref="F106">MMS_Feedlot_N2ODirect_Equations.VEERG_4_1_1_3__2_Stage1NitrogenInMMSDrylot(E83,F101)</f>
        <v>2534.35392</v>
      </c>
      <c r="G106" s="55" cm="1">
        <f t="array" ref="G106">MMS_Feedlot_N2ODirect_Equations.VEERG_4_1_1_3__2_Stage1NitrogenInMMSDrylot(F83,G101)</f>
        <v>3660.4799999999991</v>
      </c>
      <c r="H106" s="2" t="str">
        <f>$E$93</f>
        <v>kg N</v>
      </c>
      <c r="L106" s="55" t="str">
        <f>'Input - Feedlot'!$D$28</f>
        <v>Drylot (feed pad)</v>
      </c>
      <c r="M106" s="55" cm="1">
        <f t="array" ref="M106">MMS_Feedlot_N2ODirect_Equations.VEERG_4_1_1_3__2_Stage1NitrogenInMMSDrylot(L83,E101)</f>
        <v>71763.793920000026</v>
      </c>
      <c r="N106" s="55" cm="1">
        <f t="array" ref="N106">MMS_Feedlot_N2ODirect_Equations.VEERG_4_1_1_3__2_Stage1NitrogenInMMSDrylot(M83,F101)</f>
        <v>2534.35392</v>
      </c>
      <c r="O106" s="55" cm="1">
        <f t="array" ref="O106">MMS_Feedlot_N2ODirect_Equations.VEERG_4_1_1_3__2_Stage1NitrogenInMMSDrylot(N83,G101)</f>
        <v>3660.4799999999991</v>
      </c>
      <c r="P106" s="2" t="str">
        <f>$E$93</f>
        <v>kg N</v>
      </c>
    </row>
    <row r="107" spans="3:17" ht="20.100000000000001" customHeight="1" x14ac:dyDescent="0.25"/>
    <row r="108" spans="3:17" ht="20.100000000000001" customHeight="1" x14ac:dyDescent="0.25"/>
    <row r="109" spans="3:17" ht="20.100000000000001" customHeight="1" x14ac:dyDescent="0.25">
      <c r="C109" s="48"/>
      <c r="D109" s="48"/>
      <c r="E109" s="48"/>
      <c r="F109" s="48"/>
      <c r="G109" s="48"/>
      <c r="H109" s="48"/>
      <c r="I109" s="48"/>
      <c r="K109" s="48"/>
      <c r="L109" s="48"/>
      <c r="M109" s="48"/>
      <c r="N109" s="48"/>
      <c r="O109" s="48"/>
      <c r="P109" s="48"/>
      <c r="Q109" s="48"/>
    </row>
    <row r="110" spans="3:17" ht="20.100000000000001" customHeight="1" x14ac:dyDescent="0.25">
      <c r="D110" s="6" t="str" cm="1">
        <f t="array" ref="D110">MMS_Feedlot_N2ODirect_Equations.VEERG_4_1_1_3__8_Stage3NitrogenInMMSAnaerobicLagoon_Title()</f>
        <v>Nitrogen in treatment stage 3 MMS</v>
      </c>
    </row>
    <row r="111" spans="3:17" ht="20.100000000000001" customHeight="1" x14ac:dyDescent="0.25">
      <c r="D111" s="5" t="str" cm="1">
        <f t="array" ref="D111">MMS_Feedlot_N2ODirect_Equations.VEERG_4_1_1_3__8_Stage3NitrogenInMMSAnaerobicLagoon_Source()</f>
        <v>VEERG 2026: 4.1.1.3, Equation (8)</v>
      </c>
    </row>
    <row r="112" spans="3:17" ht="20.100000000000001" customHeight="1" x14ac:dyDescent="0.25">
      <c r="D112" s="13" t="s">
        <v>26</v>
      </c>
      <c r="E112" s="13" t="str" cm="1">
        <f t="array" aca="1" ref="E112" ca="1">Common_InputFunctions.Utility_DisplayFunctionName(E138)</f>
        <v>=MMS_Feedlot_N2ODirect_Equations.VEERG_4_1_1_3__7_NitrogenTransferredToStage2_Variable</v>
      </c>
    </row>
    <row r="113" spans="4:15" ht="20.100000000000001" customHeight="1" x14ac:dyDescent="0.25">
      <c r="D113" s="6"/>
    </row>
    <row r="114" spans="4:15" ht="20.100000000000001" customHeight="1" x14ac:dyDescent="0.25"/>
    <row r="115" spans="4:15" ht="20.100000000000001" customHeight="1" x14ac:dyDescent="0.25">
      <c r="D115" s="56" t="s">
        <v>29</v>
      </c>
      <c r="E115" s="1" t="str" cm="1">
        <f t="array" ref="E115">MMS_Feedlot_N2ODirect_Equations.VEERG_4_1_1_3__8_Stage3NitrogenInMMSAnaerobicLagoon_Variable()</f>
        <v>MN_jm1T3</v>
      </c>
    </row>
    <row r="116" spans="4:15" ht="20.100000000000001" customHeight="1" x14ac:dyDescent="0.25">
      <c r="D116" s="56" t="s">
        <v>19</v>
      </c>
      <c r="E116" s="57" t="str" cm="1">
        <f t="array" ref="E116">MMS_Feedlot_N2ODirect_Equations.VEERG_4_1_1_3__8_Stage3NitrogenInMMSAnaerobicLagoon_Unit()</f>
        <v>kg N</v>
      </c>
    </row>
    <row r="117" spans="4:15" ht="20.100000000000001" customHeight="1" x14ac:dyDescent="0.25"/>
    <row r="118" spans="4:15" ht="20.100000000000001" customHeight="1" x14ac:dyDescent="0.25">
      <c r="D118" s="60" t="str" cm="1">
        <f t="array" ref="D118:E119">MMS_Feedlot_N2ODirect_Equations.VEERG_4_1_1_3__8_Stage3NitrogenInMMSAnaerobicLagoon_Arguments()</f>
        <v>AE_j</v>
      </c>
      <c r="E118" s="61" t="str">
        <v>total nitrogen excreted by each cattle group : kg N</v>
      </c>
      <c r="F118" s="62"/>
      <c r="G118" s="60" t="str">
        <f>"See " &amp; $D$80</f>
        <v>See M1_Table_AE_j</v>
      </c>
      <c r="H118" s="137" t="s">
        <v>327</v>
      </c>
    </row>
    <row r="119" spans="4:15" ht="20.100000000000001" customHeight="1" x14ac:dyDescent="0.25">
      <c r="D119" s="60" t="str">
        <v>MMS_jm1T3</v>
      </c>
      <c r="E119" s="61" t="str">
        <v>fraction of manure to tertiary anaerobic lagoon system : fraction</v>
      </c>
      <c r="F119" s="62"/>
      <c r="G119" s="60" t="str">
        <f>"See " &amp; D121</f>
        <v>See Table_MMS_j_m-1_T-3</v>
      </c>
      <c r="H119" s="136" t="s">
        <v>326</v>
      </c>
    </row>
    <row r="120" spans="4:15" ht="20.100000000000001" customHeight="1" x14ac:dyDescent="0.25"/>
    <row r="121" spans="4:15" ht="20.100000000000001" customHeight="1" x14ac:dyDescent="0.25">
      <c r="D121" s="105" t="s">
        <v>173</v>
      </c>
    </row>
    <row r="122" spans="4:15" ht="20.100000000000001" customHeight="1" x14ac:dyDescent="0.25">
      <c r="D122" s="104" t="s">
        <v>172</v>
      </c>
    </row>
    <row r="123" spans="4:15" ht="20.100000000000001" customHeight="1" x14ac:dyDescent="0.25">
      <c r="D123" s="41" t="s">
        <v>119</v>
      </c>
      <c r="E123" s="41" t="s">
        <v>141</v>
      </c>
      <c r="F123" s="41" t="s">
        <v>142</v>
      </c>
      <c r="G123" s="41" t="s">
        <v>143</v>
      </c>
    </row>
    <row r="124" spans="4:15" ht="20.100000000000001" customHeight="1" x14ac:dyDescent="0.25">
      <c r="D124" s="55" t="str">
        <f>'Input - Feedlot'!$D$38</f>
        <v>Anaerobic lagoon</v>
      </c>
      <c r="E124" s="55">
        <f>'Input - Feedlot'!$E$38</f>
        <v>0.02</v>
      </c>
      <c r="F124" s="55">
        <f>'Input - Feedlot'!$F$38</f>
        <v>0.02</v>
      </c>
      <c r="G124" s="55">
        <f>'Input - Feedlot'!$G$38</f>
        <v>0.02</v>
      </c>
      <c r="H124" s="2" t="s">
        <v>337</v>
      </c>
    </row>
    <row r="125" spans="4:15" ht="20.100000000000001" customHeight="1" x14ac:dyDescent="0.25"/>
    <row r="126" spans="4:15" ht="20.100000000000001" customHeight="1" x14ac:dyDescent="0.25">
      <c r="D126" s="105" t="s">
        <v>178</v>
      </c>
      <c r="L126" s="105" t="s">
        <v>179</v>
      </c>
    </row>
    <row r="127" spans="4:15" ht="20.100000000000001" customHeight="1" x14ac:dyDescent="0.25">
      <c r="D127" s="104" t="s">
        <v>190</v>
      </c>
      <c r="L127" s="104" t="s">
        <v>191</v>
      </c>
    </row>
    <row r="128" spans="4:15" ht="20.100000000000001" customHeight="1" x14ac:dyDescent="0.25">
      <c r="D128" s="54" t="s">
        <v>119</v>
      </c>
      <c r="E128" s="54" t="s">
        <v>141</v>
      </c>
      <c r="F128" s="54" t="s">
        <v>142</v>
      </c>
      <c r="G128" s="54" t="s">
        <v>143</v>
      </c>
      <c r="L128" s="54" t="s">
        <v>119</v>
      </c>
      <c r="M128" s="54" t="s">
        <v>141</v>
      </c>
      <c r="N128" s="54" t="s">
        <v>142</v>
      </c>
      <c r="O128" s="54" t="s">
        <v>143</v>
      </c>
    </row>
    <row r="129" spans="3:17" ht="20.100000000000001" customHeight="1" x14ac:dyDescent="0.25">
      <c r="D129" s="55" t="str">
        <f>'Input - Feedlot'!$D$38</f>
        <v>Anaerobic lagoon</v>
      </c>
      <c r="E129" s="55" cm="1">
        <f t="array" ref="E129">MMS_Feedlot_N2ODirect_Equations.VEERG_4_1_1_3__8_Stage3NitrogenInMMSAnaerobicLagoon(D83,E124)</f>
        <v>1435.2758784000005</v>
      </c>
      <c r="F129" s="55" cm="1">
        <f t="array" ref="F129">MMS_Feedlot_N2ODirect_Equations.VEERG_4_1_1_3__8_Stage3NitrogenInMMSAnaerobicLagoon(E83,F124)</f>
        <v>50.687078400000004</v>
      </c>
      <c r="G129" s="55" cm="1">
        <f t="array" ref="G129">MMS_Feedlot_N2ODirect_Equations.VEERG_4_1_1_3__8_Stage3NitrogenInMMSAnaerobicLagoon(F83,G124)</f>
        <v>73.20959999999998</v>
      </c>
      <c r="H129" s="2" t="str">
        <f>$E$116</f>
        <v>kg N</v>
      </c>
      <c r="L129" s="55" t="str">
        <f>'Input - Feedlot'!$D$38</f>
        <v>Anaerobic lagoon</v>
      </c>
      <c r="M129" s="55" cm="1">
        <f t="array" ref="M129">MMS_Feedlot_N2ODirect_Equations.VEERG_4_1_1_3__8_Stage3NitrogenInMMSAnaerobicLagoon(L83,E124)</f>
        <v>1435.2758784000005</v>
      </c>
      <c r="N129" s="55" cm="1">
        <f t="array" ref="N129">MMS_Feedlot_N2ODirect_Equations.VEERG_4_1_1_3__8_Stage3NitrogenInMMSAnaerobicLagoon(M83,F124)</f>
        <v>50.687078400000004</v>
      </c>
      <c r="O129" s="55" cm="1">
        <f t="array" ref="O129">MMS_Feedlot_N2ODirect_Equations.VEERG_4_1_1_3__8_Stage3NitrogenInMMSAnaerobicLagoon(N83,G124)</f>
        <v>73.20959999999998</v>
      </c>
      <c r="P129" s="2" t="str">
        <f>$E$116</f>
        <v>kg N</v>
      </c>
    </row>
    <row r="130" spans="3:17" ht="20.100000000000001" customHeight="1" x14ac:dyDescent="0.25"/>
    <row r="131" spans="3:17" ht="20.100000000000001" customHeight="1" x14ac:dyDescent="0.25"/>
    <row r="132" spans="3:17" ht="20.100000000000001" customHeight="1" x14ac:dyDescent="0.25">
      <c r="C132" s="48"/>
      <c r="D132" s="48"/>
      <c r="E132" s="48"/>
      <c r="F132" s="48"/>
      <c r="G132" s="48"/>
      <c r="H132" s="48"/>
      <c r="I132" s="48"/>
      <c r="K132" s="48"/>
      <c r="L132" s="48"/>
      <c r="M132" s="48"/>
      <c r="N132" s="48"/>
      <c r="O132" s="48"/>
      <c r="P132" s="48"/>
      <c r="Q132" s="48"/>
    </row>
    <row r="133" spans="3:17" ht="20.100000000000001" customHeight="1" x14ac:dyDescent="0.25">
      <c r="D133" s="6" t="str" cm="1">
        <f t="array" ref="D133">MMS_Feedlot_N2ODirect_Equations.VEERG_4_1_1_3__7_NitrogenTransferredToStage2_Title()</f>
        <v>Nitrogen transferred to treatment stage 2 MMS</v>
      </c>
    </row>
    <row r="134" spans="3:17" ht="20.100000000000001" customHeight="1" x14ac:dyDescent="0.25">
      <c r="D134" s="5" t="str" cm="1">
        <f t="array" ref="D134">MMS_Feedlot_N2ODirect_Equations.VEERG_4_1_1_3__7_NitrogenTransferredToStage2_Source()</f>
        <v>VEERG 2026: 4.1.1.3, Equation (7)</v>
      </c>
    </row>
    <row r="135" spans="3:17" ht="20.100000000000001" customHeight="1" x14ac:dyDescent="0.25">
      <c r="D135" s="13" t="s">
        <v>26</v>
      </c>
      <c r="E135" s="13" t="str" cm="1">
        <f t="array" aca="1" ref="E135" ca="1">Common_InputFunctions.Utility_DisplayFunctionName(D149)</f>
        <v>=MMS_Feedlot_N2ODirect_Equations.VEERG_4_1_1_3__7_NitrogenTransferredToStage2</v>
      </c>
    </row>
    <row r="136" spans="3:17" ht="20.100000000000001" customHeight="1" x14ac:dyDescent="0.25"/>
    <row r="137" spans="3:17" ht="20.100000000000001" customHeight="1" x14ac:dyDescent="0.25">
      <c r="D137" s="6"/>
    </row>
    <row r="138" spans="3:17" ht="20.100000000000001" customHeight="1" x14ac:dyDescent="0.25">
      <c r="D138" s="56" t="s">
        <v>29</v>
      </c>
      <c r="E138" s="1" t="str" cm="1">
        <f t="array" ref="E138">MMS_Feedlot_N2ODirect_Equations.VEERG_4_1_1_3__7_NitrogenTransferredToStage2_Variable()</f>
        <v>NT_jmT2</v>
      </c>
    </row>
    <row r="139" spans="3:17" ht="20.100000000000001" customHeight="1" x14ac:dyDescent="0.25">
      <c r="D139" s="56" t="s">
        <v>19</v>
      </c>
      <c r="E139" s="57" t="str" cm="1">
        <f t="array" ref="E139">MMS_Feedlot_N2ODirect_Equations.VEERG_4_1_1_3__7_NitrogenTransferredToStage2_Unit()</f>
        <v>kg N</v>
      </c>
    </row>
    <row r="140" spans="3:17" ht="20.100000000000001" customHeight="1" x14ac:dyDescent="0.25"/>
    <row r="141" spans="3:17" ht="20.100000000000001" customHeight="1" x14ac:dyDescent="0.25">
      <c r="D141" s="60" t="str" cm="1">
        <f t="array" ref="D141:E144">MMS_Feedlot_N2ODirect_Equations.VEERG_4_1_1_3__7_NitrogenTransferredToStage2_Arguments()</f>
        <v>MN_jm5T1</v>
      </c>
      <c r="E141" s="60" t="str">
        <v>nitrogen in MMS treatment stage 1 : kg N</v>
      </c>
      <c r="F141" s="60"/>
      <c r="G141" s="60" t="str">
        <f>"See " &amp; D103</f>
        <v>See M1_Table_MN_j_m-5_T-1</v>
      </c>
      <c r="H141" s="137" t="s">
        <v>327</v>
      </c>
    </row>
    <row r="142" spans="3:17" ht="20.100000000000001" customHeight="1" x14ac:dyDescent="0.25">
      <c r="D142" s="60" t="str">
        <v>FracGASM_m5</v>
      </c>
      <c r="E142" s="60" t="str">
        <v>fraction of N volatilised from drylot MMS : fraction</v>
      </c>
      <c r="F142" s="60"/>
      <c r="G142" s="60">
        <f>'Constants - Feedlot'!$F$113</f>
        <v>0.6</v>
      </c>
      <c r="H142" s="137" t="s">
        <v>328</v>
      </c>
    </row>
    <row r="143" spans="3:17" ht="20.100000000000001" customHeight="1" x14ac:dyDescent="0.25">
      <c r="D143" s="60" t="str">
        <v>EF_m5</v>
      </c>
      <c r="E143" s="60" t="str">
        <v>nitrous oxide emission factor for drylot MMS : kg N2O-N/kg N deposited</v>
      </c>
      <c r="F143" s="60"/>
      <c r="G143" s="60">
        <f>'Constants - Feedlot'!$F$101</f>
        <v>5.4000000000000003E-3</v>
      </c>
      <c r="H143" s="137" t="s">
        <v>328</v>
      </c>
    </row>
    <row r="144" spans="3:17" ht="20.100000000000001" customHeight="1" x14ac:dyDescent="0.25">
      <c r="D144" s="60" t="str">
        <v>MN_jmT3</v>
      </c>
      <c r="E144" s="60" t="str">
        <v>nitrogen in MMS treatment stage 3 : kg N</v>
      </c>
      <c r="F144" s="60"/>
      <c r="G144" s="60" t="str">
        <f>"See " &amp; D126</f>
        <v>See M1_Table_MN_j_m-1_T-3</v>
      </c>
      <c r="H144" s="137" t="s">
        <v>327</v>
      </c>
    </row>
    <row r="145" spans="3:17" ht="20.100000000000001" customHeight="1" x14ac:dyDescent="0.25"/>
    <row r="146" spans="3:17" ht="20.100000000000001" customHeight="1" x14ac:dyDescent="0.25">
      <c r="D146" s="105" t="s">
        <v>180</v>
      </c>
      <c r="L146" s="105" t="s">
        <v>181</v>
      </c>
    </row>
    <row r="147" spans="3:17" ht="20.100000000000001" customHeight="1" x14ac:dyDescent="0.25">
      <c r="D147" s="104" t="s">
        <v>188</v>
      </c>
      <c r="L147" s="104" t="s">
        <v>189</v>
      </c>
    </row>
    <row r="148" spans="3:17" ht="20.100000000000001" customHeight="1" x14ac:dyDescent="0.25">
      <c r="D148" s="54" t="s">
        <v>141</v>
      </c>
      <c r="E148" s="54" t="s">
        <v>142</v>
      </c>
      <c r="F148" s="54" t="s">
        <v>143</v>
      </c>
      <c r="L148" s="54" t="s">
        <v>141</v>
      </c>
      <c r="M148" s="54" t="s">
        <v>142</v>
      </c>
      <c r="N148" s="54" t="s">
        <v>143</v>
      </c>
    </row>
    <row r="149" spans="3:17" ht="20.100000000000001" customHeight="1" x14ac:dyDescent="0.25">
      <c r="D149" s="55" cm="1">
        <f t="array" ref="D149">MMS_Feedlot_N2ODirect_Equations.VEERG_4_1_1_3__7_NitrogenTransferredToStage2(E106,$G$142,$G$143,E129)</f>
        <v>26882.71720243201</v>
      </c>
      <c r="E149" s="55" cm="1">
        <f t="array" ref="E149">MMS_Feedlot_N2ODirect_Equations.VEERG_4_1_1_3__7_NitrogenTransferredToStage2(F106,$G$142,$G$143,F129)</f>
        <v>949.36897843199995</v>
      </c>
      <c r="F149" s="55" cm="1">
        <f t="array" ref="F149">MMS_Feedlot_N2ODirect_Equations.VEERG_4_1_1_3__7_NitrogenTransferredToStage2(G106,$G$142,$G$143,G129)</f>
        <v>1371.2158079999997</v>
      </c>
      <c r="G149" s="2" t="str">
        <f>$E$116</f>
        <v>kg N</v>
      </c>
      <c r="L149" s="55" cm="1">
        <f t="array" ref="L149">MMS_Feedlot_N2ODirect_Equations.VEERG_4_1_1_3__7_NitrogenTransferredToStage2(M106,$G$142,$G$143,M129)</f>
        <v>26882.71720243201</v>
      </c>
      <c r="M149" s="55" cm="1">
        <f t="array" ref="M149">MMS_Feedlot_N2ODirect_Equations.VEERG_4_1_1_3__7_NitrogenTransferredToStage2(N106,$G$142,$G$143,N129)</f>
        <v>949.36897843199995</v>
      </c>
      <c r="N149" s="55" cm="1">
        <f t="array" ref="N149">MMS_Feedlot_N2ODirect_Equations.VEERG_4_1_1_3__7_NitrogenTransferredToStage2(O106,$G$142,$G$143,O129)</f>
        <v>1371.2158079999997</v>
      </c>
      <c r="O149" s="2" t="str">
        <f>$E$116</f>
        <v>kg N</v>
      </c>
    </row>
    <row r="150" spans="3:17" ht="20.100000000000001" customHeight="1" x14ac:dyDescent="0.25"/>
    <row r="151" spans="3:17" ht="20.100000000000001" customHeight="1" x14ac:dyDescent="0.25"/>
    <row r="152" spans="3:17" ht="20.100000000000001" customHeight="1" x14ac:dyDescent="0.25">
      <c r="C152" s="48"/>
      <c r="D152" s="48"/>
      <c r="E152" s="48"/>
      <c r="F152" s="48"/>
      <c r="G152" s="48"/>
      <c r="H152" s="48"/>
      <c r="I152" s="48"/>
      <c r="K152" s="48"/>
      <c r="L152" s="48"/>
      <c r="M152" s="48"/>
      <c r="N152" s="48"/>
      <c r="O152" s="48"/>
      <c r="P152" s="48"/>
      <c r="Q152" s="48"/>
    </row>
    <row r="153" spans="3:17" ht="20.100000000000001" customHeight="1" x14ac:dyDescent="0.25">
      <c r="D153" s="6" t="str" cm="1">
        <f t="array" ref="D153">MMS_Feedlot_N2ODirect_Equations.VEERG_4_1_1_3__6_Stage2NitrogenInMMS_Title()</f>
        <v>Nitrogen in treatment stage 2 MMS</v>
      </c>
    </row>
    <row r="154" spans="3:17" ht="20.100000000000001" customHeight="1" x14ac:dyDescent="0.25">
      <c r="D154" s="5" t="str" cm="1">
        <f t="array" ref="D154">MMS_Feedlot_N2ODirect_Equations.VEERG_4_1_1_3__6_Stage2NitrogenInMMS_Source()</f>
        <v>VEERG 2026: 4.1.1.3, Equation (6)</v>
      </c>
    </row>
    <row r="155" spans="3:17" ht="20.100000000000001" customHeight="1" x14ac:dyDescent="0.25">
      <c r="D155" s="13" t="s">
        <v>26</v>
      </c>
      <c r="E155" s="13" t="str" cm="1">
        <f t="array" aca="1" ref="E155" ca="1">Common_InputFunctions.Utility_DisplayFunctionName(E174)</f>
        <v>=MMS_Feedlot_N2ODirect_Equations.VEERG_4_1_1_3__6_Stage2NitrogenInMMS</v>
      </c>
    </row>
    <row r="156" spans="3:17" ht="20.100000000000001" customHeight="1" x14ac:dyDescent="0.25"/>
    <row r="157" spans="3:17" ht="20.100000000000001" customHeight="1" x14ac:dyDescent="0.25">
      <c r="D157" s="6"/>
    </row>
    <row r="158" spans="3:17" ht="20.100000000000001" customHeight="1" x14ac:dyDescent="0.25">
      <c r="D158" s="56" t="s">
        <v>29</v>
      </c>
      <c r="E158" s="1" t="str" cm="1">
        <f t="array" ref="E158">MMS_Feedlot_N2ODirect_Equations.VEERG_4_1_1_3__6_Stage2NitrogenInMMS_Variable()</f>
        <v>MN_jmT2</v>
      </c>
    </row>
    <row r="159" spans="3:17" ht="20.100000000000001" customHeight="1" x14ac:dyDescent="0.25">
      <c r="D159" s="56" t="s">
        <v>19</v>
      </c>
      <c r="E159" s="57" t="str" cm="1">
        <f t="array" ref="E159">MMS_Feedlot_N2ODirect_Equations.VEERG_4_1_1_3__6_Stage2NitrogenInMMS_Unit()</f>
        <v>kg N</v>
      </c>
    </row>
    <row r="160" spans="3:17" ht="20.100000000000001" customHeight="1" x14ac:dyDescent="0.25"/>
    <row r="161" spans="4:16" ht="20.100000000000001" customHeight="1" x14ac:dyDescent="0.25">
      <c r="D161" s="60" t="str" cm="1">
        <f t="array" ref="D161:E162">MMS_Feedlot_N2ODirect_Equations.VEERG_4_1_1_3__6_Stage2NitrogenInMMS_Arguments()</f>
        <v>NT_jmT2</v>
      </c>
      <c r="E161" s="61" t="str">
        <v>nitrogen transferred to secondary treatment MMS : kg N</v>
      </c>
      <c r="F161" s="62"/>
      <c r="G161" s="60" t="str">
        <f>"See " &amp; D146</f>
        <v>See M1_Table_NT_j_m-_T-2</v>
      </c>
      <c r="H161" s="137" t="s">
        <v>327</v>
      </c>
    </row>
    <row r="162" spans="4:16" ht="20.100000000000001" customHeight="1" x14ac:dyDescent="0.25">
      <c r="D162" s="60" t="str">
        <v>MMS_jmT2</v>
      </c>
      <c r="E162" s="61" t="str">
        <v>fraction of manure in each secondary system : fraction</v>
      </c>
      <c r="F162" s="62"/>
      <c r="G162" s="60" t="str">
        <f>"See " &amp; D164</f>
        <v>See Table_MMS_j_m_T-2</v>
      </c>
      <c r="H162" s="136" t="s">
        <v>326</v>
      </c>
    </row>
    <row r="163" spans="4:16" ht="20.100000000000001" customHeight="1" x14ac:dyDescent="0.25">
      <c r="I163" s="2"/>
    </row>
    <row r="164" spans="4:16" ht="20.100000000000001" customHeight="1" x14ac:dyDescent="0.25">
      <c r="D164" s="105" t="s">
        <v>170</v>
      </c>
      <c r="I164" s="2"/>
    </row>
    <row r="165" spans="4:16" ht="20.100000000000001" customHeight="1" x14ac:dyDescent="0.25">
      <c r="D165" s="104" t="s">
        <v>114</v>
      </c>
    </row>
    <row r="166" spans="4:16" ht="20.100000000000001" customHeight="1" x14ac:dyDescent="0.25">
      <c r="D166" s="41" t="s">
        <v>102</v>
      </c>
      <c r="E166" s="41" t="s">
        <v>141</v>
      </c>
      <c r="F166" s="41" t="s">
        <v>142</v>
      </c>
      <c r="G166" s="41" t="s">
        <v>143</v>
      </c>
    </row>
    <row r="167" spans="4:16" ht="20.100000000000001" customHeight="1" x14ac:dyDescent="0.25">
      <c r="D167" s="55" t="str">
        <f>'Input - Feedlot'!$D$32</f>
        <v>Solid storage</v>
      </c>
      <c r="E167" s="55">
        <f>'Input - Feedlot'!$E$32</f>
        <v>0.2</v>
      </c>
      <c r="F167" s="55">
        <f>'Input - Feedlot'!$F$32</f>
        <v>0.2</v>
      </c>
      <c r="G167" s="55">
        <f>'Input - Feedlot'!$G$32</f>
        <v>0.2</v>
      </c>
      <c r="H167" s="2" t="s">
        <v>337</v>
      </c>
    </row>
    <row r="168" spans="4:16" ht="20.100000000000001" customHeight="1" x14ac:dyDescent="0.25">
      <c r="D168" s="55" t="str">
        <f>'Input - Feedlot'!$D$33</f>
        <v>Composting (passive windrow)</v>
      </c>
      <c r="E168" s="55">
        <f>'Input - Feedlot'!$E$33</f>
        <v>0.2</v>
      </c>
      <c r="F168" s="55">
        <f>'Input - Feedlot'!$F$33</f>
        <v>0.2</v>
      </c>
      <c r="G168" s="55">
        <f>'Input - Feedlot'!$G$33</f>
        <v>0.2</v>
      </c>
      <c r="H168" s="2" t="s">
        <v>337</v>
      </c>
    </row>
    <row r="169" spans="4:16" ht="20.100000000000001" customHeight="1" x14ac:dyDescent="0.25">
      <c r="D169" s="55" t="str">
        <f>'Input - Feedlot'!$D$34</f>
        <v>Direct application</v>
      </c>
      <c r="E169" s="55">
        <f>'Input - Feedlot'!$E$34</f>
        <v>0.6</v>
      </c>
      <c r="F169" s="55">
        <f>'Input - Feedlot'!$F$34</f>
        <v>0.6</v>
      </c>
      <c r="G169" s="55">
        <f>'Input - Feedlot'!$G$34</f>
        <v>0.6</v>
      </c>
    </row>
    <row r="170" spans="4:16" ht="20.100000000000001" customHeight="1" x14ac:dyDescent="0.25"/>
    <row r="171" spans="4:16" ht="20.100000000000001" customHeight="1" x14ac:dyDescent="0.25">
      <c r="D171" s="105" t="s">
        <v>182</v>
      </c>
      <c r="L171" s="105" t="s">
        <v>182</v>
      </c>
    </row>
    <row r="172" spans="4:16" ht="20.100000000000001" customHeight="1" x14ac:dyDescent="0.25">
      <c r="D172" s="104" t="s">
        <v>186</v>
      </c>
      <c r="L172" s="104" t="s">
        <v>187</v>
      </c>
    </row>
    <row r="173" spans="4:16" ht="20.100000000000001" customHeight="1" x14ac:dyDescent="0.25">
      <c r="D173" s="54" t="s">
        <v>102</v>
      </c>
      <c r="E173" s="54" t="s">
        <v>141</v>
      </c>
      <c r="F173" s="54" t="s">
        <v>142</v>
      </c>
      <c r="G173" s="54" t="s">
        <v>143</v>
      </c>
      <c r="L173" s="54" t="s">
        <v>102</v>
      </c>
      <c r="M173" s="54" t="s">
        <v>141</v>
      </c>
      <c r="N173" s="54" t="s">
        <v>142</v>
      </c>
      <c r="O173" s="54" t="s">
        <v>143</v>
      </c>
    </row>
    <row r="174" spans="4:16" ht="20.100000000000001" customHeight="1" x14ac:dyDescent="0.25">
      <c r="D174" s="55" t="str">
        <f>'Input - Feedlot'!$D$32</f>
        <v>Solid storage</v>
      </c>
      <c r="E174" s="55" cm="1">
        <f t="array" ref="E174">MMS_Feedlot_N2ODirect_Equations.VEERG_4_1_1_3__6_Stage2NitrogenInMMS(D$149,E167)</f>
        <v>5376.5434404864027</v>
      </c>
      <c r="F174" s="55" cm="1">
        <f t="array" ref="F174">MMS_Feedlot_N2ODirect_Equations.VEERG_4_1_1_3__6_Stage2NitrogenInMMS(E$149,F167)</f>
        <v>189.8737956864</v>
      </c>
      <c r="G174" s="55" cm="1">
        <f t="array" ref="G174">MMS_Feedlot_N2ODirect_Equations.VEERG_4_1_1_3__6_Stage2NitrogenInMMS(F$149,G167)</f>
        <v>274.24316159999995</v>
      </c>
      <c r="H174" s="2" t="str">
        <f>$E$159</f>
        <v>kg N</v>
      </c>
      <c r="L174" s="55" t="str">
        <f>'Input - Feedlot'!$D$32</f>
        <v>Solid storage</v>
      </c>
      <c r="M174" s="55" cm="1">
        <f t="array" ref="M174">MMS_Feedlot_N2ODirect_Equations.VEERG_4_1_1_3__6_Stage2NitrogenInMMS(L$149,E167)</f>
        <v>5376.5434404864027</v>
      </c>
      <c r="N174" s="55" cm="1">
        <f t="array" ref="N174">MMS_Feedlot_N2ODirect_Equations.VEERG_4_1_1_3__6_Stage2NitrogenInMMS(M$149,F167)</f>
        <v>189.8737956864</v>
      </c>
      <c r="O174" s="55" cm="1">
        <f t="array" ref="O174">MMS_Feedlot_N2ODirect_Equations.VEERG_4_1_1_3__6_Stage2NitrogenInMMS(N$149,G167)</f>
        <v>274.24316159999995</v>
      </c>
      <c r="P174" s="2" t="str">
        <f>$E$159</f>
        <v>kg N</v>
      </c>
    </row>
    <row r="175" spans="4:16" ht="20.100000000000001" customHeight="1" x14ac:dyDescent="0.25">
      <c r="D175" s="55" t="str">
        <f>'Input - Feedlot'!$D$33</f>
        <v>Composting (passive windrow)</v>
      </c>
      <c r="E175" s="55" cm="1">
        <f t="array" ref="E175">MMS_Feedlot_N2ODirect_Equations.VEERG_4_1_1_3__6_Stage2NitrogenInMMS(D$149,E168)</f>
        <v>5376.5434404864027</v>
      </c>
      <c r="F175" s="55" cm="1">
        <f t="array" ref="F175">MMS_Feedlot_N2ODirect_Equations.VEERG_4_1_1_3__6_Stage2NitrogenInMMS(E$149,F168)</f>
        <v>189.8737956864</v>
      </c>
      <c r="G175" s="55" cm="1">
        <f t="array" ref="G175">MMS_Feedlot_N2ODirect_Equations.VEERG_4_1_1_3__6_Stage2NitrogenInMMS(F$149,G168)</f>
        <v>274.24316159999995</v>
      </c>
      <c r="H175" s="2" t="str">
        <f>$E$159</f>
        <v>kg N</v>
      </c>
      <c r="L175" s="55" t="str">
        <f>'Input - Feedlot'!$D$33</f>
        <v>Composting (passive windrow)</v>
      </c>
      <c r="M175" s="55" cm="1">
        <f t="array" ref="M175">MMS_Feedlot_N2ODirect_Equations.VEERG_4_1_1_3__6_Stage2NitrogenInMMS(L$149,E168)</f>
        <v>5376.5434404864027</v>
      </c>
      <c r="N175" s="55" cm="1">
        <f t="array" ref="N175">MMS_Feedlot_N2ODirect_Equations.VEERG_4_1_1_3__6_Stage2NitrogenInMMS(M$149,F168)</f>
        <v>189.8737956864</v>
      </c>
      <c r="O175" s="55" cm="1">
        <f t="array" ref="O175">MMS_Feedlot_N2ODirect_Equations.VEERG_4_1_1_3__6_Stage2NitrogenInMMS(N$149,G168)</f>
        <v>274.24316159999995</v>
      </c>
      <c r="P175" s="2" t="str">
        <f>$E$159</f>
        <v>kg N</v>
      </c>
    </row>
    <row r="176" spans="4:16" ht="20.100000000000001" customHeight="1" x14ac:dyDescent="0.25">
      <c r="D176" s="55" t="str">
        <f>'Input - Feedlot'!$D$34</f>
        <v>Direct application</v>
      </c>
      <c r="E176" s="55" cm="1">
        <f t="array" ref="E176">MMS_Feedlot_N2ODirect_Equations.VEERG_4_1_1_3__6_Stage2NitrogenInMMS(D$149,E169)</f>
        <v>16129.630321459204</v>
      </c>
      <c r="F176" s="55" cm="1">
        <f t="array" ref="F176">MMS_Feedlot_N2ODirect_Equations.VEERG_4_1_1_3__6_Stage2NitrogenInMMS(E$149,F169)</f>
        <v>569.62138705919995</v>
      </c>
      <c r="G176" s="55" cm="1">
        <f t="array" ref="G176">MMS_Feedlot_N2ODirect_Equations.VEERG_4_1_1_3__6_Stage2NitrogenInMMS(F$149,G169)</f>
        <v>822.7294847999998</v>
      </c>
      <c r="H176" s="2" t="str">
        <f>$E$159</f>
        <v>kg N</v>
      </c>
      <c r="L176" s="55" t="str">
        <f>'Input - Feedlot'!$D$34</f>
        <v>Direct application</v>
      </c>
      <c r="M176" s="55" cm="1">
        <f t="array" ref="M176">MMS_Feedlot_N2ODirect_Equations.VEERG_4_1_1_3__6_Stage2NitrogenInMMS(L$149,E169)</f>
        <v>16129.630321459204</v>
      </c>
      <c r="N176" s="55" cm="1">
        <f t="array" ref="N176">MMS_Feedlot_N2ODirect_Equations.VEERG_4_1_1_3__6_Stage2NitrogenInMMS(M$149,F169)</f>
        <v>569.62138705919995</v>
      </c>
      <c r="O176" s="55" cm="1">
        <f t="array" ref="O176">MMS_Feedlot_N2ODirect_Equations.VEERG_4_1_1_3__6_Stage2NitrogenInMMS(N$149,G169)</f>
        <v>822.7294847999998</v>
      </c>
      <c r="P176" s="2" t="str">
        <f>$E$159</f>
        <v>kg N</v>
      </c>
    </row>
    <row r="177" spans="3:17" ht="20.100000000000001" customHeight="1" x14ac:dyDescent="0.25"/>
    <row r="178" spans="3:17" ht="20.100000000000001" customHeight="1" x14ac:dyDescent="0.25">
      <c r="C178" s="48"/>
      <c r="D178" s="48"/>
      <c r="E178" s="48"/>
      <c r="F178" s="48"/>
      <c r="G178" s="48"/>
      <c r="H178" s="48"/>
      <c r="I178" s="48"/>
      <c r="K178" s="48"/>
      <c r="L178" s="48"/>
      <c r="M178" s="48"/>
      <c r="N178" s="48"/>
      <c r="O178" s="48"/>
      <c r="P178" s="48"/>
      <c r="Q178" s="48"/>
    </row>
    <row r="179" spans="3:17"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17" ht="20.100000000000001" customHeight="1" x14ac:dyDescent="0.25">
      <c r="D180" s="5" t="str" cm="1">
        <f t="array" ref="D180">MMS_Feedlot_N2ODirect_Equations.VEERG_4_1_1_3__1_TotalAnnualDirectNitrousOxideEmissions_Source()</f>
        <v>VEERG 2026: 4.1.1.3, Equation (1)</v>
      </c>
    </row>
    <row r="181" spans="3:17" ht="20.100000000000001" customHeight="1" x14ac:dyDescent="0.25">
      <c r="D181" s="13" t="s">
        <v>26</v>
      </c>
      <c r="E181" s="13" t="str" cm="1">
        <f t="array" aca="1" ref="E181" ca="1">Common_InputFunctions.Utility_DisplayFunctionName(E203)</f>
        <v>=MMS_Feedlot_N2ODirect_Equations.VEERG_4_1_1_3__1_TotalAnnualDirectNitrousOxideEmissions</v>
      </c>
    </row>
    <row r="182" spans="3:17" ht="20.100000000000001" customHeight="1" x14ac:dyDescent="0.25"/>
    <row r="183" spans="3:17" ht="20.100000000000001" customHeight="1" x14ac:dyDescent="0.25">
      <c r="D183" s="6"/>
    </row>
    <row r="184" spans="3:17" ht="20.100000000000001" customHeight="1" x14ac:dyDescent="0.25"/>
    <row r="185" spans="3:17" ht="20.100000000000001" customHeight="1" x14ac:dyDescent="0.25">
      <c r="D185" s="56" t="s">
        <v>29</v>
      </c>
      <c r="E185" s="1" t="str" cm="1">
        <f t="array" ref="E185">MMS_Feedlot_N2ODirect_Equations.VEERG_4_1_1_3__1_TotalAnnualDirectNitrousOxideEmissions_Variable()</f>
        <v>E_N2Odir</v>
      </c>
    </row>
    <row r="186" spans="3:17" ht="20.100000000000001" customHeight="1" x14ac:dyDescent="0.25">
      <c r="D186" s="56" t="s">
        <v>19</v>
      </c>
      <c r="E186" s="57" t="str" cm="1">
        <f t="array" ref="E186">MMS_Feedlot_N2ODirect_Equations.VEERG_4_1_1_3__1_TotalAnnualDirectNitrousOxideEmissions_Unit()</f>
        <v>t N2O</v>
      </c>
    </row>
    <row r="187" spans="3:17" ht="20.100000000000001" customHeight="1" x14ac:dyDescent="0.25"/>
    <row r="188" spans="3:17" ht="20.100000000000001" customHeight="1" x14ac:dyDescent="0.25">
      <c r="D188" s="118" t="str" cm="1">
        <f t="array" ref="D188:E190">MMS_Feedlot_N2ODirect_Equations.VEERG_4_1_1_3__1_TotalAnnualDirectNitrousOxideEmissions_Arguments()</f>
        <v>MN_jmT</v>
      </c>
      <c r="E188" s="120" t="str">
        <v>nitrogen per cattle group, MMS and treatment stage : kg N</v>
      </c>
      <c r="F188" s="119"/>
      <c r="G188" s="61" t="str">
        <f>"See " &amp; D103 &amp; ", " &amp; D171 &amp; ", " &amp; D126</f>
        <v>See M1_Table_MN_j_m-5_T-1, M1_Table_MN_j_m_T-2, M1_Table_MN_j_m-1_T-3</v>
      </c>
      <c r="H188" s="62"/>
    </row>
    <row r="189" spans="3:17" ht="20.100000000000001" customHeight="1" x14ac:dyDescent="0.25">
      <c r="D189" s="118" t="str">
        <v>EF_jm</v>
      </c>
      <c r="E189" s="120" t="str">
        <v>nitrous oxide emission factor for MMS : kg N2O-N/kg N</v>
      </c>
      <c r="F189" s="119"/>
      <c r="G189" s="61" t="str">
        <f>"See " &amp; D192</f>
        <v>See Table_EF_j_m</v>
      </c>
      <c r="H189" s="62"/>
    </row>
    <row r="190" spans="3:17" ht="20.100000000000001" customHeight="1" x14ac:dyDescent="0.25">
      <c r="D190" s="118" t="str">
        <v>C_N2O</v>
      </c>
      <c r="E190" s="120" t="str">
        <v>factor to convert elemental mass of nitrous oxide to molecular mass : ratio</v>
      </c>
      <c r="F190" s="119"/>
      <c r="G190" s="61">
        <f>Common_InputFunctions.Utility_LookupValueInTableNumber("N2O",Table_GasToMolecularConversionFactor[Gas],Table_GasToMolecularConversionFactor[Conversion factor combined])</f>
        <v>1.5714285714285714</v>
      </c>
      <c r="H190" s="62"/>
    </row>
    <row r="191" spans="3:17" ht="20.100000000000001" customHeight="1" x14ac:dyDescent="0.25"/>
    <row r="192" spans="3:17" ht="20.100000000000001" customHeight="1" x14ac:dyDescent="0.25">
      <c r="D192" s="105" t="s">
        <v>174</v>
      </c>
    </row>
    <row r="193" spans="4:16" ht="20.100000000000001" customHeight="1" x14ac:dyDescent="0.25">
      <c r="D193" s="104" t="s">
        <v>175</v>
      </c>
    </row>
    <row r="194" spans="4:16" ht="20.100000000000001" customHeight="1" x14ac:dyDescent="0.25">
      <c r="D194" s="121" t="s">
        <v>67</v>
      </c>
      <c r="E194" s="121" t="s">
        <v>176</v>
      </c>
    </row>
    <row r="195" spans="4:16" ht="20.100000000000001" customHeight="1" x14ac:dyDescent="0.25">
      <c r="D195" s="55" t="str">
        <f>'Input - Feedlot'!$D$28</f>
        <v>Drylot (feed pad)</v>
      </c>
      <c r="E195" s="55">
        <f>_xlfn.XLOOKUP($D$195, Table_SourceData_Feedlot_NO2EFs[NIR definition], Table_SourceData_Feedlot_NO2EFs[EF mT])</f>
        <v>5.4000000000000003E-3</v>
      </c>
    </row>
    <row r="196" spans="4:16" ht="20.100000000000001" customHeight="1" x14ac:dyDescent="0.25">
      <c r="D196" s="55" t="str">
        <f>'Input - Feedlot'!$D$32</f>
        <v>Solid storage</v>
      </c>
      <c r="E196" s="55">
        <f>_xlfn.XLOOKUP($D$196, Table_SourceData_Feedlot_NO2EFs[NIR definition], Table_SourceData_Feedlot_NO2EFs[EF mT])</f>
        <v>5.0000000000000001E-3</v>
      </c>
    </row>
    <row r="197" spans="4:16" ht="20.100000000000001" customHeight="1" x14ac:dyDescent="0.25">
      <c r="D197" s="55" t="str">
        <f>'Input - Feedlot'!$D$33</f>
        <v>Composting (passive windrow)</v>
      </c>
      <c r="E197" s="55">
        <f>_xlfn.XLOOKUP($D$197, Table_SourceData_Feedlot_NO2EFs[NIR definition], Table_SourceData_Feedlot_NO2EFs[EF mT])</f>
        <v>0.01</v>
      </c>
    </row>
    <row r="198" spans="4:16" ht="20.100000000000001" customHeight="1" x14ac:dyDescent="0.25">
      <c r="D198" s="55" t="str">
        <f>'Input - Feedlot'!$D$38</f>
        <v>Anaerobic lagoon</v>
      </c>
      <c r="E198" s="55">
        <f>_xlfn.XLOOKUP($D$198, Table_SourceData_Feedlot_NO2EFs[NIR definition], Table_SourceData_Feedlot_NO2EFs[EF mT])</f>
        <v>0</v>
      </c>
    </row>
    <row r="199" spans="4:16" ht="20.100000000000001" customHeight="1" x14ac:dyDescent="0.25"/>
    <row r="200" spans="4:16" ht="20.100000000000001" customHeight="1" x14ac:dyDescent="0.25">
      <c r="D200" s="105" t="s">
        <v>183</v>
      </c>
      <c r="L200" s="105" t="s">
        <v>183</v>
      </c>
    </row>
    <row r="201" spans="4:16" ht="20.100000000000001" customHeight="1" x14ac:dyDescent="0.25">
      <c r="D201" s="104" t="s">
        <v>184</v>
      </c>
      <c r="L201" s="104" t="s">
        <v>185</v>
      </c>
    </row>
    <row r="202" spans="4:16" ht="20.100000000000001" customHeight="1" x14ac:dyDescent="0.25">
      <c r="D202" s="121" t="s">
        <v>67</v>
      </c>
      <c r="E202" s="54" t="s">
        <v>141</v>
      </c>
      <c r="F202" s="54" t="s">
        <v>142</v>
      </c>
      <c r="G202" s="54" t="s">
        <v>143</v>
      </c>
      <c r="L202" s="121" t="s">
        <v>67</v>
      </c>
      <c r="M202" s="54" t="s">
        <v>141</v>
      </c>
      <c r="N202" s="54" t="s">
        <v>142</v>
      </c>
      <c r="O202" s="54" t="s">
        <v>143</v>
      </c>
    </row>
    <row r="203" spans="4:16" ht="20.100000000000001" customHeight="1" x14ac:dyDescent="0.25">
      <c r="D203" s="55" t="str">
        <f>'Input - Feedlot'!$D$28</f>
        <v>Drylot (feed pad)</v>
      </c>
      <c r="E203" s="55" cm="1">
        <f t="array" ref="E203">MMS_Feedlot_N2ODirect_Equations.VEERG_4_1_1_3__1_TotalAnnualDirectNitrousOxideEmissions(E$106,$E195,$G$190)</f>
        <v>0.6089670512640003</v>
      </c>
      <c r="F203" s="55" cm="1">
        <f t="array" ref="F203">MMS_Feedlot_N2ODirect_Equations.VEERG_4_1_1_3__1_TotalAnnualDirectNitrousOxideEmissions(F$106,$E195,$G$190)</f>
        <v>2.1505803264000003E-2</v>
      </c>
      <c r="G203" s="55" cm="1">
        <f t="array" ref="G203">MMS_Feedlot_N2ODirect_Equations.VEERG_4_1_1_3__1_TotalAnnualDirectNitrousOxideEmissions(G$106,$E195,$G$190)</f>
        <v>3.1061787428571422E-2</v>
      </c>
      <c r="H203" s="2" t="str">
        <f>$E$186</f>
        <v>t N2O</v>
      </c>
      <c r="L203" s="55" t="str">
        <f>'Input - Feedlot'!$D$28</f>
        <v>Drylot (feed pad)</v>
      </c>
      <c r="M203" s="55" cm="1">
        <f t="array" ref="M203">MMS_Feedlot_N2ODirect_Equations.VEERG_4_1_1_3__1_TotalAnnualDirectNitrousOxideEmissions(M$106,$E195,$G$190)</f>
        <v>0.6089670512640003</v>
      </c>
      <c r="N203" s="55" cm="1">
        <f t="array" ref="N203">MMS_Feedlot_N2ODirect_Equations.VEERG_4_1_1_3__1_TotalAnnualDirectNitrousOxideEmissions(N$106,$E195,$G$190)</f>
        <v>2.1505803264000003E-2</v>
      </c>
      <c r="O203" s="55" cm="1">
        <f t="array" ref="O203">MMS_Feedlot_N2ODirect_Equations.VEERG_4_1_1_3__1_TotalAnnualDirectNitrousOxideEmissions(O$106,$E195,$G$190)</f>
        <v>3.1061787428571422E-2</v>
      </c>
      <c r="P203" s="2" t="str">
        <f>$E$186</f>
        <v>t N2O</v>
      </c>
    </row>
    <row r="204" spans="4:16" ht="20.100000000000001" customHeight="1" x14ac:dyDescent="0.25">
      <c r="D204" s="55" t="str">
        <f>'Input - Feedlot'!$D$32</f>
        <v>Solid storage</v>
      </c>
      <c r="E204" s="55" cm="1">
        <f t="array" ref="E204">MMS_Feedlot_N2ODirect_Equations.VEERG_4_1_1_3__1_TotalAnnualDirectNitrousOxideEmissions(E$174,$E196,$G$190)</f>
        <v>4.2244269889536022E-2</v>
      </c>
      <c r="F204" s="55" cm="1">
        <f t="array" ref="F204">MMS_Feedlot_N2ODirect_Equations.VEERG_4_1_1_3__1_TotalAnnualDirectNitrousOxideEmissions(F$174,$E196,$G$190)</f>
        <v>1.4918655375360003E-3</v>
      </c>
      <c r="G204" s="55" cm="1">
        <f t="array" ref="G204">MMS_Feedlot_N2ODirect_Equations.VEERG_4_1_1_3__1_TotalAnnualDirectNitrousOxideEmissions(G$174,$E196,$G$190)</f>
        <v>2.1547676982857141E-3</v>
      </c>
      <c r="H204" s="2" t="str">
        <f>$E$186</f>
        <v>t N2O</v>
      </c>
      <c r="L204" s="55" t="str">
        <f>'Input - Feedlot'!$D$32</f>
        <v>Solid storage</v>
      </c>
      <c r="M204" s="55" cm="1">
        <f t="array" ref="M204">MMS_Feedlot_N2ODirect_Equations.VEERG_4_1_1_3__1_TotalAnnualDirectNitrousOxideEmissions(M$174,$E196,$G$190)</f>
        <v>4.2244269889536022E-2</v>
      </c>
      <c r="N204" s="55" cm="1">
        <f t="array" ref="N204">MMS_Feedlot_N2ODirect_Equations.VEERG_4_1_1_3__1_TotalAnnualDirectNitrousOxideEmissions(N$174,$E196,$G$190)</f>
        <v>1.4918655375360003E-3</v>
      </c>
      <c r="O204" s="55" cm="1">
        <f t="array" ref="O204">MMS_Feedlot_N2ODirect_Equations.VEERG_4_1_1_3__1_TotalAnnualDirectNitrousOxideEmissions(O$174,$E196,$G$190)</f>
        <v>2.1547676982857141E-3</v>
      </c>
      <c r="P204" s="2" t="str">
        <f>$E$186</f>
        <v>t N2O</v>
      </c>
    </row>
    <row r="205" spans="4:16" ht="20.100000000000001" customHeight="1" x14ac:dyDescent="0.25">
      <c r="D205" s="55" t="str">
        <f>'Input - Feedlot'!$D$33</f>
        <v>Composting (passive windrow)</v>
      </c>
      <c r="E205" s="55" cm="1">
        <f t="array" ref="E205">MMS_Feedlot_N2ODirect_Equations.VEERG_4_1_1_3__1_TotalAnnualDirectNitrousOxideEmissions(E$175,$E197,$G$190)</f>
        <v>8.4488539779072044E-2</v>
      </c>
      <c r="F205" s="55" cm="1">
        <f t="array" ref="F205">MMS_Feedlot_N2ODirect_Equations.VEERG_4_1_1_3__1_TotalAnnualDirectNitrousOxideEmissions(F$175,$E197,$G$190)</f>
        <v>2.9837310750720006E-3</v>
      </c>
      <c r="G205" s="55" cm="1">
        <f t="array" ref="G205">MMS_Feedlot_N2ODirect_Equations.VEERG_4_1_1_3__1_TotalAnnualDirectNitrousOxideEmissions(G$175,$E197,$G$190)</f>
        <v>4.3095353965714282E-3</v>
      </c>
      <c r="H205" s="2" t="str">
        <f>$E$186</f>
        <v>t N2O</v>
      </c>
      <c r="L205" s="55" t="str">
        <f>'Input - Feedlot'!$D$33</f>
        <v>Composting (passive windrow)</v>
      </c>
      <c r="M205" s="55" cm="1">
        <f t="array" ref="M205">MMS_Feedlot_N2ODirect_Equations.VEERG_4_1_1_3__1_TotalAnnualDirectNitrousOxideEmissions(M$175,$E197,$G$190)</f>
        <v>8.4488539779072044E-2</v>
      </c>
      <c r="N205" s="55" cm="1">
        <f t="array" ref="N205">MMS_Feedlot_N2ODirect_Equations.VEERG_4_1_1_3__1_TotalAnnualDirectNitrousOxideEmissions(N$175,$E197,$G$190)</f>
        <v>2.9837310750720006E-3</v>
      </c>
      <c r="O205" s="55" cm="1">
        <f t="array" ref="O205">MMS_Feedlot_N2ODirect_Equations.VEERG_4_1_1_3__1_TotalAnnualDirectNitrousOxideEmissions(O$175,$E197,$G$190)</f>
        <v>4.3095353965714282E-3</v>
      </c>
      <c r="P205" s="2" t="str">
        <f>$E$186</f>
        <v>t N2O</v>
      </c>
    </row>
    <row r="206" spans="4:16" ht="20.100000000000001" customHeight="1" x14ac:dyDescent="0.25">
      <c r="D206" s="55" t="str">
        <f>'Input - Feedlot'!$D$34</f>
        <v>Direct application</v>
      </c>
      <c r="E206" s="55" t="s">
        <v>325</v>
      </c>
      <c r="F206" s="55" t="s">
        <v>325</v>
      </c>
      <c r="G206" s="55" t="s">
        <v>325</v>
      </c>
      <c r="H206" s="2" t="str">
        <f>$E$186</f>
        <v>t N2O</v>
      </c>
      <c r="L206" s="55" t="str">
        <f>'Input - Feedlot'!$D$34</f>
        <v>Direct application</v>
      </c>
      <c r="M206" s="55" t="s">
        <v>325</v>
      </c>
      <c r="N206" s="55" t="s">
        <v>325</v>
      </c>
      <c r="O206" s="55" t="s">
        <v>325</v>
      </c>
      <c r="P206" s="2" t="str">
        <f>$E$186</f>
        <v>t N2O</v>
      </c>
    </row>
    <row r="207" spans="4:16" ht="20.100000000000001" customHeight="1" x14ac:dyDescent="0.25">
      <c r="D207" s="55" t="str">
        <f>'Input - Feedlot'!$D$38</f>
        <v>Anaerobic lagoon</v>
      </c>
      <c r="E207" s="55" cm="1">
        <f t="array" ref="E207">MMS_Feedlot_N2ODirect_Equations.VEERG_4_1_1_3__1_TotalAnnualDirectNitrousOxideEmissions(E$129,$E198,$G$190)</f>
        <v>0</v>
      </c>
      <c r="F207" s="55" cm="1">
        <f t="array" ref="F207">MMS_Feedlot_N2ODirect_Equations.VEERG_4_1_1_3__1_TotalAnnualDirectNitrousOxideEmissions(F$129,$E198,$G$190)</f>
        <v>0</v>
      </c>
      <c r="G207" s="55" cm="1">
        <f t="array" ref="G207">MMS_Feedlot_N2ODirect_Equations.VEERG_4_1_1_3__1_TotalAnnualDirectNitrousOxideEmissions(G$129,$E198,$G$190)</f>
        <v>0</v>
      </c>
      <c r="H207" s="2" t="str">
        <f>$E$186</f>
        <v>t N2O</v>
      </c>
      <c r="L207" s="55" t="str">
        <f>'Input - Feedlot'!$D$38</f>
        <v>Anaerobic lagoon</v>
      </c>
      <c r="M207" s="55" cm="1">
        <f t="array" ref="M207">MMS_Feedlot_N2ODirect_Equations.VEERG_4_1_1_3__1_TotalAnnualDirectNitrousOxideEmissions(M$129,$E198,$G$190)</f>
        <v>0</v>
      </c>
      <c r="N207" s="55" cm="1">
        <f t="array" ref="N207">MMS_Feedlot_N2ODirect_Equations.VEERG_4_1_1_3__1_TotalAnnualDirectNitrousOxideEmissions(N$129,$E198,$G$190)</f>
        <v>0</v>
      </c>
      <c r="O207" s="55" cm="1">
        <f t="array" ref="O207">MMS_Feedlot_N2ODirect_Equations.VEERG_4_1_1_3__1_TotalAnnualDirectNitrousOxideEmissions(O$129,$E198,$G$190)</f>
        <v>0</v>
      </c>
      <c r="P207" s="2" t="str">
        <f>$E$186</f>
        <v>t N2O</v>
      </c>
    </row>
    <row r="208" spans="4:16" ht="20.100000000000001" customHeight="1" x14ac:dyDescent="0.25"/>
    <row r="209" spans="4:15" ht="20.100000000000001" customHeight="1" x14ac:dyDescent="0.25">
      <c r="D209" s="110" t="s">
        <v>177</v>
      </c>
      <c r="E209" s="111">
        <f>SUM(E203:G207)</f>
        <v>0.79920735133264487</v>
      </c>
      <c r="F209" s="112" t="str">
        <f>$E$186</f>
        <v>t N2O</v>
      </c>
      <c r="L209" s="110" t="s">
        <v>177</v>
      </c>
      <c r="M209" s="111">
        <f>SUM(M203:O207)</f>
        <v>0.79920735133264487</v>
      </c>
      <c r="N209" s="112" t="str">
        <f>$E$186</f>
        <v>t N2O</v>
      </c>
    </row>
    <row r="210" spans="4:15" ht="20.100000000000001" customHeight="1" x14ac:dyDescent="0.25"/>
    <row r="211" spans="4:15" ht="20.100000000000001" customHeight="1" x14ac:dyDescent="0.25">
      <c r="D211" s="60" t="str" cm="1">
        <f t="array" ref="D211:E212">Common_Equations.Common_ConvertN2OToCO2e_Arguments()</f>
        <v>EN2O</v>
      </c>
      <c r="E211" s="61" t="str">
        <v>Nitrous oxide emissions (t N2O)</v>
      </c>
      <c r="F211" s="113"/>
      <c r="G211" s="55">
        <f>E209</f>
        <v>0.79920735133264487</v>
      </c>
      <c r="L211" s="60" t="str" cm="1">
        <f t="array" ref="L211:M212">Common_Equations.Common_ConvertN2OToCO2e_Arguments()</f>
        <v>EN2O</v>
      </c>
      <c r="M211" s="61" t="str">
        <v>Nitrous oxide emissions (t N2O)</v>
      </c>
      <c r="N211" s="113"/>
      <c r="O211" s="55">
        <f>M209</f>
        <v>0.79920735133264487</v>
      </c>
    </row>
    <row r="212" spans="4:15" ht="20.100000000000001" customHeight="1" x14ac:dyDescent="0.25">
      <c r="D212" s="60" t="str">
        <v>GWPN2O</v>
      </c>
      <c r="E212" s="61" t="str">
        <v>Global warming potential for nitrous oxide (t CO2-e / t N2O)</v>
      </c>
      <c r="F212" s="113"/>
      <c r="G212" s="55">
        <f>Common_InputFunctions.Utility_LookupValueInTableNumber("N2O",Table_GWPData[Gas],Table_GWPData[CO2-e factor])</f>
        <v>265</v>
      </c>
      <c r="L212" s="60" t="str">
        <v>GWPN2O</v>
      </c>
      <c r="M212" s="61" t="str">
        <v>Global warming potential for nitrous oxide (t CO2-e / t N2O)</v>
      </c>
      <c r="N212" s="113"/>
      <c r="O212" s="55">
        <f>Common_InputFunctions.Utility_LookupValueInTableNumber("N2O",Table_GWPData[Gas],Table_GWPData[CO2-e factor])</f>
        <v>265</v>
      </c>
    </row>
    <row r="213" spans="4:15" ht="20.100000000000001" customHeight="1" x14ac:dyDescent="0.25"/>
    <row r="214" spans="4:15" ht="20.100000000000001" customHeight="1" x14ac:dyDescent="0.25">
      <c r="D214" s="48" t="s">
        <v>130</v>
      </c>
      <c r="E214" s="48" cm="1">
        <f t="array" ref="E214">Common_Equations.Common_ConvertN2OToCO2e(G211,G212)</f>
        <v>211.78994810315089</v>
      </c>
      <c r="F214" s="114" t="str" cm="1">
        <f t="array" ref="F214">Common_Equations.Common_ConvertN2OToCO2e_Unit()</f>
        <v>t CO2e</v>
      </c>
      <c r="L214" s="48" t="s">
        <v>130</v>
      </c>
      <c r="M214" s="48" cm="1">
        <f t="array" ref="M214">Common_Equations.Common_ConvertN2OToCO2e(O211,O212)</f>
        <v>211.78994810315089</v>
      </c>
      <c r="N214" s="114" t="str" cm="1">
        <f t="array" ref="N214">Common_Equations.Common_ConvertN2OToCO2e_Unit()</f>
        <v>t CO2e</v>
      </c>
    </row>
    <row r="215" spans="4:15" ht="20.100000000000001" customHeight="1" x14ac:dyDescent="0.25"/>
    <row r="216" spans="4:15" ht="20.100000000000001" customHeight="1" x14ac:dyDescent="0.25"/>
    <row r="217" spans="4:15" ht="20.100000000000001" customHeight="1" x14ac:dyDescent="0.25"/>
  </sheetData>
  <dataValidations disablePrompts="1" count="1">
    <dataValidation operator="equal" allowBlank="1" showInputMessage="1" showErrorMessage="1" sqref="D78:F78 D73:F73 D83:F83 L83:N83 E106:H106 E101:H101 M106:P106" xr:uid="{CE18DC45-74F3-46B3-972B-5F44E5579A05}"/>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Q165"/>
  <sheetViews>
    <sheetView showGridLines="0" topLeftCell="A7" zoomScale="115" zoomScaleNormal="115" workbookViewId="0">
      <selection activeCell="D17" sqref="D17"/>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6" width="30.7109375" style="1" customWidth="1"/>
    <col min="17" max="17" width="4.7109375" style="1" customWidth="1"/>
  </cols>
  <sheetData>
    <row r="1" spans="1:17" s="8" customFormat="1" ht="30" customHeight="1" x14ac:dyDescent="0.35">
      <c r="A1" s="8" t="e" vm="1">
        <v>#VALUE!</v>
      </c>
      <c r="C1" s="8" t="s">
        <v>266</v>
      </c>
    </row>
    <row r="2" spans="1:17" s="9" customFormat="1" ht="20.100000000000001" customHeight="1" x14ac:dyDescent="0.25"/>
    <row r="3" spans="1:17" ht="20.100000000000001" customHeight="1" x14ac:dyDescent="0.25">
      <c r="A3" s="17" t="str">
        <f>HYPERLINK("#'Home'!A1", "Home")</f>
        <v>Home</v>
      </c>
      <c r="C3" s="4"/>
      <c r="D3" s="4" t="s">
        <v>162</v>
      </c>
      <c r="E3" s="4"/>
      <c r="F3" s="4"/>
      <c r="G3" s="4"/>
      <c r="H3" s="4"/>
      <c r="I3" s="4"/>
      <c r="K3" s="4"/>
      <c r="L3" s="4" t="s">
        <v>163</v>
      </c>
      <c r="M3" s="4"/>
      <c r="N3" s="4"/>
      <c r="O3" s="4"/>
      <c r="P3" s="4"/>
      <c r="Q3" s="4"/>
    </row>
    <row r="4" spans="1:17" ht="20.100000000000001" customHeight="1" x14ac:dyDescent="0.25">
      <c r="A4" s="17" t="str">
        <f>HYPERLINK("#'Results'!A1", "Results")</f>
        <v>Results</v>
      </c>
    </row>
    <row r="5" spans="1:17" ht="20.100000000000001" customHeight="1" x14ac:dyDescent="0.25">
      <c r="A5" s="16"/>
      <c r="D5" s="6" t="str" cm="1">
        <f t="array" ref="D5">MMS_Feedlot_AtmosphericDeposition_Equations.VEERG_4_1_1_5__2_VolatilisedNitrogenFromManureManagement_Title()</f>
        <v>Volatilised nitrogen from manure management</v>
      </c>
    </row>
    <row r="6" spans="1:17" ht="20.100000000000001" customHeight="1" x14ac:dyDescent="0.25">
      <c r="A6" s="20" t="s">
        <v>3</v>
      </c>
      <c r="D6" s="5" t="str" cm="1">
        <f t="array" ref="D6">MMS_Feedlot_AtmosphericDeposition_Equations.VEERG_4_1_1_5__2_VolatilisedNitrogenFromManureManagement_Source()</f>
        <v>VEERG 2026: 4.1.1.5, Equation (2)</v>
      </c>
    </row>
    <row r="7" spans="1:17" ht="20.100000000000001" customHeight="1" x14ac:dyDescent="0.25">
      <c r="A7" s="17" t="str">
        <f>HYPERLINK("#'Input - Site'!A1", "Site")</f>
        <v>Site</v>
      </c>
      <c r="D7" s="13" t="s">
        <v>26</v>
      </c>
      <c r="E7" s="13" t="str" cm="1">
        <f t="array" aca="1" ref="E7" ca="1">Common_InputFunctions.Utility_DisplayFunctionName(E40)</f>
        <v>=MMS_Feedlot_AtmosphericDeposition_Equations.VEERG_4_1_1_5__2_VolatilisedNitrogenFromManureManagement</v>
      </c>
    </row>
    <row r="8" spans="1:17" ht="20.100000000000001" customHeight="1" x14ac:dyDescent="0.25">
      <c r="A8" s="17" t="str">
        <f>HYPERLINK("#'Input - Feedlot'!A1", "Feedlot")</f>
        <v>Feedlot</v>
      </c>
    </row>
    <row r="9" spans="1:17" ht="20.100000000000001" customHeight="1" x14ac:dyDescent="0.25">
      <c r="A9" s="17"/>
    </row>
    <row r="10" spans="1:17" ht="20.100000000000001" customHeight="1" x14ac:dyDescent="0.25">
      <c r="A10" s="19" t="s">
        <v>76</v>
      </c>
    </row>
    <row r="11" spans="1:17" ht="20.100000000000001" customHeight="1" x14ac:dyDescent="0.25">
      <c r="A11" s="17" t="str">
        <f>HYPERLINK("#'4.1.1.1-2 Methane'!A1", "4.1.1.1-2 Methane")</f>
        <v>4.1.1.1-2 Methane</v>
      </c>
      <c r="D11" s="56" t="s">
        <v>29</v>
      </c>
      <c r="E11" s="1" t="str" cm="1">
        <f t="array" ref="E11">MMS_Feedlot_AtmosphericDeposition_Equations.VEERG_4_1_1_5__2_VolatilisedNitrogenFromManureManagement_Variable()</f>
        <v>MMS_ATMOS</v>
      </c>
    </row>
    <row r="12" spans="1:17" ht="20.100000000000001" customHeight="1" x14ac:dyDescent="0.25">
      <c r="A12" s="17" t="str">
        <f>HYPERLINK("#'4.1.1.3-4 Direct N20'!A1", "4.1.1.3-4 Direct N2O")</f>
        <v>4.1.1.3-4 Direct N2O</v>
      </c>
      <c r="D12" s="56" t="s">
        <v>19</v>
      </c>
      <c r="E12" s="57" t="str" cm="1">
        <f t="array" ref="E12">MMS_Feedlot_AtmosphericDeposition_Equations.VEERG_4_1_1_5__2_VolatilisedNitrogenFromManureManagement_Unit()</f>
        <v>kg N</v>
      </c>
    </row>
    <row r="13" spans="1:17" ht="20.100000000000001" customHeight="1" x14ac:dyDescent="0.25">
      <c r="A13" s="22" t="str">
        <f>HYPERLINK("#'4.1.1.5-6 Atmos Deposition'!A1", "4.1.1.5-6 Atmospheric deposition")</f>
        <v>4.1.1.5-6 Atmospheric deposition</v>
      </c>
    </row>
    <row r="14" spans="1:17" ht="20.100000000000001" customHeight="1" x14ac:dyDescent="0.25">
      <c r="A14" s="17" t="str">
        <f>HYPERLINK("#'4.1.1.9 Manure applied to soils'!A1", "4.1.1.9 Manure applied to soils")</f>
        <v>4.1.1.9 Manure applied to soils</v>
      </c>
      <c r="D14" s="60" t="str" cm="1">
        <f t="array" ref="D14:E15">MMS_Feedlot_AtmosphericDeposition_Equations.VEERG_4_1_1_5__2_VolatilisedNitrogenFromManureManagement_Arguments()</f>
        <v>MN_jmT</v>
      </c>
      <c r="E14" s="61" t="str">
        <v>nitrogen in each treatment stage MMS (excluding MN_ijm13T2) : kg N</v>
      </c>
      <c r="F14" s="62"/>
      <c r="G14" s="60" t="str">
        <f>"See " &amp; D20</f>
        <v>See M1_Table_MN_j_m_T</v>
      </c>
    </row>
    <row r="15" spans="1:17" ht="20.100000000000001" customHeight="1" x14ac:dyDescent="0.25">
      <c r="D15" s="60" t="str">
        <v>FracGASM_mT</v>
      </c>
      <c r="E15" s="61" t="str">
        <v>fraction of N volatilised in each MMS : (kg NH3-N + NOx-N)/kg N</v>
      </c>
      <c r="F15" s="62"/>
      <c r="G15" s="60" t="str">
        <f>"See " &amp; D29</f>
        <v>See Table_FracGASM_m_T-2-3</v>
      </c>
    </row>
    <row r="16" spans="1:17" ht="20.100000000000001" customHeight="1" x14ac:dyDescent="0.25">
      <c r="A16" s="18" t="s">
        <v>4</v>
      </c>
    </row>
    <row r="17" spans="1:16" ht="20.100000000000001" customHeight="1" x14ac:dyDescent="0.25">
      <c r="A17" s="17" t="str">
        <f>HYPERLINK("#'Constants - Feedlot'!A1", "Constants - Feedlot")</f>
        <v>Constants - Feedlot</v>
      </c>
      <c r="D17" s="122" t="s">
        <v>343</v>
      </c>
      <c r="E17" s="95"/>
      <c r="F17" s="95"/>
      <c r="G17" s="91"/>
    </row>
    <row r="18" spans="1:16" ht="20.100000000000001" customHeight="1" x14ac:dyDescent="0.25">
      <c r="A18" s="17" t="str">
        <f>HYPERLINK("#'Constants - Livestock'!A1", "Constants - Livestock")</f>
        <v>Constants - Livestock</v>
      </c>
      <c r="D18" s="97" t="s">
        <v>342</v>
      </c>
      <c r="E18" s="94"/>
      <c r="F18" s="94"/>
      <c r="G18" s="92"/>
    </row>
    <row r="19" spans="1:16" ht="20.100000000000001" customHeight="1" x14ac:dyDescent="0.25">
      <c r="A19" s="17" t="str">
        <f>HYPERLINK("#'Constants - Common'!A1", "Constants - Common")</f>
        <v>Constants - Common</v>
      </c>
    </row>
    <row r="20" spans="1:16" ht="20.100000000000001" customHeight="1" x14ac:dyDescent="0.25">
      <c r="A20" s="17" t="str">
        <f>HYPERLINK("#'Acknowledgements'!A1", "Acknowledgements")</f>
        <v>Acknowledgements</v>
      </c>
      <c r="D20" s="105" t="s">
        <v>267</v>
      </c>
      <c r="L20" s="105" t="s">
        <v>270</v>
      </c>
    </row>
    <row r="21" spans="1:16" ht="20.100000000000001" customHeight="1" x14ac:dyDescent="0.25">
      <c r="D21" s="104" t="s">
        <v>269</v>
      </c>
      <c r="L21" s="104" t="s">
        <v>271</v>
      </c>
    </row>
    <row r="22" spans="1:16" ht="20.100000000000001" customHeight="1" x14ac:dyDescent="0.25">
      <c r="D22" s="121" t="s">
        <v>67</v>
      </c>
      <c r="E22" s="54" t="s">
        <v>141</v>
      </c>
      <c r="F22" s="54" t="s">
        <v>142</v>
      </c>
      <c r="G22" s="54" t="s">
        <v>143</v>
      </c>
      <c r="L22" s="121" t="s">
        <v>67</v>
      </c>
      <c r="M22" s="54" t="s">
        <v>141</v>
      </c>
      <c r="N22" s="54" t="s">
        <v>142</v>
      </c>
      <c r="O22" s="54" t="s">
        <v>143</v>
      </c>
    </row>
    <row r="23" spans="1:16" ht="20.100000000000001" customHeight="1" x14ac:dyDescent="0.25">
      <c r="D23" s="55" t="str">
        <f>'Input - Feedlot'!$D$28</f>
        <v>Drylot (feed pad)</v>
      </c>
      <c r="E23" s="55">
        <f>'4.1.1.3-4 Direct N20'!$E$106</f>
        <v>71763.793920000026</v>
      </c>
      <c r="F23" s="55">
        <f>'4.1.1.3-4 Direct N20'!$F$106</f>
        <v>2534.35392</v>
      </c>
      <c r="G23" s="55">
        <f>'4.1.1.3-4 Direct N20'!$G$106</f>
        <v>3660.4799999999991</v>
      </c>
      <c r="H23" s="2" t="s">
        <v>232</v>
      </c>
      <c r="L23" s="55" t="str">
        <f>'Input - Feedlot'!$D$28</f>
        <v>Drylot (feed pad)</v>
      </c>
      <c r="M23" s="55">
        <f>'4.1.1.3-4 Direct N20'!$M$106</f>
        <v>71763.793920000026</v>
      </c>
      <c r="N23" s="55">
        <f>'4.1.1.3-4 Direct N20'!$N$106</f>
        <v>2534.35392</v>
      </c>
      <c r="O23" s="55">
        <f>'4.1.1.3-4 Direct N20'!$O$106</f>
        <v>3660.4799999999991</v>
      </c>
      <c r="P23" s="2" t="s">
        <v>232</v>
      </c>
    </row>
    <row r="24" spans="1:16" ht="20.100000000000001" customHeight="1" x14ac:dyDescent="0.25">
      <c r="D24" s="55" t="str">
        <f>'Input - Feedlot'!$D$32</f>
        <v>Solid storage</v>
      </c>
      <c r="E24" s="55">
        <f>'4.1.1.3-4 Direct N20'!$E$174</f>
        <v>5376.5434404864027</v>
      </c>
      <c r="F24" s="55">
        <f>'4.1.1.3-4 Direct N20'!$F$174</f>
        <v>189.8737956864</v>
      </c>
      <c r="G24" s="55">
        <f>'4.1.1.3-4 Direct N20'!$G$174</f>
        <v>274.24316159999995</v>
      </c>
      <c r="H24" s="2" t="s">
        <v>232</v>
      </c>
      <c r="L24" s="55" t="str">
        <f>'Input - Feedlot'!$D$32</f>
        <v>Solid storage</v>
      </c>
      <c r="M24" s="55">
        <f>'4.1.1.3-4 Direct N20'!$M$174</f>
        <v>5376.5434404864027</v>
      </c>
      <c r="N24" s="55">
        <f>'4.1.1.3-4 Direct N20'!$N$174</f>
        <v>189.8737956864</v>
      </c>
      <c r="O24" s="55">
        <f>'4.1.1.3-4 Direct N20'!$O$174</f>
        <v>274.24316159999995</v>
      </c>
      <c r="P24" s="2" t="s">
        <v>232</v>
      </c>
    </row>
    <row r="25" spans="1:16" ht="20.100000000000001" customHeight="1" x14ac:dyDescent="0.25">
      <c r="D25" s="55" t="str">
        <f>'Input - Feedlot'!$D$33</f>
        <v>Composting (passive windrow)</v>
      </c>
      <c r="E25" s="55">
        <f>'4.1.1.3-4 Direct N20'!$E$175</f>
        <v>5376.5434404864027</v>
      </c>
      <c r="F25" s="55">
        <f>'4.1.1.3-4 Direct N20'!$F$175</f>
        <v>189.8737956864</v>
      </c>
      <c r="G25" s="55">
        <f>'4.1.1.3-4 Direct N20'!$G$175</f>
        <v>274.24316159999995</v>
      </c>
      <c r="H25" s="2" t="s">
        <v>232</v>
      </c>
      <c r="L25" s="55" t="str">
        <f>'Input - Feedlot'!$D$33</f>
        <v>Composting (passive windrow)</v>
      </c>
      <c r="M25" s="55">
        <f>'4.1.1.3-4 Direct N20'!$M$175</f>
        <v>5376.5434404864027</v>
      </c>
      <c r="N25" s="55">
        <f>'4.1.1.3-4 Direct N20'!$N$175</f>
        <v>189.8737956864</v>
      </c>
      <c r="O25" s="55">
        <f>'4.1.1.3-4 Direct N20'!$O$175</f>
        <v>274.24316159999995</v>
      </c>
      <c r="P25" s="2" t="s">
        <v>232</v>
      </c>
    </row>
    <row r="26" spans="1:16" ht="20.100000000000001" customHeight="1" x14ac:dyDescent="0.25">
      <c r="D26" s="55" t="str">
        <f>'Input - Feedlot'!$D$34</f>
        <v>Direct application</v>
      </c>
      <c r="E26" s="55" t="s">
        <v>325</v>
      </c>
      <c r="F26" s="55" t="s">
        <v>325</v>
      </c>
      <c r="G26" s="55" t="s">
        <v>325</v>
      </c>
      <c r="H26" s="2" t="s">
        <v>232</v>
      </c>
      <c r="L26" s="55" t="str">
        <f>'Input - Feedlot'!$D$34</f>
        <v>Direct application</v>
      </c>
      <c r="M26" s="55" t="s">
        <v>325</v>
      </c>
      <c r="N26" s="55" t="s">
        <v>325</v>
      </c>
      <c r="O26" s="55" t="s">
        <v>325</v>
      </c>
      <c r="P26" s="2" t="s">
        <v>232</v>
      </c>
    </row>
    <row r="27" spans="1:16" ht="20.100000000000001" customHeight="1" x14ac:dyDescent="0.25">
      <c r="D27" s="55" t="str">
        <f>'Input - Feedlot'!$D$38</f>
        <v>Anaerobic lagoon</v>
      </c>
      <c r="E27" s="55">
        <f>'4.1.1.3-4 Direct N20'!$E$129</f>
        <v>1435.2758784000005</v>
      </c>
      <c r="F27" s="55">
        <f>'4.1.1.3-4 Direct N20'!$F$129</f>
        <v>50.687078400000004</v>
      </c>
      <c r="G27" s="55">
        <f>'4.1.1.3-4 Direct N20'!$G$129</f>
        <v>73.20959999999998</v>
      </c>
      <c r="H27" s="2" t="s">
        <v>232</v>
      </c>
      <c r="L27" s="55" t="str">
        <f>'Input - Feedlot'!$D$38</f>
        <v>Anaerobic lagoon</v>
      </c>
      <c r="M27" s="55">
        <f>'4.1.1.3-4 Direct N20'!$M$129</f>
        <v>1435.2758784000005</v>
      </c>
      <c r="N27" s="55">
        <f>'4.1.1.3-4 Direct N20'!$N$129</f>
        <v>50.687078400000004</v>
      </c>
      <c r="O27" s="55">
        <f>'4.1.1.3-4 Direct N20'!$O$129</f>
        <v>73.20959999999998</v>
      </c>
      <c r="P27" s="2" t="s">
        <v>232</v>
      </c>
    </row>
    <row r="28" spans="1:16" ht="20.100000000000001" customHeight="1" x14ac:dyDescent="0.25"/>
    <row r="29" spans="1:16" ht="20.100000000000001" customHeight="1" x14ac:dyDescent="0.25">
      <c r="D29" s="105" t="s">
        <v>234</v>
      </c>
    </row>
    <row r="30" spans="1:16" ht="20.100000000000001" customHeight="1" x14ac:dyDescent="0.25">
      <c r="D30" s="104" t="s">
        <v>236</v>
      </c>
    </row>
    <row r="31" spans="1:16" ht="20.100000000000001" customHeight="1" x14ac:dyDescent="0.25">
      <c r="D31" s="121" t="s">
        <v>67</v>
      </c>
      <c r="E31" s="121" t="s">
        <v>176</v>
      </c>
    </row>
    <row r="32" spans="1:16" ht="20.100000000000001" customHeight="1" x14ac:dyDescent="0.25">
      <c r="D32" s="55" t="str">
        <f>'Input - Feedlot'!$D$28</f>
        <v>Drylot (feed pad)</v>
      </c>
      <c r="E32" s="55">
        <f>_xlfn.XLOOKUP(D32, Table_SourceData_Feedlot_FracGASMmT[NIR definition], Table_SourceData_Feedlot_FracGASMmT[FracGASMmT])</f>
        <v>0.6</v>
      </c>
      <c r="F32" s="2" t="s">
        <v>241</v>
      </c>
    </row>
    <row r="33" spans="3:17" ht="20.100000000000001" customHeight="1" x14ac:dyDescent="0.25">
      <c r="D33" s="55" t="str">
        <f>'Input - Feedlot'!$D$32</f>
        <v>Solid storage</v>
      </c>
      <c r="E33" s="55">
        <f>_xlfn.XLOOKUP(D33, Table_SourceData_Feedlot_FracGASMmT[NIR definition], Table_SourceData_Feedlot_FracGASMmT[FracGASMmT])</f>
        <v>0.25</v>
      </c>
      <c r="F33" s="2" t="s">
        <v>241</v>
      </c>
    </row>
    <row r="34" spans="3:17" ht="20.100000000000001" customHeight="1" x14ac:dyDescent="0.25">
      <c r="D34" s="55" t="str">
        <f>'Input - Feedlot'!$D$33</f>
        <v>Composting (passive windrow)</v>
      </c>
      <c r="E34" s="55">
        <f>_xlfn.XLOOKUP(D34, Table_SourceData_Feedlot_FracGASMmT[NIR definition], Table_SourceData_Feedlot_FracGASMmT[FracGASMmT])</f>
        <v>0.4</v>
      </c>
      <c r="F34" s="2" t="s">
        <v>241</v>
      </c>
    </row>
    <row r="35" spans="3:17" ht="20.100000000000001" customHeight="1" x14ac:dyDescent="0.25">
      <c r="D35" s="55" t="str">
        <f>'Input - Feedlot'!$D$38</f>
        <v>Anaerobic lagoon</v>
      </c>
      <c r="E35" s="55">
        <f>_xlfn.XLOOKUP(D35, Table_SourceData_Feedlot_FracGASMmT[NIR definition], Table_SourceData_Feedlot_FracGASMmT[FracGASMmT])</f>
        <v>0.35</v>
      </c>
      <c r="F35" s="2" t="s">
        <v>241</v>
      </c>
    </row>
    <row r="36" spans="3:17" ht="20.100000000000001" customHeight="1" x14ac:dyDescent="0.25"/>
    <row r="37" spans="3:17" ht="20.100000000000001" customHeight="1" x14ac:dyDescent="0.25">
      <c r="D37" s="105" t="s">
        <v>268</v>
      </c>
      <c r="L37" s="105" t="s">
        <v>268</v>
      </c>
    </row>
    <row r="38" spans="3:17" ht="20.100000000000001" customHeight="1" x14ac:dyDescent="0.25">
      <c r="D38" s="104" t="s">
        <v>269</v>
      </c>
      <c r="L38" s="104" t="s">
        <v>269</v>
      </c>
    </row>
    <row r="39" spans="3:17" ht="20.100000000000001" customHeight="1" x14ac:dyDescent="0.25">
      <c r="D39" s="121" t="s">
        <v>67</v>
      </c>
      <c r="E39" s="54" t="s">
        <v>141</v>
      </c>
      <c r="F39" s="54" t="s">
        <v>142</v>
      </c>
      <c r="G39" s="54" t="s">
        <v>143</v>
      </c>
      <c r="L39" s="121" t="s">
        <v>67</v>
      </c>
      <c r="M39" s="54" t="s">
        <v>141</v>
      </c>
      <c r="N39" s="54" t="s">
        <v>142</v>
      </c>
      <c r="O39" s="54" t="s">
        <v>143</v>
      </c>
    </row>
    <row r="40" spans="3:17" ht="20.100000000000001" customHeight="1" x14ac:dyDescent="0.25">
      <c r="D40" s="55" t="str">
        <f>'Input - Feedlot'!$D$28</f>
        <v>Drylot (feed pad)</v>
      </c>
      <c r="E40" s="55" cm="1">
        <f t="array" ref="E40">MMS_Feedlot_AtmosphericDeposition_Equations.VEERG_4_1_1_5__2_VolatilisedNitrogenFromManureManagement(E23,$E32)</f>
        <v>43058.276352000015</v>
      </c>
      <c r="F40" s="55" cm="1">
        <f t="array" ref="F40">MMS_Feedlot_AtmosphericDeposition_Equations.VEERG_4_1_1_5__2_VolatilisedNitrogenFromManureManagement(F23,$E32)</f>
        <v>1520.6123519999999</v>
      </c>
      <c r="G40" s="55" cm="1">
        <f t="array" ref="G40">MMS_Feedlot_AtmosphericDeposition_Equations.VEERG_4_1_1_5__2_VolatilisedNitrogenFromManureManagement(G23,$E32)</f>
        <v>2196.2879999999996</v>
      </c>
      <c r="H40" s="2" t="str">
        <f>$E$12</f>
        <v>kg N</v>
      </c>
      <c r="L40" s="55" t="str">
        <f>'Input - Feedlot'!$D$28</f>
        <v>Drylot (feed pad)</v>
      </c>
      <c r="M40" s="55" cm="1">
        <f t="array" ref="M40">MMS_Feedlot_AtmosphericDeposition_Equations.VEERG_4_1_1_5__2_VolatilisedNitrogenFromManureManagement(M23,$E32)</f>
        <v>43058.276352000015</v>
      </c>
      <c r="N40" s="55" cm="1">
        <f t="array" ref="N40">MMS_Feedlot_AtmosphericDeposition_Equations.VEERG_4_1_1_5__2_VolatilisedNitrogenFromManureManagement(N23,$E32)</f>
        <v>1520.6123519999999</v>
      </c>
      <c r="O40" s="55" cm="1">
        <f t="array" ref="O40">MMS_Feedlot_AtmosphericDeposition_Equations.VEERG_4_1_1_5__2_VolatilisedNitrogenFromManureManagement(O23,$E32)</f>
        <v>2196.2879999999996</v>
      </c>
      <c r="P40" s="2" t="s">
        <v>232</v>
      </c>
    </row>
    <row r="41" spans="3:17" ht="20.100000000000001" customHeight="1" x14ac:dyDescent="0.25">
      <c r="D41" s="55" t="str">
        <f>'Input - Feedlot'!$D$32</f>
        <v>Solid storage</v>
      </c>
      <c r="E41" s="55" cm="1">
        <f t="array" ref="E41">MMS_Feedlot_AtmosphericDeposition_Equations.VEERG_4_1_1_5__2_VolatilisedNitrogenFromManureManagement(E24,$E33)</f>
        <v>1344.1358601216007</v>
      </c>
      <c r="F41" s="55" cm="1">
        <f t="array" ref="F41">MMS_Feedlot_AtmosphericDeposition_Equations.VEERG_4_1_1_5__2_VolatilisedNitrogenFromManureManagement(F24,$E33)</f>
        <v>47.4684489216</v>
      </c>
      <c r="G41" s="55" cm="1">
        <f t="array" ref="G41">MMS_Feedlot_AtmosphericDeposition_Equations.VEERG_4_1_1_5__2_VolatilisedNitrogenFromManureManagement(G24,$E33)</f>
        <v>68.560790399999988</v>
      </c>
      <c r="H41" s="2" t="str">
        <f t="shared" ref="H41:H44" si="0">$E$12</f>
        <v>kg N</v>
      </c>
      <c r="L41" s="55" t="str">
        <f>'Input - Feedlot'!$D$32</f>
        <v>Solid storage</v>
      </c>
      <c r="M41" s="55" cm="1">
        <f t="array" ref="M41">MMS_Feedlot_AtmosphericDeposition_Equations.VEERG_4_1_1_5__2_VolatilisedNitrogenFromManureManagement(M24,$E33)</f>
        <v>1344.1358601216007</v>
      </c>
      <c r="N41" s="55" cm="1">
        <f t="array" ref="N41">MMS_Feedlot_AtmosphericDeposition_Equations.VEERG_4_1_1_5__2_VolatilisedNitrogenFromManureManagement(N24,$E33)</f>
        <v>47.4684489216</v>
      </c>
      <c r="O41" s="55" cm="1">
        <f t="array" ref="O41">MMS_Feedlot_AtmosphericDeposition_Equations.VEERG_4_1_1_5__2_VolatilisedNitrogenFromManureManagement(O24,$E33)</f>
        <v>68.560790399999988</v>
      </c>
      <c r="P41" s="2" t="s">
        <v>232</v>
      </c>
    </row>
    <row r="42" spans="3:17" ht="20.100000000000001" customHeight="1" x14ac:dyDescent="0.25">
      <c r="D42" s="55" t="str">
        <f>'Input - Feedlot'!$D$33</f>
        <v>Composting (passive windrow)</v>
      </c>
      <c r="E42" s="55" cm="1">
        <f t="array" ref="E42">MMS_Feedlot_AtmosphericDeposition_Equations.VEERG_4_1_1_5__2_VolatilisedNitrogenFromManureManagement(E25,$E34)</f>
        <v>2150.6173761945611</v>
      </c>
      <c r="F42" s="55" cm="1">
        <f t="array" ref="F42">MMS_Feedlot_AtmosphericDeposition_Equations.VEERG_4_1_1_5__2_VolatilisedNitrogenFromManureManagement(F25,$E34)</f>
        <v>75.949518274560006</v>
      </c>
      <c r="G42" s="55" cm="1">
        <f t="array" ref="G42">MMS_Feedlot_AtmosphericDeposition_Equations.VEERG_4_1_1_5__2_VolatilisedNitrogenFromManureManagement(G25,$E34)</f>
        <v>109.69726463999999</v>
      </c>
      <c r="H42" s="2" t="str">
        <f t="shared" si="0"/>
        <v>kg N</v>
      </c>
      <c r="L42" s="55" t="str">
        <f>'Input - Feedlot'!$D$33</f>
        <v>Composting (passive windrow)</v>
      </c>
      <c r="M42" s="55" cm="1">
        <f t="array" ref="M42">MMS_Feedlot_AtmosphericDeposition_Equations.VEERG_4_1_1_5__2_VolatilisedNitrogenFromManureManagement(M25,$E34)</f>
        <v>2150.6173761945611</v>
      </c>
      <c r="N42" s="55" cm="1">
        <f t="array" ref="N42">MMS_Feedlot_AtmosphericDeposition_Equations.VEERG_4_1_1_5__2_VolatilisedNitrogenFromManureManagement(N25,$E34)</f>
        <v>75.949518274560006</v>
      </c>
      <c r="O42" s="55" cm="1">
        <f t="array" ref="O42">MMS_Feedlot_AtmosphericDeposition_Equations.VEERG_4_1_1_5__2_VolatilisedNitrogenFromManureManagement(O25,$E34)</f>
        <v>109.69726463999999</v>
      </c>
      <c r="P42" s="2" t="s">
        <v>232</v>
      </c>
    </row>
    <row r="43" spans="3:17" ht="20.100000000000001" customHeight="1" x14ac:dyDescent="0.25">
      <c r="D43" s="55" t="str">
        <f>'Input - Feedlot'!$D$34</f>
        <v>Direct application</v>
      </c>
      <c r="E43" s="55" t="s">
        <v>325</v>
      </c>
      <c r="F43" s="55" t="s">
        <v>325</v>
      </c>
      <c r="G43" s="55" t="s">
        <v>325</v>
      </c>
      <c r="H43" s="2" t="str">
        <f t="shared" si="0"/>
        <v>kg N</v>
      </c>
      <c r="L43" s="55" t="str">
        <f>'Input - Feedlot'!$D$34</f>
        <v>Direct application</v>
      </c>
      <c r="M43" s="55" t="s">
        <v>325</v>
      </c>
      <c r="N43" s="55" t="s">
        <v>325</v>
      </c>
      <c r="O43" s="55" t="s">
        <v>325</v>
      </c>
      <c r="P43" s="2" t="str">
        <f t="shared" ref="P43" si="1">$E$12</f>
        <v>kg N</v>
      </c>
    </row>
    <row r="44" spans="3:17" ht="20.100000000000001" customHeight="1" x14ac:dyDescent="0.25">
      <c r="D44" s="55" t="str">
        <f>'Input - Feedlot'!$D$38</f>
        <v>Anaerobic lagoon</v>
      </c>
      <c r="E44" s="55" cm="1">
        <f t="array" ref="E44">MMS_Feedlot_AtmosphericDeposition_Equations.VEERG_4_1_1_5__2_VolatilisedNitrogenFromManureManagement(E27,$E35)</f>
        <v>502.34655744000014</v>
      </c>
      <c r="F44" s="55" cm="1">
        <f t="array" ref="F44">MMS_Feedlot_AtmosphericDeposition_Equations.VEERG_4_1_1_5__2_VolatilisedNitrogenFromManureManagement(F27,$E35)</f>
        <v>17.740477439999999</v>
      </c>
      <c r="G44" s="55" cm="1">
        <f t="array" ref="G44">MMS_Feedlot_AtmosphericDeposition_Equations.VEERG_4_1_1_5__2_VolatilisedNitrogenFromManureManagement(G27,$E35)</f>
        <v>25.623359999999991</v>
      </c>
      <c r="H44" s="2" t="str">
        <f t="shared" si="0"/>
        <v>kg N</v>
      </c>
      <c r="L44" s="55" t="str">
        <f>'Input - Feedlot'!$D$38</f>
        <v>Anaerobic lagoon</v>
      </c>
      <c r="M44" s="55" cm="1">
        <f t="array" ref="M44">MMS_Feedlot_AtmosphericDeposition_Equations.VEERG_4_1_1_5__2_VolatilisedNitrogenFromManureManagement(M27,$E35)</f>
        <v>502.34655744000014</v>
      </c>
      <c r="N44" s="55" cm="1">
        <f t="array" ref="N44">MMS_Feedlot_AtmosphericDeposition_Equations.VEERG_4_1_1_5__2_VolatilisedNitrogenFromManureManagement(N27,$E35)</f>
        <v>17.740477439999999</v>
      </c>
      <c r="O44" s="55" cm="1">
        <f t="array" ref="O44">MMS_Feedlot_AtmosphericDeposition_Equations.VEERG_4_1_1_5__2_VolatilisedNitrogenFromManureManagement(O27,$E35)</f>
        <v>25.623359999999991</v>
      </c>
      <c r="P44" s="2" t="s">
        <v>232</v>
      </c>
    </row>
    <row r="45" spans="3:17" ht="20.100000000000001" customHeight="1" x14ac:dyDescent="0.25"/>
    <row r="46" spans="3:17" ht="20.100000000000001" customHeight="1" x14ac:dyDescent="0.25">
      <c r="D46" s="128" t="s">
        <v>272</v>
      </c>
      <c r="E46" s="48">
        <f>SUM(E40:G44)</f>
        <v>51117.316357432333</v>
      </c>
      <c r="F46" s="126" t="str">
        <f>$E$12</f>
        <v>kg N</v>
      </c>
      <c r="L46" s="128" t="s">
        <v>272</v>
      </c>
      <c r="M46" s="48">
        <f>SUM(M40:O44)</f>
        <v>51117.316357432333</v>
      </c>
      <c r="N46" s="126" t="str">
        <f>$E$12</f>
        <v>kg N</v>
      </c>
    </row>
    <row r="47" spans="3:17" ht="20.100000000000001" customHeight="1" x14ac:dyDescent="0.25"/>
    <row r="48" spans="3:17" ht="20.100000000000001" customHeight="1" x14ac:dyDescent="0.25">
      <c r="C48" s="127"/>
      <c r="D48" s="127"/>
      <c r="E48" s="127"/>
      <c r="F48" s="127"/>
      <c r="G48" s="127"/>
      <c r="H48" s="127"/>
      <c r="I48" s="127"/>
      <c r="K48" s="127"/>
      <c r="L48" s="127"/>
      <c r="M48" s="127"/>
      <c r="N48" s="127"/>
      <c r="O48" s="127"/>
      <c r="P48" s="127"/>
      <c r="Q48" s="127"/>
    </row>
    <row r="49" spans="4:15" ht="20.100000000000001" customHeight="1" x14ac:dyDescent="0.25"/>
    <row r="50" spans="4:15"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5" ht="20.100000000000001" customHeight="1" x14ac:dyDescent="0.25">
      <c r="D51" s="5" t="str" cm="1">
        <f t="array" ref="D51">MMS_Feedlot_AtmosphericDeposition_Equations.VEERG_4_1_1_5__1_TotalAnnualAtmosphericDepositionEmissions_Source()</f>
        <v>VEERG 2026: 4.1.1.5, Equation (1)</v>
      </c>
    </row>
    <row r="52" spans="4:15" ht="20.100000000000001" customHeight="1" x14ac:dyDescent="0.25">
      <c r="D52" s="13" t="s">
        <v>26</v>
      </c>
      <c r="E52" s="13" t="str" cm="1">
        <f t="array" aca="1" ref="E52" ca="1">Common_InputFunctions.Utility_DisplayFunctionName(E65)</f>
        <v>=MMS_Feedlot_AtmosphericDeposition_Equations.VEERG_4_1_1_5__1_TotalAnnualAtmosphericDepositionEmissions</v>
      </c>
    </row>
    <row r="53" spans="4:15" ht="20.100000000000001" customHeight="1" x14ac:dyDescent="0.25"/>
    <row r="54" spans="4:15" ht="20.100000000000001" customHeight="1" x14ac:dyDescent="0.25">
      <c r="D54" s="6"/>
    </row>
    <row r="55" spans="4:15" ht="20.100000000000001" customHeight="1" x14ac:dyDescent="0.25">
      <c r="D55" s="56" t="s">
        <v>29</v>
      </c>
      <c r="E55" s="1" t="str" cm="1">
        <f t="array" ref="E55">MMS_Feedlot_AtmosphericDeposition_Equations.VEERG_4_1_1_5__1_TotalAnnualAtmosphericDepositionEmissions_Variable()</f>
        <v>E_N2Oad</v>
      </c>
    </row>
    <row r="56" spans="4:15" ht="20.100000000000001" customHeight="1" x14ac:dyDescent="0.25">
      <c r="D56" s="56" t="s">
        <v>19</v>
      </c>
      <c r="E56" s="57" t="str" cm="1">
        <f t="array" ref="E56">MMS_Feedlot_AtmosphericDeposition_Equations.VEERG_4_1_1_5__1_TotalAnnualAtmosphericDepositionEmissions_Unit()</f>
        <v>t N2O</v>
      </c>
    </row>
    <row r="57" spans="4:15" ht="20.100000000000001" customHeight="1" x14ac:dyDescent="0.25"/>
    <row r="58" spans="4:15" ht="20.100000000000001" customHeight="1" x14ac:dyDescent="0.25">
      <c r="D58" s="60" t="str" cm="1">
        <f t="array" ref="D58:E63">MMS_Feedlot_AtmosphericDeposition_Equations.VEERG_4_1_1_5__1_TotalAnnualAtmosphericDepositionEmissions_Arguments()</f>
        <v>MMS_ATMOS</v>
      </c>
      <c r="E58" s="61" t="str">
        <v>mass of N volatilised from MMS : kg N</v>
      </c>
      <c r="F58" s="62"/>
      <c r="G58" s="60">
        <f>$E$46</f>
        <v>51117.316357432333</v>
      </c>
      <c r="L58" s="60" t="str" cm="1">
        <f t="array" ref="L58:M63">MMS_Feedlot_AtmosphericDeposition_Equations.VEERG_4_1_1_5__1_TotalAnnualAtmosphericDepositionEmissions_Arguments()</f>
        <v>MMS_ATMOS</v>
      </c>
      <c r="M58" s="61" t="str">
        <v>mass of N volatilised from MMS : kg N</v>
      </c>
      <c r="N58" s="62"/>
      <c r="O58" s="60">
        <f>$M$46</f>
        <v>51117.316357432333</v>
      </c>
    </row>
    <row r="59" spans="4:15" ht="20.100000000000001" customHeight="1" x14ac:dyDescent="0.25">
      <c r="D59" s="60" t="str">
        <v>EF_N2O</v>
      </c>
      <c r="E59" s="61" t="str">
        <v>nitrous oxide emission factor for atmospheric deposition : kg N2O-N/kg N</v>
      </c>
      <c r="F59" s="62"/>
      <c r="G59" s="60">
        <f>Common_InputFunctions.Utility_LookupN2OEFFromProdIrrigationRainfall($G$61,$G$62,$G$63,Table_SourceData_Common_EFN2O[Production system only],Table_SourceData_Common_EFN2O[Irrigation method],Table_SourceData_Common_EFN2O[Rainfall zone],Table_SourceData_Common_EFN2O[EFN2O])</f>
        <v>1.8E-3</v>
      </c>
      <c r="H59" s="117" t="s">
        <v>273</v>
      </c>
      <c r="L59" s="60" t="str">
        <v>EF_N2O</v>
      </c>
      <c r="M59" s="61" t="str">
        <v>nitrous oxide emission factor for atmospheric deposition : kg N2O-N/kg N</v>
      </c>
      <c r="N59" s="62"/>
      <c r="O59" s="60">
        <f>Common_InputFunctions.Utility_LookupN2OEFFromProdIrrigationRainfall($G$61,$G$62,$G$63,Table_SourceData_Common_EFN2O[Production system only],Table_SourceData_Common_EFN2O[Irrigation method],Table_SourceData_Common_EFN2O[Rainfall zone],Table_SourceData_Common_EFN2O[EFN2O])</f>
        <v>1.8E-3</v>
      </c>
    </row>
    <row r="60" spans="4:15" ht="20.100000000000001" customHeight="1" x14ac:dyDescent="0.25">
      <c r="D60" s="60" t="str">
        <v>C_N2O</v>
      </c>
      <c r="E60" s="61" t="str">
        <v>factor to convert elemental mass of nitrous oxide to molecular mass : ratio</v>
      </c>
      <c r="F60" s="62"/>
      <c r="G60" s="60">
        <f>Common_InputFunctions.Utility_LookupValueInTableNumber("N2O",Table_GasToMolecularConversionFactor[Gas],Table_GasToMolecularConversionFactor[Conversion factor combined])</f>
        <v>1.5714285714285714</v>
      </c>
      <c r="L60" s="60" t="str">
        <v>C_N2O</v>
      </c>
      <c r="M60" s="61" t="str">
        <v>factor to convert elemental mass of nitrous oxide to molecular mass : ratio</v>
      </c>
      <c r="N60" s="62"/>
      <c r="O60" s="60">
        <f>Common_InputFunctions.Utility_LookupValueInTableNumber("N2O",Table_GasToMolecularConversionFactor[Gas],Table_GasToMolecularConversionFactor[Conversion factor combined])</f>
        <v>1.5714285714285714</v>
      </c>
    </row>
    <row r="61" spans="4:15" ht="20.100000000000001" customHeight="1" x14ac:dyDescent="0.25">
      <c r="D61" s="60" t="str">
        <v>j</v>
      </c>
      <c r="E61" s="61" t="str">
        <v>production system</v>
      </c>
      <c r="F61" s="62"/>
      <c r="G61" s="60" t="str">
        <f>'Input - Feedlot'!$E$41</f>
        <v>Pasture</v>
      </c>
      <c r="L61" s="60" t="str">
        <v>j</v>
      </c>
      <c r="M61" s="61" t="str">
        <v>production system</v>
      </c>
      <c r="N61" s="62"/>
      <c r="O61" s="60" t="str">
        <f>'Input - Feedlot'!$E$41</f>
        <v>Pasture</v>
      </c>
    </row>
    <row r="62" spans="4:15" ht="20.100000000000001" customHeight="1" x14ac:dyDescent="0.25">
      <c r="D62" s="60" t="str">
        <v>i</v>
      </c>
      <c r="E62" s="61" t="str">
        <v>irrigation method</v>
      </c>
      <c r="F62" s="62"/>
      <c r="G62" s="60" t="str">
        <f>'Input - Feedlot'!$E$42</f>
        <v>Not irrigated</v>
      </c>
      <c r="L62" s="60" t="str">
        <v>i</v>
      </c>
      <c r="M62" s="61" t="str">
        <v>irrigation method</v>
      </c>
      <c r="N62" s="62"/>
      <c r="O62" s="60" t="str">
        <f>'Input - Feedlot'!$E$42</f>
        <v>Not irrigated</v>
      </c>
    </row>
    <row r="63" spans="4:15" ht="20.100000000000001" customHeight="1" x14ac:dyDescent="0.25">
      <c r="D63" s="61" t="str">
        <v>r</v>
      </c>
      <c r="E63" s="61" t="str">
        <v>rainfall zone</v>
      </c>
      <c r="F63" s="107"/>
      <c r="G63" s="60" t="str">
        <f>'Input - Site'!$E$30</f>
        <v>High rainfall</v>
      </c>
      <c r="L63" s="61" t="str">
        <v>r</v>
      </c>
      <c r="M63" s="61" t="str">
        <v>rainfall zone</v>
      </c>
      <c r="N63" s="107"/>
      <c r="O63" s="60" t="str">
        <f>'Input - Site'!$E$30</f>
        <v>High rainfall</v>
      </c>
    </row>
    <row r="64" spans="4:15" ht="20.100000000000001" customHeight="1" x14ac:dyDescent="0.25"/>
    <row r="65" spans="4:15" ht="20.100000000000001" customHeight="1" x14ac:dyDescent="0.25">
      <c r="D65" s="110" t="s">
        <v>287</v>
      </c>
      <c r="E65" s="111" cm="1">
        <f t="array" ref="E65">MMS_Feedlot_AtmosphericDeposition_Equations.VEERG_4_1_1_5__1_TotalAnnualAtmosphericDepositionEmissions(G58,G59,G60)</f>
        <v>0.14458898055388003</v>
      </c>
      <c r="F65" s="112" t="str">
        <f>$E$56</f>
        <v>t N2O</v>
      </c>
      <c r="L65" s="110" t="s">
        <v>287</v>
      </c>
      <c r="M65" s="111" cm="1">
        <f t="array" ref="M65">MMS_Feedlot_AtmosphericDeposition_Equations.VEERG_4_1_1_5__1_TotalAnnualAtmosphericDepositionEmissions(O58,O59,O60)</f>
        <v>0.14458898055388003</v>
      </c>
      <c r="N65" s="112" t="str">
        <f>$E$56</f>
        <v>t N2O</v>
      </c>
    </row>
    <row r="66" spans="4:15" ht="20.100000000000001" customHeight="1" x14ac:dyDescent="0.25"/>
    <row r="67" spans="4:15" ht="20.100000000000001" customHeight="1" x14ac:dyDescent="0.25">
      <c r="D67" s="60" t="str" cm="1">
        <f t="array" ref="D67:E68">Common_Equations.Common_ConvertN2OToCO2e_Arguments()</f>
        <v>EN2O</v>
      </c>
      <c r="E67" s="61" t="str">
        <v>Nitrous oxide emissions (t N2O)</v>
      </c>
      <c r="F67" s="113"/>
      <c r="G67" s="55">
        <f>E65</f>
        <v>0.14458898055388003</v>
      </c>
      <c r="L67" s="60" t="str" cm="1">
        <f t="array" ref="L67:M68">Common_Equations.Common_ConvertN2OToCO2e_Arguments()</f>
        <v>EN2O</v>
      </c>
      <c r="M67" s="61" t="str">
        <v>Nitrous oxide emissions (t N2O)</v>
      </c>
      <c r="N67" s="113"/>
      <c r="O67" s="55">
        <f>M65</f>
        <v>0.14458898055388003</v>
      </c>
    </row>
    <row r="68" spans="4:15" ht="20.100000000000001" customHeight="1" x14ac:dyDescent="0.25">
      <c r="D68" s="60" t="str">
        <v>GWPN2O</v>
      </c>
      <c r="E68" s="61" t="str">
        <v>Global warming potential for nitrous oxide (t CO2-e / t N2O)</v>
      </c>
      <c r="F68" s="113"/>
      <c r="G68" s="55">
        <f>Common_InputFunctions.Utility_LookupValueInTableNumber("N2O",Table_GWPData[Gas],Table_GWPData[CO2-e factor])</f>
        <v>265</v>
      </c>
      <c r="L68" s="60" t="str">
        <v>GWPN2O</v>
      </c>
      <c r="M68" s="61" t="str">
        <v>Global warming potential for nitrous oxide (t CO2-e / t N2O)</v>
      </c>
      <c r="N68" s="113"/>
      <c r="O68" s="55">
        <f>Common_InputFunctions.Utility_LookupValueInTableNumber("N2O",Table_GWPData[Gas],Table_GWPData[CO2-e factor])</f>
        <v>265</v>
      </c>
    </row>
    <row r="69" spans="4:15" ht="20.100000000000001" customHeight="1" x14ac:dyDescent="0.25"/>
    <row r="70" spans="4:15" ht="20.100000000000001" customHeight="1" x14ac:dyDescent="0.25">
      <c r="D70" s="48" t="s">
        <v>130</v>
      </c>
      <c r="E70" s="48" cm="1">
        <f t="array" ref="E70">Common_Equations.Common_ConvertN2OToCO2e(G67,G68)</f>
        <v>38.316079846778209</v>
      </c>
      <c r="F70" s="114" t="str" cm="1">
        <f t="array" ref="F70">Common_Equations.Common_ConvertN2OToCO2e_Unit()</f>
        <v>t CO2e</v>
      </c>
      <c r="L70" s="48" t="s">
        <v>130</v>
      </c>
      <c r="M70" s="48" cm="1">
        <f t="array" ref="M70">Common_Equations.Common_ConvertN2OToCO2e(O67,O68)</f>
        <v>38.316079846778209</v>
      </c>
      <c r="N70" s="114" t="str" cm="1">
        <f t="array" ref="N70">Common_Equations.Common_ConvertN2OToCO2e_Unit()</f>
        <v>t CO2e</v>
      </c>
    </row>
    <row r="71" spans="4:15" ht="20.100000000000001" customHeight="1" x14ac:dyDescent="0.25"/>
    <row r="72" spans="4:15" ht="20.100000000000001" customHeight="1" x14ac:dyDescent="0.25"/>
    <row r="73" spans="4:15" ht="20.100000000000001" customHeight="1" x14ac:dyDescent="0.25"/>
    <row r="74" spans="4:15" ht="20.100000000000001" customHeight="1" x14ac:dyDescent="0.25"/>
    <row r="75" spans="4:15" ht="20.100000000000001" customHeight="1" x14ac:dyDescent="0.25"/>
    <row r="76" spans="4:15" ht="20.100000000000001" customHeight="1" x14ac:dyDescent="0.25"/>
    <row r="77" spans="4:15" ht="20.100000000000001" customHeight="1" x14ac:dyDescent="0.25"/>
    <row r="78" spans="4:15" ht="20.100000000000001" customHeight="1" x14ac:dyDescent="0.25"/>
    <row r="79" spans="4:15" ht="20.100000000000001" customHeight="1" x14ac:dyDescent="0.25"/>
    <row r="80" spans="4: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Q165"/>
  <sheetViews>
    <sheetView showGridLines="0" topLeftCell="A29" zoomScaleNormal="100" workbookViewId="0">
      <selection activeCell="E50" sqref="E5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6" width="30.7109375" style="1" customWidth="1"/>
    <col min="17" max="17" width="4.7109375" style="1" customWidth="1"/>
  </cols>
  <sheetData>
    <row r="1" spans="1:17" s="8" customFormat="1" ht="30" customHeight="1" x14ac:dyDescent="0.35">
      <c r="A1" s="8" t="e" vm="1">
        <v>#VALUE!</v>
      </c>
      <c r="C1" s="8" t="s">
        <v>231</v>
      </c>
    </row>
    <row r="2" spans="1:17" s="9" customFormat="1" ht="20.100000000000001" customHeight="1" x14ac:dyDescent="0.25"/>
    <row r="3" spans="1:17" ht="20.100000000000001" customHeight="1" x14ac:dyDescent="0.25">
      <c r="A3" s="17" t="str">
        <f>HYPERLINK("#'Home'!A1", "Home")</f>
        <v>Home</v>
      </c>
      <c r="C3" s="4"/>
      <c r="D3" s="4" t="s">
        <v>162</v>
      </c>
      <c r="E3" s="4"/>
      <c r="F3" s="4"/>
      <c r="G3" s="4"/>
      <c r="H3" s="4"/>
      <c r="I3" s="4"/>
      <c r="K3" s="4"/>
      <c r="L3" s="4" t="s">
        <v>163</v>
      </c>
      <c r="M3" s="4"/>
      <c r="N3" s="4"/>
      <c r="O3" s="4"/>
      <c r="P3" s="4"/>
      <c r="Q3" s="4"/>
    </row>
    <row r="4" spans="1:17" ht="20.100000000000001" customHeight="1" x14ac:dyDescent="0.25">
      <c r="A4" s="17" t="str">
        <f>HYPERLINK("#'Results'!A1", "Results")</f>
        <v>Results</v>
      </c>
    </row>
    <row r="5" spans="1:17" ht="20.100000000000001" customHeight="1" x14ac:dyDescent="0.25">
      <c r="A5" s="16"/>
      <c r="D5" s="6" t="str" cm="1">
        <f t="array" ref="D5">MMS_Feedlot_ManureAppliedToSoils_Equations.VEERG_4_1_1_9__1_MassOfNitrogenAppliedToSoilsScope1_Title()</f>
        <v>Mass of nitrogen applied to soils for scope 1 emissions</v>
      </c>
    </row>
    <row r="6" spans="1:17" ht="20.100000000000001" customHeight="1" x14ac:dyDescent="0.25">
      <c r="A6" s="20" t="s">
        <v>3</v>
      </c>
      <c r="D6" s="5" t="str" cm="1">
        <f t="array" ref="D6">MMS_Feedlot_ManureAppliedToSoils_Equations.VEERG_4_1_1_9__1_MassOfNitrogenAppliedToSoilsScope1_Source()</f>
        <v>VEERG 2026: 4.1.1.9, Equation (1)</v>
      </c>
    </row>
    <row r="7" spans="1:17" ht="20.100000000000001" customHeight="1" x14ac:dyDescent="0.25">
      <c r="A7" s="17" t="str">
        <f>HYPERLINK("#'Input - Site'!A1", "Site")</f>
        <v>Site</v>
      </c>
      <c r="D7" s="13" t="s">
        <v>26</v>
      </c>
      <c r="E7" s="13" t="str" cm="1">
        <f t="array" aca="1" ref="E7" ca="1">Common_InputFunctions.Utility_DisplayFunctionName(E56)</f>
        <v>=MMS_Feedlot_ManureAppliedToSoils_Equations.VEERG_4_1_1_9__1_MassOfNitrogenAppliedToSoilsScope1</v>
      </c>
    </row>
    <row r="8" spans="1:17" ht="20.100000000000001" customHeight="1" x14ac:dyDescent="0.25">
      <c r="A8" s="17" t="str">
        <f>HYPERLINK("#'Input - Feedlot'!A1", "Feedlot")</f>
        <v>Feedlot</v>
      </c>
    </row>
    <row r="9" spans="1:17" ht="20.100000000000001" customHeight="1" x14ac:dyDescent="0.25">
      <c r="A9" s="17"/>
      <c r="D9" s="6"/>
    </row>
    <row r="10" spans="1:17" ht="20.100000000000001" customHeight="1" x14ac:dyDescent="0.25">
      <c r="A10" s="19" t="s">
        <v>76</v>
      </c>
    </row>
    <row r="11" spans="1:17" ht="20.100000000000001" customHeight="1" x14ac:dyDescent="0.25">
      <c r="A11" s="17" t="str">
        <f>HYPERLINK("#'4.1.1.1-2 Methane'!A1", "4.1.1.1-2 Methane")</f>
        <v>4.1.1.1-2 Methane</v>
      </c>
      <c r="D11" s="56" t="s">
        <v>29</v>
      </c>
      <c r="E11" s="1" t="str" cm="1">
        <f t="array" ref="E11">MMS_Feedlot_ManureAppliedToSoils_Equations.VEERG_4_1_1_9__1_MassOfNitrogenAppliedToSoilsScope1_Variable()</f>
        <v>MNSoil_scope1</v>
      </c>
    </row>
    <row r="12" spans="1:17" ht="20.100000000000001" customHeight="1" x14ac:dyDescent="0.25">
      <c r="A12" s="17" t="str">
        <f>HYPERLINK("#'4.1.1.3-4 Direct N20'!A1", "4.1.1.3-4 Direct N2O")</f>
        <v>4.1.1.3-4 Direct N2O</v>
      </c>
      <c r="D12" s="56" t="s">
        <v>19</v>
      </c>
      <c r="E12" s="57" t="str" cm="1">
        <f t="array" ref="E12">MMS_Feedlot_ManureAppliedToSoils_Equations.VEERG_4_1_1_9__1_MassOfNitrogenAppliedToSoilsScope1_Unit()</f>
        <v>kg N</v>
      </c>
    </row>
    <row r="13" spans="1:17" ht="20.100000000000001" customHeight="1" x14ac:dyDescent="0.25">
      <c r="A13" s="17" t="str">
        <f>HYPERLINK("#'4.1.1.5-6 Atmos Deposition'!A1", "4.1.1.5-6 Atmospheric deposition")</f>
        <v>4.1.1.5-6 Atmospheric deposition</v>
      </c>
    </row>
    <row r="14" spans="1:17" ht="20.100000000000001" customHeight="1" x14ac:dyDescent="0.25">
      <c r="A14" s="22" t="str">
        <f>HYPERLINK("#'4.1.1.9 Manure applied to soils'!A1", "4.1.1.9 Manure applied to soils")</f>
        <v>4.1.1.9 Manure applied to soils</v>
      </c>
      <c r="D14" s="60" t="str" cm="1">
        <f t="array" ref="D14:E17">MMS_Feedlot_ManureAppliedToSoils_Equations.VEERG_4_1_1_9__1_MassOfNitrogenAppliedToSoilsScope1_Arguments()</f>
        <v>MN_jmT23</v>
      </c>
      <c r="E14" s="61" t="str">
        <v>mass of N in secondary and tertiary treatment MMS stages as calculated for manure management : kg N</v>
      </c>
      <c r="F14" s="107"/>
      <c r="G14" s="62"/>
      <c r="H14" s="60" t="str">
        <f>"See " &amp; $D$19</f>
        <v>See M1_Table_MN_j_m_T-2-3</v>
      </c>
    </row>
    <row r="15" spans="1:17" ht="20.100000000000001" customHeight="1" x14ac:dyDescent="0.25">
      <c r="D15" s="60" t="str">
        <v>EF_mT23</v>
      </c>
      <c r="E15" s="61" t="str">
        <v>nitrous oxide emission factor for each MMS : kg N2O-N/kg N</v>
      </c>
      <c r="F15" s="107"/>
      <c r="G15" s="62"/>
      <c r="H15" s="60" t="str">
        <f>"See " &amp; $D$27</f>
        <v>See Table_EF_j_m_T-2-3</v>
      </c>
    </row>
    <row r="16" spans="1:17" ht="20.100000000000001" customHeight="1" x14ac:dyDescent="0.25">
      <c r="A16" s="18" t="s">
        <v>4</v>
      </c>
      <c r="D16" s="60" t="str">
        <v>FracGASM_mT23</v>
      </c>
      <c r="E16" s="61" t="str">
        <v>fraction of animal waste N volatilised in each MMS for each cattle group : (kg NH3-N + NOx-N)/kg N</v>
      </c>
      <c r="F16" s="107"/>
      <c r="G16" s="62"/>
      <c r="H16" s="60" t="str">
        <f>"See " &amp; $D$36</f>
        <v>See Table_FracGASM_m_T-2-3</v>
      </c>
    </row>
    <row r="17" spans="1:16" ht="20.100000000000001" customHeight="1" x14ac:dyDescent="0.25">
      <c r="A17" s="17" t="str">
        <f>HYPERLINK("#'Constants - Feedlot'!A1", "Constants - Feedlot")</f>
        <v>Constants - Feedlot</v>
      </c>
      <c r="D17" s="60" t="str">
        <v>PF</v>
      </c>
      <c r="E17" s="61" t="str">
        <v>fraction of manure applied to soil within the feedlot boundary : fraction</v>
      </c>
      <c r="F17" s="107"/>
      <c r="G17" s="62"/>
      <c r="H17" s="60" t="str">
        <f>"See " &amp; $D$45</f>
        <v>See Table_PF</v>
      </c>
    </row>
    <row r="18" spans="1:16" ht="20.100000000000001" customHeight="1" x14ac:dyDescent="0.25">
      <c r="A18" s="17" t="str">
        <f>HYPERLINK("#'Constants - Livestock'!A1", "Constants - Livestock")</f>
        <v>Constants - Livestock</v>
      </c>
    </row>
    <row r="19" spans="1:16" ht="20.100000000000001" customHeight="1" x14ac:dyDescent="0.25">
      <c r="A19" s="17" t="str">
        <f>HYPERLINK("#'Constants - Common'!A1", "Constants - Common")</f>
        <v>Constants - Common</v>
      </c>
      <c r="D19" s="105" t="s">
        <v>233</v>
      </c>
      <c r="L19" s="105" t="s">
        <v>242</v>
      </c>
    </row>
    <row r="20" spans="1:16" ht="20.100000000000001" customHeight="1" x14ac:dyDescent="0.25">
      <c r="A20" s="17" t="str">
        <f>HYPERLINK("#'Acknowledgements'!A1", "Acknowledgements")</f>
        <v>Acknowledgements</v>
      </c>
      <c r="D20" s="104" t="s">
        <v>244</v>
      </c>
      <c r="L20" s="104" t="s">
        <v>243</v>
      </c>
    </row>
    <row r="21" spans="1:16" ht="20.100000000000001" customHeight="1" x14ac:dyDescent="0.25">
      <c r="D21" s="54" t="s">
        <v>67</v>
      </c>
      <c r="E21" s="54" t="s">
        <v>141</v>
      </c>
      <c r="F21" s="54" t="s">
        <v>142</v>
      </c>
      <c r="G21" s="54" t="s">
        <v>143</v>
      </c>
      <c r="L21" s="54" t="s">
        <v>67</v>
      </c>
      <c r="M21" s="54" t="s">
        <v>141</v>
      </c>
      <c r="N21" s="54" t="s">
        <v>142</v>
      </c>
      <c r="O21" s="54" t="s">
        <v>143</v>
      </c>
    </row>
    <row r="22" spans="1:16" ht="20.100000000000001" customHeight="1" x14ac:dyDescent="0.25">
      <c r="D22" s="55" t="str">
        <f>'Input - Feedlot'!$D$32</f>
        <v>Solid storage</v>
      </c>
      <c r="E22" s="55">
        <f>'4.1.1.3-4 Direct N20'!$E$174</f>
        <v>5376.5434404864027</v>
      </c>
      <c r="F22" s="55">
        <f>'4.1.1.3-4 Direct N20'!$F$174</f>
        <v>189.8737956864</v>
      </c>
      <c r="G22" s="55">
        <f>'4.1.1.3-4 Direct N20'!$G$174</f>
        <v>274.24316159999995</v>
      </c>
      <c r="H22" s="2" t="s">
        <v>232</v>
      </c>
      <c r="L22" s="55" t="str">
        <f>'Input - Feedlot'!$D$32</f>
        <v>Solid storage</v>
      </c>
      <c r="M22" s="55">
        <f>'4.1.1.3-4 Direct N20'!$M$174</f>
        <v>5376.5434404864027</v>
      </c>
      <c r="N22" s="55">
        <f>'4.1.1.3-4 Direct N20'!$N$174</f>
        <v>189.8737956864</v>
      </c>
      <c r="O22" s="55">
        <f>'4.1.1.3-4 Direct N20'!$O$174</f>
        <v>274.24316159999995</v>
      </c>
      <c r="P22" s="2" t="s">
        <v>232</v>
      </c>
    </row>
    <row r="23" spans="1:16" ht="20.100000000000001" customHeight="1" x14ac:dyDescent="0.25">
      <c r="D23" s="55" t="str">
        <f>'Input - Feedlot'!$D$33</f>
        <v>Composting (passive windrow)</v>
      </c>
      <c r="E23" s="55">
        <f>'4.1.1.3-4 Direct N20'!$E$175</f>
        <v>5376.5434404864027</v>
      </c>
      <c r="F23" s="55">
        <f>'4.1.1.3-4 Direct N20'!$F$175</f>
        <v>189.8737956864</v>
      </c>
      <c r="G23" s="55">
        <f>'4.1.1.3-4 Direct N20'!$G$175</f>
        <v>274.24316159999995</v>
      </c>
      <c r="H23" s="2" t="s">
        <v>232</v>
      </c>
      <c r="L23" s="55" t="str">
        <f>'Input - Feedlot'!$D$33</f>
        <v>Composting (passive windrow)</v>
      </c>
      <c r="M23" s="55">
        <f>'4.1.1.3-4 Direct N20'!$M$175</f>
        <v>5376.5434404864027</v>
      </c>
      <c r="N23" s="55">
        <f>'4.1.1.3-4 Direct N20'!$N$175</f>
        <v>189.8737956864</v>
      </c>
      <c r="O23" s="55">
        <f>'4.1.1.3-4 Direct N20'!$O$175</f>
        <v>274.24316159999995</v>
      </c>
      <c r="P23" s="2" t="s">
        <v>232</v>
      </c>
    </row>
    <row r="24" spans="1:16" ht="20.100000000000001" customHeight="1" x14ac:dyDescent="0.25">
      <c r="D24" s="55" t="str">
        <f>'Input - Feedlot'!$D$34</f>
        <v>Direct application</v>
      </c>
      <c r="E24" s="55">
        <f>'4.1.1.3-4 Direct N20'!$E$176</f>
        <v>16129.630321459204</v>
      </c>
      <c r="F24" s="55">
        <f>'4.1.1.3-4 Direct N20'!$F$176</f>
        <v>569.62138705919995</v>
      </c>
      <c r="G24" s="55">
        <f>'4.1.1.3-4 Direct N20'!$G$176</f>
        <v>822.7294847999998</v>
      </c>
      <c r="L24" s="55" t="str">
        <f>'Input - Feedlot'!$D$34</f>
        <v>Direct application</v>
      </c>
      <c r="M24" s="55">
        <f>'4.1.1.3-4 Direct N20'!$M$176</f>
        <v>16129.630321459204</v>
      </c>
      <c r="N24" s="55">
        <f>'4.1.1.3-4 Direct N20'!$N$176</f>
        <v>569.62138705919995</v>
      </c>
      <c r="O24" s="55">
        <f>'4.1.1.3-4 Direct N20'!$O$176</f>
        <v>822.7294847999998</v>
      </c>
      <c r="P24" s="2" t="s">
        <v>232</v>
      </c>
    </row>
    <row r="25" spans="1:16" ht="20.100000000000001" customHeight="1" x14ac:dyDescent="0.25">
      <c r="D25" s="55" t="str">
        <f>'Input - Feedlot'!$D$38</f>
        <v>Anaerobic lagoon</v>
      </c>
      <c r="E25" s="55">
        <f>'4.1.1.3-4 Direct N20'!$E$129</f>
        <v>1435.2758784000005</v>
      </c>
      <c r="F25" s="55">
        <f>'4.1.1.3-4 Direct N20'!$F$129</f>
        <v>50.687078400000004</v>
      </c>
      <c r="G25" s="55">
        <f>'4.1.1.3-4 Direct N20'!$G$129</f>
        <v>73.20959999999998</v>
      </c>
      <c r="H25" s="2" t="s">
        <v>232</v>
      </c>
      <c r="L25" s="55" t="str">
        <f>'Input - Feedlot'!$D$38</f>
        <v>Anaerobic lagoon</v>
      </c>
      <c r="M25" s="55">
        <f>'4.1.1.3-4 Direct N20'!$M$129</f>
        <v>1435.2758784000005</v>
      </c>
      <c r="N25" s="55">
        <f>'4.1.1.3-4 Direct N20'!$N$129</f>
        <v>50.687078400000004</v>
      </c>
      <c r="O25" s="55">
        <f>'4.1.1.3-4 Direct N20'!$O$129</f>
        <v>73.20959999999998</v>
      </c>
      <c r="P25" s="2" t="s">
        <v>232</v>
      </c>
    </row>
    <row r="26" spans="1:16" ht="20.100000000000001" customHeight="1" x14ac:dyDescent="0.25"/>
    <row r="27" spans="1:16" ht="20.100000000000001" customHeight="1" x14ac:dyDescent="0.25">
      <c r="D27" s="105" t="s">
        <v>235</v>
      </c>
    </row>
    <row r="28" spans="1:16" ht="20.100000000000001" customHeight="1" x14ac:dyDescent="0.25">
      <c r="D28" s="104" t="s">
        <v>175</v>
      </c>
    </row>
    <row r="29" spans="1:16" ht="20.100000000000001" customHeight="1" x14ac:dyDescent="0.25">
      <c r="D29" s="121" t="s">
        <v>67</v>
      </c>
      <c r="E29" s="121" t="s">
        <v>176</v>
      </c>
    </row>
    <row r="30" spans="1:16" ht="20.100000000000001" customHeight="1" x14ac:dyDescent="0.25">
      <c r="D30" s="55" t="str">
        <f>'Input - Feedlot'!$D$28</f>
        <v>Drylot (feed pad)</v>
      </c>
      <c r="E30" s="55">
        <f>_xlfn.XLOOKUP(D30, Table_SourceData_Feedlot_NO2EFs[NIR definition], Table_SourceData_Feedlot_NO2EFs[EF mT])</f>
        <v>5.4000000000000003E-3</v>
      </c>
      <c r="F30" s="2" t="s">
        <v>240</v>
      </c>
    </row>
    <row r="31" spans="1:16" ht="20.100000000000001" customHeight="1" x14ac:dyDescent="0.25">
      <c r="D31" s="55" t="str">
        <f>'Input - Feedlot'!$D$32</f>
        <v>Solid storage</v>
      </c>
      <c r="E31" s="55">
        <f>_xlfn.XLOOKUP($D$31, Table_SourceData_Feedlot_NO2EFs[NIR definition], Table_SourceData_Feedlot_NO2EFs[EF mT])</f>
        <v>5.0000000000000001E-3</v>
      </c>
      <c r="F31" s="2" t="s">
        <v>240</v>
      </c>
    </row>
    <row r="32" spans="1:16" ht="20.100000000000001" customHeight="1" x14ac:dyDescent="0.25">
      <c r="D32" s="55" t="str">
        <f>'Input - Feedlot'!$D$33</f>
        <v>Composting (passive windrow)</v>
      </c>
      <c r="E32" s="55">
        <f>_xlfn.XLOOKUP($D$32, Table_SourceData_Feedlot_NO2EFs[NIR definition], Table_SourceData_Feedlot_NO2EFs[EF mT])</f>
        <v>0.01</v>
      </c>
      <c r="F32" s="2" t="s">
        <v>240</v>
      </c>
    </row>
    <row r="33" spans="4:8" ht="20.100000000000001" customHeight="1" x14ac:dyDescent="0.25">
      <c r="D33" s="55" t="s">
        <v>329</v>
      </c>
      <c r="E33" s="55">
        <f>_xlfn.XLOOKUP($D$33, Table_SourceData_Feedlot_NO2EFs[NIR definition], Table_SourceData_Feedlot_NO2EFs[EF mT])</f>
        <v>0</v>
      </c>
      <c r="F33" s="2" t="s">
        <v>240</v>
      </c>
    </row>
    <row r="34" spans="4:8" ht="20.100000000000001" customHeight="1" x14ac:dyDescent="0.25">
      <c r="D34" s="55" t="str">
        <f>'Input - Feedlot'!$D$38</f>
        <v>Anaerobic lagoon</v>
      </c>
      <c r="E34" s="55">
        <f>_xlfn.XLOOKUP($D$34, Table_SourceData_Feedlot_NO2EFs[NIR definition], Table_SourceData_Feedlot_NO2EFs[EF mT])</f>
        <v>0</v>
      </c>
      <c r="F34" s="2" t="s">
        <v>240</v>
      </c>
    </row>
    <row r="35" spans="4:8" ht="20.100000000000001" customHeight="1" x14ac:dyDescent="0.25"/>
    <row r="36" spans="4:8" ht="20.100000000000001" customHeight="1" x14ac:dyDescent="0.25">
      <c r="D36" s="105" t="s">
        <v>234</v>
      </c>
    </row>
    <row r="37" spans="4:8" ht="20.100000000000001" customHeight="1" x14ac:dyDescent="0.25">
      <c r="D37" s="104" t="s">
        <v>236</v>
      </c>
    </row>
    <row r="38" spans="4:8" ht="20.100000000000001" customHeight="1" x14ac:dyDescent="0.25">
      <c r="D38" s="121" t="s">
        <v>67</v>
      </c>
      <c r="E38" s="121" t="s">
        <v>176</v>
      </c>
    </row>
    <row r="39" spans="4:8" ht="20.100000000000001" customHeight="1" x14ac:dyDescent="0.25">
      <c r="D39" s="55" t="str">
        <f>'Input - Feedlot'!$D$28</f>
        <v>Drylot (feed pad)</v>
      </c>
      <c r="E39" s="55">
        <f>_xlfn.XLOOKUP(D39, Table_SourceData_Feedlot_FracGASMmT[NIR definition], Table_SourceData_Feedlot_FracGASMmT[FracGASMmT])</f>
        <v>0.6</v>
      </c>
      <c r="F39" s="2" t="s">
        <v>241</v>
      </c>
    </row>
    <row r="40" spans="4:8" ht="20.100000000000001" customHeight="1" x14ac:dyDescent="0.25">
      <c r="D40" s="55" t="str">
        <f>'Input - Feedlot'!$D$32</f>
        <v>Solid storage</v>
      </c>
      <c r="E40" s="55">
        <f>_xlfn.XLOOKUP(D40, Table_SourceData_Feedlot_FracGASMmT[NIR definition], Table_SourceData_Feedlot_FracGASMmT[FracGASMmT])</f>
        <v>0.25</v>
      </c>
      <c r="F40" s="2" t="s">
        <v>241</v>
      </c>
    </row>
    <row r="41" spans="4:8" ht="20.100000000000001" customHeight="1" x14ac:dyDescent="0.25">
      <c r="D41" s="55" t="str">
        <f>'Input - Feedlot'!$D$33</f>
        <v>Composting (passive windrow)</v>
      </c>
      <c r="E41" s="55">
        <f>_xlfn.XLOOKUP(D41, Table_SourceData_Feedlot_FracGASMmT[NIR definition], Table_SourceData_Feedlot_FracGASMmT[FracGASMmT])</f>
        <v>0.4</v>
      </c>
      <c r="F41" s="2" t="s">
        <v>241</v>
      </c>
    </row>
    <row r="42" spans="4:8" ht="20.100000000000001" customHeight="1" x14ac:dyDescent="0.25">
      <c r="D42" s="55" t="str">
        <f>'Input - Feedlot'!$D$34</f>
        <v>Direct application</v>
      </c>
      <c r="E42" s="55">
        <f>_xlfn.XLOOKUP(D42, Table_SourceData_Feedlot_FracGASMmT[NIR definition], Table_SourceData_Feedlot_FracGASMmT[FracGASMmT])</f>
        <v>0</v>
      </c>
      <c r="F42" s="2" t="s">
        <v>241</v>
      </c>
    </row>
    <row r="43" spans="4:8" ht="20.100000000000001" customHeight="1" x14ac:dyDescent="0.25">
      <c r="D43" s="55" t="str">
        <f>'Input - Feedlot'!$D$38</f>
        <v>Anaerobic lagoon</v>
      </c>
      <c r="E43" s="55">
        <f>_xlfn.XLOOKUP(D43, Table_SourceData_Feedlot_FracGASMmT[NIR definition], Table_SourceData_Feedlot_FracGASMmT[FracGASMmT])</f>
        <v>0.35</v>
      </c>
      <c r="F43" s="2" t="s">
        <v>241</v>
      </c>
    </row>
    <row r="44" spans="4:8" ht="20.100000000000001" customHeight="1" x14ac:dyDescent="0.25"/>
    <row r="45" spans="4:8" ht="20.100000000000001" customHeight="1" x14ac:dyDescent="0.25">
      <c r="D45" s="105" t="s">
        <v>237</v>
      </c>
    </row>
    <row r="46" spans="4:8" ht="20.100000000000001" customHeight="1" x14ac:dyDescent="0.25">
      <c r="D46" s="104" t="s">
        <v>238</v>
      </c>
    </row>
    <row r="47" spans="4:8" ht="20.100000000000001" customHeight="1" x14ac:dyDescent="0.25">
      <c r="D47" s="54" t="s">
        <v>67</v>
      </c>
      <c r="E47" s="54" t="s">
        <v>335</v>
      </c>
    </row>
    <row r="48" spans="4:8" ht="20.100000000000001" customHeight="1" x14ac:dyDescent="0.25">
      <c r="D48" s="55" t="str">
        <f>'Input - Feedlot'!$D$32</f>
        <v>Solid storage</v>
      </c>
      <c r="E48" s="55">
        <f>'Input - Feedlot'!J32+'Input - Feedlot'!K32</f>
        <v>0.75</v>
      </c>
      <c r="F48" s="2" t="s">
        <v>337</v>
      </c>
      <c r="H48" s="2"/>
    </row>
    <row r="49" spans="3:17" ht="20.100000000000001" customHeight="1" x14ac:dyDescent="0.25">
      <c r="D49" s="55" t="str">
        <f>'Input - Feedlot'!$D$33</f>
        <v>Composting (passive windrow)</v>
      </c>
      <c r="E49" s="55">
        <f>'Input - Feedlot'!J33+'Input - Feedlot'!K33</f>
        <v>0.75</v>
      </c>
      <c r="F49" s="2" t="s">
        <v>337</v>
      </c>
      <c r="H49" s="2"/>
    </row>
    <row r="50" spans="3:17" ht="20.100000000000001" customHeight="1" x14ac:dyDescent="0.25">
      <c r="D50" s="55" t="str">
        <f>'Input - Feedlot'!$D$34</f>
        <v>Direct application</v>
      </c>
      <c r="E50" s="55">
        <f>'Input - Feedlot'!J34+'Input - Feedlot'!K34</f>
        <v>1</v>
      </c>
      <c r="F50" s="2" t="s">
        <v>337</v>
      </c>
      <c r="H50" s="2"/>
    </row>
    <row r="51" spans="3:17" ht="20.100000000000001" customHeight="1" x14ac:dyDescent="0.25">
      <c r="D51" s="55" t="str">
        <f>'Input - Feedlot'!$D$38</f>
        <v>Anaerobic lagoon</v>
      </c>
      <c r="E51" s="55">
        <f>'Input - Feedlot'!J38+'Input - Feedlot'!K38</f>
        <v>0.75</v>
      </c>
      <c r="F51" s="2" t="s">
        <v>337</v>
      </c>
      <c r="H51" s="2"/>
    </row>
    <row r="52" spans="3:17" ht="20.100000000000001" customHeight="1" x14ac:dyDescent="0.25"/>
    <row r="53" spans="3:17" ht="20.100000000000001" customHeight="1" x14ac:dyDescent="0.25">
      <c r="D53" s="105" t="s">
        <v>245</v>
      </c>
      <c r="L53" s="105" t="s">
        <v>258</v>
      </c>
    </row>
    <row r="54" spans="3:17" ht="20.100000000000001" customHeight="1" x14ac:dyDescent="0.25">
      <c r="D54" s="104" t="s">
        <v>260</v>
      </c>
      <c r="L54" s="104" t="s">
        <v>259</v>
      </c>
    </row>
    <row r="55" spans="3:17" ht="20.100000000000001" customHeight="1" x14ac:dyDescent="0.25">
      <c r="D55" s="54" t="s">
        <v>67</v>
      </c>
      <c r="E55" s="54" t="s">
        <v>141</v>
      </c>
      <c r="F55" s="54" t="s">
        <v>142</v>
      </c>
      <c r="G55" s="54" t="s">
        <v>143</v>
      </c>
      <c r="L55" s="54" t="s">
        <v>67</v>
      </c>
      <c r="M55" s="54" t="s">
        <v>141</v>
      </c>
      <c r="N55" s="54" t="s">
        <v>142</v>
      </c>
      <c r="O55" s="54" t="s">
        <v>143</v>
      </c>
    </row>
    <row r="56" spans="3:17"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3004.1436473717777</v>
      </c>
      <c r="F56" s="55" cm="1">
        <f t="array" ref="F56">MMS_Feedlot_ManureAppliedToSoils_Equations.VEERG_4_1_1_9__1_MassOfNitrogenAppliedToSoilsScope1(F22,_xlfn.XLOOKUP($D56,$D$30:$D$34,$E$30:$E$34),_xlfn.XLOOKUP($D56,$D$39:$D$43,$E$39:$E$43),$E48)</f>
        <v>106.09198333977601</v>
      </c>
      <c r="G56" s="55" cm="1">
        <f t="array" ref="G56">MMS_Feedlot_ManureAppliedToSoils_Equations.VEERG_4_1_1_9__1_MassOfNitrogenAppliedToSoilsScope1(G22,_xlfn.XLOOKUP($D56,$D$30:$D$34,$E$30:$E$34),_xlfn.XLOOKUP($D56,$D$39:$D$43,$E$39:$E$43),$E48)</f>
        <v>153.23336654399998</v>
      </c>
      <c r="H56" s="2" t="str">
        <f>$E$12</f>
        <v>kg N</v>
      </c>
      <c r="L56" s="55" t="str">
        <f>'Input - Feedlot'!$D$32</f>
        <v>Solid storage</v>
      </c>
      <c r="M56" s="55" cm="1">
        <f t="array" ref="M56">MMS_Feedlot_ManureAppliedToSoils_Equations.VEERG_4_1_1_9__1_MassOfNitrogenAppliedToSoilsScope1(M22,_xlfn.XLOOKUP($L56,$D$30:$D$34,$E$30:$E$34),_xlfn.XLOOKUP($L56,$D$39:$D$43,$E$39:$E$43),$E48)</f>
        <v>3004.1436473717777</v>
      </c>
      <c r="N56" s="55" cm="1">
        <f t="array" ref="N56">MMS_Feedlot_ManureAppliedToSoils_Equations.VEERG_4_1_1_9__1_MassOfNitrogenAppliedToSoilsScope1(N22,_xlfn.XLOOKUP($L56,$D$30:$D$34,$E$30:$E$34),_xlfn.XLOOKUP($L56,$D$39:$D$43,$E$39:$E$43),$E48)</f>
        <v>106.09198333977601</v>
      </c>
      <c r="O56" s="55" cm="1">
        <f t="array" ref="O56">MMS_Feedlot_ManureAppliedToSoils_Equations.VEERG_4_1_1_9__1_MassOfNitrogenAppliedToSoilsScope1(O22,_xlfn.XLOOKUP($L56,$D$30:$D$34,$E$30:$E$34),_xlfn.XLOOKUP($L56,$D$39:$D$43,$E$39:$E$43),$E48)</f>
        <v>153.23336654399998</v>
      </c>
      <c r="P56" s="2" t="str">
        <f>$E$12</f>
        <v>kg N</v>
      </c>
    </row>
    <row r="57" spans="3:17"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2379.1204724152331</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L57" s="55" t="str">
        <f>'Input - Feedlot'!$D$33</f>
        <v>Composting (passive windrow)</v>
      </c>
      <c r="M57" s="55" cm="1">
        <f t="array" ref="M57">MMS_Feedlot_ManureAppliedToSoils_Equations.VEERG_4_1_1_9__1_MassOfNitrogenAppliedToSoilsScope1(M23,_xlfn.XLOOKUP($L57,$D$30:$D$34,$E$30:$E$34),_xlfn.XLOOKUP($L57,$D$39:$D$43,$E$39:$E$43),$E49)</f>
        <v>2379.1204724152331</v>
      </c>
      <c r="N57" s="55" cm="1">
        <f t="array" ref="N57">MMS_Feedlot_ManureAppliedToSoils_Equations.VEERG_4_1_1_9__1_MassOfNitrogenAppliedToSoilsScope1(N23,_xlfn.XLOOKUP($L57,$D$30:$D$34,$E$30:$E$34),_xlfn.XLOOKUP($L57,$D$39:$D$43,$E$39:$E$43),$E49)</f>
        <v>84.019154591231995</v>
      </c>
      <c r="O57" s="55" cm="1">
        <f t="array" ref="O57">MMS_Feedlot_ManureAppliedToSoils_Equations.VEERG_4_1_1_9__1_MassOfNitrogenAppliedToSoilsScope1(O23,_xlfn.XLOOKUP($L57,$D$30:$D$34,$E$30:$E$34),_xlfn.XLOOKUP($L57,$D$39:$D$43,$E$39:$E$43),$E49)</f>
        <v>121.35259900799997</v>
      </c>
      <c r="P57" s="2" t="str">
        <f>$E$12</f>
        <v>kg N</v>
      </c>
    </row>
    <row r="58" spans="3:17"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16129.630321459204</v>
      </c>
      <c r="F58" s="55" cm="1">
        <f t="array" ref="F58">MMS_Feedlot_ManureAppliedToSoils_Equations.VEERG_4_1_1_9__1_MassOfNitrogenAppliedToSoilsScope1(F24,_xlfn.XLOOKUP($D58,$D$30:$D$34,$E$30:$E$34),_xlfn.XLOOKUP($D58,$D$39:$D$43,$E$39:$E$43),$E50)</f>
        <v>569.62138705919995</v>
      </c>
      <c r="G58" s="55" cm="1">
        <f t="array" ref="G58">MMS_Feedlot_ManureAppliedToSoils_Equations.VEERG_4_1_1_9__1_MassOfNitrogenAppliedToSoilsScope1(G24,_xlfn.XLOOKUP($D58,$D$30:$D$34,$E$30:$E$34),_xlfn.XLOOKUP($D58,$D$39:$D$43,$E$39:$E$43),$E50)</f>
        <v>822.7294847999998</v>
      </c>
      <c r="H58" s="2" t="str">
        <f>$E$12</f>
        <v>kg N</v>
      </c>
      <c r="L58" s="55" t="str">
        <f>'Input - Feedlot'!$D$34</f>
        <v>Direct application</v>
      </c>
      <c r="M58" s="55" cm="1">
        <f t="array" ref="M58">MMS_Feedlot_ManureAppliedToSoils_Equations.VEERG_4_1_1_9__1_MassOfNitrogenAppliedToSoilsScope1(M24,_xlfn.XLOOKUP($L58,$D$30:$D$34,$E$30:$E$34),_xlfn.XLOOKUP($L58,$D$39:$D$43,$E$39:$E$43),$E50)</f>
        <v>16129.630321459204</v>
      </c>
      <c r="N58" s="55" cm="1">
        <f t="array" ref="N58">MMS_Feedlot_ManureAppliedToSoils_Equations.VEERG_4_1_1_9__1_MassOfNitrogenAppliedToSoilsScope1(N24,_xlfn.XLOOKUP($L58,$D$30:$D$34,$E$30:$E$34),_xlfn.XLOOKUP($L58,$D$39:$D$43,$E$39:$E$43),$E50)</f>
        <v>569.62138705919995</v>
      </c>
      <c r="O58" s="55" cm="1">
        <f t="array" ref="O58">MMS_Feedlot_ManureAppliedToSoils_Equations.VEERG_4_1_1_9__1_MassOfNitrogenAppliedToSoilsScope1(O24,_xlfn.XLOOKUP($L58,$D$30:$D$34,$E$30:$E$34),_xlfn.XLOOKUP($L58,$D$39:$D$43,$E$39:$E$43),$E50)</f>
        <v>822.7294847999998</v>
      </c>
      <c r="P58" s="2" t="str">
        <f>$E$12</f>
        <v>kg N</v>
      </c>
    </row>
    <row r="59" spans="3:17"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699.69699072000026</v>
      </c>
      <c r="F59" s="55" cm="1">
        <f t="array" ref="F59">MMS_Feedlot_ManureAppliedToSoils_Equations.VEERG_4_1_1_9__1_MassOfNitrogenAppliedToSoilsScope1(F25,_xlfn.XLOOKUP($D59,$D$30:$D$34,$E$30:$E$34),_xlfn.XLOOKUP($D59,$D$39:$D$43,$E$39:$E$43),$E51)</f>
        <v>24.709950720000002</v>
      </c>
      <c r="G59" s="55" cm="1">
        <f t="array" ref="G59">MMS_Feedlot_ManureAppliedToSoils_Equations.VEERG_4_1_1_9__1_MassOfNitrogenAppliedToSoilsScope1(G25,_xlfn.XLOOKUP($D59,$D$30:$D$34,$E$30:$E$34),_xlfn.XLOOKUP($D59,$D$39:$D$43,$E$39:$E$43),$E51)</f>
        <v>35.689679999999996</v>
      </c>
      <c r="H59" s="2" t="str">
        <f>$E$12</f>
        <v>kg N</v>
      </c>
      <c r="L59" s="55" t="str">
        <f>'Input - Feedlot'!$D$38</f>
        <v>Anaerobic lagoon</v>
      </c>
      <c r="M59" s="55" cm="1">
        <f t="array" ref="M59">MMS_Feedlot_ManureAppliedToSoils_Equations.VEERG_4_1_1_9__1_MassOfNitrogenAppliedToSoilsScope1(M25,_xlfn.XLOOKUP($L59,$D$30:$D$34,$E$30:$E$34),_xlfn.XLOOKUP($L59,$D$39:$D$43,$E$39:$E$43),$E51)</f>
        <v>699.69699072000026</v>
      </c>
      <c r="N59" s="55" cm="1">
        <f t="array" ref="N59">MMS_Feedlot_ManureAppliedToSoils_Equations.VEERG_4_1_1_9__1_MassOfNitrogenAppliedToSoilsScope1(N25,_xlfn.XLOOKUP($L59,$D$30:$D$34,$E$30:$E$34),_xlfn.XLOOKUP($L59,$D$39:$D$43,$E$39:$E$43),$E51)</f>
        <v>24.709950720000002</v>
      </c>
      <c r="O59" s="55" cm="1">
        <f t="array" ref="O59">MMS_Feedlot_ManureAppliedToSoils_Equations.VEERG_4_1_1_9__1_MassOfNitrogenAppliedToSoilsScope1(O25,_xlfn.XLOOKUP($L59,$D$30:$D$34,$E$30:$E$34),_xlfn.XLOOKUP($L59,$D$39:$D$43,$E$39:$E$43),$E51)</f>
        <v>35.689679999999996</v>
      </c>
      <c r="P59" s="2" t="str">
        <f>$E$12</f>
        <v>kg N</v>
      </c>
    </row>
    <row r="60" spans="3:17" ht="20.100000000000001" customHeight="1" x14ac:dyDescent="0.25"/>
    <row r="61" spans="3:17" ht="20.100000000000001" customHeight="1" x14ac:dyDescent="0.25">
      <c r="D61" s="110" t="s">
        <v>246</v>
      </c>
      <c r="E61" s="111">
        <f>SUM(E56:G59)</f>
        <v>24130.039038028423</v>
      </c>
      <c r="F61" s="112" t="str">
        <f>$E$12</f>
        <v>kg N</v>
      </c>
      <c r="L61" s="110" t="s">
        <v>246</v>
      </c>
      <c r="M61" s="111">
        <f>SUM(M56:O59)</f>
        <v>24130.039038028423</v>
      </c>
      <c r="N61" s="112" t="str">
        <f>$E$12</f>
        <v>kg N</v>
      </c>
    </row>
    <row r="62" spans="3:17" ht="20.100000000000001" customHeight="1" x14ac:dyDescent="0.25"/>
    <row r="63" spans="3:17" ht="20.100000000000001" customHeight="1" x14ac:dyDescent="0.25"/>
    <row r="64" spans="3:17" ht="20.100000000000001" customHeight="1" x14ac:dyDescent="0.25">
      <c r="C64" s="48"/>
      <c r="D64" s="48"/>
      <c r="E64" s="48"/>
      <c r="F64" s="48"/>
      <c r="G64" s="48"/>
      <c r="H64" s="48"/>
      <c r="I64" s="48"/>
      <c r="K64" s="48"/>
      <c r="L64" s="48"/>
      <c r="M64" s="48"/>
      <c r="N64" s="48"/>
      <c r="O64" s="48"/>
      <c r="P64" s="48"/>
      <c r="Q64" s="48"/>
    </row>
    <row r="65" spans="4:12" ht="20.100000000000001" customHeight="1" x14ac:dyDescent="0.25">
      <c r="D65" s="6" t="str" cm="1">
        <f t="array" ref="D65">MMS_Feedlot_ManureAppliedToSoils_Equations.VEERG_4_1_1_9__2_MassOfNitrogenAppliedToSoilsScope3_Title()</f>
        <v>Mass of nitrogen applied to soils for scope 3 emissions</v>
      </c>
    </row>
    <row r="66" spans="4:12" ht="20.100000000000001" customHeight="1" x14ac:dyDescent="0.25">
      <c r="D66" s="5" t="str" cm="1">
        <f t="array" ref="D66">MMS_Feedlot_ManureAppliedToSoils_Equations.VEERG_4_1_1_9__2_MassOfNitrogenAppliedToSoilsScope3_Source()</f>
        <v>VEERG 2026: 4.1.1.9, Equation (2)</v>
      </c>
    </row>
    <row r="67" spans="4:12" ht="20.100000000000001" customHeight="1" x14ac:dyDescent="0.25">
      <c r="D67" s="13" t="s">
        <v>26</v>
      </c>
      <c r="E67" s="13" t="str" cm="1">
        <f t="array" aca="1" ref="E67" ca="1">Common_InputFunctions.Utility_DisplayFunctionName(E82)</f>
        <v>=MMS_Feedlot_ManureAppliedToSoils_Equations.VEERG_4_1_1_9__2_MassOfNitrogenAppliedToSoilsScope3</v>
      </c>
    </row>
    <row r="68" spans="4:12" ht="20.100000000000001" customHeight="1" x14ac:dyDescent="0.25"/>
    <row r="69" spans="4:12" ht="20.100000000000001" customHeight="1" x14ac:dyDescent="0.25">
      <c r="D69" s="6"/>
    </row>
    <row r="70" spans="4:12" ht="20.100000000000001" customHeight="1" x14ac:dyDescent="0.25"/>
    <row r="71" spans="4:12" ht="20.100000000000001" customHeight="1" x14ac:dyDescent="0.25">
      <c r="D71" s="56" t="s">
        <v>29</v>
      </c>
      <c r="E71" s="1" t="str" cm="1">
        <f t="array" ref="E71">MMS_Feedlot_ManureAppliedToSoils_Equations.VEERG_4_1_1_9__2_MassOfNitrogenAppliedToSoilsScope3_Variable()</f>
        <v>MNSoil_scope3</v>
      </c>
    </row>
    <row r="72" spans="4:12" ht="20.100000000000001" customHeight="1" x14ac:dyDescent="0.25">
      <c r="D72" s="56" t="s">
        <v>19</v>
      </c>
      <c r="E72" s="57" t="str" cm="1">
        <f t="array" ref="E72">MMS_Feedlot_ManureAppliedToSoils_Equations.VEERG_4_1_1_9__2_MassOfNitrogenAppliedToSoilsScope3_Unit()</f>
        <v>kg N</v>
      </c>
    </row>
    <row r="73" spans="4:12" ht="20.100000000000001" customHeight="1" x14ac:dyDescent="0.25"/>
    <row r="74" spans="4:12" ht="20.100000000000001" customHeight="1" x14ac:dyDescent="0.25">
      <c r="D74" s="60" t="str" cm="1">
        <f t="array" ref="D74:E77">MMS_Feedlot_ManureAppliedToSoils_Equations.VEERG_4_1_1_9__2_MassOfNitrogenAppliedToSoilsScope3_Arguments()</f>
        <v>MN_jmT23</v>
      </c>
      <c r="E74" s="61" t="str">
        <v>mass of N in secondary and tertiary treatment MMS stages as calculated for manure management : kg N</v>
      </c>
      <c r="F74" s="107"/>
      <c r="G74" s="62"/>
      <c r="H74" s="60" t="str">
        <f>"See " &amp; $D$19</f>
        <v>See M1_Table_MN_j_m_T-2-3</v>
      </c>
    </row>
    <row r="75" spans="4:12" ht="20.100000000000001" customHeight="1" x14ac:dyDescent="0.25">
      <c r="D75" s="60" t="str">
        <v>EF_mT23</v>
      </c>
      <c r="E75" s="61" t="str">
        <v>nitrous oxide emission factor for each MMS : kg N2O-N/kg N</v>
      </c>
      <c r="F75" s="107"/>
      <c r="G75" s="62"/>
      <c r="H75" s="60" t="str">
        <f>"See " &amp; $D$27</f>
        <v>See Table_EF_j_m_T-2-3</v>
      </c>
    </row>
    <row r="76" spans="4:12" ht="20.100000000000001" customHeight="1" x14ac:dyDescent="0.25">
      <c r="D76" s="60" t="str">
        <v>FracGASM_mT23</v>
      </c>
      <c r="E76" s="61" t="str">
        <v>fraction of animal waste N volatilised in each MMS for each cattle group : (kg NH3-N + NOx-N)/kg N</v>
      </c>
      <c r="F76" s="107"/>
      <c r="G76" s="62"/>
      <c r="H76" s="60" t="str">
        <f>"See " &amp; $D$36</f>
        <v>See Table_FracGASM_m_T-2-3</v>
      </c>
    </row>
    <row r="77" spans="4:12" ht="20.100000000000001" customHeight="1" x14ac:dyDescent="0.25">
      <c r="D77" s="60" t="str">
        <v>PF</v>
      </c>
      <c r="E77" s="61" t="str">
        <v>fraction of manure applied to soil within the feedlot boundary : fraction</v>
      </c>
      <c r="F77" s="107"/>
      <c r="G77" s="62"/>
      <c r="H77" s="60" t="str">
        <f>"See " &amp; $D$45</f>
        <v>See Table_PF</v>
      </c>
    </row>
    <row r="78" spans="4:12" ht="20.100000000000001" customHeight="1" x14ac:dyDescent="0.25"/>
    <row r="79" spans="4:12" ht="20.100000000000001" customHeight="1" x14ac:dyDescent="0.25">
      <c r="D79" s="105" t="s">
        <v>249</v>
      </c>
      <c r="L79" s="105" t="s">
        <v>254</v>
      </c>
    </row>
    <row r="80" spans="4:12" ht="20.100000000000001" customHeight="1" x14ac:dyDescent="0.25">
      <c r="D80" s="104" t="s">
        <v>257</v>
      </c>
      <c r="L80" s="104" t="s">
        <v>255</v>
      </c>
    </row>
    <row r="81" spans="3:17" ht="20.100000000000001" customHeight="1" x14ac:dyDescent="0.25">
      <c r="D81" s="54" t="s">
        <v>67</v>
      </c>
      <c r="E81" s="54" t="s">
        <v>141</v>
      </c>
      <c r="F81" s="54" t="s">
        <v>142</v>
      </c>
      <c r="G81" s="54" t="s">
        <v>143</v>
      </c>
      <c r="L81" s="54" t="s">
        <v>67</v>
      </c>
      <c r="M81" s="54" t="s">
        <v>141</v>
      </c>
      <c r="N81" s="54" t="s">
        <v>142</v>
      </c>
      <c r="O81" s="54" t="s">
        <v>143</v>
      </c>
    </row>
    <row r="82" spans="3:17"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1001.3812157905925</v>
      </c>
      <c r="F82" s="55" cm="1">
        <f t="array" ref="F82">MMS_Feedlot_ManureAppliedToSoils_Equations.VEERG_4_1_1_9__2_MassOfNitrogenAppliedToSoilsScope3(F22,_xlfn.XLOOKUP($D82, $D$30:$D$34,$E$30:$E$34),_xlfn.XLOOKUP($D82,$D$39:$D$43,$E$39:$E$43),$E48)</f>
        <v>35.363994446592002</v>
      </c>
      <c r="G82" s="55" cm="1">
        <f t="array" ref="G82">MMS_Feedlot_ManureAppliedToSoils_Equations.VEERG_4_1_1_9__2_MassOfNitrogenAppliedToSoilsScope3(G22,_xlfn.XLOOKUP($D82, $D$30:$D$34,$E$30:$E$34),_xlfn.XLOOKUP($D82,$D$39:$D$43,$E$39:$E$43),$E48)</f>
        <v>51.07778884799999</v>
      </c>
      <c r="H82" s="2" t="str">
        <f>$E$12</f>
        <v>kg N</v>
      </c>
      <c r="L82" s="55" t="str">
        <f>'Input - Feedlot'!$D$32</f>
        <v>Solid storage</v>
      </c>
      <c r="M82" s="55" cm="1">
        <f t="array" ref="M82">MMS_Feedlot_ManureAppliedToSoils_Equations.VEERG_4_1_1_9__2_MassOfNitrogenAppliedToSoilsScope3(M22,_xlfn.XLOOKUP($L82, $D$30:$D$34,$E$30:$E$34),_xlfn.XLOOKUP($L82,$D$39:$D$43,$E$39:$E$43),$E48)</f>
        <v>1001.3812157905925</v>
      </c>
      <c r="N82" s="55" cm="1">
        <f t="array" ref="N82">MMS_Feedlot_ManureAppliedToSoils_Equations.VEERG_4_1_1_9__2_MassOfNitrogenAppliedToSoilsScope3(N22,_xlfn.XLOOKUP($L82, $D$30:$D$34,$E$30:$E$34),_xlfn.XLOOKUP($L82,$D$39:$D$43,$E$39:$E$43),$E48)</f>
        <v>35.363994446592002</v>
      </c>
      <c r="O82" s="55" cm="1">
        <f t="array" ref="O82">MMS_Feedlot_ManureAppliedToSoils_Equations.VEERG_4_1_1_9__2_MassOfNitrogenAppliedToSoilsScope3(O22,_xlfn.XLOOKUP($L82, $D$30:$D$34,$E$30:$E$34),_xlfn.XLOOKUP($L82,$D$39:$D$43,$E$39:$E$43),$E48)</f>
        <v>51.07778884799999</v>
      </c>
      <c r="P82" s="2" t="str">
        <f>$E$12</f>
        <v>kg N</v>
      </c>
    </row>
    <row r="83" spans="3:17"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793.04015747174435</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L83" s="55" t="str">
        <f>'Input - Feedlot'!$D$33</f>
        <v>Composting (passive windrow)</v>
      </c>
      <c r="M83" s="55" cm="1">
        <f t="array" ref="M83">MMS_Feedlot_ManureAppliedToSoils_Equations.VEERG_4_1_1_9__2_MassOfNitrogenAppliedToSoilsScope3(M23,_xlfn.XLOOKUP($L83, $D$30:$D$34,$E$30:$E$34),_xlfn.XLOOKUP($L83,$D$39:$D$43,$E$39:$E$43),$E49)</f>
        <v>793.04015747174435</v>
      </c>
      <c r="N83" s="55" cm="1">
        <f t="array" ref="N83">MMS_Feedlot_ManureAppliedToSoils_Equations.VEERG_4_1_1_9__2_MassOfNitrogenAppliedToSoilsScope3(N23,_xlfn.XLOOKUP($L83, $D$30:$D$34,$E$30:$E$34),_xlfn.XLOOKUP($L83,$D$39:$D$43,$E$39:$E$43),$E49)</f>
        <v>28.006384863744</v>
      </c>
      <c r="O83" s="55" cm="1">
        <f t="array" ref="O83">MMS_Feedlot_ManureAppliedToSoils_Equations.VEERG_4_1_1_9__2_MassOfNitrogenAppliedToSoilsScope3(O23,_xlfn.XLOOKUP($L83, $D$30:$D$34,$E$30:$E$34),_xlfn.XLOOKUP($L83,$D$39:$D$43,$E$39:$E$43),$E49)</f>
        <v>40.45086633599999</v>
      </c>
      <c r="P83" s="2" t="str">
        <f>$E$12</f>
        <v>kg N</v>
      </c>
    </row>
    <row r="84" spans="3:17"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L84" s="55" t="str">
        <f>'Input - Feedlot'!$D$34</f>
        <v>Direct application</v>
      </c>
      <c r="M84" s="55" cm="1">
        <f t="array" ref="M84">MMS_Feedlot_ManureAppliedToSoils_Equations.VEERG_4_1_1_9__2_MassOfNitrogenAppliedToSoilsScope3(M24,_xlfn.XLOOKUP($L84, $D$30:$D$34,$E$30:$E$34),_xlfn.XLOOKUP($L84,$D$39:$D$43,$E$39:$E$43),$E50)</f>
        <v>0</v>
      </c>
      <c r="N84" s="55" cm="1">
        <f t="array" ref="N84">MMS_Feedlot_ManureAppliedToSoils_Equations.VEERG_4_1_1_9__2_MassOfNitrogenAppliedToSoilsScope3(N24,_xlfn.XLOOKUP($L84, $D$30:$D$34,$E$30:$E$34),_xlfn.XLOOKUP($L84,$D$39:$D$43,$E$39:$E$43),$E50)</f>
        <v>0</v>
      </c>
      <c r="O84" s="55" cm="1">
        <f t="array" ref="O84">MMS_Feedlot_ManureAppliedToSoils_Equations.VEERG_4_1_1_9__2_MassOfNitrogenAppliedToSoilsScope3(O24,_xlfn.XLOOKUP($L84, $D$30:$D$34,$E$30:$E$34),_xlfn.XLOOKUP($L84,$D$39:$D$43,$E$39:$E$43),$E50)</f>
        <v>0</v>
      </c>
      <c r="P84" s="2" t="str">
        <f>$E$12</f>
        <v>kg N</v>
      </c>
    </row>
    <row r="85" spans="3:17"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233.2323302400001</v>
      </c>
      <c r="F85" s="55" cm="1">
        <f t="array" ref="F85">MMS_Feedlot_ManureAppliedToSoils_Equations.VEERG_4_1_1_9__2_MassOfNitrogenAppliedToSoilsScope3(F25,_xlfn.XLOOKUP($D85, $D$30:$D$34,$E$30:$E$34),_xlfn.XLOOKUP($D85,$D$39:$D$43,$E$39:$E$43),$E51)</f>
        <v>8.2366502400000012</v>
      </c>
      <c r="G85" s="55" cm="1">
        <f t="array" ref="G85">MMS_Feedlot_ManureAppliedToSoils_Equations.VEERG_4_1_1_9__2_MassOfNitrogenAppliedToSoilsScope3(G25,_xlfn.XLOOKUP($D85, $D$30:$D$34,$E$30:$E$34),_xlfn.XLOOKUP($D85,$D$39:$D$43,$E$39:$E$43),$E51)</f>
        <v>11.896559999999997</v>
      </c>
      <c r="H85" s="2" t="str">
        <f>$E$12</f>
        <v>kg N</v>
      </c>
      <c r="L85" s="55" t="str">
        <f>'Input - Feedlot'!$D$38</f>
        <v>Anaerobic lagoon</v>
      </c>
      <c r="M85" s="55" cm="1">
        <f t="array" ref="M85">MMS_Feedlot_ManureAppliedToSoils_Equations.VEERG_4_1_1_9__2_MassOfNitrogenAppliedToSoilsScope3(M25,_xlfn.XLOOKUP($L85, $D$30:$D$34,$E$30:$E$34),_xlfn.XLOOKUP($L85,$D$39:$D$43,$E$39:$E$43),$E51)</f>
        <v>233.2323302400001</v>
      </c>
      <c r="N85" s="55" cm="1">
        <f t="array" ref="N85">MMS_Feedlot_ManureAppliedToSoils_Equations.VEERG_4_1_1_9__2_MassOfNitrogenAppliedToSoilsScope3(N25,_xlfn.XLOOKUP($L85, $D$30:$D$34,$E$30:$E$34),_xlfn.XLOOKUP($L85,$D$39:$D$43,$E$39:$E$43),$E51)</f>
        <v>8.2366502400000012</v>
      </c>
      <c r="O85" s="55" cm="1">
        <f t="array" ref="O85">MMS_Feedlot_ManureAppliedToSoils_Equations.VEERG_4_1_1_9__2_MassOfNitrogenAppliedToSoilsScope3(O25,_xlfn.XLOOKUP($L85, $D$30:$D$34,$E$30:$E$34),_xlfn.XLOOKUP($L85,$D$39:$D$43,$E$39:$E$43),$E51)</f>
        <v>11.896559999999997</v>
      </c>
      <c r="P85" s="2" t="str">
        <f>$E$12</f>
        <v>kg N</v>
      </c>
    </row>
    <row r="86" spans="3:17" ht="20.100000000000001" customHeight="1" x14ac:dyDescent="0.25"/>
    <row r="87" spans="3:17" ht="20.100000000000001" customHeight="1" x14ac:dyDescent="0.25">
      <c r="D87" s="110" t="s">
        <v>251</v>
      </c>
      <c r="E87" s="111">
        <f>SUM(E82:G85)</f>
        <v>2202.6859482366731</v>
      </c>
      <c r="F87" s="112" t="str">
        <f>$E$12</f>
        <v>kg N</v>
      </c>
      <c r="L87" s="110" t="s">
        <v>251</v>
      </c>
      <c r="M87" s="111">
        <f>SUM(M82:O85)</f>
        <v>2202.6859482366731</v>
      </c>
      <c r="N87" s="112" t="str">
        <f>$E$12</f>
        <v>kg N</v>
      </c>
    </row>
    <row r="88" spans="3:17" ht="20.100000000000001" customHeight="1" x14ac:dyDescent="0.25"/>
    <row r="89" spans="3:17" ht="20.100000000000001" customHeight="1" x14ac:dyDescent="0.25"/>
    <row r="90" spans="3:17" ht="20.100000000000001" customHeight="1" x14ac:dyDescent="0.25">
      <c r="C90" s="48"/>
      <c r="D90" s="48"/>
      <c r="E90" s="48"/>
      <c r="F90" s="48"/>
      <c r="G90" s="48"/>
      <c r="H90" s="48"/>
      <c r="I90" s="48"/>
      <c r="J90" s="123"/>
      <c r="K90" s="48"/>
      <c r="L90" s="48"/>
      <c r="M90" s="48"/>
      <c r="N90" s="48"/>
      <c r="O90" s="48"/>
      <c r="P90" s="48"/>
      <c r="Q90" s="48"/>
    </row>
    <row r="91" spans="3:17" ht="20.100000000000001" customHeight="1" x14ac:dyDescent="0.25">
      <c r="D91" s="122" t="str">
        <f>"Below are applications of " &amp; D6 &amp; " that are applied to the following contexts:"</f>
        <v>Below are applications of VEERG 2026: 4.1.1.9, Equation (1) that are applied to the following contexts:</v>
      </c>
      <c r="E91" s="95"/>
      <c r="F91" s="95"/>
      <c r="G91" s="95"/>
      <c r="H91" s="91"/>
    </row>
    <row r="92" spans="3:17" ht="20.100000000000001" customHeight="1" x14ac:dyDescent="0.25">
      <c r="D92" s="97" t="s">
        <v>261</v>
      </c>
      <c r="E92" s="94"/>
      <c r="F92" s="94"/>
      <c r="G92" s="94"/>
      <c r="H92" s="92"/>
    </row>
    <row r="93" spans="3:17" ht="20.100000000000001" customHeight="1" x14ac:dyDescent="0.25"/>
    <row r="94" spans="3:17" ht="20.100000000000001" customHeight="1" x14ac:dyDescent="0.25">
      <c r="D94" s="6" t="s">
        <v>315</v>
      </c>
    </row>
    <row r="95" spans="3:17" ht="20.100000000000001" customHeight="1" x14ac:dyDescent="0.25">
      <c r="D95" s="105" t="s">
        <v>247</v>
      </c>
    </row>
    <row r="96" spans="3:17" ht="20.100000000000001" customHeight="1" x14ac:dyDescent="0.25">
      <c r="D96" s="104" t="s">
        <v>248</v>
      </c>
    </row>
    <row r="97" spans="4:16" ht="20.100000000000001" customHeight="1" x14ac:dyDescent="0.25">
      <c r="D97" s="54" t="s">
        <v>67</v>
      </c>
      <c r="E97" s="54" t="s">
        <v>335</v>
      </c>
    </row>
    <row r="98" spans="4:16" ht="20.100000000000001" customHeight="1" x14ac:dyDescent="0.25">
      <c r="D98" s="55" t="str">
        <f>'Input - Feedlot'!$D$32</f>
        <v>Solid storage</v>
      </c>
      <c r="E98" s="55">
        <f>'Input - Feedlot'!J32</f>
        <v>0.25</v>
      </c>
      <c r="F98" s="2" t="s">
        <v>337</v>
      </c>
    </row>
    <row r="99" spans="4:16" ht="20.100000000000001" customHeight="1" x14ac:dyDescent="0.25">
      <c r="D99" s="55" t="str">
        <f>'Input - Feedlot'!$D$33</f>
        <v>Composting (passive windrow)</v>
      </c>
      <c r="E99" s="55">
        <f>'Input - Feedlot'!J33</f>
        <v>0.25</v>
      </c>
      <c r="F99" s="2" t="s">
        <v>337</v>
      </c>
    </row>
    <row r="100" spans="4:16" ht="20.100000000000001" customHeight="1" x14ac:dyDescent="0.25">
      <c r="D100" s="55" t="str">
        <f>'Input - Feedlot'!$D$34</f>
        <v>Direct application</v>
      </c>
      <c r="E100" s="55">
        <v>0</v>
      </c>
      <c r="F100" s="2" t="s">
        <v>337</v>
      </c>
    </row>
    <row r="101" spans="4:16" ht="20.100000000000001" customHeight="1" x14ac:dyDescent="0.25">
      <c r="D101" s="55" t="str">
        <f>'Input - Feedlot'!$D$38</f>
        <v>Anaerobic lagoon</v>
      </c>
      <c r="E101" s="55">
        <f>'Input - Feedlot'!J38</f>
        <v>0.25</v>
      </c>
      <c r="F101" s="2" t="s">
        <v>337</v>
      </c>
    </row>
    <row r="102" spans="4:16" ht="20.100000000000001" customHeight="1" x14ac:dyDescent="0.25"/>
    <row r="103" spans="4:16" ht="20.100000000000001" customHeight="1" x14ac:dyDescent="0.25">
      <c r="D103" s="105" t="s">
        <v>250</v>
      </c>
      <c r="L103" s="105" t="s">
        <v>252</v>
      </c>
    </row>
    <row r="104" spans="4:16" ht="20.100000000000001" customHeight="1" x14ac:dyDescent="0.25">
      <c r="D104" s="104" t="s">
        <v>256</v>
      </c>
      <c r="L104" s="104" t="s">
        <v>253</v>
      </c>
    </row>
    <row r="105" spans="4:16" ht="20.100000000000001" customHeight="1" x14ac:dyDescent="0.25">
      <c r="D105" s="54" t="s">
        <v>67</v>
      </c>
      <c r="E105" s="54" t="s">
        <v>141</v>
      </c>
      <c r="F105" s="54" t="s">
        <v>142</v>
      </c>
      <c r="G105" s="54" t="s">
        <v>143</v>
      </c>
      <c r="L105" s="54" t="s">
        <v>67</v>
      </c>
      <c r="M105" s="54" t="s">
        <v>141</v>
      </c>
      <c r="N105" s="54" t="s">
        <v>142</v>
      </c>
      <c r="O105" s="54" t="s">
        <v>143</v>
      </c>
    </row>
    <row r="106" spans="4:16"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1001.3812157905925</v>
      </c>
      <c r="F106" s="55" cm="1">
        <f t="array" ref="F106">MMS_Feedlot_ManureAppliedToSoils_Equations.VEERG_4_1_1_9__1_MassOfNitrogenAppliedToSoilsScope1(F22,_xlfn.XLOOKUP($D106,$D$30:$D$34,$E$30:$E$34),_xlfn.XLOOKUP($D106,$D$39:$D$43,$E$39:$E$43),$E98)</f>
        <v>35.363994446592002</v>
      </c>
      <c r="G106" s="55" cm="1">
        <f t="array" ref="G106">MMS_Feedlot_ManureAppliedToSoils_Equations.VEERG_4_1_1_9__1_MassOfNitrogenAppliedToSoilsScope1(G22,_xlfn.XLOOKUP($D106,$D$30:$D$34,$E$30:$E$34),_xlfn.XLOOKUP($D106,$D$39:$D$43,$E$39:$E$43),$E98)</f>
        <v>51.07778884799999</v>
      </c>
      <c r="H106" s="2" t="str">
        <f>$E$12</f>
        <v>kg N</v>
      </c>
      <c r="L106" s="55" t="str">
        <f>'Input - Feedlot'!$D$32</f>
        <v>Solid storage</v>
      </c>
      <c r="M106" s="55" cm="1">
        <f t="array" ref="M106">MMS_Feedlot_ManureAppliedToSoils_Equations.VEERG_4_1_1_9__1_MassOfNitrogenAppliedToSoilsScope1(M22,_xlfn.XLOOKUP($L106,$D$30:$D$34,$E$30:$E$34),_xlfn.XLOOKUP($L106,$D$39:$D$43,$E$39:$E$43),$E98)</f>
        <v>1001.3812157905925</v>
      </c>
      <c r="N106" s="55" cm="1">
        <f t="array" ref="N106">MMS_Feedlot_ManureAppliedToSoils_Equations.VEERG_4_1_1_9__1_MassOfNitrogenAppliedToSoilsScope1(N22,_xlfn.XLOOKUP($L106,$D$30:$D$34,$E$30:$E$34),_xlfn.XLOOKUP($L106,$D$39:$D$43,$E$39:$E$43),$E98)</f>
        <v>35.363994446592002</v>
      </c>
      <c r="O106" s="55" cm="1">
        <f t="array" ref="O106">MMS_Feedlot_ManureAppliedToSoils_Equations.VEERG_4_1_1_9__1_MassOfNitrogenAppliedToSoilsScope1(O22,_xlfn.XLOOKUP($L106,$D$30:$D$34,$E$30:$E$34),_xlfn.XLOOKUP($L106,$D$39:$D$43,$E$39:$E$43),$E98)</f>
        <v>51.07778884799999</v>
      </c>
      <c r="P106" s="2" t="str">
        <f>$E$12</f>
        <v>kg N</v>
      </c>
    </row>
    <row r="107" spans="4:16"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793.04015747174435</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L107" s="55" t="str">
        <f>'Input - Feedlot'!$D$33</f>
        <v>Composting (passive windrow)</v>
      </c>
      <c r="M107" s="55" cm="1">
        <f t="array" ref="M107">MMS_Feedlot_ManureAppliedToSoils_Equations.VEERG_4_1_1_9__1_MassOfNitrogenAppliedToSoilsScope1(M23,_xlfn.XLOOKUP($L107,$D$30:$D$34,$E$30:$E$34),_xlfn.XLOOKUP($L107,$D$39:$D$43,$E$39:$E$43),$E99)</f>
        <v>793.04015747174435</v>
      </c>
      <c r="N107" s="55" cm="1">
        <f t="array" ref="N107">MMS_Feedlot_ManureAppliedToSoils_Equations.VEERG_4_1_1_9__1_MassOfNitrogenAppliedToSoilsScope1(N23,_xlfn.XLOOKUP($L107,$D$30:$D$34,$E$30:$E$34),_xlfn.XLOOKUP($L107,$D$39:$D$43,$E$39:$E$43),$E99)</f>
        <v>28.006384863744</v>
      </c>
      <c r="O107" s="55" cm="1">
        <f t="array" ref="O107">MMS_Feedlot_ManureAppliedToSoils_Equations.VEERG_4_1_1_9__1_MassOfNitrogenAppliedToSoilsScope1(O23,_xlfn.XLOOKUP($L107,$D$30:$D$34,$E$30:$E$34),_xlfn.XLOOKUP($L107,$D$39:$D$43,$E$39:$E$43),$E99)</f>
        <v>40.45086633599999</v>
      </c>
      <c r="P107" s="2" t="str">
        <f>$E$12</f>
        <v>kg N</v>
      </c>
    </row>
    <row r="108" spans="4:16"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L108" s="55" t="str">
        <f>'Input - Feedlot'!$D$34</f>
        <v>Direct application</v>
      </c>
      <c r="M108" s="55" cm="1">
        <f t="array" ref="M108">MMS_Feedlot_ManureAppliedToSoils_Equations.VEERG_4_1_1_9__1_MassOfNitrogenAppliedToSoilsScope1(M24,_xlfn.XLOOKUP($L108,$D$30:$D$34,$E$30:$E$34),_xlfn.XLOOKUP($L108,$D$39:$D$43,$E$39:$E$43),$E100)</f>
        <v>0</v>
      </c>
      <c r="N108" s="55" cm="1">
        <f t="array" ref="N108">MMS_Feedlot_ManureAppliedToSoils_Equations.VEERG_4_1_1_9__1_MassOfNitrogenAppliedToSoilsScope1(N24,_xlfn.XLOOKUP($L108,$D$30:$D$34,$E$30:$E$34),_xlfn.XLOOKUP($L108,$D$39:$D$43,$E$39:$E$43),$E100)</f>
        <v>0</v>
      </c>
      <c r="O108" s="55" cm="1">
        <f t="array" ref="O108">MMS_Feedlot_ManureAppliedToSoils_Equations.VEERG_4_1_1_9__1_MassOfNitrogenAppliedToSoilsScope1(O24,_xlfn.XLOOKUP($L108,$D$30:$D$34,$E$30:$E$34),_xlfn.XLOOKUP($L108,$D$39:$D$43,$E$39:$E$43),$E100)</f>
        <v>0</v>
      </c>
      <c r="P108" s="2" t="str">
        <f>$E$12</f>
        <v>kg N</v>
      </c>
    </row>
    <row r="109" spans="4:16"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233.2323302400001</v>
      </c>
      <c r="F109" s="55" cm="1">
        <f t="array" ref="F109">MMS_Feedlot_ManureAppliedToSoils_Equations.VEERG_4_1_1_9__1_MassOfNitrogenAppliedToSoilsScope1(F25,_xlfn.XLOOKUP($D109,$D$30:$D$34,$E$30:$E$34),_xlfn.XLOOKUP($D109,$D$39:$D$43,$E$39:$E$43),$E101)</f>
        <v>8.2366502400000012</v>
      </c>
      <c r="G109" s="55" cm="1">
        <f t="array" ref="G109">MMS_Feedlot_ManureAppliedToSoils_Equations.VEERG_4_1_1_9__1_MassOfNitrogenAppliedToSoilsScope1(G25,_xlfn.XLOOKUP($D109,$D$30:$D$34,$E$30:$E$34),_xlfn.XLOOKUP($D109,$D$39:$D$43,$E$39:$E$43),$E101)</f>
        <v>11.896559999999997</v>
      </c>
      <c r="H109" s="2" t="str">
        <f>$E$12</f>
        <v>kg N</v>
      </c>
      <c r="L109" s="55" t="str">
        <f>'Input - Feedlot'!$D$38</f>
        <v>Anaerobic lagoon</v>
      </c>
      <c r="M109" s="55" cm="1">
        <f t="array" ref="M109">MMS_Feedlot_ManureAppliedToSoils_Equations.VEERG_4_1_1_9__1_MassOfNitrogenAppliedToSoilsScope1(M25,_xlfn.XLOOKUP($L109,$D$30:$D$34,$E$30:$E$34),_xlfn.XLOOKUP($L109,$D$39:$D$43,$E$39:$E$43),$E101)</f>
        <v>233.2323302400001</v>
      </c>
      <c r="N109" s="55" cm="1">
        <f t="array" ref="N109">MMS_Feedlot_ManureAppliedToSoils_Equations.VEERG_4_1_1_9__1_MassOfNitrogenAppliedToSoilsScope1(N25,_xlfn.XLOOKUP($L109,$D$30:$D$34,$E$30:$E$34),_xlfn.XLOOKUP($L109,$D$39:$D$43,$E$39:$E$43),$E101)</f>
        <v>8.2366502400000012</v>
      </c>
      <c r="O109" s="55" cm="1">
        <f t="array" ref="O109">MMS_Feedlot_ManureAppliedToSoils_Equations.VEERG_4_1_1_9__1_MassOfNitrogenAppliedToSoilsScope1(O25,_xlfn.XLOOKUP($L109,$D$30:$D$34,$E$30:$E$34),_xlfn.XLOOKUP($L109,$D$39:$D$43,$E$39:$E$43),$E101)</f>
        <v>11.896559999999997</v>
      </c>
      <c r="P109" s="2" t="str">
        <f>$E$12</f>
        <v>kg N</v>
      </c>
    </row>
    <row r="110" spans="4:16" ht="20.100000000000001" customHeight="1" x14ac:dyDescent="0.25"/>
    <row r="111" spans="4:16" ht="20.100000000000001" customHeight="1" x14ac:dyDescent="0.25">
      <c r="D111" s="110" t="s">
        <v>262</v>
      </c>
      <c r="E111" s="111">
        <f>SUM(E106:G109)</f>
        <v>2202.6859482366731</v>
      </c>
      <c r="F111" s="112" t="str">
        <f>$E$12</f>
        <v>kg N</v>
      </c>
      <c r="L111" s="110" t="s">
        <v>262</v>
      </c>
      <c r="M111" s="111">
        <f>SUM(M106:O109)</f>
        <v>2202.6859482366731</v>
      </c>
      <c r="N111" s="112" t="str">
        <f>$E$12</f>
        <v>kg N</v>
      </c>
    </row>
    <row r="112" spans="4:1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72" workbookViewId="0">
      <selection activeCell="E22" sqref="E2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4"/>
    </row>
    <row r="5" spans="1:21" ht="20.100000000000001" customHeight="1" x14ac:dyDescent="0.25">
      <c r="A5" s="16"/>
      <c r="D5" s="6" t="str" cm="1">
        <f t="array" ref="D5">SourceData_Feedlot.SourceData_Feedlot_VSL_Title()</f>
        <v>Feedlot - Fraction of volatile solids lost during storage in the primary system</v>
      </c>
      <c r="M5" s="1"/>
    </row>
    <row r="6" spans="1:21" ht="20.100000000000001" customHeight="1" x14ac:dyDescent="0.25">
      <c r="A6" s="20" t="s">
        <v>3</v>
      </c>
      <c r="D6" s="5" t="str" cm="1">
        <f t="array" ref="D6">SourceData_Feedlot.SourceData_Feedlot_VSL_Source()</f>
        <v>VEERG 2026: 4.1.2.3 CONSTANTS</v>
      </c>
      <c r="M6" s="1"/>
    </row>
    <row r="7" spans="1:21" ht="20.100000000000001" customHeight="1" x14ac:dyDescent="0.25">
      <c r="A7" s="17" t="str">
        <f>HYPERLINK("#'Input - Site'!A1", "Site")</f>
        <v>Site</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Feedlot'!A1", "Feedlot")</f>
        <v>Feedlot</v>
      </c>
      <c r="M8" s="1"/>
    </row>
    <row r="9" spans="1:21" ht="20.100000000000001" customHeight="1" x14ac:dyDescent="0.25">
      <c r="A9" s="17"/>
      <c r="M9" s="1"/>
    </row>
    <row r="10" spans="1:21" ht="20.100000000000001" customHeight="1" x14ac:dyDescent="0.25">
      <c r="A10" s="19" t="s">
        <v>76</v>
      </c>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7" t="str">
        <f>HYPERLINK("#'4.1.1.1-2 Methane'!A1", "4.1.1.1-2 Methane")</f>
        <v>4.1.1.1-2 Methane</v>
      </c>
      <c r="D11" s="5" t="str" cm="1">
        <f t="array" ref="D11">SourceData_Feedlot.SourceData_Feedlot_MMSm1T3_Source()</f>
        <v>VEERG 2026: 4.1.2.3 CONSTANTS</v>
      </c>
      <c r="M11" s="1"/>
    </row>
    <row r="12" spans="1:21" ht="20.100000000000001" customHeight="1" x14ac:dyDescent="0.25">
      <c r="A12" s="17" t="str">
        <f>HYPERLINK("#'4.1.1.3-4 Direct N20'!A1", "4.1.1.3-4 Direct N2O")</f>
        <v>4.1.1.3-4 Direct N2O</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HYPERLINK("#'4.1.1.5-6 Atmos Deposition'!A1", "4.1.1.5-6 Atmospheric deposition")</f>
        <v>4.1.1.5-6 Atmospheric deposition</v>
      </c>
      <c r="M13" s="1"/>
    </row>
    <row r="14" spans="1:21" ht="20.100000000000001" customHeight="1" x14ac:dyDescent="0.25">
      <c r="A14" s="17" t="str">
        <f>HYPERLINK("#'4.1.1.9 Manure applied to soils'!A1", "4.1.1.9 Manure applied to soils")</f>
        <v>4.1.1.9 Manure applied to soils</v>
      </c>
      <c r="M14" s="1"/>
    </row>
    <row r="15" spans="1:21" ht="20.100000000000001" customHeight="1" x14ac:dyDescent="0.25">
      <c r="D15" s="6" t="str" cm="1">
        <f t="array" ref="D15">SourceData_Feedlot.SourceData_Feedlot_AshContent_Title()</f>
        <v>Ash content of manure.</v>
      </c>
      <c r="M15" s="1"/>
    </row>
    <row r="16" spans="1:21" ht="20.100000000000001" customHeight="1" x14ac:dyDescent="0.25">
      <c r="A16" s="18" t="s">
        <v>4</v>
      </c>
      <c r="D16" s="5" t="str" cm="1">
        <f t="array" ref="D16">SourceData_Feedlot.SourceData_Feedlot_AshContent_Source()</f>
        <v>VEERG 2026: 4.1.2.3 CONSTANTS</v>
      </c>
      <c r="M16" s="1"/>
    </row>
    <row r="17" spans="1:13" ht="20.100000000000001" customHeight="1" x14ac:dyDescent="0.25">
      <c r="A17" s="72" t="str">
        <f>HYPERLINK("#'Constants - Feedlot'!A1", "Constants - Feedlot")</f>
        <v>Constants - Feedlot</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17" t="str">
        <f>HYPERLINK("#'Constants - Livestock'!A1", "Constants - Livestock")</f>
        <v>Constants - Livestock</v>
      </c>
      <c r="M18" s="1"/>
    </row>
    <row r="19" spans="1:13" ht="20.100000000000001" customHeight="1" x14ac:dyDescent="0.25">
      <c r="A19" s="17" t="str">
        <f>HYPERLINK("#'Constants - Common'!A1", "Constants - Common")</f>
        <v>Constants - Common</v>
      </c>
      <c r="M19" s="1"/>
    </row>
    <row r="20" spans="1:13" ht="20.100000000000001" customHeight="1" x14ac:dyDescent="0.25">
      <c r="A20" s="17" t="str">
        <f>HYPERLINK("#'Acknowledgements'!A1", "Acknowledgements")</f>
        <v>Acknowledgements</v>
      </c>
      <c r="D20" s="6" t="str" cm="1">
        <f t="array" ref="D20">SourceData_Feedlot.SourceData_Feedlot_MethaneEmissionsPotential_Title()</f>
        <v>Methane emissions potential.</v>
      </c>
      <c r="M20" s="1"/>
    </row>
    <row r="21" spans="1:13" ht="20.100000000000001" customHeight="1" x14ac:dyDescent="0.25">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D25" s="6" t="s">
        <v>115</v>
      </c>
      <c r="G25" s="6" t="s">
        <v>279</v>
      </c>
      <c r="J25" s="6" t="s">
        <v>281</v>
      </c>
      <c r="M25" s="1"/>
    </row>
    <row r="26" spans="1:13" ht="20.100000000000001" customHeight="1" x14ac:dyDescent="0.25">
      <c r="M26" s="1"/>
    </row>
    <row r="27" spans="1:13" ht="20.100000000000001" customHeight="1" x14ac:dyDescent="0.25">
      <c r="D27" s="103" t="s">
        <v>67</v>
      </c>
      <c r="E27" s="39" t="s">
        <v>81</v>
      </c>
      <c r="G27" s="39" t="s">
        <v>280</v>
      </c>
      <c r="J27" s="39" t="s">
        <v>277</v>
      </c>
      <c r="M27" s="1"/>
    </row>
    <row r="28" spans="1:13" ht="20.100000000000001" customHeight="1" x14ac:dyDescent="0.25">
      <c r="D28" s="39" t="str">
        <f>'Constants - Livestock'!$E$16</f>
        <v>Drylot (feed pad)</v>
      </c>
      <c r="E28" s="39" t="str">
        <f>'Constants - Livestock'!$F$16</f>
        <v>Drylot (feed pad) (m=5)</v>
      </c>
      <c r="G28" s="39" t="str">
        <f>'Constants - Common'!$F$188</f>
        <v>Crop</v>
      </c>
      <c r="J28" s="39" t="s">
        <v>282</v>
      </c>
      <c r="M28" s="1"/>
    </row>
    <row r="29" spans="1:13" ht="20.100000000000001" customHeight="1" x14ac:dyDescent="0.25">
      <c r="D29" s="39" t="str">
        <f>'Constants - Livestock'!$E$15</f>
        <v>Solid storage</v>
      </c>
      <c r="E29" s="39" t="str">
        <f>'Constants - Livestock'!$F$15</f>
        <v>Solid storage (m=4)</v>
      </c>
      <c r="G29" s="1" t="str">
        <f>'Constants - Common'!$F$187</f>
        <v>Pasture</v>
      </c>
      <c r="J29" s="39" t="s">
        <v>283</v>
      </c>
      <c r="M29" s="1"/>
    </row>
    <row r="30" spans="1:13" ht="20.100000000000001" customHeight="1" x14ac:dyDescent="0.25">
      <c r="D30" s="39" t="str">
        <f>'Constants - Livestock'!$E$17</f>
        <v>Composting (passive windrow)</v>
      </c>
      <c r="E30" s="39" t="str">
        <f>'Constants - Livestock'!$F$17</f>
        <v>Composting (passive windrow) (m=6)</v>
      </c>
      <c r="J30" s="1" t="s">
        <v>284</v>
      </c>
      <c r="M30" s="1"/>
    </row>
    <row r="31" spans="1:13" ht="20.100000000000001" customHeight="1" x14ac:dyDescent="0.25">
      <c r="D31" s="39" t="str">
        <f>'Constants - Livestock'!$E$26</f>
        <v>Direct application</v>
      </c>
      <c r="E31" s="39" t="str">
        <f>'Constants - Livestock'!$F$26</f>
        <v>Direct application (m=13)</v>
      </c>
      <c r="J31" s="1" t="s">
        <v>285</v>
      </c>
      <c r="M31" s="1"/>
    </row>
    <row r="32" spans="1:13" ht="20.100000000000001" customHeight="1" x14ac:dyDescent="0.25">
      <c r="D32" s="1" t="str">
        <f>'Constants - Livestock'!$E$10</f>
        <v>Anaerobic lagoon</v>
      </c>
      <c r="E32" s="1" t="str">
        <f>'Constants - Livestock'!$F$10</f>
        <v>Anaerobic lagoon (m=1)</v>
      </c>
      <c r="J32" s="1" t="s">
        <v>286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135</v>
      </c>
      <c r="E38" s="39" t="s">
        <v>148</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135</v>
      </c>
      <c r="E49" s="39" t="s">
        <v>145</v>
      </c>
      <c r="F49" s="39" t="s">
        <v>19</v>
      </c>
      <c r="G49" s="39" t="s">
        <v>146</v>
      </c>
      <c r="H49" s="39" t="s">
        <v>137</v>
      </c>
      <c r="I49" s="39" t="s">
        <v>138</v>
      </c>
      <c r="J49" s="39" t="s">
        <v>139</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135</v>
      </c>
      <c r="E66" s="39" t="s">
        <v>136</v>
      </c>
      <c r="F66" s="39" t="s">
        <v>19</v>
      </c>
      <c r="G66" s="39" t="s">
        <v>137</v>
      </c>
      <c r="H66" s="39" t="s">
        <v>138</v>
      </c>
      <c r="I66" s="39" t="s">
        <v>139</v>
      </c>
      <c r="J66" s="39" t="s">
        <v>144</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and TAS columns with 'no data' values</v>
      </c>
      <c r="M85" s="1"/>
    </row>
    <row r="86" spans="4:14" ht="20.100000000000001" customHeight="1" x14ac:dyDescent="0.25">
      <c r="D86" s="58" t="str">
        <v>Added 'NIR definition' column with MMS names that match NIR definitions.</v>
      </c>
      <c r="M86" s="1"/>
    </row>
    <row r="87" spans="4:14" ht="20.100000000000001" customHeight="1" x14ac:dyDescent="0.25">
      <c r="M87" s="1"/>
    </row>
    <row r="88" spans="4:14" ht="20.100000000000001" customHeight="1" x14ac:dyDescent="0.25">
      <c r="D88" s="39" t="s">
        <v>110</v>
      </c>
      <c r="E88" s="39" t="s">
        <v>105</v>
      </c>
      <c r="F88" s="39" t="s">
        <v>83</v>
      </c>
      <c r="G88" s="39" t="s">
        <v>82</v>
      </c>
      <c r="H88" s="39" t="s">
        <v>85</v>
      </c>
      <c r="I88" s="39" t="s">
        <v>84</v>
      </c>
      <c r="J88" s="39" t="s">
        <v>86</v>
      </c>
      <c r="K88" s="39" t="s">
        <v>88</v>
      </c>
      <c r="L88" s="39" t="s">
        <v>89</v>
      </c>
      <c r="M88" s="39" t="s">
        <v>87</v>
      </c>
      <c r="N88" s="39" t="s">
        <v>99</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135" t="str" cm="1">
        <f t="array" ref="I89">Common_InputFunctions.Utility_DisplayArrayInTable(SourceData_Feedlot.SourceData_Feedlot_MCF_Data(), Table_SourceData_Feedlot_MCF[[#Headers],[Treatment stage T]], 0)</f>
        <v>No data</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135" t="str" cm="1">
        <f t="array" ref="M89">Common_InputFunctions.Utility_DisplayArrayInTable(SourceData_Feedlot.SourceData_Feedlot_MCF_Data(), Table_SourceData_Feedlot_MCF[[#Headers],[Treatment stage T]], 0)</f>
        <v>No data</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135" t="str" cm="1">
        <f t="array" ref="I90">Common_InputFunctions.Utility_DisplayArrayInTable(SourceData_Feedlot.SourceData_Feedlot_MCF_Data(), Table_SourceData_Feedlot_MCF[[#Headers],[Treatment stage T]], 0)</f>
        <v>No data</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135" t="str" cm="1">
        <f t="array" ref="M90">Common_InputFunctions.Utility_DisplayArrayInTable(SourceData_Feedlot.SourceData_Feedlot_MCF_Data(), Table_SourceData_Feedlot_MCF[[#Headers],[Treatment stage T]], 0)</f>
        <v>No data</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135" t="str" cm="1">
        <f t="array" ref="I91">Common_InputFunctions.Utility_DisplayArrayInTable(SourceData_Feedlot.SourceData_Feedlot_MCF_Data(), Table_SourceData_Feedlot_MCF[[#Headers],[Treatment stage T]], 0)</f>
        <v>No data</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135" t="str" cm="1">
        <f t="array" ref="M91">Common_InputFunctions.Utility_DisplayArrayInTable(SourceData_Feedlot.SourceData_Feedlot_MCF_Data(), Table_SourceData_Feedlot_MCF[[#Headers],[Treatment stage T]], 0)</f>
        <v>No data</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135" t="str" cm="1">
        <f t="array" ref="I92">Common_InputFunctions.Utility_DisplayArrayInTable(SourceData_Feedlot.SourceData_Feedlot_MCF_Data(), Table_SourceData_Feedlot_MCF[[#Headers],[Treatment stage T]], 0)</f>
        <v>No data</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135" t="str" cm="1">
        <f t="array" ref="M92">Common_InputFunctions.Utility_DisplayArrayInTable(SourceData_Feedlot.SourceData_Feedlot_MCF_Data(), Table_SourceData_Feedlot_MCF[[#Headers],[Treatment stage T]], 0)</f>
        <v>No data</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135" t="str" cm="1">
        <f t="array" ref="I93">Common_InputFunctions.Utility_DisplayArrayInTable(SourceData_Feedlot.SourceData_Feedlot_MCF_Data(), Table_SourceData_Feedlot_MCF[[#Headers],[Treatment stage T]], 0)</f>
        <v>No data</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135" t="str" cm="1">
        <f t="array" ref="M93">Common_InputFunctions.Utility_DisplayArrayInTable(SourceData_Feedlot.SourceData_Feedlot_MCF_Data(), Table_SourceData_Feedlot_MCF[[#Headers],[Treatment stage T]], 0)</f>
        <v>No data</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I94" s="1" t="s">
        <v>308</v>
      </c>
      <c r="M94" s="24" t="s">
        <v>309</v>
      </c>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110</v>
      </c>
      <c r="E100" s="39" t="s">
        <v>105</v>
      </c>
      <c r="F100" s="39" t="s">
        <v>149</v>
      </c>
      <c r="G100" s="39" t="s">
        <v>99</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6" t="s">
        <v>110</v>
      </c>
      <c r="E112" s="116" t="s">
        <v>105</v>
      </c>
      <c r="F112" s="116" t="s">
        <v>150</v>
      </c>
      <c r="G112" s="116" t="s">
        <v>99</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F5C8-4326-4B87-AF98-B62783E0FF5C}">
  <dimension ref="A1:BY250"/>
  <sheetViews>
    <sheetView showGridLines="0" tabSelected="1" topLeftCell="A227"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21</v>
      </c>
      <c r="E6" s="39" t="s">
        <v>22</v>
      </c>
      <c r="F6" s="39" t="s">
        <v>23</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24</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27</v>
      </c>
      <c r="E36" s="39" t="s">
        <v>28</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27</v>
      </c>
      <c r="E47" s="39" t="s">
        <v>30</v>
      </c>
      <c r="F47" s="39" t="s">
        <v>31</v>
      </c>
      <c r="G47" s="39" t="s">
        <v>32</v>
      </c>
      <c r="H47" s="39" t="s">
        <v>33</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48</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36</v>
      </c>
      <c r="F89" s="39" t="s">
        <v>37</v>
      </c>
      <c r="G89" s="39" t="s">
        <v>38</v>
      </c>
      <c r="H89" s="39" t="s">
        <v>39</v>
      </c>
      <c r="I89" s="39" t="s">
        <v>40</v>
      </c>
      <c r="J89" s="39" t="s">
        <v>41</v>
      </c>
      <c r="K89" s="39" t="s">
        <v>42</v>
      </c>
      <c r="L89" s="39" t="s">
        <v>43</v>
      </c>
      <c r="M89" s="39" t="s">
        <v>44</v>
      </c>
      <c r="N89" s="39" t="s">
        <v>45</v>
      </c>
      <c r="O89" s="39" t="s">
        <v>49</v>
      </c>
      <c r="P89" s="39" t="s">
        <v>46</v>
      </c>
      <c r="Q89" s="39" t="s">
        <v>50</v>
      </c>
      <c r="R89" s="39" t="s">
        <v>47</v>
      </c>
      <c r="S89" s="39" t="s">
        <v>51</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55</v>
      </c>
      <c r="E109" s="39" t="s">
        <v>36</v>
      </c>
      <c r="F109" s="39" t="s">
        <v>56</v>
      </c>
      <c r="G109" s="39" t="s">
        <v>57</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58</v>
      </c>
      <c r="E119" s="39" t="s">
        <v>59</v>
      </c>
      <c r="F119" s="39" t="s">
        <v>43</v>
      </c>
      <c r="G119" s="39" t="s">
        <v>44</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65</v>
      </c>
      <c r="E127" s="39" t="s">
        <v>66</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306</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68</v>
      </c>
      <c r="E153" s="39" t="s">
        <v>69</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274</v>
      </c>
      <c r="E186" s="39" t="s">
        <v>275</v>
      </c>
      <c r="F186" s="39" t="s">
        <v>276</v>
      </c>
      <c r="G186" s="39" t="s">
        <v>277</v>
      </c>
      <c r="H186" s="39" t="s">
        <v>35</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307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311</v>
      </c>
      <c r="E212" s="39" t="s">
        <v>312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52</v>
      </c>
      <c r="E231" s="39" t="s">
        <v>344</v>
      </c>
      <c r="F231" s="38" t="s">
        <v>345</v>
      </c>
      <c r="G231" s="39" t="s">
        <v>346</v>
      </c>
      <c r="H231" s="39" t="s">
        <v>347</v>
      </c>
      <c r="I231" s="39" t="s">
        <v>348</v>
      </c>
      <c r="J231" s="39" t="s">
        <v>349</v>
      </c>
      <c r="K231" s="39" t="s">
        <v>350</v>
      </c>
      <c r="L231" s="39" t="s">
        <v>351</v>
      </c>
      <c r="M231" s="39" t="s">
        <v>352</v>
      </c>
      <c r="N231" s="39" t="s">
        <v>353</v>
      </c>
      <c r="O231" s="39" t="s">
        <v>354</v>
      </c>
      <c r="P231" s="39" t="s">
        <v>355</v>
      </c>
      <c r="Q231" s="39" t="s">
        <v>329</v>
      </c>
      <c r="R231" s="39" t="s">
        <v>356</v>
      </c>
      <c r="S231" s="39" t="s">
        <v>357</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7" workbookViewId="0">
      <selection activeCell="A22" sqref="A3: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C3" s="4"/>
      <c r="D3" s="4"/>
      <c r="E3" s="4"/>
      <c r="F3" s="4"/>
      <c r="G3" s="4"/>
      <c r="H3" s="4"/>
      <c r="I3" s="4"/>
      <c r="J3" s="4"/>
      <c r="K3" s="4"/>
      <c r="L3" s="4"/>
      <c r="M3" s="4"/>
    </row>
    <row r="4" spans="1:13" ht="20.100000000000001" customHeight="1" x14ac:dyDescent="0.25"/>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D8" s="5" t="str" cm="1">
        <f t="array" ref="D8">CommonLivestock_SourceData.SourceData_Livestock_Common_SymbolsMMS_Source()</f>
        <v>National Inventory Report 2023 Volume 1: Table 5.12</v>
      </c>
      <c r="E8" s="3"/>
      <c r="F8" s="3"/>
      <c r="G8" s="3"/>
      <c r="H8" s="3"/>
    </row>
    <row r="9" spans="1:13" ht="20.100000000000001" customHeight="1" x14ac:dyDescent="0.25">
      <c r="D9" s="38" t="s">
        <v>80</v>
      </c>
      <c r="E9" s="39" t="s">
        <v>20</v>
      </c>
      <c r="F9" s="39" t="s">
        <v>81</v>
      </c>
      <c r="G9" s="3"/>
    </row>
    <row r="10" spans="1:13" ht="20.100000000000001" customHeight="1" x14ac:dyDescent="0.25">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4:8" ht="20.100000000000001" customHeight="1" x14ac:dyDescent="0.25">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4:8" ht="20.100000000000001" customHeight="1" x14ac:dyDescent="0.25">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4:8" ht="20.100000000000001" customHeight="1" x14ac:dyDescent="0.25">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4:8" ht="20.100000000000001" customHeight="1" x14ac:dyDescent="0.25">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4:8" ht="20.100000000000001" customHeight="1" x14ac:dyDescent="0.25">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4: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4: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4:8" ht="20.100000000000001" customHeight="1" x14ac:dyDescent="0.25">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4: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4: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4: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4:8" ht="20.100000000000001" customHeight="1" x14ac:dyDescent="0.25">
      <c r="G28" s="3"/>
      <c r="H28" s="3"/>
    </row>
    <row r="29" spans="4:8" ht="20.100000000000001" customHeight="1" x14ac:dyDescent="0.25"/>
    <row r="30" spans="4:8" ht="20.100000000000001" customHeight="1" x14ac:dyDescent="0.25"/>
    <row r="31" spans="4:8" ht="20.100000000000001" customHeight="1" x14ac:dyDescent="0.25"/>
    <row r="32" spans="4: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hAG4AZAAgAFQAQQBTACAAYwBvAGwAdQBtAG4AcwAgAHcAaQB0AGgAIABcAHUAMAAwADIANwBuAG8AIABkAGEAdABhAFwAdQAwADAAMgA3ACAAdgBhAGwAdQBlAHM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0AQwBGAF8ARABhAHQAYQBcAG4AIAAgAD0ATABBAE0AQgBEAEEAKABcAG4AIAAgACAAIABNAEEASwBFAEEAUgBSAEEAWQAoADYALAAgADEAMQAsACAAXABuACAAIAAgACAAIAAgAEwAQQBNAEIARABBACgAcgAsAGMALAAgAFwAbgAgACAAIAAgACAAIAAgACAASQBOAEQARQBYACgAewBcAG4AIAAgACAAIAAgACAAIAAgACAAIABcACIAVAByAGUAYQB0AG0AZQBuAHQAIABzAHQAYQBnAGUAIABUAFwAIgAsACAAXAAiAE0ATQBTACAAbQBcACIALAAgAFwAIgBOAFMAVwBcACIALAAgAFwAIgBBAEMAVABcACIALAAgAFwAIgBRAEwARABcACIALAAgAFwAIgBOAFQAXAAiACwAIABcACIAUwBBAFwAIgAsACAAXAAiAFYASQBDAFwAIgAsACAAXAAiAFcAQQBcACIALAAgAFwAIgBUAEEAUwBcACIALAAgAFwAIgBOAEkAUgAgAGQAZQBmAGkAbgBpAHQAaQBvAG4AXAAiADsAXABuACAAIAAgACAAIAAgACAAIAAgACAAXAAiAFAAcgBpAG0AYQByAHkAXAAiACwAIABcACIARAByAHkAIABsAG8AdAAgACgARgBlAGUAZABwAGEAZAApAFwAIgAsACAAMAAuADAAMQAsACAAMAAuADAAMQAsACAAMAAuADAAMwAsACAAXAAiAE4AbwAgAGQAYQB0AGEAXAAiACwAIAAwAC4AMAAxACwAIAAwAC4AMAAxACwAIAAwAC4AMAAxACwAIABcACIATgBvACAAZABhAHQAYQBcACIALAAgAFwAIgBEAHIAeQBsAG8AdAAgACgAZgBlAGUAZAAgAHAAYQBkACkAXAAiADsAIABcAG4AIAAgACAAIAAgACAAIAAgACAAIABcACIAUwBlAGMAbwBuAGQAYQByAHkAXAAiACwAIABcACIAUwBvAGwAaQBkACAAUwB0AG8AcgBhAGcAZQAgACgAUwB0AG8AYwBrAHAAaQBsAGUAKQBcACIALAAgADAALgAwADIALAAgADAALgAwADIALAAgADAALgAwADIALAAgAFwAIgBOAG8AIABkAGEAdABhAFwAIgAsACAAMAAuADAAMgAsACAAMAAuADAAMgAsACAAMAAuADAAMgAsACAAXAAiAE4AbwAgAGQAYQB0AGEAXAAiACwAIABcACIAUwBvAGwAaQBkACAAcwB0AG8AcgBhAGcAZQBcACIAOwAgAFwAbgAgACAAIAAgACAAIAAgACAAIAAgAFwAIgBTAGUAYwBvAG4AZABhAHIAeQBcACIALAAgAFwAIgBDAG8AbQBwAG8AcwB0AGkAbgBnACAAKABQAGEAcwBzAGkAdgBlACAAVwBpAG4AZAByAG8AdwApAFwAIgAsACAAMAAuADAAMQAsACAAMAAuADAAMQAsACAAMAAuADAAMQAsACAAXAAiAE4AbwAgAGQAYQB0AGEAXAAiACwAIAAwAC4AMAAxACwAIAAwAC4AMAAxACwAIAAwAC4AMAAxACwAIABcACIATgBvACAAZABhAHQAYQBcACIALAAgAFwAIgBDAG8AbQBwAG8AcwB0AGkAbgBnACAAKABwAGEAcwBzAGkAdgBlACAAdwBpAG4AZAByAG8AdwApAFwAIgA7ACAAXABuACAAIAAgACAAIAAgACAAIAAgACAAXAAiAFMAZQBjAG8AbgBkAGEAcgB5AFwAIgAsACAAXAAiAEQAaQByAGUAYwB0ACAAQQBwAHAAbABpAGMAYQB0AGkAbwBuACAAdABvACAAcwBvAGkAbABcACIALAAgADAALAAgADAALAAgADAALAAgAFwAIgBOAG8AIABkAGEAdABhAFwAIgAsACAAMAAsACAAMAAsACAAMAAsACAAXAAiAE4AbwAgAGQAYQB0AGEAXAAi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XAAiAE4AbwAgAGQAYQB0AGEAXAAiACwAIAAwAC4ANwA1ACwAIAAwAC4ANwA1ACwAIAAwAC4ANwA3ACwAIABcACIATgBvACAAZABhAHQAYQBcACI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y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CAAOgAgAGsAZwAgAE4AXAAiADsAXABuACAAIAAgACAAIAAgACAAIAAgACAAXAAiAEUARgBfAG0AVAAyADMAXAAiACwAXAAiAG4AaQB0AHIAbwB1AHMAIABvAHgAaQBkAGUAIABlAG0AaQBzAHMAaQBvAG4AIABmAGEAYwB0AG8AcgAgAGYAbwByACAAZQBhAGMAaAAgAE0ATQBTACAAOgAgAGsAZwAgAE4AMgBPAC0ATgAvAGsAZwAgAE4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CAAOgAgACgAawBnACAATgBIADMALQBOACAAKwAgAE4ATwB4AC0ATgApAC8AawBnACAATgBcACIAOwBcAG4AIAAgACAAIAAgACAAIAAgACAAIABcACIAUABGAFwAIgAsAFwAIgBmAHIAYQBjAHQAaQBvAG4AIABvAGYAIABtAGEAbgB1AHIAZQAgAGEAcABwAGwAaQBlAGQAIAB0AG8AIABzAG8AaQBsACAAdwBpAHQAaABpAG4AIAB0AGgAZQAgAGYAZQBlAGQAbABvAHQAIABiAG8AdQBuAGQAYQByAHk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BcAG4AIgB9ACwAewAiAHAAYQB0AGgAIgA6ACIALwBwAHIAbwBqAGUAYwB0AHMALwBNAE0AUwBfAEYAZQBlAGQAbABvAHQ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UAIABNAGUAdABoAG8AZAAgADEAIAAtACAATQBhAG4AdQByAGUAIABBAHQAbQBvAHMAcABoAGUAcgBpAGMAIABEAGUAcABvAHMAaQB0AGkAbwBu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1AF8AXwAxAF8AVABvAHQAYQBsAEEAbgBuAHUAYQBsAEEAdABtAG8AcwBwAGgAZQByAGkAYwBEAGUAcABvAHMAaQB0AGkAbwBuAEUAbQBpAHMAcwBpAG8AbgBz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NQBfAF8AMQBfAFQAbwB0AGEAbABBAG4AbgB1AGEAbABBAHQAbQBvAHMAcABoAGUAcgBpAGMARABlAHAAbwBzAGkAdABpAG8AbgBFAG0AaQBzAHMAaQBvAG4Ac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xAF8AMQBfADUAXwBfADEAXwBUAG8AdABhAGwAQQBuAG4AdQBhAGwAQQB0AG0AbwBzAHAAaABlAHIAaQBjAEQAZQBwAG8AcwBpAHQAaQBvAG4ARQBtAGkAcwBzAGkAbwBuAH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EAXwAxAF8ANQBfAF8AMQBfAFQAbwB0AGEAbABBAG4AbgB1AGEAbABBAHQAbQBvAHMAcABoAGUAcgBpAGMARABlAHAAbwBzAGkAdABpAG8AbgBFAG0AaQBzAHMAaQBvAG4AcwBfAFYAYQByAGkAYQBiAGwAZQBcAG4AIAAgAD0ATABBAE0AQgBEAEEAKABcACIARQBfAE4AMgBPAGEAZABcACIAKQA7AFwAbgBcAG4AVgBFAEUAUgBHAF8ANABfADEAXwAxAF8ANQBfAF8AMQBfAFQAbwB0AGEAbABBAG4AbgB1AGEAbABBAHQAbQBvAHMAcABoAGUAcgBpAGMARABlAHAAbwBzAGkAdABpAG8AbgBFAG0AaQBzAHMAaQBvAG4AcwBfAFUAbgBpAHQAXABuACAAIAA9AEwAQQBNAEIARABBACgAXAAiAHQAIABOADIATwBcACIAKQA7AFwAbgBcAG4AVgBFAEUAUgBHAF8ANABfADEAXwAxAF8ANQBfAF8AMQBfAFQAbwB0AGEAbABBAG4AbgB1AGEAbABBAHQAbQBvAHMAcABoAGUAcgBpAGMARABlAHAAbwBzAGkAdABpAG8AbgBFAG0AaQBzAHMAaQBvAG4AcwBfAFMAbwB1AHIAYwBlAFwAbgAgACAAPQBMAEEATQBCAEQAQQAoAFwAIgBWAEUARQBSAEcAIAAyADAAMgA2ADoAIAA0AC4AMQAuADEALgA1ACwAIABFAHEAdQBhAHQAaQBvAG4AIAAoADEAKQBcACIAKQA7AFwAbgBcAG4AVgBFAEUAUgBHAF8ANABfADEAXwAxAF8ANQBfAF8AMQBfAFQAbwB0AGEAbABBAG4AbgB1AGEAbABBAHQAbQBvAHMAcABoAGUAcgBpAGMARABlAHAAbwBzAGkAdABpAG8AbgBFAG0AaQBzAHMAaQBvAG4AcwBfAE4ASQBSAFIAZQBmAGUAcgBlAG4AYwBlAFwAbgAgACAAPQBMAEEATQBCAEQAQQAoAFwAIgBcACIAKQA7AFwAbgBcAG4AVgBFAEUAUgBHAF8ANABfADEAXwAxAF8ANQBfAF8AMQBfAFQAbwB0AGEAbABBAG4AbgB1AGEAbABBAHQAbQBvAHMAcABoAGUAcgBpAGMARABlAHAAbwBzAGkAdABpAG8AbgBFAG0AaQBzAHMAaQBvAG4Ac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MQBfADEAXwA1AF8AXwAxAF8AVABvAHQAYQBsAEEAbgBuAHUAYQBsAEEAdABtAG8AcwBwAGgAZQByAGkAYwBEAGUAcABvAHMAaQB0AGkAbwBuAEUAbQBpAHMAcwBpAG8AbgBzAF8AQQByAGcAdQBtAGUAbgB0AHMAXABuACAAIAA9AEwAQQBNAEIARABBACgAXABuACAAIAAgACAATQBBAEsARQBBAFIAUgBBAFkAKAA2ACwAIAAyACwAXABuACAAIAAgACAAIAAgAEwAQQBNAEIARABBACgAcgAsAGMALABcAG4AIAAgACAAIAAgACAAIAAgAEkATgBEAEUAWAAoAHsAXABuACAAIAAgACAAIAAgACAAIAAgACAAXAAiAE0ATQBTAF8AQQBUAE0ATwBTAFwAIgAsAFwAIgBtAGEAcwBzACAAbwBmACAATgAgAHYAbwBsAGEAdABpAGwAaQBzAGUAZAAgAGYAcgBvAG0AIABNAE0AUwAgADoAIABrAGcAIABOAFwAIgA7AFwAbgAgACAAIAAgACAAIAAgACAAIAAgAFwAIgBFAEYAXwBOADIATwBcACIALABcACIAbgBpAHQAcgBvAHUAcwAgAG8AeABpAGQAZQAgAGUAbQBpAHMAcwBpAG8AbgAgAGYAYQBjAHQAbwByACAAZgBvAHIAIABhAHQAbQBvAHMAcABoAGUAcgBpAGMAIABkAGUAcABvAHMAaQB0AGkAbwBu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DsAXABuACAAIAAgACAAIAAgACAAIAAgACAAXAAiAGoAXAAiACwAIABcACIAcAByAG8AZAB1AGMAdABpAG8AbgAgAHMAeQBzAHQAZQBtAFwAIgA7AFwAbgAgACAAIAAgACAAIAAgACAAIAAgAFwAIgBpAFwAIgAsACAAXAAiAGkAcgByAGkAZwBhAHQAaQBvAG4AIABtAGUAdABoAG8AZABcACIAOwBcAG4AIAAgACAAIAAgACAAIAAgACAAIABcACIAcgBcACIALAAgAFwAIgByAGEAaQBuAGYAYQBsAGwAIAB6AG8AbgBl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I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AgADoAIABrAGcAIABOAFwAIgA7AFwAbgAgACAAIAAgACAAIAAgACAAIAAgAFwAIgBGAHIAYQBjAEcAQQBTAE0AXwBtAFQAXAAiACwAXAAiAGYAcgBhAGMAdABpAG8AbgAgAG8AZgAgAE4AIAB2AG8AbABhAHQAaQBsAGkAcwBlAGQAIABpAG4AIABlAGEAYwBoACAATQBNAFMAIAA6ACAAKABrAGcAIABOAEgAMwAtAE4AIAArACAATgBPAHgALQBOACkALwBrAGcAIABO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y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IAA6ACAAawBnACAATgBcACIAOwBcAG4AIAAgACAAIAAgACAAIAAgACAAIABcACIARQBGAF8AagBtAFwAIgAsAFwAIgBuAGkAdAByAG8AdQBzACAAbwB4AGkAZABlACAAZQBtAGkAcwBzAGkAbwBuACAAZgBhAGMAdABvAHIAIABmAG8AcgAgAE0ATQBT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gBfAFMAdABhAGcAZQAxAE4AaQB0AHIAbwBnAGUAbgBJAG4ATQBNAFMARAByAHkAbABvAHQAXABuAE4AaQB0AHIAbwBnAGUAbgAgAGkAbgAgAHQAcgBlAGEAdABtAGUAbgB0ACAAcwB0AGEAZwBlACAAMQAgAE0ATQBTAFwAbgBNAE4AXwBqAG0ANQBUADEAXABuAGsAZwAgAE4AXABuAE0ATgBfAHsAagBtAD0ANQAsAFQAPQAxAH0APQBBAEUAXwB7AGoAfQBcAFwAdABpAG0AZQBzACAATQBNAFMAXwB7AGoAbQA9ADUALABUAD0AMQB9AFwAbgBBAEUAXwBqACAAPQAgAHQAbwB0AGEAbAAgAG4AaQB0AHIAbwBnAGUAbgAgAGUAeABjAHIAZQB0AGUAZAAgAGIAeQAgAGUAYQBjAGgAIABjAGEAdAB0AGwAZQAgAGcAcgBvAHUAcAAgADoAIABrAGcAIABOAFwAbgBNAE0AUwBfAGoAbQA1AFQAMQAgAD0AIABmAHIAYQBjAHQAaQBvAG4AIABvAGYAIABtAGEAbgB1AHIAZQAgAGkAbgAgAHAAcgBpAG0AYQByAHkAIABzAHkAcwB0AGUAbQAgAGQAcgB5AGwAbwB0ACAATQBNAFMAIAA6ACAAZgByAGEAYwB0AGkAbwBuAFwAbgAtAC0ALQAtAC0ALQAtAC0ALQAtAC0ALQAtAC0ALQAtAC0ALQAtAC0ALQAtAC0ALQAtAC0ALQAtAC0ALQAtAC0ALQAtAC0ALQAtAC0AXABuACoALwBcAG4AXABuAFYARQBFAFIARwBfADQAXwAxAF8AMQBfADMAXwBfADIAXwBTAHQAYQBnAGUAMQBOAGkAdAByAG8AZwBlAG4ASQBuAE0ATQBTAEQAcgB5AGwAbwB0AFwAbgAgACAAPQBMAEEATQBCAEQAQQAoAFwAbgAgACAAIAAgAEEARQBfAGoALAAgAE0ATQBTAF8AagBtADUAVAAxACwAXABuACAAIAAgACAAQQBFAF8AagAgACoAIABNAE0AUwBfAGoAbQA1AFQAMQBcAG4AIAAgACkAOwBcAG4AXABuAFYARQBFAFIARwBfADQAXwAxAF8AMQBfADMAXwBfADIAXwBTAHQAYQBnAGUAMQBOAGkAdAByAG8AZwBlAG4ASQBuAE0ATQBTAEQAcgB5AGwAbwB0AF8AVABpAHQAbABlAFwAbgAgACAAPQBMAEEATQBCAEQAQQAoAFwAIgBOAGkAdAByAG8AZwBlAG4AIABpAG4AIAB0AHIAZQBhAHQAbQBlAG4AdAAgAHMAdABhAGcAZQAgADEAIABNAE0AUwBcACIAKQA7AFwAbgBcAG4AVgBFAEUAUgBHAF8ANABfADEAXwAxAF8AMwBfAF8AMgBfAFMAdABhAGcAZQAxAE4AaQB0AHIAbwBnAGUAbgBJAG4ATQBNAFMARAByAHkAbABvAHQAXwBWAGEAcgBpAGEAYgBsAGUAXABuACAAIAA9AEwAQQBNAEIARABBACgAXAAiAE0ATgBfAGoAbQA1AFQAMQBcACIAKQA7AFwAbgBcAG4AVgBFAEUAUgBHAF8ANABfADEAXwAxAF8AMwBfAF8AMgBfAFMAdABhAGcAZQAxAE4AaQB0AHIAbwBnAGUAbgBJAG4ATQBNAFMARAByAHkAbABvAHQAXwBVAG4AaQB0AFwAbgAgACAAPQBMAEEATQBCAEQAQQAoAFwAIgBrAGcAIABOAFwAIgApADsAXABuAFwAbgBWAEUARQBSAEcAXwA0AF8AMQBfADEAXwAzAF8AXwAyAF8AUwB0AGEAZwBlADEATgBpAHQAcgBvAGcAZQBuAEkAbgBNAE0AUwBEAHIAeQBsAG8AdABfAFMAbwB1AHIAYwBlAFwAbgAgACAAPQBMAEEATQBCAEQAQQAoAFwAIgBWAEUARQBSAEcAIAAyADAAMgA2ADoAIAA0AC4AMQAuADEALgAzACwAIABFAHEAdQBhAHQAaQBvAG4AIAAoADIAKQBcACIAKQA7AFwAbgBcAG4AVgBFAEUAUgBHAF8ANABfADEAXwAxAF8AMwBfAF8AMgBfAFMAdABhAGcAZQAxAE4AaQB0AHIAbwBnAGUAbgBJAG4ATQBNAFMARAByAHkAbABvAHQAXwBOAEkAUgBSAGUAZgBlAHIAZQBuAGMAZQBcAG4AIAAgAD0ATABBAE0AQgBEAEEAKABcACIAXAAiACkAOwBcAG4AXABuAFYARQBFAFIARwBfADQAXwAxAF8AMQBfADMAXwBfADIAXwBTAHQAYQBnAGUAMQBOAGkAdAByAG8AZwBlAG4ASQBuAE0ATQBTAEQAcgB5AGwAbwB0AF8ATABhAHQAZQB4AEUAcQB1AGEAdABpAG8AbgBcAG4AIAAgAD0ATABBAE0AQgBEAEEAKABcACIATQBOAF8AewBqAG0APQA1ACwAVAA9ADEAfQA9AEEARQBfAHsAagB9AFwAXAB0AGkAbQBlAHMAIABNAE0AUwBfAHsAagBtAD0ANQAsAFQAPQAxAH0AXAAiACkAOwBcAG4AXABuAFYARQBFAFIARwBfADQAXwAxAF8AMQBfADMAXwBfADIAXwBTAHQAYQBnAGUAMQBOAGkAdAByAG8AZwBlAG4ASQBuAE0ATQBTAEQAcgB5AGwAbwB0AF8AQQByAGcAdQBtAGUAbgB0AHMAXABuACAAIAA9AEwAQQBNAEIARABBACgAXABuACAAIAAgACAATQBBAEsARQBBAFIAUgBBAFkAKAAyACwAIAAyACwAXABuACAAIAAgACAAIAAgAEwAQQBNAEIARABBACgAcgAsAGMALABcAG4AIAAgACAAIAAgACAAIAAgAEkATgBEAEUAWAAoAHsAXABuACAAIAAgACAAIAAgACAAIAAgACAAXAAiAEEARQBfAGoAXAAiACwAXAAiAHQAbwB0AGEAbAAgAG4AaQB0AHIAbwBnAGUAbgAgAGUAeABjAHIAZQB0AGUAZAAgAGIAeQAgAGUAYQBjAGgAIABjAGEAdAB0AGwAZQAgAGcAcgBvAHUAcAAgADoAIABrAGcAIABOAFwAIgA7AFwAbgAgACAAIAAgACAAIAAgACAAIAAgAFwAIgBNAE0AUwBfAGoAbQA1AFQAMQBcACIALABcACIAZgByAGEAYwB0AGkAbwBuACAAbwBmACAAbQBhAG4AdQByAGUAIABpAG4AIABwAHIAaQBtAGEAcgB5ACAAcwB5AHMAdABlAG0AIABkAHIAeQBsAG8AdAAgAE0AT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MgAsAFwAbgAgACAAIAAgACAAIABMAEEATQBCAEQAQQAoAHIALABjACwAXABuACAAIAAgACAAIAAgACAAIABJAE4ARABFAFgAKAB7AFwAbgAgACAAIAAgACAAIAAgACAAIAAgAFwAIgBOAF8AagBcACIALABcACIAbgB1AG0AYgBlAHIAIABvAGYAIABjAGEAdAB0AGwAZQAgAGkAbgAgAGUAYQBjAGgAIABnAHIAbwB1AHAAIAA6ACAAaABlAGEAZABcACIAOwBcAG4AIAAgACAAIAAgACAAIAAgACAAIABcACIATgBFAF8AagBcACIALABcACIAbgBpAHQAcgBvAGcAZQBuACAAZQB4AGMAcgBlAHQAaQBvAG4AIAA6ACAAawBnACAATgAvAGgAZQBhAGQALwBkAGEAeQBcACIAOwBcAG4AIAAgACAAIAAgACAAIAAgACAAIABcACIARABfAGoAXAAiACwAXAAiAGQAdQByAGEAdABpAG8AbgAgAG8AZgAgAHMAdABhAHkAIABvAGYAIABjAGEAdAB0AGwAZQAgAGcAcgBvAHUAcAAgADoAIABkAGEAeQBz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QAXwBOAGkAdAByAG8AZwBlAG4ARQB4AGMAcgBlAHQAaQBvAG4AUABlAHIASABlAGEAZABcAG4ATgBpAHQAcgBvAGcAZQBuACAAZQB4AGMAcgBlAHQAaQBvAG4AIABwAGUAcgAgAGgAZQBhAGQAIABwAGUAcgAgAGQAYQB5AFwAbgBOAEUAXwBqAFwAbgBrAGcAIABOAC8AaABlAGEAZAAvAGQAYQB5AFwAbgBOAEUAXwB7AGoAfQA9AE4ASQBfAHsAagB9AFwAXAB0AGkAbQBlAHMAKAAxAC0ATgBSAF8AewBqAH0AKQBcAG4ATgBJAF8AagAgAD0AIABuAGkAdAByAG8AZwBlAG4AIABpAG4AdABhAGsAZQAgADoAIABrAGcAIABOAC8AaABlAGEAZAAvAGQAYQB5AFwAbgBOAFIAXwBq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xAF8AMQBfADMAXwBfADQAXwBOAGkAdAByAG8AZwBlAG4ARQB4AGMAcgBlAHQAaQBvAG4AUABlAHIASABlAGEAZABcAG4AIAAgAD0ATABBAE0AQgBEAEEAKABcAG4AIAAgACAAIABOAEkAXwBqACwAIABOAFIAXwBqACwAXABuACAAIAAgACAATgBJAF8AagAgACoAIAAoADEAIAAtACAATgBSAF8AagApAFwAbgAgACAAKQA7AFwAbgBcAG4AVgBFAEUAUgBHAF8ANABfADEAXwAxAF8AMwBfAF8ANABfAE4AaQB0AHIAbwBnAGUAbgBFAHgAYwByAGUAdABpAG8AbgBQAGUAcgBIAGUAYQBkAF8AVABpAHQAbABlAFwAbgAgACAAPQBMAEEATQBCAEQAQQAoAFwAIgBOAGkAdAByAG8AZwBlAG4AIABlAHgAYwByAGUAdABpAG8AbgAgAHAAZQByACAAaABlAGEAZAAgAHAAZQByACAAZABhAHkAXAAiACkAOwBcAG4AXABuAFYARQBFAFIARwBfADQAXwAxAF8AMQBfADMAXwBfADQAXwBOAGkAdAByAG8AZwBlAG4ARQB4AGMAcgBlAHQAaQBvAG4AUABlAHIASABlAGEAZABfAFYAYQByAGkAYQBiAGwAZQBcAG4AIAAgAD0ATABBAE0AQgBEAEEAKABcACIATgBFAF8AagBcACIAKQA7AFwAbgBcAG4AVgBFAEUAUgBHAF8ANABfADEAXwAxAF8AMwBfAF8ANABfAE4AaQB0AHIAbwBnAGUAbgBFAHgAYwByAGUAdABpAG8AbgBQAGUAcgBIAGUAYQBkAF8AVQBuAGkAdABcAG4AIAAgAD0ATABBAE0AQgBEAEEAKABcACIAawBnACAATgAvAGgAZQBhAGQALwBkAGEAeQBcACIAKQA7AFwAbgBcAG4AVgBFAEUAUgBHAF8ANABfADEAXwAxAF8AMwBfAF8ANABfAE4AaQB0AHIAbwBnAGUAbgBFAHgAYwByAGUAdABpAG8AbgBQAGUAcgBIAGUAYQBkAF8AUwBvAHUAcgBjAGUAXABuACAAIAA9AEwAQQBNAEIARABBACgAXAAiAFYARQBFAFIARwAgADIAMAAyADYAOgAgADQALgAxAC4AMQAuADMALAAgAEUAcQB1AGEAdABpAG8AbgAgACgANAApAFwAIgApADsAXABuAFwAbgBWAEUARQBSAEcAXwA0AF8AMQBfADEAXwAzAF8AXwA0AF8ATgBpAHQAcgBvAGcAZQBuAEUAeABjAHIAZQB0AGkAbwBuAFAAZQByAEgAZQBhAGQAXwBOAEkAUgBSAGUAZgBlAHIAZQBuAGMAZQBcAG4AIAAgAD0ATABBAE0AQgBEAEEAKABcACIAXAAiACkAOwBcAG4AXABuAFYARQBFAFIARwBfADQAXwAxAF8AMQBfADMAXwBfADQAXwBOAGkAdAByAG8AZwBlAG4ARQB4AGMAcgBlAHQAaQBvAG4AUABlAHIASABlAGEAZABfAEwAYQB0AGUAeABFAHEAdQBhAHQAaQBvAG4AXABuACAAIAA9AEwAQQBNAEIARABBACgAXAAiAE4ARQBfAHsAagB9AD0ATgBJAF8AewBqAH0AXABcAHQAaQBtAGUAcwAoADEALQBOAFIAXwB7AGoAfQApAFwAIgApADsAXABuAFwAbgBWAEUARQBSAEcAXwA0AF8AMQBfADEAXwAzAF8AXwA0AF8ATgBpAHQAcgBvAGcAZQBuAEUAeABjAHIAZQB0AGkAbwBuAFAAZQByAEgAZQBhAGQAXwBBAHIAZwB1AG0AZQBuAHQAcwBcAG4AIAAgAD0ATABBAE0AQgBEAEEAKABcAG4AIAAgACAAIABNAEEASwBFAEEAUgBSAEEAWQAoADIALAAgADIALABcAG4AIAAgACAAIAAgACAATABBAE0AQgBEAEEAKAByACwAYwAsAFwAbgAgACAAIAAgACAAIAAgACAASQBOAEQARQBYACgAewBcAG4AIAAgACAAIAAgACAAIAAgACAAIABcACIATgBJAF8AagBcACIALABcACIAbgBpAHQAcgBvAGcAZQBuACAAaQBuAHQAYQBrAGUAIAA6ACAAawBnACAATgAvAGgAZQBhAGQALwBkAGEAeQBcACIAOwBcAG4AIAAgACAAIAAgACAAIAAgACAAIABcACIATgBSAF8AagBcACIALABcACIAbgBpAHQAcgBvAGcAZQBuACAAcgBlAHQAZQBuAHQAaQBvAG4AIABlAHgAcAByAGUAcwBzAGUAZAAgAGEAcwAgAGEAIABmAHIAYQBjAHQAaQBvAG4AIABvAGYAIABpAG4AdABhAGsAZ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A6ACAAawBnACAARABNAC8AaABlAGEAZAAvAGQAYQB5AFwAIgA7AFwAbgAgACAAIAAgACAAIAAgACAAIAAgAFwAIgBDAFAAXwBqAFwAIgAsAFwAIgBjAHIAdQBkAGUAIABwAHIAbwB0AGUAaQBuACAAYwBvAG4AdABlAG4AdAAgAG8AZgAgAGYAZQBlAGQAIAA6ACAAZgByAGEAYwB0AGkAbwBuAFwAIgA7AFwAbgAgACAAIAAgACAAIAAgACAAIAAgAFwAIgA2AC4AMgA1AFwAIgAsAFwAIgBmAGEAYwB0AG8AcgAgAGYAbwByACAAYwBvAG4AdgBlAHIAdABpAG4AZwAgAGMAcgB1AGQAZQAgAHAAcgBvAHQAZQBpAG4AIABpAG4AdABvACAAbgBpAHQAcgBvAGcAZQBu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AgADoAIABrAGcAIABOAFwAIgA7AFwAbgAgACAAIAAgACAAIAAgACAAIAAgAFwAIgBNAE0AUwBfAGoAbQBUADIAXAAiACwAXAAiAGYAcgBhAGMAdABpAG8AbgAgAG8AZgAgAG0AYQBuAHUAcgBlACAAaQBuACAAZQBhAGMAaAAgAHMAZQBjAG8AbgBk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yACwAXABuACAAIAAgACAAIAAgAEwAQQBNAEIARABBACgAcgAsAGMALABcAG4AIAAgACAAIAAgACAAIAAgAEkATgBEAEUAWAAoAHsAXABuACAAIAAgACAAIAAgACAAIAAgACAAXAAiAE0ATgBfAGoAbQA1AFQAMQBcACIALABcACIAbgBpAHQAcgBvAGcAZQBuACAAaQBuACAATQBNAFMAIAB0AHIAZQBhAHQAbQBlAG4AdAAgAHMAdABhAGcAZQAgADEAIAA6ACAAawBnACAATgBcACIAOwBcAG4AIAAgACAAIAAgACAAIAAgACAAIABcACIARgByAGEAYwBHAEEAUwBNAF8AbQA1AFwAIgAsAFwAIgBmAHIAYQBjAHQAaQBvAG4AIABvAGYAIABOACAAdgBvAGwAYQB0AGkAbABpAHMAZQBkACAAZgByAG8AbQAgAGQAcgB5AGwAbwB0ACAATQBNAFMAIAA6ACAAZgByAGEAYwB0AGkAbwBuAFwAIgA7AFwAbgAgACAAIAAgACAAIAAgACAAIAAgAFwAIgBFAEYAXwBtADUAXAAiACwAXAAiAG4AaQB0AHIAbwB1AHMAIABvAHgAaQBkAGUAIABlAG0AaQBzAHMAaQBvAG4AIABmAGEAYwB0AG8AcgAgAGYAbwByACAAZAByAHkAbABvAHQAIABNAE0AUwAgADoAIABrAGcAIABOADIATwAtAE4ALwBrAGcAIABOACAAZABlAHAAbwBzAGkAdABlAGQAXAAiADsAXABuACAAIAAgACAAIAAgACAAIAAgACAAXAAiAE0ATgBfAGoAbQBUADMAXAAiACwAXAAiAG4AaQB0AHIAbwBnAGUAbgAgAGkAbgAgAE0ATQBTACAAdAByAGUAYQB0AG0AZQBuAHQAIABzAHQAYQBnAGUAIAAzACAAOgAgAGsAZwAgAE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EAVAAzAFwAIgAsAFwAIgBmAHIAYQBjAHQAaQBvAG4AIABvAGYAIABtAGEAbgB1AHIAZQAgAHQAbwAgAHQAZQByAHQAaQBhAHIAeQAgAGEAbgBhAGUAcgBvAGIAaQBjACAAbABhAGcAbwBvAG4AIABzAHkAcwB0AGUAbQAgADoAIABmAHIAYQBjAHQAaQBvAG4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wBfAFMAdABhAGcAZQAyAE0AZQB0AGgAYQBuAGUAUAByAG8AZAB1AGMAdABpAG8AbgAiACwAIgBNAE0AUwBfAEYAZQBlAGQAbABvAHQAXwBNAGUAdABoAGEAbgBlAF8ARQBxAHUAYQB0AGkAbwBuAHMALgBWAEUARQBSAEcAXwA0AF8AMQBfADEAXwAxAF8AXwAzAF8AUwB0AGEAZwBlADIATQBlAHQAaABhAG4AZQBQAHIAbwBkAHUAYwB0AGkAbwBuAF8AVABpAHQAbABlACIALAAiAE0ATQBTAF8ARgBlAGUAZABsAG8AdABfAE0AZQB0AGgAYQBuAGUAXwBFAHEAdQBhAHQAaQBvAG4AcwAuAFYARQBFAFIARwBfADQAXwAxAF8AMQBfADEAXwBfADMAXwBTAHQAYQBnAGUAMgBNAGUAdABoAGEAbgBlAFAAcgBvAGQAdQBjAHQAaQBvAG4AXwBWAGEAcgBpAGEAYgBsAGUAIgAsACIATQBNAFMAXwBGAGUAZQBkAGwAbwB0AF8ATQBlAHQAaABhAG4AZQBfAEUAcQB1AGEAdABpAG8AbgBzAC4AVgBFAEUAUgBHAF8ANABfADEAXwAxAF8AMQBfAF8AMwBfAFMAdABhAGcAZQAyAE0AZQB0AGgAYQBuAGUAUAByAG8AZAB1AGMAdABpAG8AbgBfAFUAbgBpAHQAIgAsACIATQBNAFMAXwBGAGUAZQBkAGwAbwB0AF8ATQBlAHQAaABhAG4AZQBfAEUAcQB1AGEAdABpAG8AbgBzAC4AVgBFAEUAUgBHAF8ANABfADEAXwAxAF8AMQBfAF8AMwBfAFMAdABhAGcAZQAyAE0AZQB0AGgAYQBuAGUAUAByAG8AZAB1AGMAdABpAG8AbgBfAFMAbwB1AHIAYwBlACIALAAiAE0ATQBTAF8ARgBlAGUAZABsAG8AdABfAE0AZQB0AGgAYQBuAGUAXwBFAHEAdQBhAHQAaQBvAG4AcwAuAFYARQBFAFIARwBfADQAXwAxAF8AMQBfADEAXwBfADMAXwBTAHQAYQBnAGUAMgBNAGUAdABoAGEAbgBlAFAAcgBvAGQAdQBjAHQAaQBvAG4AXwBOAEkAUgBSAGUAZgBlAHIAZQBuAGMAZQAiACwAIgBNAE0AUwBfAEYAZQBlAGQAbABvAHQAXwBNAGUAdABoAGEAbgBlAF8ARQBxAHUAYQB0AGkAbwBuAHMALgBWAEUARQBSAEcAXwA0AF8AMQBfADEAXwAxAF8AXwAzAF8AUwB0AGEAZwBlADIATQBlAHQAaABhAG4AZQBQAHIAbwBkAHUAYwB0AGkAbwBuAF8ATABhAHQAZQB4AEUAcQB1AGEAdABpAG8AbgAiACwAIgBNAE0AUwBfAEYAZQBlAGQAbABvAHQAXwBNAGUAdABoAGEAbgBlAF8ARQBxAHUAYQB0AGkAbwBuAHMALgBWAEUARQBSAEcAXwA0AF8AMQBfADEAXwAxAF8AXwAzAF8AUwB0AGEAZwBlADIATQBlAHQAaABhAG4AZQBQAHIAbwBkAHUAYwB0AGkAbwBuAF8AQQByAGcAdQBtAGUAbgB0AHM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2026-04-23T01:32:07Z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