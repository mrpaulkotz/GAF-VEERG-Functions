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FD2A442-2C9E-4A53-BFE0-2BB9EFB6460C}" xr6:coauthVersionLast="47" xr6:coauthVersionMax="47" xr10:uidLastSave="{00000000-0000-0000-0000-000000000000}"/>
  <bookViews>
    <workbookView xWindow="210" yWindow="120" windowWidth="37920" windowHeight="20415" firstSheet="1" activeTab="1" xr2:uid="{D37248E2-1193-4B5E-BE4F-D7532AB14CA0}"/>
  </bookViews>
  <sheets>
    <sheet name="Input - Site" sheetId="10" r:id="rId1"/>
    <sheet name="Input - Fertiliser" sheetId="7" r:id="rId2"/>
    <sheet name="Input - Feed - Dairy" sheetId="15" r:id="rId3"/>
    <sheet name="Input - Other Farm Inputs" sheetId="13" r:id="rId4"/>
    <sheet name="Input - Fuel" sheetId="5" r:id="rId5"/>
    <sheet name="Input - Electricity" sheetId="9" r:id="rId6"/>
    <sheet name="Input - Livestock" sheetId="17" r:id="rId7"/>
    <sheet name="Calcs - Scope 3 OLD" sheetId="12" r:id="rId8"/>
    <sheet name="Constants - Scope 3" sheetId="20" r:id="rId9"/>
    <sheet name="Calcs scope 3" sheetId="19" r:id="rId10"/>
    <sheet name="Constants - Common Livestock" sheetId="18" r:id="rId11"/>
    <sheet name="Sheet1" sheetId="1" r:id="rId12"/>
    <sheet name="Constants - Fertiliser" sheetId="6" r:id="rId13"/>
    <sheet name="Constants - Fuel" sheetId="4" r:id="rId14"/>
    <sheet name="Constants - Electricity" sheetId="8" r:id="rId15"/>
    <sheet name="Constants - Common" sheetId="3" r:id="rId16"/>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AtmosphericDeposition.VEERG_5_4_1_1__1_AtmosphericDepositionInorganicFertiliser">_xlfn.LAMBDA(_xlpm.Mvolinorganicjf,_xlpm.EFadj,_xlpm.CgN2O, CommonAgSoils_Equations.AgSoils_AtmosphericDeposition(_xlpm.Mvolinorganicjf, _xlpm.EFadj, _xlpm.CgN2O))</definedName>
    <definedName name="Fertiliser_Equations_AtmosphericDeposition.VEERG_5_4_1_1__1_AtmosphericDepositionInorganicFertiliser_Arguments">_xlfn.LAMBDA(_xlfn.MAKEARRAY(6, 2, _xlfn.LAMBDA(_xlpm.r,_xlpm.c, INDEX({"Mvolinorganicjf","Mass of nitrogen volatised from inorganic fertiliser applied to soils: kg N";"EFadj","Emission factor for atmospheric deposition : kg N2O-N/kg N";"CgN2O","Factor to convert elemental mass of nitrous oxide to molecular mass : dimensionless";"j","Production system";"f","Inorganic fertiliser type";"GWPN2O","Global warming potential for nitrous oxide : t CO2-e / t N2O"}, _xlpm.r, _xlpm.c))))</definedName>
    <definedName name="Fertiliser_Equations_AtmosphericDeposition.VEERG_5_4_1_1__1_AtmosphericDepositionInorganicFertiliser_GWP">_xlfn.LAMBDA(_xlpm.EN2Oad,_xlpm.GWPN2O, CommonAgSoils_Equations.AgSoils_AtmosphericDeposition_GWP(_xlpm.EN2Oad, _xlpm.GWPN2O))</definedName>
    <definedName name="Fertiliser_Equations_AtmosphericDeposition.VEERG_5_4_1_1__1_AtmosphericDepositionInorganicFertiliser_NIRReference">_xlfn.LAMBDA(CommonAgSoils_Equations.AgSoils_AtmosphericDeposition_NIRReference())</definedName>
    <definedName name="Fertiliser_Equations_AtmosphericDeposition.VEERG_5_4_1_1__1_AtmosphericDepositionInorganicFertiliser_ReadableEquation">_xlfn.LAMBDA("Eadinorganic = Mvolinorganicjf * EFadj * CgN2O * 10 ^ - 3")</definedName>
    <definedName name="Fertiliser_Equations_AtmosphericDeposition.VEERG_5_4_1_1__1_AtmosphericDepositionInorganicFertiliser_Source">_xlfn.LAMBDA("VEERG 2026: 5.4.1.1, Equation (1)")</definedName>
    <definedName name="Fertiliser_Equations_AtmosphericDeposition.VEERG_5_4_1_1__1_AtmosphericDepositionInorganicFertiliser_Title">_xlfn.LAMBDA("Nitrous oxide emissions from atmospheric deposition from all inorganic fertiliser types f and all production systems j")</definedName>
    <definedName name="Fertiliser_Equations_AtmosphericDeposition.VEERG_5_4_1_1__1_AtmosphericDepositionInorganicFertiliser_Unit">_xlfn.LAMBDA("t N2O")</definedName>
    <definedName name="Fertiliser_Equations_AtmosphericDeposition.VEERG_5_4_1_1__1_AtmosphericDepositionInorganicFertiliser_Variable">_xlfn.LAMBDA("Eadinorganic")</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1__2_MassVolatilisedInorganicFertiliser">_xlfn.LAMBDA(_xlpm.MNjf,_xlpm.FracGASFf, CommonAgSoils_Equations.Agsoils_MassVolatilisedInorganicFertiliser(_xlpm.MNjf, _xlpm.FracGASFf))</definedName>
    <definedName name="Fertiliser_Equations_AtmosphericDeposition.VEERG_5_4_1_1__2_MassVolatilisedInorganicFertiliser_Arguments">_xlfn.LAMBDA(_xlfn.MAKEARRAY(2, 2, _xlfn.LAMBDA(_xlpm.r,_xlpm.c, INDEX({"MNjf","Mass of nitrogen in inorganic fertiliser applied : kg N";"FracGASFf","Fraction of inorganic fertiliser that volatilises : (kg NH3-N + NOx-N)/kg N"}, _xlpm.r, _xlpm.c))))</definedName>
    <definedName name="Fertiliser_Equations_AtmosphericDeposition.VEERG_5_4_1_1__2_MassVolatilisedInorganicFertiliser_NIRReference">_xlfn.LAMBDA(CommonAgSoils_Equations.Agsoils_MassVolatilisedInorganicFertiliser_NIRReference())</definedName>
    <definedName name="Fertiliser_Equations_AtmosphericDeposition.VEERG_5_4_1_1__2_MassVolatilisedInorganicFertiliser_ReadableEquation">_xlfn.LAMBDA("Mvolinorganicjf = MNjf * FracGASFf")</definedName>
    <definedName name="Fertiliser_Equations_AtmosphericDeposition.VEERG_5_4_1_1__2_MassVolatilisedInorganicFertiliser_Source">_xlfn.LAMBDA("VEERG 2026: 5.4.1.1, Equation (2)")</definedName>
    <definedName name="Fertiliser_Equations_AtmosphericDeposition.VEERG_5_4_1_1__2_MassVolatilisedInorganicFertiliser_Title">_xlfn.LAMBDA("Mass of nitrogen volatilised from inorganic fertiliser")</definedName>
    <definedName name="Fertiliser_Equations_AtmosphericDeposition.VEERG_5_4_1_1__2_MassVolatilisedInorganicFertiliser_Unit">_xlfn.LAMBDA("kg N")</definedName>
    <definedName name="Fertiliser_Equations_AtmosphericDeposition.VEERG_5_4_1_1__2_MassVolatilisedInorganicFertiliser_Variable">_xlfn.LAMBDA("Mvolinorganicjf")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VEERG_5_1_1_1__1_InorganicFertiliserApplication">_xlfn.LAMBDA(_xlpm.MNjf,_xlpm.EFjN2O,_xlpm.CgN2O, _xlpm.MNjf * _xlpm.EFjN2O * _xlpm.CgN2O * 10 ^ -3)</definedName>
    <definedName name="Fertiliser_Equations_Inorganic.VEERG_5_1_1_1__1_InorganicFertiliserApplication_Arguments">_xlfn.LAMBDA(_xlfn.MAKEARRAY(6, 2, _xlfn.LAMBDA(_xlpm.r,_xlpm.c, INDEX({"MNjf","Mass of nitrogen in inorganic fertiliser type f applied to soils in production system j : kg N";"EFjN2O","Emission factor for nitrous oxide for inorganic fertilisers : kg N2O-N/kg N applied";"CgN2O","Factor to convert elemental mass of nitrous oxide to molecular mass : dimensionless";"j","Production system";"f","Inorganic fertiliser type";"GWPN2O","Global warming potential for nitrous oxide : t CO2-e / t N2O"}, _xlpm.r, _xlpm.c))))</definedName>
    <definedName name="Fertiliser_Equations_Inorganic.VEERG_5_1_1_1__1_InorganicFertiliserApplication_GWP">_xlfn.LAMBDA(_xlpm.EN2O,_xlpm.GWPN2O, (_xlpm.EN2O * _xlpm.GWPN2O))</definedName>
    <definedName name="Fertiliser_Equations_Inorganic.VEERG_5_1_1_1__1_InorganicFertiliserApplication_NIRReference">_xlfn.LAMBDA("National Inventory Report Volume 1, 2023: Equation 3.D.A_2")</definedName>
    <definedName name="Fertiliser_Equations_Inorganic.VEERG_5_1_1_1__1_InorganicFertiliserApplication_ReadableEquation">_xlfn.LAMBDA("EN2O = MNjf * EFjN2O * CgN2O * 10 ^ - 3")</definedName>
    <definedName name="Fertiliser_Equations_Inorganic.VEERG_5_1_1_1__1_InorganicFertiliserApplication_Source">_xlfn.LAMBDA("VEERG 2026: 5.1.1.1, Equation (1)")</definedName>
    <definedName name="Fertiliser_Equations_Inorganic.VEERG_5_1_1_1__1_InorganicFertiliserApplication_Title">_xlfn.LAMBDA("Nitrous oxide emissions from the application of all inorganic fertiliser types f to all production systems")</definedName>
    <definedName name="Fertiliser_Equations_Inorganic.VEERG_5_1_1_1__1_InorganicFertiliserApplication_Unit">_xlfn.LAMBDA("t CO2-e")</definedName>
    <definedName name="Fertiliser_Equations_Inorganic.VEERG_5_1_1_1__1_InorganicFertiliserApplication_Variable">_xlfn.LAMBDA("EN2O")</definedName>
    <definedName name="Fertiliser_Equations_Inorganic.VEERG_5_1_1_1__2_MassOfNitrogenInInorganicFertiliser">_xlfn.LAMBDA(_xlpm.TMjf,_xlpm.FNinorganicf, _xlpm.TMjf * _xlpm.FNinorganicf)</definedName>
    <definedName name="Fertiliser_Equations_Inorganic.VEERG_5_1_1_1__2_MassOfNitrogenInInorganicFertiliser_Arguments">_xlfn.LAMBDA(_xlfn.MAKEARRAY(5, 2, _xlfn.LAMBDA(_xlpm.r,_xlpm.c, INDEX({"TMjf","Total mass of inorganic fertiliser type f applied to production system j : kg";"FNinorganicf","Fraction of nitrogen in inorganic fertiliser type f : kg N/kg";"j","Production system";"inorganic","Inorganic fertiliser";"f","Fertiliser type"}, _xlpm.r, _xlpm.c))))</definedName>
    <definedName name="Fertiliser_Equations_Inorganic.VEERG_5_1_1_1__2_MassOfNitrogenInInorganicFertiliser_NIRReference">_xlfn.LAMBDA("National Inventory Report Volume 1, 2023: Equation 3.D.A_1")</definedName>
    <definedName name="Fertiliser_Equations_Inorganic.VEERG_5_1_1_1__2_MassOfNitrogenInInorganicFertiliser_ReadableEquation">_xlfn.LAMBDA("MNjf = TMjf * FNinorganicf")</definedName>
    <definedName name="Fertiliser_Equations_Inorganic.VEERG_5_1_1_1__2_MassOfNitrogenInInorganicFertiliser_Source">_xlfn.LAMBDA("VEERG 2026: 5.1.1.1, Equation (2)")</definedName>
    <definedName name="Fertiliser_Equations_Inorganic.VEERG_5_1_1_1__2_MassOfNitrogenInInorganicFertiliser_Title">_xlfn.LAMBDA("Mass of nitrogen in inorganic fertiliser applied to soil")</definedName>
    <definedName name="Fertiliser_Equations_Inorganic.VEERG_5_1_1_1__2_MassOfNitrogenInInorganicFertiliser_Unit">_xlfn.LAMBDA("kg N")</definedName>
    <definedName name="Fertiliser_Equations_Inorganic.VEERG_5_1_1_1__2_MassOfNitrogenInInorganicFertiliser_Variable">_xlfn.LAMBDA("MNjf")</definedName>
    <definedName name="Fertiliser_Equations_Inorganic.VEERG_5_1_1_3__1_UreaFertiliserApplication">_xlfn.LAMBDA(_xlpm.MUjf,_xlpm.EFureaCO2,_xlpm.CgCO2, _xlpm.MUjf * _xlpm.EFureaCO2 * _xlpm.CgCO2 * 10 ^ -3)</definedName>
    <definedName name="Fertiliser_Equations_Inorganic.VEERG_5_1_1_3__1_UreaFertiliserApplication_Arguments">_xlfn.LAMBDA(_xlfn.MAKEARRAY(5, 2, _xlfn.LAMBDA(_xlpm.r,_xlpm.c, INDEX({"MUjf","Mass of urea of inorganic fertiliser type f applied to production system j : kg urea";"EFureaCO2","Emission factor for carbon emissions from urea-based fertilisers : kg C/kg urea";"CgCO2","Factor to convert elemental mass of carbon dioxide to molecular mass : dimensionless";"j","Production system";"f","Fertiliser type"}, _xlpm.r, _xlpm.c))))</definedName>
    <definedName name="Fertiliser_Equations_Inorganic.VEERG_5_1_1_3__1_UreaFertiliserApplication_LatexEquation">_xlfn.LAMBDA("E_{jf,CO2}={MU}_{jf}\times EF_{urea,CO2}\ \times\ C_{g,CO2}\times{10}^{-3}")</definedName>
    <definedName name="Fertiliser_Equations_Inorganic.VEERG_5_1_1_3__1_UreaFertiliserApplication_NIRReference">_xlfn.LAMBDA("National Inventory Report Volume 1, 2023: Equation 3.H_1")</definedName>
    <definedName name="Fertiliser_Equations_Inorganic.VEERG_5_1_1_3__1_UreaFertiliserApplication_ReadableEquation">_xlfn.LAMBDA("EjfCO2 = MUjf x EFureaCO2 x CgCO2 x 10^-3")</definedName>
    <definedName name="Fertiliser_Equations_Inorganic.VEERG_5_1_1_3__1_UreaFertiliserApplication_Source">_xlfn.LAMBDA("VEERG 2026: 5.1.1.3, Equation (1)")</definedName>
    <definedName name="Fertiliser_Equations_Inorganic.VEERG_5_1_1_3__1_UreaFertiliserApplication_Title">_xlfn.LAMBDA("Carbon dioxide emissions resulting from the use of inorganic, urea-based fertilisers")</definedName>
    <definedName name="Fertiliser_Equations_Inorganic.VEERG_5_1_1_3__1_UreaFertiliserApplication_Unit">_xlfn.LAMBDA("t CO2")</definedName>
    <definedName name="Fertiliser_Equations_Inorganic.VEERG_5_1_1_3__1_UreaFertiliserApplication_Variable">_xlfn.LAMBDA("EjfCO2")</definedName>
    <definedName name="Fertiliser_Equations_Inorganic.VEERG_5_1_1_3__2_MassOfUreaAppliedToSoils">_xlfn.LAMBDA(_xlpm.TMjf,_xlpm.FUf, _xlpm.TMjf * _xlpm.FUf)</definedName>
    <definedName name="Fertiliser_Equations_Inorganic.VEERG_5_1_1_3__2_MassOfUreaAppliedToSoils_Arguments">_xlfn.LAMBDA(_xlfn.MAKEARRAY(4, 2, _xlfn.LAMBDA(_xlpm.r,_xlpm.c, INDEX({"TMjf","the total mass of inorganic fertiliser type f applied to production system j : kg";"FUf","the fraction of urea in fertiliser type f : kg urea/kg";"j","Production system";"f","Fertiliser type"}, _xlpm.r, _xlpm.c))))</definedName>
    <definedName name="Fertiliser_Equations_Inorganic.VEERG_5_1_1_3__2_MassOfUreaAppliedToSoils_NIRReference">_xlfn.LAMBDA("")</definedName>
    <definedName name="Fertiliser_Equations_Inorganic.VEERG_5_1_1_3__2_MassOfUreaAppliedToSoils_ReadableEquation">_xlfn.LAMBDA("MUjf = TMjf × FUf")</definedName>
    <definedName name="Fertiliser_Equations_Inorganic.VEERG_5_1_1_3__2_MassOfUreaAppliedToSoils_Source">_xlfn.LAMBDA("VEERG 2026: 5.1.1.3, Equation (2)")</definedName>
    <definedName name="Fertiliser_Equations_Inorganic.VEERG_5_1_1_3__2_MassOfUreaAppliedToSoils_Title">_xlfn.LAMBDA("Mass of urea applied to soils")</definedName>
    <definedName name="Fertiliser_Equations_Inorganic.VEERG_5_1_1_3__2_MassOfUreaAppliedToSoils_Unit">_xlfn.LAMBDA("kg urea")</definedName>
    <definedName name="Fertiliser_Equations_Inorganic.VEERG_5_1_1_3__2_MassOfUreaAppliedToSoils_Variable">_xlfn.LAMBDA("MUjf")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_Arguments">_xlfn.LAMBDA(_xlfn.MAKEARRAY(8, 2, _xlfn.LAMBDA(_xlpm.r,_xlpm.c, INDEX({"Mlime","The total mass of lime applied to soils : kg";"FracLime","The fraction of lime as limestone (CaCO3) : dimensionless";"Plime","Fractional purity of limestone : dimensionless";"EFlime","Emission factor for limestone fraction of lime : kg C/kg";"FracDol","The fraction of lime as dolomite : dimensionless";"PPdol","Fractional purity of dolomite : dimensionless";"EFdol","Emission factor for dolomite fraction of lime : kg C/kg";"CgCO2","Factor to convert elemental mass of carbon dioxide to molecular mass : dimensionless"}, _xlpm.r, _xlpm.c))))</definedName>
    <definedName name="Fertiliser_Equations_Lime.VEERG_5_3_1_1__1_LimeApplication_NIRReference">_xlfn.LAMBDA("National Inventory Report Volume 1, 2023: Equation 3G_1")</definedName>
    <definedName name="Fertiliser_Equations_Lime.VEERG_5_3_1_1__1_LimeApplication_ReadableEquation">_xlfn.LAMBDA("Elime = ((Mlime *  FracLime * Plime * EFlime) + (Mlime * FracDol * Pdol * EFdol)) * CgCO2 * 10^-3")</definedName>
    <definedName name="Fertiliser_Equations_Lime.VEERG_5_3_1_1__1_LimeApplication_Source">_xlfn.LAMBDA("VEERG 2026: 5.3.1.1, Equation (1)")</definedName>
    <definedName name="Fertiliser_Equations_Lime.VEERG_5_3_1_1__1_LimeApplication_Title">_xlfn.LAMBDA("The emissions from the application of lime and dolomite to soils")</definedName>
    <definedName name="Fertiliser_Equations_Lime.VEERG_5_3_1_1__1_LimeApplication_Unit">_xlfn.LAMBDA("t CO2")</definedName>
    <definedName name="Fertiliser_Equations_Lime.VEERG_5_3_1_1__1_LimeApplication_Variable">_xlfn.LAMBDA("Elime")</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1_OrganicFertiliserApplication">_xlfn.LAMBDA(_xlpm.MNSoiljf,_xlpm.EFiN2O,_xlpm.CgN2O, _xlpm.MNSoiljf * _xlpm.EFiN2O * _xlpm.CgN2O * 10 ^ -3)</definedName>
    <definedName name="Fertiliser_Equations_Organic.VEERG_5_2_1_1__1_OrganicFertiliserApplication_Arguments">_xlfn.LAMBDA(_xlfn.MAKEARRAY(7, 2, _xlfn.LAMBDA(_xlpm.r,_xlpm.c, INDEX({"MNSoiljf","mass of nitrogen in organic fertiliser type f applied to soils in production system j : kg N";"EFiN2O","emission factor for direct nitrous oxide emissions from organic fertiliser applied to soils : kg N2O-N/kg N";"CgN2O","Factor to convert elemental mass of nitrous oxide to molecular mass : dimensionless";"j","Production system";"f","Organic fertiliser type";"i","Climate zone";"GWPN2O","Global warming potential for nitrous oxide : t CO2-e / t N2O"}, _xlpm.r, _xlpm.c))))</definedName>
    <definedName name="Fertiliser_Equations_Organic.VEERG_5_2_1_1__1_OrganicFertiliserApplication_GWP">_xlfn.LAMBDA(_xlpm.EN2O,_xlpm.GWPN2O, (_xlpm.EN2O * _xlpm.GWPN2O))</definedName>
    <definedName name="Fertiliser_Equations_Organic.VEERG_5_2_1_1__1_OrganicFertiliserApplication_NIRReference">_xlfn.LAMBDA("National Inventory Report Volume 1, 2023: Equation 3.D.A_4")</definedName>
    <definedName name="Fertiliser_Equations_Organic.VEERG_5_2_1_1__1_OrganicFertiliserApplication_ReadableEquation">_xlfn.LAMBDA("EN2O = MNSoiljf * EFiN2O * CgN2O * 10 ^ - 3")</definedName>
    <definedName name="Fertiliser_Equations_Organic.VEERG_5_2_1_1__1_OrganicFertiliserApplication_Source">_xlfn.LAMBDA("VEERG 2026: 5.2.1.1, Equation (1)")</definedName>
    <definedName name="Fertiliser_Equations_Organic.VEERG_5_2_1_1__1_OrganicFertiliserApplication_Title">_xlfn.LAMBDA("Nitrous oxide emissions from organic fertilisers applied to soils for all organic fertiliser types f and all production systems j")</definedName>
    <definedName name="Fertiliser_Equations_Organic.VEERG_5_2_1_1__1_OrganicFertiliserApplication_Unit">_xlfn.LAMBDA("t CO2-e")</definedName>
    <definedName name="Fertiliser_Equations_Organic.VEERG_5_2_1_1__1_OrganicFertiliserApplication_Variable">_xlfn.LAMBDA("EN2O")</definedName>
    <definedName name="Fertiliser_Equations_Organic.VEERG_5_2_1_1__2_MassOfNitrogenInOrganicFertiliser">_xlfn.LAMBDA(_xlpm.Morganicjf,_xlpm.FNorganicf, _xlpm.Morganicjf * _xlpm.FNorganicf)</definedName>
    <definedName name="Fertiliser_Equations_Organic.VEERG_5_2_1_1__2_MassOfNitrogenInOrganicFertiliser_Arguments">_xlfn.LAMBDA(_xlfn.MAKEARRAY(2, 2, _xlfn.LAMBDA(_xlpm.r,_xlpm.c, INDEX({"Morganicjf","mass of organic fertiliser type f applied to soils in production system j : kg";"FNorganicf","nitrogen fraction of organic fertiliser type f : kg N/kg"}, _xlpm.r, _xlpm.c))))</definedName>
    <definedName name="Fertiliser_Equations_Organic.VEERG_5_2_1_1__2_MassOfNitrogenInOrganicFertiliser_NIRReference">_xlfn.LAMBDA("")</definedName>
    <definedName name="Fertiliser_Equations_Organic.VEERG_5_2_1_1__2_MassOfNitrogenInOrganicFertiliser_ReadableEquation">_xlfn.LAMBDA("MNSoiljf = Morganicjf * FNorganicf")</definedName>
    <definedName name="Fertiliser_Equations_Organic.VEERG_5_2_1_1__2_MassOfNitrogenInOrganicFertiliser_Source">_xlfn.LAMBDA("VEERG 2026: 5.2.1.1, Equation (2)")</definedName>
    <definedName name="Fertiliser_Equations_Organic.VEERG_5_2_1_1__2_MassOfNitrogenInOrganicFertiliser_Title">_xlfn.LAMBDA("Mass of nitrogen in purchased organic fertilisers applied to soils")</definedName>
    <definedName name="Fertiliser_Equations_Organic.VEERG_5_2_1_1__2_MassOfNitrogenInOrganicFertiliser_Unit">_xlfn.LAMBDA("kg")</definedName>
    <definedName name="Fertiliser_Equations_Organic.VEERG_5_2_1_1__2_MassOfNitrogenInOrganicFertiliser_Variable">_xlfn.LAMBDA("MNSoiljf")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ReadableEquation">_xlfn.LAMBDA("E = Q * EC * EF * 10 ^ - 3")</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ReadableEquation">_xlfn.LAMBDA("E = Q * EC * EF * 10 ^ - 3")</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Equations.VEERG_8_X_FuelCombustionGeneric">_xlfn.LAMBDA(_xlpm.Q_GCq,_xlpm.EC_GCq,_xlpm.EF_GC1qg, Fuel_Equations.VEERG_8_FuelCombustion(_xlpm.Q_GCq, _xlpm.EC_GCq, _xlpm.EF_GC1qg))</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ReadableEquation">_xlfn.LAMBDA("E = Q * EC * EF * 10 ^ - 3")</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Equations.VEERG_8_X_FuelCombustionGeneric_Variation">_xlfn.LAMBDA("VARIATION ON SOURCE: This calculation uses averages of transport and stationary emission factors for fuel combustion where the usage is not known.")</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Feedlot_Methane.VEERG_4_1_1_1__1_TotalAnnualMethaneEmissions">_xlfn.LAMBDA(_xlpm.Dj,_xlpm.MjmT,_xlpm.Nj, SUMPRODUCT(_xlpm.Dj, _xlpm.MjmT, _xlpm.Nj) * 10 ^ -3)</definedName>
    <definedName name="ManureManagement_Feedlot_Methane.VEERG_4_1_1_1__1_TotalAnnualMethaneEmissions_Arguments">_xlfn.LAMBDA(_xlfn.MAKEARRAY(3, 2, _xlfn.LAMBDA(_xlpm.r,_xlpm.c, INDEX({"Dj","length of stay of each cattle group : days";"MjmT","methane production from manure per cattle group, MMS, and treatment stage : kg CH4/head/day";"Nj","numbers of beef cattle in each group : head"}, _xlpm.r, _xlpm.c))))</definedName>
    <definedName name="ManureManagement_Feedlot_Methane.VEERG_4_1_1_1__1_TotalAnnualMethaneEmissions_LatexEquation">_xlfn.LAMBDA("{E}_{CH4}=\sum_{j}\sum_{m}\sum_{T}(D_{j}\times M_{jmT}\times N_{j})\times10^{-3}")</definedName>
    <definedName name="ManureManagement_Feedlot_Methane.VEERG_4_1_1_1__1_TotalAnnualMethaneEmissions_NIRReference">_xlfn.LAMBDA("")</definedName>
    <definedName name="ManureManagement_Feedlot_Methane.VEERG_4_1_1_1__1_TotalAnnualMethaneEmissions_Source">_xlfn.LAMBDA("VEERG 2026: 4.1.1.1, Equation (1)")</definedName>
    <definedName name="ManureManagement_Feedlot_Methane.VEERG_4_1_1_1__1_TotalAnnualMethaneEmissions_Title">_xlfn.LAMBDA("Total annual methane emissions from manure management")</definedName>
    <definedName name="ManureManagement_Feedlot_Methane.VEERG_4_1_1_1__1_TotalAnnualMethaneEmissions_Unit">_xlfn.LAMBDA("t CH4")</definedName>
    <definedName name="ManureManagement_Feedlot_Methane.VEERG_4_1_1_1__1_TotalAnnualMethaneEmissions_Variable">_xlfn.LAMBDA("ECH4")</definedName>
    <definedName name="ManureManagement_Feedlot_Methane.VEERG_4_1_1_1__2_Stage1MethaneProductionDrylot">_xlfn.LAMBDA(_xlpm.VSj,_xlpm.BO,_xlpm.MMSm5T1,_xlpm.MCFim5,_xlpm.rho, _xlfn.LET(_xlpm.MCFim5, IF(ISNUMBER(_xlpm.MCFim5), _xlpm.MCFim5, 0), _xlpm.VSj * _xlpm.BO * _xlpm.MMSm5T1 * _xlpm.MCFim5 * _xlpm.rho))</definedName>
    <definedName name="ManureManagement_Feedlot_Methane.VEERG_4_1_1_1__2_Stage1MethaneProductionDrylot_Arguments">_xlfn.LAMBDA(_xlfn.MAKEARRAY(6, 2, _xlfn.LAMBDA(_xlpm.r,_xlpm.c, INDEX({"VSj","volatile solid production from feedlot cattle in each group : kg/head/day";"BO","emissions potential : m3 CH4/kg VS";"MMSm5T1","fraction of manure in primary system drylot MMS : fraction";"MCFim5","methane conversion factor for temperature zone and drylot system : fraction";"rho","density of methane : kg/m3";"i","state"}, _xlpm.r, _xlpm.c))))</definedName>
    <definedName name="ManureManagement_Feedlot_Methane.VEERG_4_1_1_1__2_Stage1MethaneProductionDrylot_LatexEquation">_xlfn.LAMBDA("M_{jm=5,T=1}=VS_{j}\times BO\times MMS_{m=5,T=1}\times MCF_{im=5}\times \rho")</definedName>
    <definedName name="ManureManagement_Feedlot_Methane.VEERG_4_1_1_1__2_Stage1MethaneProductionDrylot_NIRReference">_xlfn.LAMBDA("")</definedName>
    <definedName name="ManureManagement_Feedlot_Methane.VEERG_4_1_1_1__2_Stage1MethaneProductionDrylot_Source">_xlfn.LAMBDA("VEERG 2026: 4.1.1.1, Equation (2)")</definedName>
    <definedName name="ManureManagement_Feedlot_Methane.VEERG_4_1_1_1__2_Stage1MethaneProductionDrylot_Title">_xlfn.LAMBDA("Production of methane in treatment stage 1 MMS")</definedName>
    <definedName name="ManureManagement_Feedlot_Methane.VEERG_4_1_1_1__2_Stage1MethaneProductionDrylot_Unit">_xlfn.LAMBDA("kg CH4/head/day")</definedName>
    <definedName name="ManureManagement_Feedlot_Methane.VEERG_4_1_1_1__2_Stage1MethaneProductionDrylot_Variable">_xlfn.LAMBDA("Mjm5T1")</definedName>
    <definedName name="ManureManagement_Feedlot_Methane.VEERG_4_1_1_1__3_Stage2MethaneProduction">_xlfn.LAMBDA(_xlpm.VSL,_xlpm.VSj,_xlpm.BO,_xlpm.MMSmT2,_xlpm.MCFim,_xlpm.rho, (1 - _xlpm.VSL) * _xlpm.VSj * _xlpm.BO * _xlpm.MMSmT2 * _xlpm.MCFim * _xlpm.rho)</definedName>
    <definedName name="ManureManagement_Feedlot_Methane.VEERG_4_1_1_1__3_Stage2MethaneProduction_Arguments">_xlfn.LAMBDA(_xlfn.MAKEARRAY(7, 2, _xlfn.LAMBDA(_xlpm.r,_xlpm.c, INDEX({"VSL","fraction of volatile solids lost during storage in the primary system : fraction";"VSj","volatile solid production from feedlot cattle in each group : kg/head/day";"BO","emissions potential : m3 CH4/kg VS";"MMSmT2","fraction of manure in each secondary system : fraction";"MCFim","methane conversion factor for temperature zone and MMS : fraction";"rho","density of methane : kg/m3";"i","state"}, _xlpm.r, _xlpm.c))))</definedName>
    <definedName name="ManureManagement_Feedlot_Methane.VEERG_4_1_1_1__3_Stage2MethaneProduction_LatexEquation">_xlfn.LAMBDA("M_{jmT=2}=(1-VSL)\times VS_{j}\times BO\times MMS_{mT=2}\times MCF_{im}\times \rho")</definedName>
    <definedName name="ManureManagement_Feedlot_Methane.VEERG_4_1_1_1__3_Stage2MethaneProduction_NIRReference">_xlfn.LAMBDA("")</definedName>
    <definedName name="ManureManagement_Feedlot_Methane.VEERG_4_1_1_1__3_Stage2MethaneProduction_Source">_xlfn.LAMBDA("VEERG 2026: 4.1.1.1, Equation (3)")</definedName>
    <definedName name="ManureManagement_Feedlot_Methane.VEERG_4_1_1_1__3_Stage2MethaneProduction_Title">_xlfn.LAMBDA("Production of methane in treatment stage 2 MMS")</definedName>
    <definedName name="ManureManagement_Feedlot_Methane.VEERG_4_1_1_1__3_Stage2MethaneProduction_Unit">_xlfn.LAMBDA("kg CH4/head/day")</definedName>
    <definedName name="ManureManagement_Feedlot_Methane.VEERG_4_1_1_1__3_Stage2MethaneProduction_Variable">_xlfn.LAMBDA("MjmT2")</definedName>
    <definedName name="ManureManagement_Feedlot_Methane.VEERG_4_1_1_1__4_Stage3MethaneProductionAnaerobicLagoon">_xlfn.LAMBDA(_xlpm.VSj,_xlpm.BO,_xlpm.MMSm1T3,_xlpm.MCFim1,_xlpm.rho, _xlpm.VSj * _xlpm.BO * _xlpm.MMSm1T3 * _xlpm.MCFim1 * _xlpm.rho)</definedName>
    <definedName name="ManureManagement_Feedlot_Methane.VEERG_4_1_1_1__4_Stage3MethaneProductionAnaerobicLagoon_Arguments">_xlfn.LAMBDA(_xlfn.MAKEARRAY(6, 2, _xlfn.LAMBDA(_xlpm.r,_xlpm.c, INDEX({"VSj","volatile solid production from feedlot cattle in each group : kg/head/day";"BO","emissions potential : m3 CH4/kg VS";"MMSm1T3","fraction of manure to tertiary anaerobic lagoon system : fraction";"MCFim1","methane conversion factor for temperature zone and anaerobic lagoon system : fraction";"rho","density of methane : kg/m3";"i","state"}, _xlpm.r, _xlpm.c))))</definedName>
    <definedName name="ManureManagement_Feedlot_Methane.VEERG_4_1_1_1__4_Stage3MethaneProductionAnaerobicLagoon_LatexEquation">_xlfn.LAMBDA("M_{jm=1,T=3}=VS_{j}\times BO\times MMS_{m=1,T=3}\times MCF_{im=1}\times \rho")</definedName>
    <definedName name="ManureManagement_Feedlot_Methane.VEERG_4_1_1_1__4_Stage3MethaneProductionAnaerobicLagoon_NIRReference">_xlfn.LAMBDA("")</definedName>
    <definedName name="ManureManagement_Feedlot_Methane.VEERG_4_1_1_1__4_Stage3MethaneProductionAnaerobicLagoon_Source">_xlfn.LAMBDA("VEERG 2026: 4.1.1.1, Equation (4)")</definedName>
    <definedName name="ManureManagement_Feedlot_Methane.VEERG_4_1_1_1__4_Stage3MethaneProductionAnaerobicLagoon_Title">_xlfn.LAMBDA("Production of methane in treatment stage 3 MMS")</definedName>
    <definedName name="ManureManagement_Feedlot_Methane.VEERG_4_1_1_1__4_Stage3MethaneProductionAnaerobicLagoon_Unit">_xlfn.LAMBDA("kg CH4/head/day")</definedName>
    <definedName name="ManureManagement_Feedlot_Methane.VEERG_4_1_1_1__4_Stage3MethaneProductionAnaerobicLagoon_Variable">_xlfn.LAMBDA("Mjm1T3")</definedName>
    <definedName name="ManureManagement_Feedlot_Methane.VEERG_4_1_1_1__5_VolatileSolidProduction">_xlfn.LAMBDA(_xlpm.Ij,_xlpm.DMDj,_xlpm.A, _xlpm.Ij * (1 - _xlpm.DMDj) * (1 - _xlpm.A))</definedName>
    <definedName name="ManureManagement_Feedlot_Methane.VEERG_4_1_1_1__5_VolatileSolidProduction_Arguments">_xlfn.LAMBDA(_xlfn.MAKEARRAY(3, 2, _xlfn.LAMBDA(_xlpm.r,_xlpm.c, INDEX({"Ij","dry matter intake for each group : kg DM/head/day";"DMDj","dry matter digestibility for each group : fraction";"A","ash content of manure : fraction"}, _xlpm.r, _xlpm.c))))</definedName>
    <definedName name="ManureManagement_Feedlot_Methane.VEERG_4_1_1_1__5_VolatileSolidProduction_LatexEquation">_xlfn.LAMBDA("VS_{j}=I_{j}\times(1-DMD_{j})\times(1-A)")</definedName>
    <definedName name="ManureManagement_Feedlot_Methane.VEERG_4_1_1_1__5_VolatileSolidProduction_NIRReference">_xlfn.LAMBDA("")</definedName>
    <definedName name="ManureManagement_Feedlot_Methane.VEERG_4_1_1_1__5_VolatileSolidProduction_Source">_xlfn.LAMBDA("VEERG 2026: 4.1.1.1, Equation (5)")</definedName>
    <definedName name="ManureManagement_Feedlot_Methane.VEERG_4_1_1_1__5_VolatileSolidProduction_Title">_xlfn.LAMBDA("Volatile solid production")</definedName>
    <definedName name="ManureManagement_Feedlot_Methane.VEERG_4_1_1_1__5_VolatileSolidProduction_Unit">_xlfn.LAMBDA("kg/head/day")</definedName>
    <definedName name="ManureManagement_Feedlot_Methane.VEERG_4_1_1_1__5_VolatileSolidProduction_Variable">_xlfn.LAMBDA("VSj")</definedName>
    <definedName name="ManureManagement_Poultry_Methane.VEERG_4_6_1_1__1_TotalAnnualMethaneEmissions">_xlfn.LAMBDA(_xlpm.Djk,_xlpm.Mmjk,_xlpm.Njk, SUMPRODUCT(_xlpm.Djk, _xlpm.Mmjk, _xlpm.Njk) * 10 ^ -3)</definedName>
    <definedName name="ManureManagement_Poultry_Methane.VEERG_4_6_1_1__1_TotalAnnualMethaneEmissions_Arguments">_xlfn.LAMBDA(_xlfn.MAKEARRAY(3, 2, _xlfn.LAMBDA(_xlpm.r,_xlpm.c, INDEX({"Djk","duration of stay of each class and subclass of poultry : days";"Mmjk","methane production from manure in each class and subclass : kg CH4/head/day";"Njk","numbers of poultry in each class and subclass : head"}, _xlpm.r, _xlpm.c))))</definedName>
    <definedName name="ManureManagement_Poultry_Methane.VEERG_4_6_1_1__1_TotalAnnualMethaneEmissions_LatexEquation">_xlfn.LAMBDA("{E}_{CH4}=\sum_{j}\sum_{k}(D_{jk}\times M_{mjk}\times N_{jk})\times10^{-3}")</definedName>
    <definedName name="ManureManagement_Poultry_Methane.VEERG_4_6_1_1__1_TotalAnnualMethaneEmissions_NIRReference">_xlfn.LAMBDA("")</definedName>
    <definedName name="ManureManagement_Poultry_Methane.VEERG_4_6_1_1__1_TotalAnnualMethaneEmissions_Source">_xlfn.LAMBDA("VEERG 2026: 4.6.1.1, Equation (1)")</definedName>
    <definedName name="ManureManagement_Poultry_Methane.VEERG_4_6_1_1__1_TotalAnnualMethaneEmissions_Title">_xlfn.LAMBDA("Total annual methane emissions from manure management")</definedName>
    <definedName name="ManureManagement_Poultry_Methane.VEERG_4_6_1_1__1_TotalAnnualMethaneEmissions_Unit">_xlfn.LAMBDA("t CH4")</definedName>
    <definedName name="ManureManagement_Poultry_Methane.VEERG_4_6_1_1__1_TotalAnnualMethaneEmissions_Variable">_xlfn.LAMBDA("ECH4")</definedName>
    <definedName name="ManureManagement_Poultry_Methane.VEERG_4_6_1_1__2_MethaneProductionPerClassAndSubclass">_xlfn.LAMBDA(_xlpm.MjkmT, SUM(_xlpm.MjkmT))</definedName>
    <definedName name="ManureManagement_Poultry_Methane.VEERG_4_6_1_1__2_MethaneProductionPerClassAndSubclass_Arguments">_xlfn.LAMBDA(_xlfn.MAKEARRAY(1, 2, _xlfn.LAMBDA(_xlpm.r,_xlpm.c, INDEX({"MjkmT","methane production from manure per class, subclass, MMS, and treatment stage : kg CH4/head/day"}, _xlpm.r, _xlpm.c))))</definedName>
    <definedName name="ManureManagement_Poultry_Methane.VEERG_4_6_1_1__2_MethaneProductionPerClassAndSubclass_LatexEquation">_xlfn.LAMBDA("M_{mjk}=\sum_{m}\sum_{T}M_{jkmT}")</definedName>
    <definedName name="ManureManagement_Poultry_Methane.VEERG_4_6_1_1__2_MethaneProductionPerClassAndSubclass_NIRReference">_xlfn.LAMBDA("")</definedName>
    <definedName name="ManureManagement_Poultry_Methane.VEERG_4_6_1_1__2_MethaneProductionPerClassAndSubclass_Source">_xlfn.LAMBDA("VEERG 2026: 4.6.1.1, Equation (2)")</definedName>
    <definedName name="ManureManagement_Poultry_Methane.VEERG_4_6_1_1__2_MethaneProductionPerClassAndSubclass_Title">_xlfn.LAMBDA("Methane production from the manure of poultry")</definedName>
    <definedName name="ManureManagement_Poultry_Methane.VEERG_4_6_1_1__2_MethaneProductionPerClassAndSubclass_Unit">_xlfn.LAMBDA("kg CH4/head/day")</definedName>
    <definedName name="ManureManagement_Poultry_Methane.VEERG_4_6_1_1__2_MethaneProductionPerClassAndSubclass_Variable">_xlfn.LAMBDA("Mmjk")</definedName>
    <definedName name="ManureManagement_Poultry_Methane.VEERG_4_6_1_1__3_Stage1MethaneProduction">_xlfn.LAMBDA(_xlpm.VSjk,_xlpm.BOj,_xlpm.MMSjmT1,_xlpm.MCFim,_xlpm.rho, _xlpm.VSjk * _xlpm.BOj * _xlpm.MMSjmT1 * _xlpm.MCFim * _xlpm.rho)</definedName>
    <definedName name="ManureManagement_Poultry_Methane.VEERG_4_6_1_1__3_Stage1MethaneProduction_Arguments">_xlfn.LAMBDA(_xlfn.MAKEARRAY(6, 2, _xlfn.LAMBDA(_xlpm.r,_xlpm.c, INDEX({"VSjk","volatile solid production for poultry classes and subclasses : kg/head/day";"BOj","emissions potential per class : m3 CH4/kg VS";"MMSjmT1","fraction of manure in each primary system : fraction";"MCFim","methane conversion factor for temperature zone and MMS : fraction";"rho","density of methane : kg/m3";"i","state"}, _xlpm.r, _xlpm.c))))</definedName>
    <definedName name="ManureManagement_Poultry_Methane.VEERG_4_6_1_1__3_Stage1MethaneProduction_LatexEquation">_xlfn.LAMBDA("M_{jkm,T=1}=VS_{jk}\times BO_{j}\times MMS_{jm,T=1}\times MCF_{im}\times \rho")</definedName>
    <definedName name="ManureManagement_Poultry_Methane.VEERG_4_6_1_1__3_Stage1MethaneProduction_NIRReference">_xlfn.LAMBDA("")</definedName>
    <definedName name="ManureManagement_Poultry_Methane.VEERG_4_6_1_1__3_Stage1MethaneProduction_Source">_xlfn.LAMBDA("VEERG 2026: 4.6.1.1, Equation (3)")</definedName>
    <definedName name="ManureManagement_Poultry_Methane.VEERG_4_6_1_1__3_Stage1MethaneProduction_Title">_xlfn.LAMBDA("Production of methane in treatment stage 1 MMS")</definedName>
    <definedName name="ManureManagement_Poultry_Methane.VEERG_4_6_1_1__3_Stage1MethaneProduction_Unit">_xlfn.LAMBDA("kg CH4/head/day")</definedName>
    <definedName name="ManureManagement_Poultry_Methane.VEERG_4_6_1_1__3_Stage1MethaneProduction_Variable">_xlfn.LAMBDA("MjkmT1")</definedName>
    <definedName name="ManureManagement_Poultry_Methane.VEERG_4_6_1_1__4_Stage2MethaneProduction">_xlfn.LAMBDA(_xlpm.VSTjkmT2,_xlpm.BO,_xlpm.MMSjmT2,_xlpm.MCFim,_xlpm.rho, _xlfn.LET(_xlpm.MMSjmT2, IF(ISNUMBER((_xlpm.MMSjmT2)), _xlpm.MMSjmT2, 0), _xlpm.VSTjkmT2 * _xlpm.BO * _xlpm.MMSjmT2 * _xlpm.MCFim * _xlpm.rho))</definedName>
    <definedName name="ManureManagement_Poultry_Methane.VEERG_4_6_1_1__4_Stage2MethaneProduction_Arguments">_xlfn.LAMBDA(_xlfn.MAKEARRAY(6, 2, _xlfn.LAMBDA(_xlpm.r,_xlpm.c, INDEX({"VSTjkmT2","volatile solids transferred to treatment stage 2 MMS : kg VS";"BO","emissions potential : m3 CH4/kg VS";"MMSjmT2","fraction of manure in each secondary system : fraction";"MCFim","methane conversion factor for temperature zone and MMS : fraction";"rho","density of methane : kg/m3";"i","state"}, _xlpm.r, _xlpm.c))))</definedName>
    <definedName name="ManureManagement_Poultry_Methane.VEERG_4_6_1_1__4_Stage2MethaneProduction_LatexEquation">_xlfn.LAMBDA("M_{jkm,T=2}=VST_{jkm,T=2}\times BO\times MMS_{jm,T=2}\times MCF_{im}\times \rho")</definedName>
    <definedName name="ManureManagement_Poultry_Methane.VEERG_4_6_1_1__4_Stage2MethaneProduction_NIRReference">_xlfn.LAMBDA("")</definedName>
    <definedName name="ManureManagement_Poultry_Methane.VEERG_4_6_1_1__4_Stage2MethaneProduction_Source">_xlfn.LAMBDA("VEERG 2026: 4.6.1.1, Equation (4)")</definedName>
    <definedName name="ManureManagement_Poultry_Methane.VEERG_4_6_1_1__4_Stage2MethaneProduction_Title">_xlfn.LAMBDA("Production of methane in treatment stage 2 MMS")</definedName>
    <definedName name="ManureManagement_Poultry_Methane.VEERG_4_6_1_1__4_Stage2MethaneProduction_Unit">_xlfn.LAMBDA("kg CH4/head/day")</definedName>
    <definedName name="ManureManagement_Poultry_Methane.VEERG_4_6_1_1__4_Stage2MethaneProduction_Variable">_xlfn.LAMBDA("MjkmT2")</definedName>
    <definedName name="ManureManagement_Poultry_Methane.VEERG_4_6_1_1__5_VolatileSolidsTransferredToStage2">_xlfn.LAMBDA(_xlpm.VSjk,_xlpm.MMSjmT1,_xlpm.VSLmT1, _xlfn.LET(_xlpm.VSLmT1, IF(ISNUMBER((_xlpm.VSLmT1)), _xlpm.VSLmT1, 0), _xlpm.VSjk * _xlpm.MMSjmT1 * (1 - _xlpm.VSLmT1)))</definedName>
    <definedName name="ManureManagement_Poultry_Methane.VEERG_4_6_1_1__5_VolatileSolidsTransferredToStage2_Arguments">_xlfn.LAMBDA(_xlfn.MAKEARRAY(3, 2, _xlfn.LAMBDA(_xlpm.r,_xlpm.c, INDEX({"VSjk","volatile solid production for poultry classes and subclasses : kg/head/day";"MMSjmT1","fraction of manure in each primary system : fraction";"VSLmT1","fraction of volatile solids lost during storage in the primary system : fraction"}, _xlpm.r, _xlpm.c))))</definedName>
    <definedName name="ManureManagement_Poultry_Methane.VEERG_4_6_1_1__5_VolatileSolidsTransferredToStage2_LatexEquation">_xlfn.LAMBDA("VST_{jkm,T=2}=VS_{jk}\times MMS_{jm,T=1}\times(1-VSL_{m,T=1})")</definedName>
    <definedName name="ManureManagement_Poultry_Methane.VEERG_4_6_1_1__5_VolatileSolidsTransferredToStage2_NIRReference">_xlfn.LAMBDA("")</definedName>
    <definedName name="ManureManagement_Poultry_Methane.VEERG_4_6_1_1__5_VolatileSolidsTransferredToStage2_Source">_xlfn.LAMBDA("VEERG 2026: 4.6.1.1, Equation (5)")</definedName>
    <definedName name="ManureManagement_Poultry_Methane.VEERG_4_6_1_1__5_VolatileSolidsTransferredToStage2_Title">_xlfn.LAMBDA("Volatile solids transferred to treatment stage 2 MMS")</definedName>
    <definedName name="ManureManagement_Poultry_Methane.VEERG_4_6_1_1__5_VolatileSolidsTransferredToStage2_Unit">_xlfn.LAMBDA("kg VS")</definedName>
    <definedName name="ManureManagement_Poultry_Methane.VEERG_4_6_1_1__5_VolatileSolidsTransferredToStage2_Variable">_xlfn.LAMBDA("VSTjkmT2")</definedName>
    <definedName name="ManureManagement_Poultry_Methane.VEERG_4_6_1_1__6_VolatileSolidProduction">_xlfn.LAMBDA(_xlpm.Ijk,_xlpm.DMDjk,_xlpm.Aj, _xlpm.Ijk * (1 - _xlpm.DMDjk) * (1 - _xlpm.Aj))</definedName>
    <definedName name="ManureManagement_Poultry_Methane.VEERG_4_6_1_1__6_VolatileSolidProduction_Arguments">_xlfn.LAMBDA(_xlfn.MAKEARRAY(3, 2, _xlfn.LAMBDA(_xlpm.r,_xlpm.c, INDEX({"Ijk","dry matter intake for each class and subclass : kg DM/head/day";"DMDjk","dry matter digestibility for each class and subclass : fraction";"Aj","ash content of manure for each class and subclass : fraction"}, _xlpm.r, _xlpm.c))))</definedName>
    <definedName name="ManureManagement_Poultry_Methane.VEERG_4_6_1_1__6_VolatileSolidProduction_LatexEquation">_xlfn.LAMBDA("VS_{jk}=I_{jk}\times(1-DMD_{jk})\times(1-A_{j})")</definedName>
    <definedName name="ManureManagement_Poultry_Methane.VEERG_4_6_1_1__6_VolatileSolidProduction_NIRReference">_xlfn.LAMBDA("")</definedName>
    <definedName name="ManureManagement_Poultry_Methane.VEERG_4_6_1_1__6_VolatileSolidProduction_Source">_xlfn.LAMBDA("VEERG 2026: 4.6.1.1, Equation (6)")</definedName>
    <definedName name="ManureManagement_Poultry_Methane.VEERG_4_6_1_1__6_VolatileSolidProduction_Title">_xlfn.LAMBDA("Volatile solid production")</definedName>
    <definedName name="ManureManagement_Poultry_Methane.VEERG_4_6_1_1__6_VolatileSolidProduction_Unit">_xlfn.LAMBDA("kg/head/day")</definedName>
    <definedName name="ManureManagement_Poultry_Methane.VEERG_4_6_1_1__6_VolatileSolidProduction_Variable">_xlfn.LAMBDA("VSjk")</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LatexEquation">_xlfn.LAMBDA("{E}_{CH4}=\sum_{j}(D_{j}\times M_{mj}\times N_{j})\times10^{-3}")</definedName>
    <definedName name="ManureManagement_Swine_Methane.VEERG_4_5_1_1__1_TotalAnnualMethaneEmissions_NIRReference">_xlfn.LAMBDA("")</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_xlfn.LAMBDA(_xlpm.MjmT, SUM(_xlpm.MjmT))</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LatexEquation">_xlfn.LAMBDA("M_{mj}=\sum_{m}\sum_{T}M_{jmT}")</definedName>
    <definedName name="ManureManagement_Swine_Methane.VEERG_4_5_1_1__2_MethaneProductionPerClass_NIRReference">_xlfn.LAMBDA("")</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LatexEquation">_xlfn.LAMBDA("M_{ijm,T=1}=VS_{j}\times FVS_{jm,T=1}\times MCF_{im}\times BO\times \rho")</definedName>
    <definedName name="ManureManagement_Swine_Methane.VEERG_4_5_1_1__3_Stage1MethaneProduction_NIRReference">_xlfn.LAMBDA("")</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LatexEquation">_xlfn.LAMBDA("FVS_{jm,T=1}=MMS_{jm,T=1}\times(1-SS_{m})")</definedName>
    <definedName name="ManureManagement_Swine_Methane.VEERG_4_5_1_1__4_FractionVolatileSolidsPrimarySystem_NIRReference">_xlfn.LAMBDA("")</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LatexEquation">_xlfn.LAMBDA("FVS_{j,m=4,T=1}=MMS_{j,m=4,T=1}+(MMS_{j,m=1,7,9,T=1}\times SS_{m})")</definedName>
    <definedName name="ManureManagement_Swine_Methane.VEERG_4_5_1_1__5_FractionVolatileSolidsSolidStorage_LatexEquationVariation">_xlfn.LAMBDA("FVS_{j,m=4,T=1}=MMS_{j,m=4,T=1}+(MMS_{j,m=1,T=1}\times SS_{m=1,T=1})+(MMS_{j,m=7,T=1}\times SS_{m=7,T=1})+(MMS_{j,m=9,T=1}\times SS_{m=9,T=1})")</definedName>
    <definedName name="ManureManagement_Swine_Methane.VEERG_4_5_1_1__5_FractionVolatileSolidsSolidStorage_NIRReference">_xlfn.LAMBDA("")</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5_FractionVolatileSolidsSolidStorage_Variation">_xlfn.LAMBDA("VARIATION ON SOURCE: Split equation for MMSm=1,7,9 into separate items to allow for calculation")</definedName>
    <definedName name="ManureManagement_Swine_Methane.VEERG_4_5_1_1__5_FractionVolatileSolidsSolidStorageVariation">_xlfn.LAMBDA(_xlpm.MMSjm4T1,_xlpm.MMSjmT1_1,_xlpm.MMSjmT1_2,_xlpm.MMSjmT1_3,_xlpm.MMSjmT1_4,_xlpm.MMSjmT1_5,_xlpm.SSjmT1_1,_xlpm.SSjmT1_2,_xlpm.SSjmT1_3,_xlpm.SSjmT1_4,_xlpm.SSjmT1_5, _xlfn.LET(_xlpm.MMSjm4T1, IF(ISNUMBER(_xlpm.MMSjm4T1), _xlpm.MMSjm4T1, 0), _xlpm.MMSjmT1_1, IF(ISNUMBER(_xlpm.MMSjmT1_1), _xlpm.MMSjmT1_1, 0), _xlpm.MMSjmT1_2, IF(ISNUMBER(_xlpm.MMSjmT1_2), _xlpm.MMSjmT1_2, 0), _xlpm.MMSjmT1_3, IF(ISNUMBER(_xlpm.MMSjmT1_3), _xlpm.MMSjmT1_3, 0), _xlpm.MMSjmT1_4, IF(ISNUMBER(_xlpm.MMSjmT1_4), _xlpm.MMSjmT1_4, 0), _xlpm.MMSjmT1_5, IF(ISNUMBER(_xlpm.MMSjmT1_5), _xlpm.MMSjmT1_5, 0), _xlpm.SSjmT1_1, IF(ISNUMBER(_xlpm.SSjmT1_1), _xlpm.SSjmT1_1, 0), _xlpm.SSjmT1_2, IF(ISNUMBER(_xlpm.SSjmT1_2), _xlpm.SSjmT1_2, 0), _xlpm.SSjmT1_3, IF(ISNUMBER(_xlpm.SSjmT1_3), _xlpm.SSjmT1_3, 0), _xlpm.SSjmT1_4, IF(ISNUMBER(_xlpm.SSjmT1_4), _xlpm.SSjmT1_4, 0), _xlpm.SSjmT1_5, IF(ISNUMBER(_xlpm.SSjmT1_5), _xlpm.SSjmT1_5, 0), _xlpm.MMSjm4T1 + (_xlpm.MMSjmT1_1 * _xlpm.SSjmT1_1) + (_xlpm.MMSjmT1_2 * _xlpm.SSjmT1_2) + (_xlpm.MMSjmT1_3 * _xlpm.SSjmT1_3) + (_xlpm.MMSjmT1_4 * _xlpm.SSjmT1_4) + (_xlpm.MMSjmT1_5 * _xlpm.SSjmT1_5)))</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LatexEquation">_xlfn.LAMBDA("M_{ijm,T=2}=VST_{jm,T=2}\times BO\times MMS_{jm,T=2}\times MCF_{im}\times \rho")</definedName>
    <definedName name="ManureManagement_Swine_Methane.VEERG_4_5_1_1__6_Stage2MethaneProduction_NIRReference">_xlfn.LAMBDA("")</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LatexEquation">_xlfn.LAMBDA("VST_{ijm,T=2}=VS_{j}\times FVS_{jm,T=1}\times(1-VSL_{m,T=1})")</definedName>
    <definedName name="ManureManagement_Swine_Methane.VEERG_4_5_1_1__7_VolatileSolidsTransferredStage2_NIRReference">_xlfn.LAMBDA("")</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Range_LivestockStartingValues">#REF!</definedName>
    <definedName name="Refrigerants_Equations.VEERG_9_1_1__1_RefrigerantLeaking">_xlfn.LAMBDA(_xlpm.GWPR,_xlpm.chargeRa,_xlpm.leakageratea, _xlpm.GWPR * _xlpm.chargeRa * (_xlpm.leakageratea / 100) * 10 ^ -3)</definedName>
    <definedName name="Refrigerants_Equations.VEERG_9_1_1__1_RefrigerantLeaking_Arguments">_xlfn.LAMBDA(_xlfn.MAKEARRAY(5, 3, _xlfn.LAMBDA(_xlpm.r,_xlpm.c, INDEX({"GWPR","Global warming potential of refrigerant R","Dimensionless";"chargeRa","Amount of refrigerant R contained in appliance a","kg";"leakageratea","Prcentage of total charge leaked from appliance a each year","Percent";"a","Appliance","";"R","Refrigerant",""}, _xlpm.r, _xlpm.c))))</definedName>
    <definedName name="Refrigerants_Equations.VEERG_9_1_1__1_RefrigerantLeaking_NIRReference">_xlfn.LAMBDA("Australian National Greenhouse Accounts Factors 2025 - 3.1 Estimating industrial processes emissions - Refrigerant leakage")</definedName>
    <definedName name="Refrigerants_Equations.VEERG_9_1_1__1_RefrigerantLeaking_ReadableEquation">_xlfn.LAMBDA("GWPR * chargeRa * (leakageratea/100) * 10 ^ - 3")</definedName>
    <definedName name="Refrigerants_Equations.VEERG_9_1_1__1_RefrigerantLeaking_Source">_xlfn.LAMBDA("VEERG 2026: 9.1.1, Equation (1)")</definedName>
    <definedName name="Refrigerants_Equations.VEERG_9_1_1__1_RefrigerantLeaking_Title">_xlfn.LAMBDA("The total emissions of refrigerant leaking during operation (not during installation or disposal)")</definedName>
    <definedName name="Refrigerants_Equations.VEERG_9_1_1__1_RefrigerantLeaking_Unit">_xlfn.LAMBDA("t CO2-e")</definedName>
    <definedName name="Refrigerants_Equations.VEERG_9_1_1__1_RefrigerantLeaking_Variable">_xlfn.LAMBDA("E")</definedName>
    <definedName name="Refrigerants_SourceData.Refrigerants_ChemicalBlends_Data">_xlfn.LAMBDA(_xlfn.MAKEARRAY(51, 3, _xlfn.LAMBDA(_xlpm.r,_xlpm.c, INDEX({"Blend","Constituents","Composition (%)";"R-400","CFC-12/CFC-114","R-400 can have various proportions of CFC-12 and CFC-114. The exact composition needs to be specified, e.g., R-400 (60/40).";"R-401A","HCFC-22/HFC-152a/HCFC-124","(53.0/13.0/34.0)";"R-401B","HCFC-22/HFC-152a/HCFC-124","(61.0/11.0/28.0)";"R-401C","HCFC-22/HFC-152a/HCFC-124","(33.0/15.0/52.0)";"R-402A","HFC-125/HC-290/HCFC-22","(60.0/2.0/38.0)";"R-402B","HFC-125/HC-290/HCFC-22","(38.0/2.0/60.0)";"R-403A","HC-290/HCFC-22/PFC-218","(5.0/75.0/20.0)";"R-403B","HC-290/HCFC-22/PFC-218","(5.0/56.0/39.0)";"R-404A","HFC-125/HFC-143a/HFC-134a","(44.0/52.0/4.0)";"R-405A","HCFC-22/ HFC-152a/HCFC-142b/PFC-318","(45.0/7.0/5.5/42.5)";"R-406A","HCFC-22/HC-600a/HCFC-142b","(55.0/14.0/41.0)";"R-407A","HFC-32/HFC-125/HFC-134a","(20.0/40.0/40.0)";"R-407B","HFC-32/HFC-125/HFC-134a","(10.0/70.0/20.0)";"R-407C","HFC-32/HFC-125/HFC-134a","(23.0/25.0/52.0)";"R-407D","HFC-32/HFC-125/HFC-134a","(15.0/15.0/70.0)";"R-407E","HFC-32/HFC-125/HFC-134a","(25.0/15.0/60.0)";"R-408A","HFC-125/HFC-143a/HCFC-22","(7.0/46.0/47.0)";"R-409A","HCFC-22/HCFC-124/HCFC-142b","(60.0/25.0/15.0)";"R-409B","HCFC-22/HCFC-124/HCFC-142b","(65.0/25.0/10.0)";"R-410A","HFC-32/HFC-125","(50.0/50.0)";"R-410B","HFC-32/HFC-125","(45.0/55.0)";"R-411A","HC-1270/HCFC-22/HFC-152a","(1.5/87.5/11.0)";"R-411B","HC-1270/HCFC-22/HFC-152a","(3.0/94.0/3.0)";"R-411C","HC-1270/HCFC-22/HFC-152a","(3.0/95.5/1.5)";"R-412A","HCFC-22/PFC-218/HCFC-142b","(70.0/5.0/25.0)";"R-413A","PFC-218/HFC-134a/HC-600a","(9.0/88.0/3.0)";"R-414A","HCFC-22/HCFC-124/HC-600a/HCFC-142b","(51.0/28.5/4.0/16.5)";"R-414B","HCFC-22/HCFC-124/HC-600a/HCFC-142b","(50.0/39.0/1.5/9.5)";"R-415A","HCFC-22/HFC-152a","(82.0/18.0)";"R-415B","HCFC-22/HFC-152a","(25.0/75.0)";"R-416A","HFC-134a/HCFC-124/HC-600","(59.0/39.5/1.5)";"R-417A","HFC-125/HFC-134a/HC-600","(46.6/50.0/3.4)";"R-418A","HC-290/HCFC-22/HFC-152a","(1.5/96.0/2.5)";"R-419A","HFC-125/HFC-134a/HE-E170","(77.0/19.0/4.0)";"R-420A","HFC-134a/HCFC-142b","(88.0/12.0)";"R-421A","HFC-125/HFC-134a","(58.0/42.0)";"R-422A","HFC-125/HFC-134a/HC-600a","(85.1/11.5/3.4)";"R-422B","HFC-125/HFC-134a/HC-600a","(55.0/42.0/3.0)";"R-422C","HFC-125/HFC-134a/HC-600a","(82.0/15.0/3.0)";"R-500","CFC-12/HFC-152a","(73.8/26.2)";"R-501","HCFC-22/CFC-12","(75.0/25.0)";"R-502","HCFC-22/CFC-115","(48.8/51.2)";"R-503","HFC-23/CFC-13","(40.1/59.9)";"R-504","HFC-32/CFC-115","(48.2/51.8)";"R-505","CFC-12/HCFC-31","(78.0/22.0)";"R-506","CFC-31/CFC-114","(55.1/44.9)";"R-507A","HFC-125/HFC-143a","(50.0/50.0)";"R-508A","HFC-23/PFC-116","(39.0/61.0)";"R-508B","HFC-23/PFC-116","(46.0/54.0)";"R-509A","HCFC-22/PFC-218","(44.0/56.0)"}, _xlpm.r, _xlpm.c))))</definedName>
    <definedName name="Refrigerants_SourceData.Refrigerants_ChemicalBlends_Description">_xlfn.LAMBDA((""))</definedName>
    <definedName name="Refrigerants_SourceData.Refrigerants_ChemicalBlends_Source">_xlfn.LAMBDA(("Australian National Greenhouse Accounts Factors 2025 - Appendix 2 - Table 24"))</definedName>
    <definedName name="Refrigerants_SourceData.Refrigerants_ChemicalBlends_Title">_xlfn.LAMBDA(("Blended refrigerants (many containing HFCS and/or PFCS)"))</definedName>
    <definedName name="Refrigerants_SourceData.Refrigerants_ChemicalBlends_Variation">_xlfn.LAMBDA(("VARIATION OF SOURCE DATA: Fixed typo - changed HC600a to HC-600a for blend R-414B. Fixed typo for blend R-405A - Changed HCFC142b to HCFC-142b."))</definedName>
    <definedName name="Refrigerants_SourceData.Refrigerants_ChemicalGWP_Data">_xlfn.LAMBDA(_xlfn.MAKEARRAY(39, 5, _xlfn.LAMBDA(_xlpm.r,_xlpm.c, INDEX({"Gas","Chemical formula","Global Warming Potential (AR5)","Gas - FC name","Aditional data source";"Carbon dioxide","CO2",1,"CO2","";"Methane","CH4",28,"CH4","";"Nitrous oxide","N2O",265,"N2O","";"Sulphur hexafluoride","SF6",23500,"SF6","";"HFC-23 (R-23)","CHF3",12400,"HFC-23","";"HFC-32 (R-32)","CH2F2",677,"HFC-32","";"HFC-41 (R-41)","CH3F",116,"HFC-41","";"HFC-43-10mee (R-4310mee)","C5H2F10",1650,"HFC-43-10mee","";"HFC-125 (R-125)","C2HF5",3170,"HFC-125","";"HFC-134 (R-134)","C2H2F4 (CHF2CHF2)",1120,"HFC-134","";"HFC-134a (R-134a)","C2H2F4 (CH2FCF3)",1300,"HFC-134a","";"HFC-143 (R-143)","C2H3F3 (CHF2CH2F)",328,"HFC-143","";"HFC-143a (R-143a)","C2H3F3 (CF3CH3)",4800,"HFC-143a","";"HFC-152a (R-152a)","C2H4F2 (CH3CHF2)",138,"HFC-152a","";"HFC-227ea (R-227ea)","C3HF7",3350,"HFC-227ea","";"HFC-236fa (R-236fa)","C3H2F6",8060,"HFC-236fa","";"HFC-245ca (R-245ca)","C3H3F5",716,"HFC-245ca","";"HFC-245fa (R-245fa)","CHF2CH2CF3",858,"HFC-245fa","";"HFC-365mfc (R-365mfc)","CH3CF2CH2CF3",804,"HFC-365mfc","";"HCFC-22 (R-22)","CHClF2",1760,"HCFC-22","";"HCFC-123 (R-123)","CHCl22CF3",79,"HCFC-123","";"HCFC-124 (R-124)","CHClFCF3",527,"HCFC-124","";"HCFC-141b (R-141b)","CH3CCl2F",782,"HCFC-141b","";"HCFC-142b (R-142b)","CH2CClF2",1980,"HCFC-142b","";"HCFC-225ca (R-225ca)","CHCl2CF2CF3",127,"HCFC-225ca","";"HCFC-225cb (R-225cb)","CHClFCF2CCIF2",525,"HCFC-225cb","";"PFC-14 Perfluoromethane (tetrafluoromethane)","CF4",6630,"PFC-14","";"PFC-116 Perfluoroethane (hexafluoroethane)","C2F6",11100,"PFC-116","";"PFC-218 Perfluoropropane","C3F8",8900,"PFC-218","";"PFC-31-10 Perfluorobutane","C4F10",9200,"PFC-31-10","";"PFC-318 Perfluorocyclobutane","c-C4F8",9540,"PFC-318","";"PFC-41-12 Perfluoropentane","C5F12",8550,"PFC-41-12","";"PFC-51-14 Perfluorohexane","C6F14",7910,"PFC-51-14","";"PFC-91-18 Perflunafene","C10F18",7190,"PFC-91-18","";"CFC-12","CCl2F2",10200,"CFC-12","IPCC Global Warming Potential Values v2.0 - (AR5)";"CFC-13","CClF3",13900,"CFC-13","IPCC Global Warming Potential Values v2.0 - (AR5)";"CFC-114","CClF2CClF2",8590,"CFC-114","IPCC Global Warming Potential Values v2.0 - (AR5)";"CFC-115","CClF2CF3",7670,"CFC-115","IPCC Global Warming Potential Values v2.0 - (AR5)"}, _xlpm.r, _xlpm.c))))</definedName>
    <definedName name="Refrigerants_SourceData.Refrigerants_ChemicalGWP_Description">_xlfn.LAMBDA((""))</definedName>
    <definedName name="Refrigerants_SourceData.Refrigerants_ChemicalGWP_Source">_xlfn.LAMBDA(("Australian National Greenhouse Accounts Factors 2025 - Appendix 2 - Table 23"))</definedName>
    <definedName name="Refrigerants_SourceData.Refrigerants_ChemicalGWP_Title">_xlfn.LAMBDA(("Global Warming Potentials"))</definedName>
    <definedName name="Refrigerants_SourceData.Refrigerants_ChemicalGWP_Variation">_xlfn.LAMBDA(("VARIATION OF SOURCE DATA: Added 'GAS - FC name' column with truncated gas name to allow matching with other tables. Added extra gases from IPCC Global Warming Potential Values v2.0 - (AR5). Added 'Additional data source' column."))</definedName>
    <definedName name="Refrigerants_SourceData.Refrigerants_LeakageRates_Data">_xlfn.LAMBDA(_xlfn.MAKEARRAY(81, 2, _xlfn.LAMBDA(_xlpm.r,_xlpm.c, INDEX({"Product","Annual leakage rate (%)";"Domestic refrigerators",1.7;"Transport refrigeration",15.7;"Domestic A/C portable",2.5;"Domestic A/C split",3.5;"Domestic A/C packaged",2.5;"Light vehicle A/C",6.7;"Heavy vehicle A/C",10.8}, _xlpm.r, _xlpm.c))))</definedName>
    <definedName name="Refrigerants_SourceData.Refrigerants_LeakageRates_Description">_xlfn.LAMBDA((""))</definedName>
    <definedName name="Refrigerants_SourceData.Refrigerants_LeakageRates_Source">_xlfn.LAMBDA(("Australian National Greenhouse Accounts Factors 2025 - Table 10"))</definedName>
    <definedName name="Refrigerants_SourceData.Refrigerants_LeakageRates_Title">_xlfn.LAMBDA(("Indicative leakage rates for common refrigeration and air - conditioning equipment"))</definedName>
    <definedName name="Refrigerants_SourceData.Refrigerants_LeakageRates_Variation">_xlfn.LAMBDA((""))</definedName>
    <definedName name="Scope3_SourceData.Scope3_Agrochemicals_Data">_xlfn.LAMBDA(_xlfn.MAKEARRAY(6, 7, _xlfn.LAMBDA(_xlpm.r,_xlpm.c, INDEX({"Category","Product","Source","Product Unit","Emission Factor","Embedded Emissions Unit","Emissions Intensity Unit";"Agrochemicals","Glyphosate","Location not specified","t",40101,"t","t CO2-e / t";"Agrochemicals","Paraquat, diquat","Location not specified","t",40102,"t","t CO2-e / t";"Agrochemicals","Generic Herbicide","Location not specified","t",40103,"t","t CO2-e / t";"Agrochemicals","Generic Insecticide","Location not specified","t",40104,"t","t CO2-e / t";"Agrochemicals","Generic Fungicide","Location not specified","t",40105,"t","t CO2-e / t"}, _xlpm.r, _xlpm.c))))</definedName>
    <definedName name="Scope3_SourceData.Scope3_Agrochemicals_Source">_xlfn.LAMBDA(("Lifecycles. (2026). Greenhouse Gas Emission Intensities for Material Inputs to Australian Agriculture, Fisheries and Forestry. Version 48. doi 10.5281/zenodo.19656580"))</definedName>
    <definedName name="Scope3_SourceData.Scope3_Agrochemicals_Title">_xlfn.LAMBDA(("Agrochemicals scope 3"))</definedName>
    <definedName name="Scope3_SourceData.Scope3_Agrochemicals_Variation">_xlfn.LAMBDA((""))</definedName>
    <definedName name="Scope3_SourceData.Scope3_AnimalFeed_Data">_xlfn.LAMBDA(_xlfn.MAKEARRAY(17, 7, _xlfn.LAMBDA(_xlpm.r,_xlpm.c, INDEX({"Category","Product","Source","Product Unit","Emission Factor","Embedded Emissions Unit","Emissions Intensity Unit";"Animal Feed","Grain","Location not specified","t",60101,"t","t CO2-e / t";"Animal Feed","Wheat","Location not specified","t",60102,"t","t CO2-e / t";"Animal Feed","Wheat Bran","Location not specified","t",60103,"t","t CO2-e / t";"Animal Feed","Barley","Location not specified","t",60104,"t","t CO2-e / t";"Animal Feed","Soybean","Location not specified","t",60105,"t","t CO2-e / t";"Animal Feed","Soybean meal","Location not specified","t",60106,"t","t CO2-e / t";"Animal Feed","Canola meal","Location not specified","t",60107,"t","t CO2-e / t";"Animal Feed","Canola oil","Location not specified","t",60108,"t","t CO2-e / t";"Animal Feed","Beet pulp","Location not specified","t",60109,"t","t CO2-e / t";"Animal Feed","Cotton seed","Location not specified","t",60110,"t","t CO2-e / t";"Animal Feed","Hay","Location not specified","t",60111,"t","t CO2-e / t";"Animal Feed","Feed formulations (chicken, pigs, cattle, dairy)","Location not specified","t",60112,"t","t CO2-e / t";"Animal Feed","Molasses","Location not specified","t",60113,"t","t CO2-e / t";"Animal Feed","Bentonite","Location not specified","t",60114,"t","t CO2-e / t";"Animal Feed","Meat meal","Location not specified","t",60115,"t","t CO2-e / t";"Animal Feed","BentLime, phosphorus, potashonite","Location not specified","t",60114,"t","t CO2-e / t"}, _xlpm.r, _xlpm.c))))</definedName>
    <definedName name="Scope3_SourceData.Scope3_AnimalFeed_Source">_xlfn.LAMBDA(("Lifecycles. (2026). Greenhouse Gas Emission Intensities for Material Inputs to Australian Agriculture, Fisheries and Forestry. Version 48. doi 10.5281/zenodo.19656580"))</definedName>
    <definedName name="Scope3_SourceData.Scope3_AnimalFeed_Title">_xlfn.LAMBDA(("Animal Feed scope 3"))</definedName>
    <definedName name="Scope3_SourceData.Scope3_AnimalFeed_Variation">_xlfn.LAMBDA((""))</definedName>
    <definedName name="Scope3_SourceData.Scope3_AquacultureFeedAndBait_Data">_xlfn.LAMBDA(_xlfn.MAKEARRAY(9, 7, _xlfn.LAMBDA(_xlpm.r,_xlpm.c, INDEX({"Category","Product","Source","Product Unit","Emission Factor","Embedded Emissions Unit","Emissions Intensity Unit";"Aquaculture Feed and Bait","Low Animal Protein Formulated Feed","Location not specified","t",70101,"t","t CO2-e / t";"Aquaculture Feed and Bait","High Animal Protein Formulated Feed","Location not specified","t",70102,"t","t CO2-e / t";"Aquaculture Feed and Bait","Cereal grain","Location not specified","t",70103,"t","t CO2-e / t";"Aquaculture Feed and Bait","Squid","Location not specified","t",70104,"t","t CO2-e / t";"Aquaculture Feed and Bait","Whole Fish","Location not specified","t",70105,"t","t CO2-e / t";"Aquaculture Feed and Bait","Whole Sardines","Location not specified","t",70106,"t","t CO2-e / t";"Aquaculture Feed and Bait","Fish Frames","Location not specified","t",70107,"t","t CO2-e / t";"Aquaculture Feed and Bait","Fish Heads","Location not specified","t",70108,"t","t CO2-e / t"}, _xlpm.r, _xlpm.c))))</definedName>
    <definedName name="Scope3_SourceData.Scope3_AquacultureFeedAndBait_Source">_xlfn.LAMBDA(("Lifecycles. (2026). Greenhouse Gas Emission Intensities for Material Inputs to Australian Agriculture, Fisheries and Forestry. Version 48. doi 10.5281/zenodo.19656580"))</definedName>
    <definedName name="Scope3_SourceData.Scope3_AquacultureFeedAndBait_Title">_xlfn.LAMBDA(("Aquaculture Feed and Bait scope 3"))</definedName>
    <definedName name="Scope3_SourceData.Scope3_AquacultureFeedAndBait_Variation">_xlfn.LAMBDA((""))</definedName>
    <definedName name="Scope3_SourceData.Scope3_CleaningChemicals_Data">_xlfn.LAMBDA(_xlfn.MAKEARRAY(4,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 _xlpm.r, _xlpm.c))))</definedName>
    <definedName name="Scope3_SourceData.Scope3_CleaningChemicals_Source">_xlfn.LAMBDA(("Lifecycles. (2026). Greenhouse Gas Emission Intensities for Material Inputs to Australian Agriculture, Fisheries and Forestry. Version 48. doi 10.5281/zenodo.19656580"))</definedName>
    <definedName name="Scope3_SourceData.Scope3_CleaningChemicals_Title">_xlfn.LAMBDA(("Cleaning chemicals scope 3"))</definedName>
    <definedName name="Scope3_SourceData.Scope3_CleaningChemicals_Variation">_xlfn.LAMBDA((""))</definedName>
    <definedName name="Scope3_SourceData.Scope3_Electricity_Data">_xlfn.LAMBDA(_xlfn.MAKEARRAY(11, 7, _xlfn.LAMBDA(_xlpm.r,_xlpm.c, INDEX({"Category","Product","Source","Product Unit","Emission Factor","Embedded Emissions Unit","Emissions Intensity Unit";"Electricity","State Grid","New South Wales","kWh","XXXXXX","t","t CO2 - e / Gj";"Electricity","State Grid","ACT","kWh","XXXXXX","t","t CO2 - e / Gj";"Electricity","State Grid","Victoria","kWh","XXXXXX","t","t CO2 - e / Gj";"Electricity","State Grid","Queensland","kWh","XXXXXX","t","t CO2 - e / Gj";"Electricity","State Grid","South Australia","kWh","XXXXXX","t","t CO2 - e / Gj";"Electricity","State Grid","Western Australia - South West Interconnected System (SWIS)","kWh","XXXXXX","t","t CO2 - e / Gj";"Electricity","State Grid","Western Australia - North Western Interconnected System (NWIS)","kWh","XXXXXX","t","t CO2 - e / Gj";"Electricity","State Grid","Tasmania","kWh","XXXXXX","t","t CO2 - e / Gj";"Electricity","State Grid","Northern Territory - Darwin Katherine Interconnected System (DKIS)","kWh","XXXXXX","t","t CO2 - e / Gj";"Electricity","State Grid","National","kWh","XXXXXX","t","t CO2 - e / Gj"}, _xlpm.r, _xlpm.c))))</definedName>
    <definedName name="Scope3_SourceData.Scope3_Electricity_Source">_xlfn.LAMBDA(("Scope 3 GHG Emission Factors for Australian Agriculture, Fisheries and Forestry 2026"))</definedName>
    <definedName name="Scope3_SourceData.Scope3_Electricity_Title">_xlfn.LAMBDA(("Electricity - State Grid scope 3"))</definedName>
    <definedName name="Scope3_SourceData.Scope3_Electricity_Variation">_xlfn.LAMBDA(("Emission factor values sourced from National Greenhouse Accounts Factors - See relevant table in 'Electricity Source Data'"))</definedName>
    <definedName name="Scope3_SourceData.Scope3_FuelStationaryGaseousData">_xlfn.LAMBDA(_xlfn.MAKEARRAY(17, 7, _xlfn.LAMBDA(_xlpm.r,_xlpm.c, INDEX({"Category","Product","Source","Product Unit","Emission Factor","Embedded Emissions Unit","Emissions Intensity Unit";"Fuel - Stationary - Gaseous","Natural gas distributed in a pipeline - Gigajoules","New South Wales","Gj","XXXXXX","t","t CO2 - e / Gj";"Fuel - Stationary - Gaseous","Natural gas distributed in a pipeline - Gigajoules","ACT","Gj","XXXXXX","t","t CO2 - e / Gj";"Fuel - Stationary - Gaseous","Natural gas distributed in a pipeline - Gigajoules","Victoria","Gj","XXXXXX","t","t CO2 - e / Gj";"Fuel - Stationary - Gaseous","Natural gas distributed in a pipeline - Gigajoules","Queensland","Gj","XXXXXX","t","t CO2 - e / Gj";"Fuel - Stationary - Gaseous","Natural gas distributed in a pipeline - Gigajoules","South Australia","Gj","XXXXXX","t","t CO2 - e / Gj";"Fuel - Stationary - Gaseous","Natural gas distributed in a pipeline - Gigajoules","Western Australia","Gj","XXXXXX","t","t CO2 - e / Gj";"Fuel - Stationary - Gaseous","Natural gas distributed in a pipeline - Gigajoules","Tasmania","Gj","XXXXXX","t","t CO2 - e / Gj";"Fuel - Stationary - Gaseous","Natural gas distributed in a pipeline - Gigajoules","Northern Territory","Gj","XXXXXX","t","t CO2 - e / Gj";"Fuel - Stationary - Gaseous","Town gas - Gigajoules","New South Wales","Gj","XXXXXX","t","t CO2 - e / Gj";"Fuel - Stationary - Gaseous","Town gas - Gigajoules","ACT","Gj","XXXXXX","t","t CO2 - e / Gj";"Fuel - Stationary - Gaseous","Town gas - Gigajoules","Victoria","Gj","XXXXXX","t","t CO2 - e / Gj";"Fuel - Stationary - Gaseous","Town gas - Gigajoules","Queensland","Gj","XXXXXX","t","t CO2 - e / Gj";"Fuel - Stationary - Gaseous","Town gas - Gigajoules","South Australia","Gj","XXXXXX","t","t CO2 - e / Gj";"Fuel - Stationary - Gaseous","Town gas - Gigajoules","Western Australia","Gj","XXXXXX","t","t CO2 - e / Gj";"Fuel - Stationary - Gaseous","Town gas - Gigajoules","Tasmania","Gj","XXXXXX","t","t CO2 - e / Gj";"Fuel - Stationary - Gaseous","Town gas - Gigajoules","Northern Territory","Gj","XXXXXX","t","t CO2 - e / Gj"}, _xlpm.r, _xlpm.c))))</definedName>
    <definedName name="Scope3_SourceData.Scope3_FuelStationaryGaseousSource">_xlfn.LAMBDA(("Scope 3 GHG Emission Factors for Australian Agriculture, Fisheries and Forestry 2026"))</definedName>
    <definedName name="Scope3_SourceData.Scope3_FuelStationaryGaseousTitle">_xlfn.LAMBDA(("Fuel - Stationary - Gaseous scope 3"))</definedName>
    <definedName name="Scope3_SourceData.Scope3_FuelStationaryGaseousVariation">_xlfn.LAMBDA(("Emission factor values sourced from National Greenhouse Accounts Factors - See relevant table in 'Fuel Source Data'"))</definedName>
    <definedName name="Scope3_SourceData.Scope3_FuelStationaryLiquid_Data">_xlfn.LAMBDA(_xlfn.MAKEARRAY(25, 7, _xlfn.LAMBDA(_xlpm.r,_xlpm.c, INDEX({"Category","Product","Source","Product Unit","Emission Factor","Embedded Emissions Unit","Emissions Intensity Unit";"Fuel - Stationary - Liquid","Petroleum based oils (other than petroleum based oil used as fuel), e.g. lubricants","Location not specified","kl","XXXXXX"," t ","t CO2 - e / kl ";"Fuel - Stationary - Liquid","Petroleum based greases","Location not specified","kl","XXXXXX","t","t CO2 - e / kl ";"Fuel - Stationary - Liquid","Crude oil including crude oil condensates","Location not specified","t","XXXXXX","t","t CO2 - e / t ";"Fuel - Stationary - Liquid","Other natural gas liquids","Location not specified","t","XXXXXX","t","t CO2 - e / t ";"Fuel - Stationary - Liquid","Automotive gasoline / petrol (other than for use as fuel in an aircraft)","Location not specified","kl","XXXXXX","t","t CO2 - e / kl ";"Fuel - Stationary - Liquid","Aviation gasoline","Location not specified","kl","XXXXXX","t","t CO2 - e / kl ";"Fuel - Stationary - Liquid","Kerosene (other than for use as fuel in an aircraft)","Location not specified","kl","XXXXXX","t","t CO2 - e / kl ";"Fuel - Stationary - Liquid","Aviation turbine fuel / kerosene","Location not specified","kl","XXXXXX","t","t CO2 - e / kl ";"Fuel - Stationary - Liquid","Heating oil","Location not specified","kl","XXXXXX","t","t CO2 - e / kl ";"Fuel - Stationary - Liquid","Diesel oil","Location not specified","kl","XXXXXX","t","t CO2 - e / kl ";"Fuel - Stationary - Liquid","Fuel oil","Location not specified","kl","XXXXXX","t","t CO2 - e / kl ";"Fuel - Stationary - Liquid","Liquefied aromatic hydrocarbons","Location not specified","kl","XXXXXX","t","t CO2 - e / kl ";"Fuel - Stationary - Liquid","Solvents: mineral turpentine or white spirits","Location not specified","kl","XXXXXX","t","t CO2 - e / kl ";"Fuel - Stationary - Liquid","Liquefied petroleum gas (LPG)","Location not specified","kl","XXXXXX","t","t CO2 - e / kl ";"Fuel - Stationary - Liquid","Naphtha","Location not specified","kl","XXXXXX","t","t CO2 - e / kl ";"Fuel - Stationary - Liquid","Petroleum coke","Location not specified","t","XXXXXX","t","t CO2 - e / t ";"Fuel - Stationary - Liquid","Refinery gas and liquids","Location not specified","t","XXXXXX","t","t CO2 - e / t ";"Fuel - Stationary - Liquid","Refinery coke","Location not specified","t","XXXXXX","t","t CO2 - e / t ";"Fuel - Stationary - Liquid","Petroleum based products other than mentioned in the items above","Location not specified","kl","XXXXXX","t","t CO2 - e / kl ";"Fuel - Stationary - Liquid","Biodiesel","Location not specified","kl","XXXXXX","t","t CO2 - e / kl ";"Fuel - Stationary - Liquid","Ethanol for use as a fuel in an internal combustion engine","Location not specified","kl","XXXXXX","t","t CO2 - e / kl ";"Fuel - Stationary - Liquid","Biofuels other than those mentioned in the items above and below","Location not specified","kl","XXXXXX","t","t CO2 - e / kl ";"Fuel - Stationary - Liquid","Renewable aviation kerosene","Location not specified","kl","XXXXXX","t","t CO2 - e / kl ";"Fuel - Stationary - Liquid","Renewable diesel","Location not specified","kl","XXXXXX","t","t CO2 - e / kl "}, _xlpm.r, _xlpm.c))))</definedName>
    <definedName name="Scope3_SourceData.Scope3_FuelStationaryLiquid_Source">_xlfn.LAMBDA(("Scope 3 GHG Emission Factors for Australian Agriculture, Fisheries and Forestry 2026"))</definedName>
    <definedName name="Scope3_SourceData.Scope3_FuelStationaryLiquid_Title">_xlfn.LAMBDA(("Fuel - Stationary - Liquid scope 3"))</definedName>
    <definedName name="Scope3_SourceData.Scope3_FuelStationaryLiquid_Variation">_xlfn.LAMBDA(("Emission factor values sourced from National Greenhouse Accounts Factors - See relevant table in 'Fuel Source Data'"))</definedName>
    <definedName name="Scope3_SourceData.Scope3_FuelTransport_Data">_xlfn.LAMBDA(_xlfn.MAKEARRAY(22, 7, _xlfn.LAMBDA(_xlpm.r,_xlpm.c, INDEX({"Category","Product","Source","Product Unit","Emission Factor","Embedded Emissions Unit","Emissions Intensity Unit";"Fuel - Transport - Cars and light commercial vehicles","Gasoline","Location not specified","kl","XXXXXX","t","t CO2-e / kl";"Fuel - Transport - Cars and light commercial vehicles","Diesel oil","Location not specified","kl","XXXXXX","t","t CO2-e / kl";"Fuel - Transport - Cars and light commercial vehicles","Liquefied petroleum gas (LPG)","Location not specified","kl","XXXXXX","t","t CO2-e / kl";"Fuel - Transport - Cars and light commercial vehicles","Fuel oil","Location not specified","kl","XXXXXX","t","t CO2-e / kl";"Fuel - Transport - Cars and light commercial vehicles","Ethanol","Location not specified","kl","XXXXXX","t","t CO2-e / kl";"Fuel - Transport - Cars and light commercial vehicles","Biodiesel","Location not specified","kl","XXXXXX","t","t CO2-e / kl";"Fuel - Transport - Cars and light commercial vehicles","Renewable diesel","Location not specified","kl","XXXXXX","t","t CO2-e / kl";"Fuel - Transport - Cars and light commercial vehicles","Other biofuels","Location not specified","kl","XXXXXX","t","t CO2-e / kl";"Fuel - Transport - Light duty vehicles","Compressed natural gas","Location not specified","m3","XXXXXX","t","t CO2-e / m3";"Fuel - Transport - Light duty vehicles","Liquefied natural gas","Location not specified","kl","XXXXXX","t","t CO2-e / kl";"Fuel - Transport - Heavy duty vehicles","Compressed natural gas","Location not specified","m3","XXXXXX","t","t CO2-e / m3";"Fuel - Transport - Heavy duty vehicles","Liquefied natural gas","Location not specified","kl","XXXXXX","t","t CO2-e / kl";"Fuel - Transport - Heavy duty vehicles","Diesel oil - Euro iv or higher","Location not specified","kl","XXXXXX","t","t CO2-e / kl";"Fuel - Transport - Heavy duty vehicles","Diesel oil - Euro iii","Location not specified","kl","XXXXXX","t","t CO2-e / kl";"Fuel - Transport - Heavy duty vehicles","Diesel oil - Euro i","Location not specified","kl","XXXXXX","t","t CO2-e / kl";"Fuel - Transport - Heavy duty vehicles","Renewable diesel - Euro iv or higher","Location not specified","kl","XXXXXX","t","t CO2-e / kl";"Fuel - Transport - Heavy duty vehicles","Renewable diesel - Euro iii","Location not specified","kl","XXXXXX","t","t CO2-e / kl";"Fuel - Transport - Heavy duty vehicles","Renewable diesel - Euro i","Location not specified","kl","XXXXXX","t","t CO2-e / kl";"Fuel - Transport - Aviation","Gasoline for use as fuel in an aircraft","Location not specified","kl","XXXXXX","t","t CO2-e / kl";"Fuel - Transport - Aviation","Kerosene for use as fuel in an aircraft","Location not specified","kl","XXXXXX","t","t CO2-e / kl";"Fuel - Transport - Aviation","Renewable aviation kerosene","Location not specified","kl","XXXXXX","t","t CO2-e / kl"}, _xlpm.r, _xlpm.c))))</definedName>
    <definedName name="Scope3_SourceData.Scope3_FuelTransport_Source">_xlfn.LAMBDA(("Scope 3 GHG Emission Factors for Australian Agriculture, Fisheries and Forestry 2026"))</definedName>
    <definedName name="Scope3_SourceData.Scope3_FuelTransport_Title">_xlfn.LAMBDA(("Fuel - Transport scope 3"))</definedName>
    <definedName name="Scope3_SourceData.Scope3_FuelTransport_Variation">_xlfn.LAMBDA(("Emission factor values sourced from National Greenhouse Accounts Factors - See relevant table in 'Fuel Source Data'"))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ckBlocks_Data">_xlfn.LAMBDA(_xlfn.MAKEARRAY(4, 7, _xlfn.LAMBDA(_xlpm.r,_xlpm.c, INDEX({"Category","Product","Source","Product Unit","Emission Factor","Embedded Emissions Unit","Emissions Intensity Unit";"Lick Blocks","Mineral block","Location not specified","t",50101,"t","t CO2-e / t";"Lick Blocks","Weaner block","Location not specified","t",50102,"t","t CO2-e / t";"Lick Blocks","Dry season mix","Location not specified","t",50103,"t","t CO2-e / t"}, _xlpm.r, _xlpm.c))))</definedName>
    <definedName name="Scope3_SourceData.Scope3_LickBlocks_Source">_xlfn.LAMBDA(("Lifecycles. (2026). Greenhouse Gas Emission Intensities for Material Inputs to Australian Agriculture, Fisheries and Forestry. Version 48. doi 10.5281/zenodo.19656580"))</definedName>
    <definedName name="Scope3_SourceData.Scope3_LickBlocks_Title">_xlfn.LAMBDA(("Lick Blocks scope 3"))</definedName>
    <definedName name="Scope3_SourceData.Scope3_LickBlock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rganicFertilisers_Data">_xlfn.LAMBDA(_xlfn.MAKEARRAY(11, 7, _xlfn.LAMBDA(_xlpm.r,_xlpm.c, INDEX({"Category","Product","Source","Product Unit","Emission Factor","Embedded Emissions Unit","Emissions Intensity Unit";"Organic Fertilisers","Dairy Manure","Primary MMS","t",20101,"t","t CO2-e / t";"Organic Fertilisers","Dairy Manure","Secondary MMS","t",20102,"t","t CO2-e / t";"Organic Fertilisers","Pork Manure","Primary MMS","t",20201,"t","t CO2-e / t";"Organic Fertilisers","Pork Manure","Secondary MMS","t",20202,"t","t CO2-e / t";"Organic Fertilisers","Feedlot Manure","Primary MMS","t",20301,"t","t CO2-e / t";"Organic Fertilisers","Feedlot Manure","Secondary MMS","t",20302,"t","t CO2-e / t";"Organic Fertilisers","Feedlot Manure","Tertiary MMS","t",20303,"t","t CO2-e / t";"Organic Fertilisers","Poultry Manure","Primary MMS","t",20401,"t","t CO2-e / t";"Organic Fertilisers","Poultry Manure","Secondary MMS","t",20402,"t","t CO2-e / t";"Organic Fertilisers","Other","Location not specified","t",20501,"t","t CO2-e / t"}, _xlpm.r, _xlpm.c))))</definedName>
    <definedName name="Scope3_SourceData.Scope3_OrganicFertilisers_Source">_xlfn.LAMBDA(("Lifecycles. (2026). Greenhouse Gas Emission Intensities for Material Inputs to Australian Agriculture, Fisheries and Forestry. Version 48. doi 10.5281/zenodo.19656580"))</definedName>
    <definedName name="Scope3_SourceData.Scope3_OrganicFertilisers_Title">_xlfn.LAMBDA(("Organic fertiliser scope 3"))</definedName>
    <definedName name="Scope3_SourceData.Scope3_OrganicFertilisers_Variation">_xlfn.LAMBDA((""))</definedName>
    <definedName name="Scope3_SourceData.Scope3_OtherAgriculturalInputs_Data">_xlfn.LAMBDA(_xlfn.MAKEARRAY(7, 7, _xlfn.LAMBDA(_xlpm.r,_xlpm.c, INDEX({"Category","Product","Source","Product Unit","Emission Factor","Embedded Emissions Unit","Emissions Intensity Unit";"Other Agricultural Inputs","CO2 for carbonation","Location not specified","t",120101,"t","t CO2-e / t";"Other Agricultural Inputs","Livestock antibiotics","Location not specified","t",110102,"t","t CO2-e / t";"Other Agricultural Inputs","Nylon netting for horticulture","Location not specified","t",110103,"t","t CO2-e / t";"Other Agricultural Inputs","Pallets - Wood","Location not specified","t",110104,"t","t CO2-e / t";"Other Agricultural Inputs","Pallets - Plastic","Location not specified","t",110105,"t","t CO2-e / t";"Other Agricultural Inputs","Livestock tags","Location not specified","t",110106,"t","t CO2-e / t"}, _xlpm.r, _xlpm.c))))</definedName>
    <definedName name="Scope3_SourceData.Scope3_OtherAgriculturalInputs_Source">_xlfn.LAMBDA(("Lifecycles. (2026). Greenhouse Gas Emission Intensities for Material Inputs to Australian Agriculture, Fisheries and Forestry. Version 48. doi 10.5281/zenodo.19656580"))</definedName>
    <definedName name="Scope3_SourceData.Scope3_OtherAgriculturalInputs_Title">_xlfn.LAMBDA(("Other agricultural inputs scope 3"))</definedName>
    <definedName name="Scope3_SourceData.Scope3_OtherAgriculturalInputs_Variation">_xlfn.LAMBDA((""))</definedName>
    <definedName name="Scope3_SourceData.Scope3_Packaging_Data">_xlfn.LAMBDA(_xlfn.MAKEARRAY(7, 7, _xlfn.LAMBDA(_xlpm.r,_xlpm.c, INDEX({"Category","Product","Source","Product Unit","Emission Factor","Embedded Emissions Unit","Emissions Intensity Unit";"Packaging","Wine bottles: Glass - conventional","Location not specified","bottle",90101,"bottle","kg CO2-e / bottle";"Packaging","Wine bottles: Glass - light","Location not specified","bottle",90102,"bottle","kg CO2-e / bottle";"Packaging","Plastic packaging","Location not specified","kg",90201,"kg","kg CO2-e / kg";"Packaging","Polyethylene terephthalate (PET)","Location not specified","kg",90202,"kg","kg CO2-e / kg";"Packaging","Polypropylene (PP)","Location not specified","kg",90203,"kg","kg CO2-e / kg";"Packaging","Cardboard","Location not specified","kg",90204,"kg","kg CO2-e / kg"},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harmacyChemicals_Data">_xlfn.LAMBDA(_xlfn.MAKEARRAY(5, 7, _xlfn.LAMBDA(_xlpm.r,_xlpm.c, INDEX({"Category","Sub-category","Product name","Region of origin","Product Unit","GHG emission intensity","System boundary";"Chemicals","Pharmacy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PharmacyChemicals_Source">_xlfn.LAMBDA(("Lifecycles. (2026). Greenhouse Gas Emission Intensities for Material Inputs to Australian Agriculture, Fisheries and Forestry. Version 48. doi 10.5281/zenodo.19656580"))</definedName>
    <definedName name="Scope3_SourceData.Scope3_PharmacyChemicals_Title">_xlfn.LAMBDA(("Pharmacy chemicals scope 3"))</definedName>
    <definedName name="Scope3_SourceData.Scope3_PharmacyChemicals_Variation">_xlfn.LAMBDA((""))</definedName>
    <definedName name="Scope3_SourceData.Scope3_SeedsAndSeedlings_Data">_xlfn.LAMBDA(_xlfn.MAKEARRAY(3, 7, _xlfn.LAMBDA(_xlpm.r,_xlpm.c, INDEX({"Category","Product","Source","Product Unit","Emission Factor","Embedded Emissions Unit","Emissions Intensity Unit";"Seeds and Seedlings","Seed (general crop and pasture)","Location not specified","t",100101,"t","t CO2-e / t";"Seeds and Seedlings","Seedlings (forestry, horticulture, environmental)","Location not specified","Seedling",100102,"t","t CO2-e / Seedling"}, _xlpm.r, _xlpm.c))))</definedName>
    <definedName name="Scope3_SourceData.Scope3_SeedsAndSeedlings_Source">_xlfn.LAMBDA(("Lifecycles. (2026). Greenhouse Gas Emission Intensities for Material Inputs to Australian Agriculture, Fisheries and Forestry. Version 48. doi 10.5281/zenodo.19656580"))</definedName>
    <definedName name="Scope3_SourceData.Scope3_SeedsAndSeedlings_Title">_xlfn.LAMBDA(("Seeds and Seedlings scope 3"))</definedName>
    <definedName name="Scope3_SourceData.Scope3_SeedsAndSeedlings_Variation">_xlfn.LAMBDA((""))</definedName>
    <definedName name="Scope3_SourceData.Scope3_SoilAmendments_Data">_xlfn.LAMBDA(_xlfn.MAKEARRAY(6, 7, _xlfn.LAMBDA(_xlpm.r,_xlpm.c, INDEX({"Category","Product","Source","Product Unit","Emission Factor","Embedded Emissions Unit","Emissions Intensity Unit";"Soil Amendments","Lime","Location not specified","t",30101,"t","t CO2-e / t";"Soil Amendments","Limesand","Location not specified","t",30102,"t","t CO2-e / t";"Soil Amendments","Dolomite","Location not specified","t",30103,"t","t CO2-e / t";"Soil Amendments","Gypsum","Location not specified","t",30104,"t","t CO2-e / t";"Soil Amendments","Potash","Location not specified","t",30105,"t","t CO2-e / 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litter",0.85,"Poultry manure with bedding";"Poultry manure without litter - stored in house",0.8,"Manure stored in house";"Poultry manure without litter - belt removal",1,"Belt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_xlfn.LAMBDA(_xlfn.MAKEARRAY(8, 2, _xlfn.LAMBDA(_xlpm.r,_xlpm.c, INDEX({"Class","VSj";"Boars",0.4;"Sows",0.46;"Gilts",0.55;"Slaughter pigs",0.39;"Suckers",0.39;"Weaners",0.39;"Growers",0.39},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Added 'Suckers', 'Weaners' and 'Growers' classes which have the same values as 'Slaughter pigs'.")</definedName>
    <definedName name="Step1">#REF!</definedName>
    <definedName name="Step2">#REF!</definedName>
    <definedName name="Step3">#REF!</definedName>
    <definedName name="ValidLivestockClass">_xlfn.UNIQUE(_xlfn._xlws.FILTER(Table_Scope3_Livestock[Product], Table_Scope3_Livestock[Category] = Table_Input_LivestockPurchases[[#This Row],[Livestock type (select)]]))</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H19" i="7" l="1"/>
  <c r="D34" i="19"/>
  <c r="G13" i="12"/>
  <c r="D54" i="19"/>
  <c r="E53" i="19"/>
  <c r="D53" i="19"/>
  <c r="E52" i="19"/>
  <c r="D52" i="19"/>
  <c r="E51" i="19"/>
  <c r="D51" i="19"/>
  <c r="E50" i="19"/>
  <c r="D50" i="19"/>
  <c r="D49" i="19"/>
  <c r="D48" i="19"/>
  <c r="D47" i="19"/>
  <c r="D46" i="19"/>
  <c r="D45" i="19"/>
  <c r="D44" i="19"/>
  <c r="D43" i="19"/>
  <c r="D42" i="19"/>
  <c r="D41" i="19"/>
  <c r="D40" i="19"/>
  <c r="D39" i="19"/>
  <c r="D38" i="19"/>
  <c r="D37" i="19"/>
  <c r="D36" i="19"/>
  <c r="D35" i="19"/>
  <c r="F33" i="19"/>
  <c r="D33" i="19"/>
  <c r="F32" i="19"/>
  <c r="D32" i="19"/>
  <c r="F31" i="19"/>
  <c r="D31" i="19"/>
  <c r="F30" i="19"/>
  <c r="D30" i="19"/>
  <c r="F20" i="7"/>
  <c r="G20" i="7"/>
  <c r="H20" i="7"/>
  <c r="K20" i="7" a="1"/>
  <c r="K20" i="7" s="1"/>
  <c r="L20" i="7" a="1"/>
  <c r="L20" i="7" s="1"/>
  <c r="M20" i="7" a="1"/>
  <c r="M20" i="7" s="1"/>
  <c r="N20" i="7" a="1"/>
  <c r="N20" i="7" s="1"/>
  <c r="O20" i="7" a="1"/>
  <c r="O20" i="7" s="1"/>
  <c r="P20" i="7" a="1"/>
  <c r="P20" i="7" s="1"/>
  <c r="Q20" i="7" a="1"/>
  <c r="Q20" i="7" s="1"/>
  <c r="R20" i="7" a="1"/>
  <c r="R20" i="7" s="1"/>
  <c r="S20" i="7" a="1"/>
  <c r="S20" i="7" s="1"/>
  <c r="T20" i="7" a="1"/>
  <c r="T20" i="7" s="1"/>
  <c r="U20" i="7" a="1"/>
  <c r="U20" i="7" s="1"/>
  <c r="V20" i="7" a="1"/>
  <c r="V20" i="7" s="1"/>
  <c r="X20" i="7"/>
  <c r="Y20" i="7"/>
  <c r="H6" i="19" a="1"/>
  <c r="H6" i="19" s="1"/>
  <c r="D6" i="19" a="1"/>
  <c r="D6" i="19" s="1"/>
  <c r="G10" i="20"/>
  <c r="L30" i="20" a="1"/>
  <c r="L30" i="20" s="1"/>
  <c r="L29" i="20" a="1"/>
  <c r="L29" i="20" s="1"/>
  <c r="L28" i="20"/>
  <c r="L28" i="20" a="1"/>
  <c r="L27" i="20" a="1"/>
  <c r="L27" i="20" s="1"/>
  <c r="L26" i="20" a="1"/>
  <c r="L26" i="20" s="1"/>
  <c r="L25" i="20"/>
  <c r="L25" i="20" a="1"/>
  <c r="L24" i="20" a="1"/>
  <c r="L24" i="20" s="1"/>
  <c r="L23" i="20" a="1"/>
  <c r="L23" i="20" s="1"/>
  <c r="L22" i="20" a="1"/>
  <c r="L22" i="20" s="1"/>
  <c r="L21" i="20"/>
  <c r="L21" i="20" a="1"/>
  <c r="L20" i="20" a="1"/>
  <c r="L20" i="20" s="1"/>
  <c r="L19" i="20" a="1"/>
  <c r="L19" i="20" s="1"/>
  <c r="L18" i="20" a="1"/>
  <c r="L18" i="20" s="1"/>
  <c r="L17" i="20" a="1"/>
  <c r="L17" i="20" s="1"/>
  <c r="L16" i="20" a="1"/>
  <c r="L16" i="20" s="1"/>
  <c r="L15" i="20" a="1"/>
  <c r="L15" i="20" s="1"/>
  <c r="L14" i="20"/>
  <c r="L14" i="20" a="1"/>
  <c r="L13" i="20" a="1"/>
  <c r="L13" i="20" s="1"/>
  <c r="L12" i="20" a="1"/>
  <c r="L12" i="20" s="1"/>
  <c r="L11" i="20" a="1"/>
  <c r="L11" i="20" s="1"/>
  <c r="L10" i="20" a="1"/>
  <c r="L10" i="20" s="1"/>
  <c r="L9" i="20" a="1"/>
  <c r="L9" i="20" s="1"/>
  <c r="L8" i="20" a="1"/>
  <c r="L8" i="20" s="1"/>
  <c r="L7" i="20"/>
  <c r="L7" i="20" a="1"/>
  <c r="L6" i="20" a="1"/>
  <c r="L6" i="20" s="1"/>
  <c r="K30" i="20" a="1"/>
  <c r="K30" i="20" s="1"/>
  <c r="K29" i="20" a="1"/>
  <c r="K29" i="20" s="1"/>
  <c r="K28" i="20" a="1"/>
  <c r="K28" i="20" s="1"/>
  <c r="K27" i="20" a="1"/>
  <c r="K27" i="20" s="1"/>
  <c r="K26" i="20" a="1"/>
  <c r="K26" i="20" s="1"/>
  <c r="K25" i="20"/>
  <c r="K25" i="20" a="1"/>
  <c r="K24" i="20" a="1"/>
  <c r="K24" i="20" s="1"/>
  <c r="K23" i="20" a="1"/>
  <c r="K23" i="20" s="1"/>
  <c r="K22" i="20" a="1"/>
  <c r="K22" i="20" s="1"/>
  <c r="K21" i="20" a="1"/>
  <c r="K21" i="20" s="1"/>
  <c r="K20" i="20" a="1"/>
  <c r="K20" i="20" s="1"/>
  <c r="K19" i="20" a="1"/>
  <c r="K19" i="20" s="1"/>
  <c r="K18" i="20"/>
  <c r="K18" i="20" a="1"/>
  <c r="K17" i="20" a="1"/>
  <c r="K17" i="20" s="1"/>
  <c r="K16" i="20" a="1"/>
  <c r="K16" i="20" s="1"/>
  <c r="K15" i="20" a="1"/>
  <c r="K15" i="20" s="1"/>
  <c r="K14" i="20" a="1"/>
  <c r="K14" i="20" s="1"/>
  <c r="K13" i="20" a="1"/>
  <c r="K13" i="20" s="1"/>
  <c r="K12" i="20" a="1"/>
  <c r="K12" i="20" s="1"/>
  <c r="K11" i="20" a="1"/>
  <c r="K11" i="20" s="1"/>
  <c r="K10" i="20" a="1"/>
  <c r="K10" i="20" s="1"/>
  <c r="K9" i="20" a="1"/>
  <c r="K9" i="20" s="1"/>
  <c r="K8" i="20" a="1"/>
  <c r="K8" i="20" s="1"/>
  <c r="K7" i="20" a="1"/>
  <c r="K7" i="20" s="1"/>
  <c r="K6" i="20" a="1"/>
  <c r="K6" i="20" s="1"/>
  <c r="F30" i="20" a="1"/>
  <c r="F30" i="20" s="1"/>
  <c r="F29" i="20" a="1"/>
  <c r="F29" i="20" s="1"/>
  <c r="F28" i="20"/>
  <c r="F28" i="20" a="1"/>
  <c r="F27" i="20" a="1"/>
  <c r="F27" i="20" s="1"/>
  <c r="F26" i="20" a="1"/>
  <c r="F26" i="20" s="1"/>
  <c r="F25" i="20"/>
  <c r="F25" i="20" a="1"/>
  <c r="F24" i="20" a="1"/>
  <c r="F24" i="20" s="1"/>
  <c r="F23" i="20" a="1"/>
  <c r="F23" i="20" s="1"/>
  <c r="F22" i="20" a="1"/>
  <c r="F22" i="20" s="1"/>
  <c r="F21" i="20"/>
  <c r="F21" i="20" a="1"/>
  <c r="F20" i="20" a="1"/>
  <c r="F20" i="20" s="1"/>
  <c r="F19" i="20" a="1"/>
  <c r="F19" i="20" s="1"/>
  <c r="F18" i="20"/>
  <c r="F18" i="20" a="1"/>
  <c r="F17" i="20" a="1"/>
  <c r="F17" i="20" s="1"/>
  <c r="F16" i="20" a="1"/>
  <c r="F16" i="20" s="1"/>
  <c r="F15" i="20" a="1"/>
  <c r="F15" i="20" s="1"/>
  <c r="F14" i="20"/>
  <c r="F14" i="20" a="1"/>
  <c r="F13" i="20" a="1"/>
  <c r="F13" i="20" s="1"/>
  <c r="F12" i="20" a="1"/>
  <c r="F12" i="20" s="1"/>
  <c r="F11" i="20" a="1"/>
  <c r="F11" i="20" s="1"/>
  <c r="F10" i="20" a="1"/>
  <c r="F10" i="20" s="1"/>
  <c r="F9" i="20" a="1"/>
  <c r="F9" i="20" s="1"/>
  <c r="F8" i="20" a="1"/>
  <c r="F8" i="20" s="1"/>
  <c r="F7" i="20" a="1"/>
  <c r="F7" i="20" s="1"/>
  <c r="F6" i="20" a="1"/>
  <c r="F6" i="20" s="1"/>
  <c r="E30" i="20" a="1"/>
  <c r="E30" i="20" s="1"/>
  <c r="E29" i="20" a="1"/>
  <c r="E29" i="20" s="1"/>
  <c r="E28" i="20"/>
  <c r="E28" i="20" a="1"/>
  <c r="E27" i="20"/>
  <c r="E27" i="20" a="1"/>
  <c r="E26" i="20" a="1"/>
  <c r="E26" i="20" s="1"/>
  <c r="E25" i="20"/>
  <c r="E25" i="20" a="1"/>
  <c r="E24" i="20" a="1"/>
  <c r="E24" i="20" s="1"/>
  <c r="E23" i="20" a="1"/>
  <c r="E23" i="20" s="1"/>
  <c r="E22" i="20" a="1"/>
  <c r="E22" i="20" s="1"/>
  <c r="E21" i="20"/>
  <c r="E21" i="20" a="1"/>
  <c r="E20" i="20"/>
  <c r="E20" i="20" a="1"/>
  <c r="E19" i="20" a="1"/>
  <c r="E19" i="20" s="1"/>
  <c r="E18" i="20"/>
  <c r="E18" i="20" a="1"/>
  <c r="E17" i="20" a="1"/>
  <c r="E17" i="20" s="1"/>
  <c r="E16" i="20" a="1"/>
  <c r="E16" i="20" s="1"/>
  <c r="E15" i="20" a="1"/>
  <c r="E15" i="20" s="1"/>
  <c r="E14" i="20"/>
  <c r="E14" i="20" a="1"/>
  <c r="E13" i="20" a="1"/>
  <c r="E13" i="20" s="1"/>
  <c r="E12" i="20" a="1"/>
  <c r="E12" i="20" s="1"/>
  <c r="E11" i="20"/>
  <c r="E11" i="20" a="1"/>
  <c r="E10" i="20" a="1"/>
  <c r="E10" i="20" s="1"/>
  <c r="E9" i="20" a="1"/>
  <c r="E9" i="20" s="1"/>
  <c r="E8" i="20" a="1"/>
  <c r="E8" i="20" s="1"/>
  <c r="E7" i="20" a="1"/>
  <c r="E7" i="20" s="1"/>
  <c r="E6" i="20" a="1"/>
  <c r="E6" i="20" s="1"/>
  <c r="D30" i="20" a="1"/>
  <c r="D30" i="20" s="1"/>
  <c r="D29" i="20" a="1"/>
  <c r="D29" i="20" s="1"/>
  <c r="D28" i="20" a="1"/>
  <c r="D28" i="20" s="1"/>
  <c r="D27" i="20"/>
  <c r="D27" i="20" a="1"/>
  <c r="D26" i="20"/>
  <c r="D26" i="20" a="1"/>
  <c r="D25" i="20" a="1"/>
  <c r="D25" i="20" s="1"/>
  <c r="D24" i="20" a="1"/>
  <c r="D24" i="20" s="1"/>
  <c r="D23" i="20" a="1"/>
  <c r="D23" i="20" s="1"/>
  <c r="D22" i="20" a="1"/>
  <c r="D22" i="20" s="1"/>
  <c r="D21" i="20" a="1"/>
  <c r="D21" i="20" s="1"/>
  <c r="D20" i="20"/>
  <c r="D20" i="20" a="1"/>
  <c r="D19" i="20" a="1"/>
  <c r="D19" i="20" s="1"/>
  <c r="D18" i="20" a="1"/>
  <c r="D18" i="20" s="1"/>
  <c r="D17" i="20" a="1"/>
  <c r="D17" i="20" s="1"/>
  <c r="D16" i="20" a="1"/>
  <c r="D16" i="20" s="1"/>
  <c r="D15" i="20" a="1"/>
  <c r="D15" i="20" s="1"/>
  <c r="D14" i="20" a="1"/>
  <c r="D14" i="20" s="1"/>
  <c r="D13" i="20" a="1"/>
  <c r="D13" i="20" s="1"/>
  <c r="D12" i="20" a="1"/>
  <c r="D12" i="20" s="1"/>
  <c r="D11" i="20" a="1"/>
  <c r="D11" i="20" s="1"/>
  <c r="D10" i="20" a="1"/>
  <c r="D10" i="20" s="1"/>
  <c r="D9" i="20" a="1"/>
  <c r="D9" i="20" s="1"/>
  <c r="D8" i="20" a="1"/>
  <c r="D8" i="20" s="1"/>
  <c r="D7" i="20" a="1"/>
  <c r="D7" i="20" s="1"/>
  <c r="D6" i="20" a="1"/>
  <c r="D6" i="20" s="1"/>
  <c r="G6" i="20"/>
  <c r="I6" i="20"/>
  <c r="G7" i="20"/>
  <c r="I7" i="20"/>
  <c r="G8" i="20"/>
  <c r="I8" i="20"/>
  <c r="G9" i="20"/>
  <c r="I9" i="20"/>
  <c r="G11" i="20"/>
  <c r="G12" i="20"/>
  <c r="G13" i="20"/>
  <c r="G14" i="20"/>
  <c r="G15" i="20"/>
  <c r="G16" i="20"/>
  <c r="G17" i="20"/>
  <c r="G18" i="20"/>
  <c r="G19" i="20"/>
  <c r="G20" i="20"/>
  <c r="G21" i="20"/>
  <c r="G22" i="20"/>
  <c r="G23" i="20"/>
  <c r="G24" i="20"/>
  <c r="G25" i="20"/>
  <c r="G26" i="20"/>
  <c r="H26" i="20"/>
  <c r="G30" i="20"/>
  <c r="H29" i="20"/>
  <c r="G29" i="20"/>
  <c r="H28" i="20"/>
  <c r="G28" i="20"/>
  <c r="H27" i="20"/>
  <c r="G27" i="20"/>
  <c r="K211" i="12"/>
  <c r="K210" i="12"/>
  <c r="K209" i="12"/>
  <c r="G211" i="12" a="1"/>
  <c r="G211" i="12" s="1"/>
  <c r="M211" i="12" s="1"/>
  <c r="G210" i="12" a="1"/>
  <c r="G210" i="12" s="1"/>
  <c r="L210" i="12" s="1"/>
  <c r="G209" i="12" a="1"/>
  <c r="G209" i="12" s="1"/>
  <c r="L209" i="12" s="1"/>
  <c r="I211" i="12" a="1"/>
  <c r="I211" i="12" s="1"/>
  <c r="H211" i="12" a="1"/>
  <c r="H211" i="12" s="1"/>
  <c r="I210" i="12" a="1"/>
  <c r="I210" i="12" s="1"/>
  <c r="H210" i="12" a="1"/>
  <c r="H210" i="12" s="1"/>
  <c r="H209" i="12" a="1"/>
  <c r="H209" i="12" s="1"/>
  <c r="I209" i="12" a="1"/>
  <c r="I209" i="12" s="1"/>
  <c r="E211" i="12" a="1"/>
  <c r="E211" i="12" s="1"/>
  <c r="E210" i="12" a="1"/>
  <c r="E210" i="12" s="1"/>
  <c r="E209" i="12" a="1"/>
  <c r="E209" i="12" s="1"/>
  <c r="J13" i="17"/>
  <c r="J12" i="17"/>
  <c r="J11" i="17"/>
  <c r="J10" i="17"/>
  <c r="J9" i="17"/>
  <c r="J8" i="17"/>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I102" i="12" a="1"/>
  <c r="I102" i="12" s="1"/>
  <c r="H102" i="12" a="1"/>
  <c r="H102" i="12" s="1"/>
  <c r="I101" i="12" a="1"/>
  <c r="I101" i="12" s="1"/>
  <c r="H101" i="12" a="1"/>
  <c r="H101" i="12" s="1"/>
  <c r="I100" i="12" a="1"/>
  <c r="I100" i="12" s="1"/>
  <c r="H100" i="12" a="1"/>
  <c r="H100" i="12" s="1"/>
  <c r="I99" i="12" a="1"/>
  <c r="I99" i="12" s="1"/>
  <c r="H99" i="12" a="1"/>
  <c r="H99" i="12" s="1"/>
  <c r="I98" i="12" a="1"/>
  <c r="I98" i="12" s="1"/>
  <c r="H98" i="12" a="1"/>
  <c r="H98" i="12" s="1"/>
  <c r="I97" i="12" a="1"/>
  <c r="I97" i="12" s="1"/>
  <c r="H97" i="12" a="1"/>
  <c r="H97" i="12" s="1"/>
  <c r="I96" i="12" a="1"/>
  <c r="I96" i="12" s="1"/>
  <c r="H96" i="12" a="1"/>
  <c r="H96" i="12" s="1"/>
  <c r="I95" i="12" a="1"/>
  <c r="I95" i="12" s="1"/>
  <c r="H95" i="12" a="1"/>
  <c r="H95" i="12" s="1"/>
  <c r="I94" i="12" a="1"/>
  <c r="I94" i="12" s="1"/>
  <c r="H94" i="12" a="1"/>
  <c r="H94" i="12" s="1"/>
  <c r="I93" i="12" a="1"/>
  <c r="I93" i="12" s="1"/>
  <c r="H93" i="12" a="1"/>
  <c r="H93" i="12" s="1"/>
  <c r="I92" i="12" a="1"/>
  <c r="I92" i="12" s="1"/>
  <c r="H92" i="12" a="1"/>
  <c r="H92" i="12" s="1"/>
  <c r="I91" i="12" a="1"/>
  <c r="I91" i="12" s="1"/>
  <c r="H91" i="12" a="1"/>
  <c r="H91" i="12" s="1"/>
  <c r="I90" i="12" a="1"/>
  <c r="I90" i="12" s="1"/>
  <c r="H90" i="12" a="1"/>
  <c r="H90" i="12" s="1"/>
  <c r="I89" i="12" a="1"/>
  <c r="I89" i="12" s="1"/>
  <c r="H89" i="12" a="1"/>
  <c r="H89" i="12" s="1"/>
  <c r="I88" i="12" a="1"/>
  <c r="I88" i="12" s="1"/>
  <c r="H88" i="12" a="1"/>
  <c r="H88" i="12" s="1"/>
  <c r="I87" i="12" a="1"/>
  <c r="I87" i="12" s="1"/>
  <c r="H87" i="12" a="1"/>
  <c r="H87" i="12" s="1"/>
  <c r="I86" i="12" a="1"/>
  <c r="I86" i="12" s="1"/>
  <c r="H86" i="12" a="1"/>
  <c r="H86" i="12" s="1"/>
  <c r="I85" i="12" a="1"/>
  <c r="I85" i="12" s="1"/>
  <c r="H85" i="12" a="1"/>
  <c r="H85" i="12" s="1"/>
  <c r="I84" i="12" a="1"/>
  <c r="I84" i="12" s="1"/>
  <c r="H84" i="12" a="1"/>
  <c r="H84" i="12" s="1"/>
  <c r="I83" i="12" a="1"/>
  <c r="I83" i="12" s="1"/>
  <c r="H83" i="12" a="1"/>
  <c r="H83" i="12" s="1"/>
  <c r="I82" i="12" a="1"/>
  <c r="I82" i="12" s="1"/>
  <c r="H82" i="12" a="1"/>
  <c r="H82" i="12" s="1"/>
  <c r="I81" i="12" a="1"/>
  <c r="I81" i="12" s="1"/>
  <c r="H81" i="12" a="1"/>
  <c r="H81" i="12" s="1"/>
  <c r="I80" i="12" a="1"/>
  <c r="I80" i="12" s="1"/>
  <c r="H80" i="12" a="1"/>
  <c r="H80" i="12" s="1"/>
  <c r="I79" i="12" a="1"/>
  <c r="I79" i="12" s="1"/>
  <c r="H79" i="12" a="1"/>
  <c r="H79" i="12" s="1"/>
  <c r="I78" i="12" a="1"/>
  <c r="I78" i="12" s="1"/>
  <c r="H78" i="12" a="1"/>
  <c r="H78" i="12" s="1"/>
  <c r="I77" i="12" a="1"/>
  <c r="I77" i="12" s="1"/>
  <c r="H77" i="12" a="1"/>
  <c r="H77" i="12" s="1"/>
  <c r="I76" i="12" a="1"/>
  <c r="I76" i="12" s="1"/>
  <c r="H76" i="12" a="1"/>
  <c r="H76" i="12" s="1"/>
  <c r="I75" i="12" a="1"/>
  <c r="I75" i="12" s="1"/>
  <c r="H75" i="12" a="1"/>
  <c r="H75" i="12" s="1"/>
  <c r="I74" i="12" a="1"/>
  <c r="I74" i="12" s="1"/>
  <c r="H74" i="12" a="1"/>
  <c r="H74" i="12" s="1"/>
  <c r="I73" i="12" a="1"/>
  <c r="I73" i="12" s="1"/>
  <c r="H73" i="12" a="1"/>
  <c r="H73" i="12" s="1"/>
  <c r="I72" i="12" a="1"/>
  <c r="I72" i="12" s="1"/>
  <c r="H72" i="12" a="1"/>
  <c r="H72" i="12" s="1"/>
  <c r="I71" i="12" a="1"/>
  <c r="I71" i="12" s="1"/>
  <c r="H71" i="12" a="1"/>
  <c r="H71" i="12" s="1"/>
  <c r="I70" i="12" a="1"/>
  <c r="I70" i="12" s="1"/>
  <c r="H70" i="12" a="1"/>
  <c r="H70" i="12" s="1"/>
  <c r="I69" i="12" a="1"/>
  <c r="I69" i="12" s="1"/>
  <c r="H69" i="12" a="1"/>
  <c r="H69" i="12" s="1"/>
  <c r="I68" i="12" a="1"/>
  <c r="I68" i="12" s="1"/>
  <c r="H68" i="12" a="1"/>
  <c r="H68" i="12" s="1"/>
  <c r="I67" i="12" a="1"/>
  <c r="I67" i="12" s="1"/>
  <c r="H67" i="12" a="1"/>
  <c r="H67" i="12" s="1"/>
  <c r="I66" i="12" a="1"/>
  <c r="I66" i="12" s="1"/>
  <c r="H66" i="12" a="1"/>
  <c r="H66" i="12" s="1"/>
  <c r="I65" i="12" a="1"/>
  <c r="I65" i="12" s="1"/>
  <c r="H65" i="12" a="1"/>
  <c r="H65" i="12" s="1"/>
  <c r="I64" i="12" a="1"/>
  <c r="I64" i="12" s="1"/>
  <c r="H64" i="12" a="1"/>
  <c r="H64" i="12" s="1"/>
  <c r="I63" i="12" a="1"/>
  <c r="I63" i="12" s="1"/>
  <c r="H63" i="12" a="1"/>
  <c r="H63" i="12" s="1"/>
  <c r="H62" i="12" a="1"/>
  <c r="H62" i="12" s="1"/>
  <c r="I62" i="12" a="1"/>
  <c r="I62" i="12"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1" i="18" a="1"/>
  <c r="E11" i="18" s="1"/>
  <c r="D11" i="18" a="1"/>
  <c r="D11" i="18" s="1"/>
  <c r="F10" i="18" a="1"/>
  <c r="F10" i="18" s="1"/>
  <c r="E10" i="18" a="1"/>
  <c r="E10" i="18"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I20" i="7" l="1"/>
  <c r="I16" i="19"/>
  <c r="I15" i="19"/>
  <c r="I17" i="19"/>
  <c r="I19" i="19"/>
  <c r="I20" i="19"/>
  <c r="I21" i="19"/>
  <c r="I22" i="19"/>
  <c r="I9" i="19"/>
  <c r="I23" i="19"/>
  <c r="I18" i="19"/>
  <c r="I10" i="19"/>
  <c r="I24" i="19"/>
  <c r="I14" i="19"/>
  <c r="I11" i="19"/>
  <c r="I25" i="19"/>
  <c r="I12" i="19"/>
  <c r="I13" i="19"/>
  <c r="W20" i="7"/>
  <c r="M210" i="12"/>
  <c r="M209" i="12"/>
  <c r="L211" i="12"/>
  <c r="K89" i="12" l="1"/>
  <c r="K76" i="12"/>
  <c r="K75" i="12"/>
  <c r="K62" i="12"/>
  <c r="K102" i="12"/>
  <c r="K101" i="12"/>
  <c r="K100" i="12"/>
  <c r="K99" i="12"/>
  <c r="K98" i="12"/>
  <c r="K97" i="12"/>
  <c r="K96" i="12"/>
  <c r="K95" i="12"/>
  <c r="K94" i="12"/>
  <c r="K93" i="12"/>
  <c r="K92" i="12"/>
  <c r="K91" i="12"/>
  <c r="K90" i="12"/>
  <c r="K88" i="12"/>
  <c r="K87" i="12"/>
  <c r="K86" i="12"/>
  <c r="K85" i="12"/>
  <c r="K84" i="12"/>
  <c r="K83" i="12"/>
  <c r="K82" i="12"/>
  <c r="K81" i="12"/>
  <c r="K80" i="12"/>
  <c r="K79" i="12"/>
  <c r="K78" i="12"/>
  <c r="K77" i="12"/>
  <c r="K74" i="12"/>
  <c r="K73" i="12"/>
  <c r="K72" i="12"/>
  <c r="K71" i="12"/>
  <c r="K70" i="12"/>
  <c r="K69" i="12"/>
  <c r="K68" i="12"/>
  <c r="K67" i="12"/>
  <c r="K66" i="12"/>
  <c r="K65" i="12"/>
  <c r="K64" i="12"/>
  <c r="K63" i="12"/>
  <c r="F102" i="12" a="1"/>
  <c r="F102" i="12" s="1"/>
  <c r="F101" i="12" a="1"/>
  <c r="F101" i="12" s="1"/>
  <c r="F100" i="12" a="1"/>
  <c r="F100" i="12" s="1"/>
  <c r="F99" i="12" a="1"/>
  <c r="F99" i="12" s="1"/>
  <c r="F98" i="12" a="1"/>
  <c r="F98" i="12" s="1"/>
  <c r="F97" i="12" a="1"/>
  <c r="F97" i="12" s="1"/>
  <c r="F96" i="12" a="1"/>
  <c r="F96" i="12" s="1"/>
  <c r="F95" i="12" a="1"/>
  <c r="F95" i="12" s="1"/>
  <c r="F94" i="12" a="1"/>
  <c r="F94" i="12" s="1"/>
  <c r="F93" i="12" a="1"/>
  <c r="F93" i="12" s="1"/>
  <c r="F92" i="12" a="1"/>
  <c r="F92" i="12" s="1"/>
  <c r="F91" i="12" a="1"/>
  <c r="F91" i="12" s="1"/>
  <c r="F90" i="12" a="1"/>
  <c r="F90" i="12" s="1"/>
  <c r="F89" i="12" a="1"/>
  <c r="F89" i="12" s="1"/>
  <c r="F88" i="12" a="1"/>
  <c r="F88" i="12" s="1"/>
  <c r="F87" i="12" a="1"/>
  <c r="F87" i="12" s="1"/>
  <c r="F86" i="12" a="1"/>
  <c r="F86" i="12" s="1"/>
  <c r="F85" i="12" a="1"/>
  <c r="F85" i="12" s="1"/>
  <c r="F84" i="12" a="1"/>
  <c r="F84" i="12" s="1"/>
  <c r="F83" i="12" a="1"/>
  <c r="F83" i="12" s="1"/>
  <c r="F82" i="12" a="1"/>
  <c r="F82" i="12" s="1"/>
  <c r="F81" i="12" a="1"/>
  <c r="F81" i="12" s="1"/>
  <c r="F80" i="12" a="1"/>
  <c r="F80" i="12" s="1"/>
  <c r="F79" i="12" a="1"/>
  <c r="F79" i="12" s="1"/>
  <c r="F78" i="12" a="1"/>
  <c r="F78" i="12" s="1"/>
  <c r="F77" i="12" a="1"/>
  <c r="F77" i="12" s="1"/>
  <c r="F76" i="12" a="1"/>
  <c r="F76" i="12" s="1"/>
  <c r="F75" i="12" a="1"/>
  <c r="F75" i="12" s="1"/>
  <c r="F74" i="12" a="1"/>
  <c r="F74" i="12" s="1"/>
  <c r="F73" i="12" a="1"/>
  <c r="F73" i="12" s="1"/>
  <c r="F72" i="12" a="1"/>
  <c r="F72" i="12" s="1"/>
  <c r="F71" i="12" a="1"/>
  <c r="F71" i="12" s="1"/>
  <c r="F70" i="12" a="1"/>
  <c r="F70" i="12" s="1"/>
  <c r="F69" i="12" a="1"/>
  <c r="F69" i="12" s="1"/>
  <c r="F68" i="12" a="1"/>
  <c r="F68" i="12" s="1"/>
  <c r="F67" i="12" a="1"/>
  <c r="F67" i="12" s="1"/>
  <c r="F66" i="12" a="1"/>
  <c r="F66" i="12" s="1"/>
  <c r="F65" i="12" a="1"/>
  <c r="F65" i="12" s="1"/>
  <c r="F64" i="12" a="1"/>
  <c r="F64" i="12" s="1"/>
  <c r="F63" i="12" a="1"/>
  <c r="F63" i="12" s="1"/>
  <c r="F62" i="12" a="1"/>
  <c r="F62" i="12" s="1"/>
  <c r="D102" i="12" a="1"/>
  <c r="D102" i="12" s="1"/>
  <c r="E102" i="12" a="1"/>
  <c r="E102" i="12" s="1"/>
  <c r="G102" i="12" s="1" a="1"/>
  <c r="G102" i="12" s="1"/>
  <c r="Q102" i="12" a="1"/>
  <c r="Q102" i="12" s="1"/>
  <c r="D101" i="12" a="1"/>
  <c r="D101" i="12" s="1"/>
  <c r="E101" i="12" a="1"/>
  <c r="E101" i="12" s="1"/>
  <c r="Q101" i="12" a="1"/>
  <c r="Q101" i="12" s="1"/>
  <c r="D100" i="12" a="1"/>
  <c r="D100" i="12" s="1"/>
  <c r="E100" i="12" a="1"/>
  <c r="E100" i="12" s="1"/>
  <c r="G100" i="12" s="1" a="1"/>
  <c r="G100" i="12" s="1"/>
  <c r="Q100" i="12" a="1"/>
  <c r="Q100" i="12" s="1"/>
  <c r="D99" i="12" a="1"/>
  <c r="D99" i="12" s="1"/>
  <c r="E99" i="12" a="1"/>
  <c r="E99" i="12" s="1"/>
  <c r="G99" i="12" s="1" a="1"/>
  <c r="G99" i="12" s="1"/>
  <c r="Q99" i="12" a="1"/>
  <c r="Q99" i="12" s="1"/>
  <c r="D98" i="12" a="1"/>
  <c r="D98" i="12" s="1"/>
  <c r="E98" i="12" a="1"/>
  <c r="E98" i="12" s="1"/>
  <c r="G98" i="12" s="1" a="1"/>
  <c r="G98" i="12" s="1"/>
  <c r="Q98" i="12" a="1"/>
  <c r="Q98" i="12" s="1"/>
  <c r="D97" i="12" a="1"/>
  <c r="D97" i="12" s="1"/>
  <c r="E97" i="12" a="1"/>
  <c r="E97" i="12" s="1"/>
  <c r="G97" i="12" s="1" a="1"/>
  <c r="G97" i="12" s="1"/>
  <c r="Q97" i="12" a="1"/>
  <c r="Q97" i="12" s="1"/>
  <c r="D96" i="12" a="1"/>
  <c r="D96" i="12" s="1"/>
  <c r="E96" i="12" a="1"/>
  <c r="E96" i="12" s="1"/>
  <c r="G96" i="12" s="1" a="1"/>
  <c r="G96" i="12" s="1"/>
  <c r="Q96" i="12" a="1"/>
  <c r="Q96" i="12" s="1"/>
  <c r="D95" i="12" a="1"/>
  <c r="D95" i="12" s="1"/>
  <c r="E95" i="12" a="1"/>
  <c r="E95" i="12" s="1"/>
  <c r="Q95" i="12" a="1"/>
  <c r="Q95" i="12"/>
  <c r="D94" i="12" a="1"/>
  <c r="D94" i="12" s="1"/>
  <c r="E94" i="12" a="1"/>
  <c r="E94" i="12" s="1"/>
  <c r="G94" i="12" s="1" a="1"/>
  <c r="G94" i="12" s="1"/>
  <c r="Q94" i="12" a="1"/>
  <c r="Q94" i="12" s="1"/>
  <c r="D93" i="12" a="1"/>
  <c r="D93" i="12" s="1"/>
  <c r="E93" i="12" a="1"/>
  <c r="E93" i="12" s="1"/>
  <c r="Q93" i="12" a="1"/>
  <c r="Q93" i="12"/>
  <c r="D92" i="12" a="1"/>
  <c r="D92" i="12" s="1"/>
  <c r="E92" i="12" a="1"/>
  <c r="E92" i="12" s="1"/>
  <c r="Q92" i="12" a="1"/>
  <c r="Q92" i="12" s="1"/>
  <c r="D91" i="12" a="1"/>
  <c r="D91" i="12" s="1"/>
  <c r="E91" i="12" a="1"/>
  <c r="E91" i="12" s="1"/>
  <c r="G91" i="12" s="1" a="1"/>
  <c r="G91" i="12" s="1"/>
  <c r="Q91" i="12" a="1"/>
  <c r="Q91" i="12" s="1"/>
  <c r="D90" i="12" a="1"/>
  <c r="D90" i="12" s="1"/>
  <c r="E90" i="12" a="1"/>
  <c r="E90" i="12" s="1"/>
  <c r="G90" i="12" s="1" a="1"/>
  <c r="G90" i="12" s="1"/>
  <c r="Q90" i="12" a="1"/>
  <c r="Q90" i="12" s="1"/>
  <c r="D89" i="12" a="1"/>
  <c r="D89" i="12" s="1"/>
  <c r="E89" i="12" a="1"/>
  <c r="E89" i="12" s="1"/>
  <c r="G89" i="12" s="1" a="1"/>
  <c r="G89" i="12" s="1"/>
  <c r="Q89" i="12" a="1"/>
  <c r="Q89" i="12" s="1"/>
  <c r="D88" i="12" a="1"/>
  <c r="D88" i="12" s="1"/>
  <c r="E88" i="12" a="1"/>
  <c r="E88" i="12" s="1"/>
  <c r="G88" i="12" s="1" a="1"/>
  <c r="G88" i="12" s="1"/>
  <c r="Q88" i="12" a="1"/>
  <c r="Q88" i="12" s="1"/>
  <c r="D87" i="12" a="1"/>
  <c r="D87" i="12" s="1"/>
  <c r="E87" i="12" a="1"/>
  <c r="E87" i="12" s="1"/>
  <c r="Q87" i="12" a="1"/>
  <c r="Q87" i="12" s="1"/>
  <c r="D86" i="12" a="1"/>
  <c r="D86" i="12" s="1"/>
  <c r="E86" i="12" a="1"/>
  <c r="E86" i="12" s="1"/>
  <c r="G86" i="12" s="1" a="1"/>
  <c r="G86" i="12" s="1"/>
  <c r="Q86" i="12" a="1"/>
  <c r="Q86" i="12" s="1"/>
  <c r="D85" i="12" a="1"/>
  <c r="D85" i="12" s="1"/>
  <c r="E85" i="12" a="1"/>
  <c r="E85" i="12" s="1"/>
  <c r="Q85" i="12" a="1"/>
  <c r="Q85" i="12" s="1"/>
  <c r="D84" i="12" a="1"/>
  <c r="D84" i="12" s="1"/>
  <c r="E84" i="12" a="1"/>
  <c r="E84" i="12" s="1"/>
  <c r="G84" i="12" s="1" a="1"/>
  <c r="G84" i="12" s="1"/>
  <c r="Q84" i="12" a="1"/>
  <c r="Q84" i="12" s="1"/>
  <c r="D83" i="12" a="1"/>
  <c r="D83" i="12" s="1"/>
  <c r="E83" i="12" a="1"/>
  <c r="E83" i="12" s="1"/>
  <c r="G83" i="12" s="1" a="1"/>
  <c r="G83" i="12" s="1"/>
  <c r="Q83" i="12" a="1"/>
  <c r="Q83" i="12" s="1"/>
  <c r="D82" i="12" a="1"/>
  <c r="D82" i="12" s="1"/>
  <c r="E82" i="12" a="1"/>
  <c r="E82" i="12" s="1"/>
  <c r="G82" i="12" s="1" a="1"/>
  <c r="G82" i="12" s="1"/>
  <c r="Q82" i="12" a="1"/>
  <c r="Q82" i="12" s="1"/>
  <c r="D81" i="12" a="1"/>
  <c r="D81" i="12" s="1"/>
  <c r="E81" i="12" a="1"/>
  <c r="E81" i="12" s="1"/>
  <c r="G81" i="12" s="1" a="1"/>
  <c r="G81" i="12" s="1"/>
  <c r="Q81" i="12" a="1"/>
  <c r="Q81" i="12" s="1"/>
  <c r="D80" i="12" a="1"/>
  <c r="D80" i="12" s="1"/>
  <c r="E80" i="12" a="1"/>
  <c r="E80" i="12" s="1"/>
  <c r="Q80" i="12" a="1"/>
  <c r="Q80" i="12" s="1"/>
  <c r="D79" i="12" a="1"/>
  <c r="D79" i="12" s="1"/>
  <c r="E79" i="12" a="1"/>
  <c r="E79" i="12" s="1"/>
  <c r="Q79" i="12" a="1"/>
  <c r="Q79" i="12" s="1"/>
  <c r="D78" i="12" a="1"/>
  <c r="D78" i="12" s="1"/>
  <c r="E78" i="12" a="1"/>
  <c r="E78" i="12" s="1"/>
  <c r="Q78" i="12" a="1"/>
  <c r="Q78" i="12" s="1"/>
  <c r="D77" i="12" a="1"/>
  <c r="D77" i="12" s="1"/>
  <c r="E77" i="12" a="1"/>
  <c r="E77" i="12" s="1"/>
  <c r="G77" i="12" s="1" a="1"/>
  <c r="G77" i="12" s="1"/>
  <c r="Q77" i="12" a="1"/>
  <c r="Q77" i="12" s="1"/>
  <c r="D76" i="12" a="1"/>
  <c r="D76" i="12" s="1"/>
  <c r="E76" i="12" a="1"/>
  <c r="E76" i="12" s="1"/>
  <c r="G76" i="12" s="1" a="1"/>
  <c r="G76" i="12" s="1"/>
  <c r="Q76" i="12" a="1"/>
  <c r="Q76" i="12" s="1"/>
  <c r="D75" i="12" a="1"/>
  <c r="D75" i="12" s="1"/>
  <c r="E75" i="12" a="1"/>
  <c r="E75" i="12" s="1"/>
  <c r="G75" i="12" s="1" a="1"/>
  <c r="G75" i="12" s="1"/>
  <c r="Q75" i="12" a="1"/>
  <c r="Q75" i="12" s="1"/>
  <c r="D74" i="12" a="1"/>
  <c r="D74" i="12" s="1"/>
  <c r="E74" i="12" a="1"/>
  <c r="E74" i="12" s="1"/>
  <c r="G74" i="12" s="1" a="1"/>
  <c r="G74" i="12" s="1"/>
  <c r="Q74" i="12" a="1"/>
  <c r="Q74" i="12" s="1"/>
  <c r="D73" i="12" a="1"/>
  <c r="D73" i="12" s="1"/>
  <c r="E73" i="12" a="1"/>
  <c r="E73" i="12" s="1"/>
  <c r="Q73" i="12" a="1"/>
  <c r="Q73" i="12" s="1"/>
  <c r="D72" i="12" a="1"/>
  <c r="D72" i="12" s="1"/>
  <c r="E72" i="12" a="1"/>
  <c r="E72" i="12" s="1"/>
  <c r="G72" i="12" s="1" a="1"/>
  <c r="G72" i="12" s="1"/>
  <c r="Q72" i="12" a="1"/>
  <c r="Q72" i="12" s="1"/>
  <c r="D71" i="12" a="1"/>
  <c r="D71" i="12" s="1"/>
  <c r="E71" i="12" a="1"/>
  <c r="E71" i="12" s="1"/>
  <c r="Q71" i="12" a="1"/>
  <c r="Q71" i="12" s="1"/>
  <c r="D70" i="12" a="1"/>
  <c r="D70" i="12" s="1"/>
  <c r="E70" i="12" a="1"/>
  <c r="E70" i="12" s="1"/>
  <c r="G70" i="12" s="1" a="1"/>
  <c r="G70" i="12" s="1"/>
  <c r="Q70" i="12" a="1"/>
  <c r="Q70" i="12" s="1"/>
  <c r="D69" i="12" a="1"/>
  <c r="D69" i="12" s="1"/>
  <c r="E69" i="12" a="1"/>
  <c r="E69" i="12" s="1"/>
  <c r="G69" i="12" s="1" a="1"/>
  <c r="G69" i="12" s="1"/>
  <c r="Q69" i="12" a="1"/>
  <c r="Q69" i="12" s="1"/>
  <c r="X19" i="7"/>
  <c r="F19" i="7"/>
  <c r="G19" i="7"/>
  <c r="I19" i="7" s="1"/>
  <c r="K19" i="7" a="1"/>
  <c r="K19" i="7" s="1"/>
  <c r="L19" i="7" a="1"/>
  <c r="L19" i="7" s="1"/>
  <c r="M19" i="7" a="1"/>
  <c r="M19" i="7" s="1"/>
  <c r="N19" i="7" a="1"/>
  <c r="N19" i="7" s="1"/>
  <c r="O19" i="7" a="1"/>
  <c r="O19" i="7" s="1"/>
  <c r="P19" i="7" a="1"/>
  <c r="P19" i="7" s="1"/>
  <c r="Q19" i="7" a="1"/>
  <c r="Q19" i="7" s="1"/>
  <c r="R19" i="7" a="1"/>
  <c r="R19" i="7" s="1"/>
  <c r="S19" i="7" a="1"/>
  <c r="S19" i="7" s="1"/>
  <c r="T19" i="7" a="1"/>
  <c r="T19" i="7" s="1"/>
  <c r="U19" i="7" a="1"/>
  <c r="U19" i="7" s="1"/>
  <c r="V19" i="7" a="1"/>
  <c r="V19" i="7" s="1"/>
  <c r="Y19" i="7"/>
  <c r="G15" i="12"/>
  <c r="D38" i="6" a="1"/>
  <c r="D38" i="6" s="1"/>
  <c r="E38" i="6" a="1"/>
  <c r="E38" i="6" s="1"/>
  <c r="F38" i="6" a="1"/>
  <c r="F38" i="6" s="1"/>
  <c r="G38" i="6" a="1"/>
  <c r="G38" i="6" s="1"/>
  <c r="H38" i="6" a="1"/>
  <c r="H38" i="6" s="1"/>
  <c r="I38" i="6" a="1"/>
  <c r="I38" i="6" s="1"/>
  <c r="L33" i="12" a="1"/>
  <c r="L33" i="12" s="1"/>
  <c r="L32" i="12" a="1"/>
  <c r="L32" i="12" s="1"/>
  <c r="L31" i="12" a="1"/>
  <c r="L31" i="12" s="1"/>
  <c r="L30" i="12" a="1"/>
  <c r="L30" i="12" s="1"/>
  <c r="L29" i="12" a="1"/>
  <c r="L29" i="12" s="1"/>
  <c r="L28" i="12" a="1"/>
  <c r="L28" i="12" s="1"/>
  <c r="L27" i="12" a="1"/>
  <c r="L27" i="12" s="1"/>
  <c r="L26" i="12" a="1"/>
  <c r="L26" i="12" s="1"/>
  <c r="L25" i="12" a="1"/>
  <c r="L25" i="12" s="1"/>
  <c r="L24" i="12" a="1"/>
  <c r="L24" i="12" s="1"/>
  <c r="L23" i="12" a="1"/>
  <c r="L23" i="12" s="1"/>
  <c r="L22" i="12" a="1"/>
  <c r="L22" i="12" s="1"/>
  <c r="L21" i="12" a="1"/>
  <c r="L21" i="12" s="1"/>
  <c r="L20" i="12" a="1"/>
  <c r="L20" i="12" s="1"/>
  <c r="L19" i="12" a="1"/>
  <c r="L19" i="12" s="1"/>
  <c r="L18" i="12" a="1"/>
  <c r="L18" i="12" s="1"/>
  <c r="L17" i="12" a="1"/>
  <c r="L17" i="12" s="1"/>
  <c r="L16" i="12" a="1"/>
  <c r="L16" i="12" s="1"/>
  <c r="L15" i="12" a="1"/>
  <c r="L15" i="12" s="1"/>
  <c r="L14" i="12" a="1"/>
  <c r="L14" i="12" s="1"/>
  <c r="L13" i="12" a="1"/>
  <c r="L13" i="12" s="1"/>
  <c r="L12" i="12" a="1"/>
  <c r="L12" i="12" s="1"/>
  <c r="L11" i="12" a="1"/>
  <c r="L11" i="12" s="1"/>
  <c r="L10" i="12" a="1"/>
  <c r="L10" i="12" s="1"/>
  <c r="L9" i="12" a="1"/>
  <c r="L9" i="12" s="1"/>
  <c r="K33" i="12" a="1"/>
  <c r="K33" i="12" s="1"/>
  <c r="N33" i="12" s="1"/>
  <c r="K32" i="12" a="1"/>
  <c r="K32" i="12" s="1"/>
  <c r="N32" i="12" s="1"/>
  <c r="K31" i="12" a="1"/>
  <c r="K31" i="12" s="1"/>
  <c r="N31" i="12" s="1"/>
  <c r="K30" i="12" a="1"/>
  <c r="K30" i="12" s="1"/>
  <c r="N30" i="12" s="1"/>
  <c r="K29" i="12" a="1"/>
  <c r="K29" i="12" s="1"/>
  <c r="N29" i="12" s="1"/>
  <c r="K28" i="12" a="1"/>
  <c r="K28" i="12" s="1"/>
  <c r="N28" i="12" s="1"/>
  <c r="K27" i="12" a="1"/>
  <c r="K27" i="12" s="1"/>
  <c r="N27" i="12" s="1"/>
  <c r="K26" i="12" a="1"/>
  <c r="K26" i="12" s="1"/>
  <c r="N26" i="12" s="1"/>
  <c r="K25" i="12" a="1"/>
  <c r="K25" i="12" s="1"/>
  <c r="N25" i="12" s="1"/>
  <c r="K24" i="12" a="1"/>
  <c r="K24" i="12" s="1"/>
  <c r="N24" i="12" s="1"/>
  <c r="K23" i="12" a="1"/>
  <c r="K23" i="12" s="1"/>
  <c r="N23" i="12" s="1"/>
  <c r="K22" i="12" a="1"/>
  <c r="K22" i="12" s="1"/>
  <c r="N22" i="12" s="1"/>
  <c r="K21" i="12" a="1"/>
  <c r="K21" i="12" s="1"/>
  <c r="N21" i="12" s="1"/>
  <c r="K20" i="12" a="1"/>
  <c r="K20" i="12" s="1"/>
  <c r="N20" i="12" s="1"/>
  <c r="K19" i="12" a="1"/>
  <c r="K19" i="12" s="1"/>
  <c r="N19" i="12" s="1"/>
  <c r="K18" i="12" a="1"/>
  <c r="K18" i="12" s="1"/>
  <c r="N18" i="12" s="1"/>
  <c r="K17" i="12" a="1"/>
  <c r="K17" i="12" s="1"/>
  <c r="N17" i="12" s="1"/>
  <c r="K16" i="12" a="1"/>
  <c r="K16" i="12" s="1"/>
  <c r="N16" i="12" s="1"/>
  <c r="K15" i="12" a="1"/>
  <c r="K15" i="12" s="1"/>
  <c r="N15" i="12" s="1"/>
  <c r="K14" i="12" a="1"/>
  <c r="K14" i="12" s="1"/>
  <c r="N14" i="12" s="1"/>
  <c r="K13" i="12" a="1"/>
  <c r="K13" i="12" s="1"/>
  <c r="N13" i="12" s="1"/>
  <c r="K12" i="12" a="1"/>
  <c r="K12" i="12" s="1"/>
  <c r="N12" i="12" s="1"/>
  <c r="K11" i="12" a="1"/>
  <c r="K11" i="12" s="1"/>
  <c r="N11" i="12" s="1"/>
  <c r="K10" i="12" a="1"/>
  <c r="K10" i="12" s="1"/>
  <c r="N10" i="12" s="1"/>
  <c r="K9" i="12" a="1"/>
  <c r="K9" i="12" s="1"/>
  <c r="N9" i="12" s="1"/>
  <c r="F33" i="12" a="1"/>
  <c r="F33" i="12" s="1"/>
  <c r="F32" i="12" a="1"/>
  <c r="F32" i="12" s="1"/>
  <c r="F31" i="12" a="1"/>
  <c r="F31" i="12" s="1"/>
  <c r="F30" i="12" a="1"/>
  <c r="F30" i="12" s="1"/>
  <c r="F29" i="12" a="1"/>
  <c r="F29" i="12" s="1"/>
  <c r="F28" i="12" a="1"/>
  <c r="F28" i="12" s="1"/>
  <c r="F27" i="12" a="1"/>
  <c r="F27" i="12" s="1"/>
  <c r="F26" i="12" a="1"/>
  <c r="F26" i="12" s="1"/>
  <c r="F25" i="12" a="1"/>
  <c r="F25" i="12" s="1"/>
  <c r="F24" i="12" a="1"/>
  <c r="F24" i="12" s="1"/>
  <c r="F23" i="12" a="1"/>
  <c r="F23" i="12" s="1"/>
  <c r="F22" i="12" a="1"/>
  <c r="F22" i="12" s="1"/>
  <c r="F21" i="12" a="1"/>
  <c r="F21" i="12" s="1"/>
  <c r="F20" i="12" a="1"/>
  <c r="F20" i="12" s="1"/>
  <c r="F19" i="12" a="1"/>
  <c r="F19" i="12" s="1"/>
  <c r="F18" i="12" a="1"/>
  <c r="F18" i="12" s="1"/>
  <c r="F17" i="12" a="1"/>
  <c r="F17" i="12" s="1"/>
  <c r="F16" i="12" a="1"/>
  <c r="F16" i="12" s="1"/>
  <c r="F15" i="12" a="1"/>
  <c r="F15" i="12" s="1"/>
  <c r="F14" i="12" a="1"/>
  <c r="F14" i="12" s="1"/>
  <c r="F13" i="12" a="1"/>
  <c r="F13" i="12" s="1"/>
  <c r="F12" i="12" a="1"/>
  <c r="F12" i="12" s="1"/>
  <c r="F11" i="12" a="1"/>
  <c r="F11" i="12" s="1"/>
  <c r="F10" i="12" a="1"/>
  <c r="F10" i="12" s="1"/>
  <c r="F9" i="12" a="1"/>
  <c r="F9" i="12" s="1"/>
  <c r="F25" i="7"/>
  <c r="G25" i="7" s="1"/>
  <c r="G95" i="12" l="1" a="1"/>
  <c r="G95" i="12" s="1"/>
  <c r="M95" i="12" s="1"/>
  <c r="G79" i="12" a="1"/>
  <c r="G79" i="12" s="1"/>
  <c r="L79" i="12" s="1"/>
  <c r="G93" i="12" a="1"/>
  <c r="G93" i="12" s="1"/>
  <c r="L93" i="12" s="1"/>
  <c r="G78" i="12" a="1"/>
  <c r="G78" i="12" s="1"/>
  <c r="L78" i="12" s="1"/>
  <c r="G92" i="12" a="1"/>
  <c r="G92" i="12" s="1"/>
  <c r="L92" i="12" s="1"/>
  <c r="G71" i="12" a="1"/>
  <c r="G71" i="12" s="1"/>
  <c r="L71" i="12" s="1"/>
  <c r="G85" i="12" a="1"/>
  <c r="G85" i="12" s="1"/>
  <c r="M85" i="12" s="1"/>
  <c r="L82" i="12"/>
  <c r="M82" i="12"/>
  <c r="M99" i="12"/>
  <c r="L99" i="12"/>
  <c r="L91" i="12"/>
  <c r="M91" i="12"/>
  <c r="G73" i="12" a="1"/>
  <c r="G73" i="12" s="1"/>
  <c r="G87" i="12" a="1"/>
  <c r="G87" i="12" s="1"/>
  <c r="M69" i="12"/>
  <c r="L69" i="12"/>
  <c r="L83" i="12"/>
  <c r="M83" i="12"/>
  <c r="L96" i="12"/>
  <c r="M96" i="12"/>
  <c r="L100" i="12"/>
  <c r="M100" i="12"/>
  <c r="M74" i="12"/>
  <c r="L74" i="12"/>
  <c r="M88" i="12"/>
  <c r="L88" i="12"/>
  <c r="L70" i="12"/>
  <c r="M70" i="12"/>
  <c r="M84" i="12"/>
  <c r="L84" i="12"/>
  <c r="G101" i="12" a="1"/>
  <c r="G101" i="12" s="1"/>
  <c r="L77" i="12"/>
  <c r="M77" i="12"/>
  <c r="M75" i="12"/>
  <c r="L75" i="12"/>
  <c r="L89" i="12"/>
  <c r="M89" i="12"/>
  <c r="L97" i="12"/>
  <c r="M97" i="12"/>
  <c r="G80" i="12" a="1"/>
  <c r="G80" i="12" s="1"/>
  <c r="L94" i="12"/>
  <c r="M94" i="12"/>
  <c r="L76" i="12"/>
  <c r="M76" i="12"/>
  <c r="L90" i="12"/>
  <c r="M90" i="12"/>
  <c r="M98" i="12"/>
  <c r="L98" i="12"/>
  <c r="M102" i="12"/>
  <c r="L102" i="12"/>
  <c r="L81" i="12"/>
  <c r="M81" i="12"/>
  <c r="M72" i="12"/>
  <c r="L72" i="12"/>
  <c r="L86" i="12"/>
  <c r="M86" i="12"/>
  <c r="W19" i="7"/>
  <c r="L95" i="12" l="1"/>
  <c r="L85" i="12"/>
  <c r="M79" i="12"/>
  <c r="M78" i="12"/>
  <c r="M92" i="12"/>
  <c r="M93" i="12"/>
  <c r="M71" i="12"/>
  <c r="L80" i="12"/>
  <c r="M80" i="12"/>
  <c r="M73" i="12"/>
  <c r="L73" i="12"/>
  <c r="L87" i="12"/>
  <c r="M87" i="12"/>
  <c r="L101" i="12"/>
  <c r="M101" i="12"/>
  <c r="V23" i="6" a="1"/>
  <c r="V23" i="6" s="1"/>
  <c r="V22" i="6" a="1"/>
  <c r="V22" i="6" s="1"/>
  <c r="V21" i="6" a="1"/>
  <c r="V21" i="6" s="1"/>
  <c r="V20" i="6" a="1"/>
  <c r="V20" i="6" s="1"/>
  <c r="V18" i="6" a="1"/>
  <c r="V18" i="6" s="1"/>
  <c r="V17" i="6" a="1"/>
  <c r="V17" i="6" s="1"/>
  <c r="H18" i="7"/>
  <c r="G24" i="13"/>
  <c r="H24" i="13" s="1"/>
  <c r="H29" i="12" l="1"/>
  <c r="I9" i="12"/>
  <c r="I12" i="12"/>
  <c r="H32" i="12"/>
  <c r="I10" i="12"/>
  <c r="H30" i="12"/>
  <c r="I11" i="12"/>
  <c r="H31" i="12"/>
  <c r="E142" i="12" l="1"/>
  <c r="E141" i="12"/>
  <c r="E140" i="12"/>
  <c r="A39" i="15" l="1"/>
  <c r="A38" i="15"/>
  <c r="A37" i="15"/>
  <c r="A36" i="15"/>
  <c r="A33" i="15"/>
  <c r="A30" i="15"/>
  <c r="A29" i="15"/>
  <c r="A28" i="15"/>
  <c r="A27" i="15"/>
  <c r="A26" i="15"/>
  <c r="A25" i="15"/>
  <c r="A24" i="15"/>
  <c r="A19" i="15"/>
  <c r="A18" i="15"/>
  <c r="A15" i="15"/>
  <c r="A14" i="15"/>
  <c r="A13" i="15"/>
  <c r="A12" i="15"/>
  <c r="A11" i="15"/>
  <c r="A10" i="15"/>
  <c r="A9" i="15"/>
  <c r="A8" i="15"/>
  <c r="A7" i="15"/>
  <c r="A4" i="15"/>
  <c r="E233" i="12" l="1"/>
  <c r="E232" i="12"/>
  <c r="E243" i="12"/>
  <c r="E248" i="12"/>
  <c r="E247" i="12"/>
  <c r="E246" i="12"/>
  <c r="E245" i="12"/>
  <c r="E244" i="12"/>
  <c r="O248" i="12" l="1" a="1"/>
  <c r="O248" i="12" s="1"/>
  <c r="I248" i="12" a="1"/>
  <c r="I248" i="12" s="1"/>
  <c r="G248" i="12" a="1"/>
  <c r="G248" i="12" s="1"/>
  <c r="F248" i="12" a="1"/>
  <c r="F248" i="12" s="1"/>
  <c r="F11" i="13" s="1"/>
  <c r="D248" i="12" a="1"/>
  <c r="D248" i="12" s="1"/>
  <c r="D11" i="13" s="1"/>
  <c r="O247" i="12" a="1"/>
  <c r="O247" i="12" s="1"/>
  <c r="I247" i="12" a="1"/>
  <c r="I247" i="12" s="1"/>
  <c r="G247" i="12" a="1"/>
  <c r="G247" i="12" s="1"/>
  <c r="F247" i="12" a="1"/>
  <c r="F247" i="12" s="1"/>
  <c r="F10" i="13" s="1"/>
  <c r="D247" i="12" a="1"/>
  <c r="D247" i="12" s="1"/>
  <c r="D10" i="13" s="1"/>
  <c r="O246" i="12" a="1"/>
  <c r="O246" i="12" s="1"/>
  <c r="I246" i="12" a="1"/>
  <c r="I246" i="12" s="1"/>
  <c r="G246" i="12" a="1"/>
  <c r="G246" i="12" s="1"/>
  <c r="F246" i="12" a="1"/>
  <c r="F246" i="12" s="1"/>
  <c r="F9" i="13" s="1"/>
  <c r="D246" i="12" a="1"/>
  <c r="D246" i="12" s="1"/>
  <c r="D9" i="13" s="1"/>
  <c r="O245" i="12" a="1"/>
  <c r="O245" i="12" s="1"/>
  <c r="I245" i="12" a="1"/>
  <c r="I245" i="12" s="1"/>
  <c r="G245" i="12" a="1"/>
  <c r="G245" i="12" s="1"/>
  <c r="F245" i="12" a="1"/>
  <c r="F245" i="12" s="1"/>
  <c r="F8" i="13" s="1"/>
  <c r="D245" i="12" a="1"/>
  <c r="D245" i="12" s="1"/>
  <c r="D8" i="13" s="1"/>
  <c r="O244" i="12" a="1"/>
  <c r="O244" i="12" s="1"/>
  <c r="I244" i="12" a="1"/>
  <c r="I244" i="12" s="1"/>
  <c r="G244" i="12" a="1"/>
  <c r="G244" i="12" s="1"/>
  <c r="F244" i="12" a="1"/>
  <c r="F244" i="12" s="1"/>
  <c r="F7" i="13" s="1"/>
  <c r="D244" i="12" a="1"/>
  <c r="D244" i="12" s="1"/>
  <c r="D7" i="13" s="1"/>
  <c r="O243" i="12" a="1"/>
  <c r="O243" i="12" s="1"/>
  <c r="I243" i="12" a="1"/>
  <c r="I243" i="12" s="1"/>
  <c r="G243" i="12" a="1"/>
  <c r="G243" i="12" s="1"/>
  <c r="F243" i="12" a="1"/>
  <c r="F243" i="12" s="1"/>
  <c r="F6" i="13" s="1"/>
  <c r="D243" i="12" a="1"/>
  <c r="D243" i="12" s="1"/>
  <c r="D6" i="13" s="1"/>
  <c r="D240" i="12" a="1"/>
  <c r="D240" i="12" s="1"/>
  <c r="D239" i="12" a="1"/>
  <c r="D239" i="12" s="1"/>
  <c r="O233" i="12" a="1"/>
  <c r="O233" i="12" s="1"/>
  <c r="I233" i="12" a="1"/>
  <c r="I233" i="12" s="1"/>
  <c r="G233" i="12" a="1"/>
  <c r="G233" i="12" s="1"/>
  <c r="F233" i="12" a="1"/>
  <c r="F233" i="12" s="1"/>
  <c r="F13" i="13" s="1"/>
  <c r="D233" i="12" a="1"/>
  <c r="D233" i="12" s="1"/>
  <c r="O232" i="12" a="1"/>
  <c r="O232" i="12" s="1"/>
  <c r="K232" i="12"/>
  <c r="I232" i="12" a="1"/>
  <c r="I232" i="12" s="1"/>
  <c r="G232" i="12" a="1"/>
  <c r="G232" i="12" s="1"/>
  <c r="J232" i="12" s="1"/>
  <c r="F232" i="12" a="1"/>
  <c r="F232" i="12" s="1"/>
  <c r="F12" i="13" s="1"/>
  <c r="D232" i="12" a="1"/>
  <c r="D232" i="12" s="1"/>
  <c r="D229" i="12" a="1"/>
  <c r="D229" i="12" s="1"/>
  <c r="D228" i="12" a="1"/>
  <c r="D228" i="12" s="1"/>
  <c r="Q211" i="12" a="1"/>
  <c r="Q211" i="12" s="1"/>
  <c r="F211" i="12" a="1"/>
  <c r="F211" i="12" s="1"/>
  <c r="D211" i="12" a="1"/>
  <c r="D211" i="12" s="1"/>
  <c r="Q210" i="12" a="1"/>
  <c r="Q210" i="12" s="1"/>
  <c r="F210" i="12" a="1"/>
  <c r="F210" i="12" s="1"/>
  <c r="D210" i="12" a="1"/>
  <c r="D210" i="12" s="1"/>
  <c r="Q209" i="12" a="1"/>
  <c r="Q209" i="12" s="1"/>
  <c r="F209" i="12" a="1"/>
  <c r="F209" i="12" s="1"/>
  <c r="D209" i="12" a="1"/>
  <c r="D209" i="12" s="1"/>
  <c r="D206" i="12" a="1"/>
  <c r="D206" i="12" s="1"/>
  <c r="D205" i="12" a="1"/>
  <c r="D205" i="12" s="1"/>
  <c r="O199" i="12" a="1"/>
  <c r="O199" i="12" s="1"/>
  <c r="I199" i="12" a="1"/>
  <c r="I199" i="12" s="1"/>
  <c r="G199" i="12" a="1"/>
  <c r="G199" i="12" s="1"/>
  <c r="F199" i="12" a="1"/>
  <c r="F199" i="12" s="1"/>
  <c r="D199" i="12" a="1"/>
  <c r="D199" i="12" s="1"/>
  <c r="E199" i="12" s="1" a="1"/>
  <c r="E199" i="12" s="1"/>
  <c r="O198" i="12" a="1"/>
  <c r="O198" i="12" s="1"/>
  <c r="I198" i="12" a="1"/>
  <c r="I198" i="12" s="1"/>
  <c r="G198" i="12" a="1"/>
  <c r="G198" i="12" s="1"/>
  <c r="F198" i="12" a="1"/>
  <c r="F198" i="12" s="1"/>
  <c r="D198" i="12" a="1"/>
  <c r="D198" i="12" s="1"/>
  <c r="E198" i="12" s="1" a="1"/>
  <c r="E198" i="12" s="1"/>
  <c r="O197" i="12" a="1"/>
  <c r="O197" i="12" s="1"/>
  <c r="I197" i="12" a="1"/>
  <c r="I197" i="12" s="1"/>
  <c r="G197" i="12" a="1"/>
  <c r="G197" i="12" s="1"/>
  <c r="F197" i="12" a="1"/>
  <c r="F197" i="12" s="1"/>
  <c r="D197" i="12" a="1"/>
  <c r="D197" i="12" s="1"/>
  <c r="E197" i="12" s="1" a="1"/>
  <c r="E197" i="12" s="1"/>
  <c r="O196" i="12" a="1"/>
  <c r="O196" i="12" s="1"/>
  <c r="I196" i="12" a="1"/>
  <c r="I196" i="12" s="1"/>
  <c r="G196" i="12" a="1"/>
  <c r="G196" i="12" s="1"/>
  <c r="F196" i="12" a="1"/>
  <c r="F196" i="12" s="1"/>
  <c r="D196" i="12" a="1"/>
  <c r="D196" i="12" s="1"/>
  <c r="E196" i="12" s="1" a="1"/>
  <c r="E196" i="12" s="1"/>
  <c r="O195" i="12" a="1"/>
  <c r="O195" i="12" s="1"/>
  <c r="I195" i="12" a="1"/>
  <c r="I195" i="12" s="1"/>
  <c r="G195" i="12" a="1"/>
  <c r="G195" i="12" s="1"/>
  <c r="F195" i="12" a="1"/>
  <c r="F195" i="12" s="1"/>
  <c r="D195" i="12" a="1"/>
  <c r="D195" i="12" s="1"/>
  <c r="E195" i="12" s="1" a="1"/>
  <c r="E195" i="12" s="1"/>
  <c r="O194" i="12" a="1"/>
  <c r="O194" i="12" s="1"/>
  <c r="I194" i="12" a="1"/>
  <c r="I194" i="12" s="1"/>
  <c r="G194" i="12" a="1"/>
  <c r="G194" i="12" s="1"/>
  <c r="F194" i="12" a="1"/>
  <c r="F194" i="12" s="1"/>
  <c r="D194" i="12" a="1"/>
  <c r="D194" i="12" s="1"/>
  <c r="D191" i="12" a="1"/>
  <c r="D191" i="12" s="1"/>
  <c r="D190" i="12" a="1"/>
  <c r="D190" i="12" s="1"/>
  <c r="O184" i="12" a="1"/>
  <c r="O184" i="12" s="1"/>
  <c r="I184" i="12" a="1"/>
  <c r="I184" i="12" s="1"/>
  <c r="G184" i="12" a="1"/>
  <c r="G184" i="12" s="1"/>
  <c r="F184" i="12" a="1"/>
  <c r="F184" i="12" s="1"/>
  <c r="D184" i="12" a="1"/>
  <c r="D184" i="12" s="1"/>
  <c r="E184" i="12" s="1" a="1"/>
  <c r="E184" i="12" s="1"/>
  <c r="O183" i="12" a="1"/>
  <c r="O183" i="12" s="1"/>
  <c r="I183" i="12" a="1"/>
  <c r="I183" i="12" s="1"/>
  <c r="G183" i="12" a="1"/>
  <c r="G183" i="12" s="1"/>
  <c r="F183" i="12" a="1"/>
  <c r="F183" i="12" s="1"/>
  <c r="D183" i="12" a="1"/>
  <c r="D183" i="12" s="1"/>
  <c r="E183" i="12" s="1" a="1"/>
  <c r="E183" i="12" s="1"/>
  <c r="O182" i="12" a="1"/>
  <c r="O182" i="12" s="1"/>
  <c r="I182" i="12" a="1"/>
  <c r="I182" i="12" s="1"/>
  <c r="G182" i="12" a="1"/>
  <c r="G182" i="12" s="1"/>
  <c r="F182" i="12" a="1"/>
  <c r="F182" i="12" s="1"/>
  <c r="D182" i="12" a="1"/>
  <c r="D182" i="12" s="1"/>
  <c r="E182" i="12" s="1" a="1"/>
  <c r="E182" i="12" s="1"/>
  <c r="O181" i="12" a="1"/>
  <c r="O181" i="12" s="1"/>
  <c r="I181" i="12" a="1"/>
  <c r="I181" i="12" s="1"/>
  <c r="G181" i="12" a="1"/>
  <c r="G181" i="12" s="1"/>
  <c r="F181" i="12" a="1"/>
  <c r="F181" i="12" s="1"/>
  <c r="D181" i="12" a="1"/>
  <c r="D181" i="12" s="1"/>
  <c r="E181" i="12" s="1" a="1"/>
  <c r="E181" i="12" s="1"/>
  <c r="O180" i="12" a="1"/>
  <c r="O180" i="12" s="1"/>
  <c r="I180" i="12" a="1"/>
  <c r="I180" i="12" s="1"/>
  <c r="G180" i="12" a="1"/>
  <c r="G180" i="12" s="1"/>
  <c r="F180" i="12" a="1"/>
  <c r="F180" i="12" s="1"/>
  <c r="D180" i="12" a="1"/>
  <c r="D180" i="12" s="1"/>
  <c r="E180" i="12" s="1" a="1"/>
  <c r="E180" i="12" s="1"/>
  <c r="O179" i="12" a="1"/>
  <c r="O179" i="12" s="1"/>
  <c r="I179" i="12" a="1"/>
  <c r="I179" i="12" s="1"/>
  <c r="G179" i="12" a="1"/>
  <c r="G179" i="12" s="1"/>
  <c r="F179" i="12" a="1"/>
  <c r="F179" i="12" s="1"/>
  <c r="D179" i="12" a="1"/>
  <c r="D179" i="12" s="1"/>
  <c r="E179" i="12" s="1" a="1"/>
  <c r="E179" i="12" s="1"/>
  <c r="O178" i="12" a="1"/>
  <c r="O178" i="12" s="1"/>
  <c r="I178" i="12" a="1"/>
  <c r="I178" i="12" s="1"/>
  <c r="G178" i="12" a="1"/>
  <c r="G178" i="12" s="1"/>
  <c r="F178" i="12" a="1"/>
  <c r="F178" i="12" s="1"/>
  <c r="D178" i="12" a="1"/>
  <c r="D178" i="12" s="1"/>
  <c r="E178" i="12" s="1" a="1"/>
  <c r="E178" i="12" s="1"/>
  <c r="O177" i="12" a="1"/>
  <c r="O177" i="12" s="1"/>
  <c r="I177" i="12" a="1"/>
  <c r="I177" i="12" s="1"/>
  <c r="G177" i="12" a="1"/>
  <c r="G177" i="12" s="1"/>
  <c r="F177" i="12" a="1"/>
  <c r="F177" i="12" s="1"/>
  <c r="D177" i="12" a="1"/>
  <c r="D177" i="12" s="1"/>
  <c r="E177" i="12" s="1" a="1"/>
  <c r="E177" i="12" s="1"/>
  <c r="D174" i="12" a="1"/>
  <c r="D174" i="12" s="1"/>
  <c r="D173" i="12" a="1"/>
  <c r="D173" i="12" s="1"/>
  <c r="O167" i="12" a="1"/>
  <c r="O167" i="12" s="1"/>
  <c r="I167" i="12" a="1"/>
  <c r="I167" i="12" s="1"/>
  <c r="G167" i="12" a="1"/>
  <c r="G167" i="12" s="1"/>
  <c r="F167" i="12" a="1"/>
  <c r="F167" i="12" s="1"/>
  <c r="D167" i="12" a="1"/>
  <c r="D167" i="12" s="1"/>
  <c r="E167" i="12" s="1" a="1"/>
  <c r="E167" i="12" s="1"/>
  <c r="O166" i="12" a="1"/>
  <c r="O166" i="12" s="1"/>
  <c r="I166" i="12" a="1"/>
  <c r="I166" i="12" s="1"/>
  <c r="G166" i="12" a="1"/>
  <c r="G166" i="12" s="1"/>
  <c r="F166" i="12" a="1"/>
  <c r="F166" i="12" s="1"/>
  <c r="D166" i="12" a="1"/>
  <c r="D166" i="12" s="1"/>
  <c r="E166" i="12" s="1" a="1"/>
  <c r="E166" i="12" s="1"/>
  <c r="O165" i="12" a="1"/>
  <c r="O165" i="12" s="1"/>
  <c r="I165" i="12" a="1"/>
  <c r="I165" i="12" s="1"/>
  <c r="G165" i="12" a="1"/>
  <c r="G165" i="12" s="1"/>
  <c r="F165" i="12" a="1"/>
  <c r="F165" i="12" s="1"/>
  <c r="D165" i="12" a="1"/>
  <c r="D165" i="12" s="1"/>
  <c r="E165" i="12" s="1" a="1"/>
  <c r="E165" i="12" s="1"/>
  <c r="O164" i="12" a="1"/>
  <c r="O164" i="12" s="1"/>
  <c r="I164" i="12" a="1"/>
  <c r="I164" i="12" s="1"/>
  <c r="G164" i="12" a="1"/>
  <c r="G164" i="12" s="1"/>
  <c r="F164" i="12" a="1"/>
  <c r="F164" i="12" s="1"/>
  <c r="D164" i="12" a="1"/>
  <c r="D164" i="12" s="1"/>
  <c r="E164" i="12" s="1" a="1"/>
  <c r="E164" i="12" s="1"/>
  <c r="O163" i="12" a="1"/>
  <c r="O163" i="12" s="1"/>
  <c r="I163" i="12" a="1"/>
  <c r="I163" i="12" s="1"/>
  <c r="G163" i="12" a="1"/>
  <c r="G163" i="12" s="1"/>
  <c r="F163" i="12" a="1"/>
  <c r="F163" i="12" s="1"/>
  <c r="D163" i="12" a="1"/>
  <c r="D163" i="12" s="1"/>
  <c r="E163" i="12" s="1" a="1"/>
  <c r="E163" i="12" s="1"/>
  <c r="O162" i="12" a="1"/>
  <c r="O162" i="12" s="1"/>
  <c r="I162" i="12" a="1"/>
  <c r="I162" i="12" s="1"/>
  <c r="G162" i="12" a="1"/>
  <c r="G162" i="12" s="1"/>
  <c r="F162" i="12" a="1"/>
  <c r="F162" i="12" s="1"/>
  <c r="D162" i="12" a="1"/>
  <c r="D162" i="12" s="1"/>
  <c r="E162" i="12" s="1" a="1"/>
  <c r="E162" i="12" s="1"/>
  <c r="O161" i="12" a="1"/>
  <c r="O161" i="12" s="1"/>
  <c r="I161" i="12" a="1"/>
  <c r="I161" i="12" s="1"/>
  <c r="G161" i="12" a="1"/>
  <c r="G161" i="12" s="1"/>
  <c r="F161" i="12" a="1"/>
  <c r="F161" i="12" s="1"/>
  <c r="D161" i="12" a="1"/>
  <c r="D161" i="12" s="1"/>
  <c r="E161" i="12" s="1" a="1"/>
  <c r="E161" i="12" s="1"/>
  <c r="O160" i="12" a="1"/>
  <c r="O160" i="12" s="1"/>
  <c r="I160" i="12" a="1"/>
  <c r="I160" i="12" s="1"/>
  <c r="G160" i="12" a="1"/>
  <c r="G160" i="12" s="1"/>
  <c r="F160" i="12" a="1"/>
  <c r="F160" i="12" s="1"/>
  <c r="D160" i="12" a="1"/>
  <c r="D160" i="12" s="1"/>
  <c r="E160" i="12" s="1" a="1"/>
  <c r="E160" i="12" s="1"/>
  <c r="O159" i="12" a="1"/>
  <c r="O159" i="12" s="1"/>
  <c r="I159" i="12" a="1"/>
  <c r="I159" i="12" s="1"/>
  <c r="G159" i="12" a="1"/>
  <c r="G159" i="12" s="1"/>
  <c r="F159" i="12" a="1"/>
  <c r="F159" i="12" s="1"/>
  <c r="D159" i="12" a="1"/>
  <c r="D159" i="12" s="1"/>
  <c r="E159" i="12" s="1" a="1"/>
  <c r="E159" i="12" s="1"/>
  <c r="O158" i="12" a="1"/>
  <c r="O158" i="12" s="1"/>
  <c r="I158" i="12" a="1"/>
  <c r="I158" i="12" s="1"/>
  <c r="G158" i="12" a="1"/>
  <c r="G158" i="12" s="1"/>
  <c r="F158" i="12" a="1"/>
  <c r="F158" i="12" s="1"/>
  <c r="D158" i="12" a="1"/>
  <c r="D158" i="12" s="1"/>
  <c r="E158" i="12" s="1" a="1"/>
  <c r="E158" i="12" s="1"/>
  <c r="O157" i="12" a="1"/>
  <c r="O157" i="12" s="1"/>
  <c r="I157" i="12" a="1"/>
  <c r="I157" i="12" s="1"/>
  <c r="G157" i="12" a="1"/>
  <c r="G157" i="12" s="1"/>
  <c r="F157" i="12" a="1"/>
  <c r="F157" i="12" s="1"/>
  <c r="D157" i="12" a="1"/>
  <c r="D157" i="12" s="1"/>
  <c r="E157" i="12" s="1" a="1"/>
  <c r="E157" i="12" s="1"/>
  <c r="O156" i="12" a="1"/>
  <c r="O156" i="12" s="1"/>
  <c r="I156" i="12" a="1"/>
  <c r="I156" i="12" s="1"/>
  <c r="G156" i="12" a="1"/>
  <c r="G156" i="12" s="1"/>
  <c r="F156" i="12" a="1"/>
  <c r="F156" i="12" s="1"/>
  <c r="D156" i="12" a="1"/>
  <c r="D156" i="12" s="1"/>
  <c r="E156" i="12" s="1" a="1"/>
  <c r="E156" i="12" s="1"/>
  <c r="O155" i="12" a="1"/>
  <c r="O155" i="12" s="1"/>
  <c r="I155" i="12" a="1"/>
  <c r="I155" i="12" s="1"/>
  <c r="G155" i="12" a="1"/>
  <c r="G155" i="12" s="1"/>
  <c r="F155" i="12" a="1"/>
  <c r="F155" i="12" s="1"/>
  <c r="D155" i="12" a="1"/>
  <c r="D155" i="12" s="1"/>
  <c r="E155" i="12" s="1" a="1"/>
  <c r="E155" i="12" s="1"/>
  <c r="O154" i="12" a="1"/>
  <c r="O154" i="12" s="1"/>
  <c r="I154" i="12" a="1"/>
  <c r="I154" i="12" s="1"/>
  <c r="G154" i="12" a="1"/>
  <c r="G154" i="12" s="1"/>
  <c r="F154" i="12" a="1"/>
  <c r="F154" i="12" s="1"/>
  <c r="D154" i="12" a="1"/>
  <c r="D154" i="12" s="1"/>
  <c r="E154" i="12" s="1" a="1"/>
  <c r="E154" i="12" s="1"/>
  <c r="O153" i="12" a="1"/>
  <c r="O153" i="12" s="1"/>
  <c r="I153" i="12" a="1"/>
  <c r="I153" i="12" s="1"/>
  <c r="G153" i="12" a="1"/>
  <c r="G153" i="12" s="1"/>
  <c r="F153" i="12" a="1"/>
  <c r="F153" i="12" s="1"/>
  <c r="D153" i="12" a="1"/>
  <c r="D153" i="12" s="1"/>
  <c r="E153" i="12" s="1" a="1"/>
  <c r="E153" i="12" s="1"/>
  <c r="O152" i="12" a="1"/>
  <c r="O152" i="12" s="1"/>
  <c r="I152" i="12" a="1"/>
  <c r="I152" i="12" s="1"/>
  <c r="G152" i="12" a="1"/>
  <c r="G152" i="12" s="1"/>
  <c r="F152" i="12" a="1"/>
  <c r="F152" i="12" s="1"/>
  <c r="D152" i="12" a="1"/>
  <c r="D152" i="12" s="1"/>
  <c r="E152" i="12" s="1" a="1"/>
  <c r="E152" i="12" s="1"/>
  <c r="D149" i="12" a="1"/>
  <c r="D149" i="12" s="1"/>
  <c r="D148" i="12" a="1"/>
  <c r="D148" i="12" s="1"/>
  <c r="O142" i="12" a="1"/>
  <c r="O142" i="12" s="1"/>
  <c r="I142" i="12" a="1"/>
  <c r="I142" i="12" s="1"/>
  <c r="G142" i="12" a="1"/>
  <c r="G142" i="12" s="1"/>
  <c r="F142" i="12" a="1"/>
  <c r="F142" i="12" s="1"/>
  <c r="D142" i="12" a="1"/>
  <c r="D142" i="12" s="1"/>
  <c r="D11" i="15" s="1"/>
  <c r="O141" i="12" a="1"/>
  <c r="O141" i="12" s="1"/>
  <c r="I141" i="12" a="1"/>
  <c r="I141" i="12" s="1"/>
  <c r="G141" i="12" a="1"/>
  <c r="G141" i="12" s="1"/>
  <c r="F141" i="12" a="1"/>
  <c r="F141" i="12" s="1"/>
  <c r="D141" i="12" a="1"/>
  <c r="D141" i="12" s="1"/>
  <c r="D10" i="15" s="1"/>
  <c r="O140" i="12" a="1"/>
  <c r="O140" i="12" s="1"/>
  <c r="K140" i="12"/>
  <c r="I140" i="12" a="1"/>
  <c r="I140" i="12" s="1"/>
  <c r="G140" i="12" a="1"/>
  <c r="G140" i="12" s="1"/>
  <c r="J140" i="12" s="1"/>
  <c r="F140" i="12" a="1"/>
  <c r="F140" i="12" s="1"/>
  <c r="D140" i="12" a="1"/>
  <c r="D140" i="12" s="1"/>
  <c r="D9" i="15" s="1"/>
  <c r="D137" i="12" a="1"/>
  <c r="D137" i="12" s="1"/>
  <c r="D136" i="12" a="1"/>
  <c r="D136" i="12" s="1"/>
  <c r="O130" i="12" a="1"/>
  <c r="O130" i="12" s="1"/>
  <c r="I130" i="12" a="1"/>
  <c r="I130" i="12" s="1"/>
  <c r="G130" i="12" a="1"/>
  <c r="G130" i="12" s="1"/>
  <c r="F130" i="12" a="1"/>
  <c r="F130" i="12" s="1"/>
  <c r="D130" i="12" a="1"/>
  <c r="D130" i="12" s="1"/>
  <c r="E130" i="12" s="1" a="1"/>
  <c r="E130" i="12" s="1"/>
  <c r="O129" i="12" a="1"/>
  <c r="O129" i="12" s="1"/>
  <c r="I129" i="12" a="1"/>
  <c r="I129" i="12" s="1"/>
  <c r="G129" i="12" a="1"/>
  <c r="G129" i="12" s="1"/>
  <c r="F129" i="12" a="1"/>
  <c r="F129" i="12" s="1"/>
  <c r="D129" i="12" a="1"/>
  <c r="D129" i="12" s="1"/>
  <c r="E129" i="12" s="1" a="1"/>
  <c r="E129" i="12" s="1"/>
  <c r="O128" i="12" a="1"/>
  <c r="O128" i="12" s="1"/>
  <c r="I128" i="12" a="1"/>
  <c r="I128" i="12" s="1"/>
  <c r="G128" i="12" a="1"/>
  <c r="G128" i="12" s="1"/>
  <c r="F128" i="12" a="1"/>
  <c r="F128" i="12" s="1"/>
  <c r="D128" i="12" a="1"/>
  <c r="D128" i="12" s="1"/>
  <c r="E128" i="12" s="1" a="1"/>
  <c r="E128" i="12" s="1"/>
  <c r="O127" i="12" a="1"/>
  <c r="O127" i="12" s="1"/>
  <c r="I127" i="12" a="1"/>
  <c r="I127" i="12" s="1"/>
  <c r="G127" i="12" a="1"/>
  <c r="G127" i="12" s="1"/>
  <c r="F127" i="12" a="1"/>
  <c r="F127" i="12" s="1"/>
  <c r="D127" i="12" a="1"/>
  <c r="D127" i="12" s="1"/>
  <c r="E127" i="12" s="1" a="1"/>
  <c r="E127" i="12" s="1"/>
  <c r="O126" i="12" a="1"/>
  <c r="O126" i="12" s="1"/>
  <c r="I126" i="12" a="1"/>
  <c r="I126" i="12" s="1"/>
  <c r="G126" i="12" a="1"/>
  <c r="G126" i="12" s="1"/>
  <c r="F126" i="12" a="1"/>
  <c r="F126" i="12" s="1"/>
  <c r="D126" i="12" a="1"/>
  <c r="D126" i="12" s="1"/>
  <c r="E126" i="12" s="1" a="1"/>
  <c r="E126" i="12" s="1"/>
  <c r="D123" i="12" a="1"/>
  <c r="D123" i="12" s="1"/>
  <c r="D122" i="12" a="1"/>
  <c r="D122" i="12" s="1"/>
  <c r="O116" i="12" a="1"/>
  <c r="O116" i="12" s="1"/>
  <c r="I116" i="12" a="1"/>
  <c r="I116" i="12" s="1"/>
  <c r="G116" i="12" a="1"/>
  <c r="G116" i="12" s="1"/>
  <c r="F116" i="12" a="1"/>
  <c r="F116" i="12" s="1"/>
  <c r="D116" i="12" a="1"/>
  <c r="D116" i="12" s="1"/>
  <c r="O115" i="12" a="1"/>
  <c r="O115" i="12" s="1"/>
  <c r="I115" i="12" a="1"/>
  <c r="I115" i="12" s="1"/>
  <c r="G115" i="12" a="1"/>
  <c r="G115" i="12" s="1"/>
  <c r="F115" i="12" a="1"/>
  <c r="F115" i="12" s="1"/>
  <c r="D115" i="12" a="1"/>
  <c r="D115" i="12" s="1"/>
  <c r="O114" i="12" a="1"/>
  <c r="O114" i="12" s="1"/>
  <c r="I114" i="12" a="1"/>
  <c r="I114" i="12" s="1"/>
  <c r="G114" i="12" a="1"/>
  <c r="G114" i="12" s="1"/>
  <c r="F114" i="12" a="1"/>
  <c r="F114" i="12" s="1"/>
  <c r="D114" i="12" a="1"/>
  <c r="D114" i="12" s="1"/>
  <c r="O113" i="12" a="1"/>
  <c r="O113" i="12" s="1"/>
  <c r="I113" i="12" a="1"/>
  <c r="I113" i="12" s="1"/>
  <c r="G113" i="12" a="1"/>
  <c r="G113" i="12" s="1"/>
  <c r="F113" i="12" a="1"/>
  <c r="F113" i="12" s="1"/>
  <c r="D113" i="12" a="1"/>
  <c r="D113" i="12" s="1"/>
  <c r="O112" i="12" a="1"/>
  <c r="O112" i="12" s="1"/>
  <c r="I112" i="12" a="1"/>
  <c r="I112" i="12" s="1"/>
  <c r="G112" i="12" a="1"/>
  <c r="G112" i="12" s="1"/>
  <c r="F112" i="12" a="1"/>
  <c r="F112" i="12" s="1"/>
  <c r="D112" i="12" a="1"/>
  <c r="D112" i="12" s="1"/>
  <c r="D109" i="12" a="1"/>
  <c r="D109" i="12" s="1"/>
  <c r="D108" i="12" a="1"/>
  <c r="D108" i="12" s="1"/>
  <c r="Q68" i="12" a="1"/>
  <c r="Q68" i="12" s="1"/>
  <c r="E68" i="12" a="1"/>
  <c r="E68" i="12" s="1"/>
  <c r="G68" i="12" s="1" a="1"/>
  <c r="G68" i="12" s="1"/>
  <c r="D68" i="12" a="1"/>
  <c r="D68" i="12" s="1"/>
  <c r="Q67" i="12" a="1"/>
  <c r="Q67" i="12" s="1"/>
  <c r="E67" i="12" a="1"/>
  <c r="E67" i="12" s="1"/>
  <c r="G67" i="12" s="1" a="1"/>
  <c r="G67" i="12" s="1"/>
  <c r="D67" i="12" a="1"/>
  <c r="D67" i="12" s="1"/>
  <c r="Q66" i="12" a="1"/>
  <c r="Q66" i="12" s="1"/>
  <c r="E66" i="12" a="1"/>
  <c r="E66" i="12" s="1"/>
  <c r="G66" i="12" s="1" a="1"/>
  <c r="G66" i="12" s="1"/>
  <c r="D66" i="12" a="1"/>
  <c r="D66" i="12" s="1"/>
  <c r="Q65" i="12" a="1"/>
  <c r="Q65" i="12" s="1"/>
  <c r="E65" i="12" a="1"/>
  <c r="E65" i="12" s="1"/>
  <c r="G65" i="12" s="1" a="1"/>
  <c r="G65" i="12" s="1"/>
  <c r="D65" i="12" a="1"/>
  <c r="D65" i="12" s="1"/>
  <c r="Q64" i="12" a="1"/>
  <c r="Q64" i="12" s="1"/>
  <c r="E64" i="12" a="1"/>
  <c r="E64" i="12" s="1"/>
  <c r="G64" i="12" s="1" a="1"/>
  <c r="G64" i="12" s="1"/>
  <c r="D64" i="12" a="1"/>
  <c r="D64" i="12" s="1"/>
  <c r="Q63" i="12" a="1"/>
  <c r="Q63" i="12" s="1"/>
  <c r="E63" i="12" a="1"/>
  <c r="E63" i="12" s="1"/>
  <c r="G63" i="12" s="1" a="1"/>
  <c r="G63" i="12" s="1"/>
  <c r="D63" i="12" a="1"/>
  <c r="D63" i="12" s="1"/>
  <c r="Q62" i="12" a="1"/>
  <c r="Q62" i="12" s="1"/>
  <c r="E62" i="12" a="1"/>
  <c r="E62" i="12" s="1"/>
  <c r="G62" i="12" s="1" a="1"/>
  <c r="G62" i="12" s="1"/>
  <c r="D62" i="12" a="1"/>
  <c r="D62" i="12" s="1"/>
  <c r="D59" i="12" a="1"/>
  <c r="D59" i="12" s="1"/>
  <c r="D58" i="12" a="1"/>
  <c r="D58" i="12" s="1"/>
  <c r="P52" i="12" a="1"/>
  <c r="P52" i="12" s="1"/>
  <c r="J52" i="12" a="1"/>
  <c r="J52" i="12" s="1"/>
  <c r="H52" i="12" a="1"/>
  <c r="H52" i="12" s="1"/>
  <c r="G52" i="12" a="1"/>
  <c r="G52" i="12" s="1"/>
  <c r="E52" i="12" a="1"/>
  <c r="E52" i="12" s="1"/>
  <c r="D52" i="12" a="1"/>
  <c r="D52" i="12" s="1"/>
  <c r="P51" i="12" a="1"/>
  <c r="P51" i="12" s="1"/>
  <c r="J51" i="12" a="1"/>
  <c r="J51" i="12" s="1"/>
  <c r="H51" i="12" a="1"/>
  <c r="H51" i="12" s="1"/>
  <c r="G51" i="12" a="1"/>
  <c r="G51" i="12" s="1"/>
  <c r="E51" i="12" a="1"/>
  <c r="E51" i="12" s="1"/>
  <c r="D51" i="12" a="1"/>
  <c r="D51" i="12" s="1"/>
  <c r="P50" i="12" a="1"/>
  <c r="P50" i="12" s="1"/>
  <c r="J50" i="12" a="1"/>
  <c r="J50" i="12" s="1"/>
  <c r="H50" i="12" a="1"/>
  <c r="H50" i="12" s="1"/>
  <c r="G50" i="12" a="1"/>
  <c r="G50" i="12" s="1"/>
  <c r="E50" i="12" a="1"/>
  <c r="E50" i="12" s="1"/>
  <c r="D50" i="12" a="1"/>
  <c r="D50" i="12" s="1"/>
  <c r="P49" i="12" a="1"/>
  <c r="P49" i="12" s="1"/>
  <c r="J49" i="12" a="1"/>
  <c r="J49" i="12" s="1"/>
  <c r="H49" i="12" a="1"/>
  <c r="H49" i="12" s="1"/>
  <c r="G49" i="12" a="1"/>
  <c r="G49" i="12" s="1"/>
  <c r="E49" i="12" a="1"/>
  <c r="E49" i="12" s="1"/>
  <c r="D49" i="12" a="1"/>
  <c r="D49" i="12" s="1"/>
  <c r="P48" i="12" a="1"/>
  <c r="P48" i="12" s="1"/>
  <c r="J48" i="12" a="1"/>
  <c r="J48" i="12" s="1"/>
  <c r="H48" i="12" a="1"/>
  <c r="H48" i="12" s="1"/>
  <c r="G48" i="12" a="1"/>
  <c r="G48" i="12" s="1"/>
  <c r="E48" i="12" a="1"/>
  <c r="E48" i="12" s="1"/>
  <c r="D48" i="12" a="1"/>
  <c r="D48" i="12" s="1"/>
  <c r="P47" i="12" a="1"/>
  <c r="P47" i="12" s="1"/>
  <c r="J47" i="12" a="1"/>
  <c r="J47" i="12" s="1"/>
  <c r="H47" i="12" a="1"/>
  <c r="H47" i="12" s="1"/>
  <c r="G47" i="12" a="1"/>
  <c r="G47" i="12" s="1"/>
  <c r="E47" i="12" a="1"/>
  <c r="E47" i="12" s="1"/>
  <c r="D47" i="12" a="1"/>
  <c r="D47" i="12" s="1"/>
  <c r="P46" i="12" a="1"/>
  <c r="P46" i="12" s="1"/>
  <c r="J46" i="12" a="1"/>
  <c r="J46" i="12" s="1"/>
  <c r="H46" i="12" a="1"/>
  <c r="H46" i="12" s="1"/>
  <c r="G46" i="12" a="1"/>
  <c r="G46" i="12" s="1"/>
  <c r="E46" i="12" a="1"/>
  <c r="E46" i="12" s="1"/>
  <c r="D46" i="12" a="1"/>
  <c r="D46" i="12" s="1"/>
  <c r="P45" i="12" a="1"/>
  <c r="P45" i="12" s="1"/>
  <c r="J45" i="12" a="1"/>
  <c r="J45" i="12" s="1"/>
  <c r="H45" i="12" a="1"/>
  <c r="H45" i="12" s="1"/>
  <c r="G45" i="12" a="1"/>
  <c r="G45" i="12" s="1"/>
  <c r="E45" i="12" a="1"/>
  <c r="E45" i="12" s="1"/>
  <c r="D45" i="12" a="1"/>
  <c r="D45" i="12" s="1"/>
  <c r="P44" i="12" a="1"/>
  <c r="P44" i="12" s="1"/>
  <c r="J44" i="12" a="1"/>
  <c r="J44" i="12" s="1"/>
  <c r="H44" i="12" a="1"/>
  <c r="H44" i="12" s="1"/>
  <c r="G44" i="12" a="1"/>
  <c r="G44" i="12" s="1"/>
  <c r="E44" i="12" a="1"/>
  <c r="E44" i="12" s="1"/>
  <c r="D44" i="12" a="1"/>
  <c r="D44" i="12" s="1"/>
  <c r="P43" i="12" a="1"/>
  <c r="P43" i="12" s="1"/>
  <c r="J43" i="12" a="1"/>
  <c r="J43" i="12" s="1"/>
  <c r="H43" i="12" a="1"/>
  <c r="H43" i="12" s="1"/>
  <c r="G43" i="12" a="1"/>
  <c r="G43" i="12" s="1"/>
  <c r="E43" i="12" a="1"/>
  <c r="E43" i="12" s="1"/>
  <c r="D43" i="12" a="1"/>
  <c r="D43" i="12" s="1"/>
  <c r="D40" i="12" a="1"/>
  <c r="D40" i="12" s="1"/>
  <c r="D39" i="12" a="1"/>
  <c r="D39" i="12" s="1"/>
  <c r="A39" i="12"/>
  <c r="A38" i="12"/>
  <c r="A37" i="12"/>
  <c r="A36" i="12"/>
  <c r="T33" i="12" a="1"/>
  <c r="T33" i="12" s="1"/>
  <c r="E33" i="12" a="1"/>
  <c r="E33" i="12" s="1"/>
  <c r="D33" i="12" a="1"/>
  <c r="D33" i="12" s="1"/>
  <c r="A33" i="12"/>
  <c r="T32" i="12" a="1"/>
  <c r="T32" i="12" s="1"/>
  <c r="E32" i="12" a="1"/>
  <c r="E32" i="12" s="1"/>
  <c r="D32" i="12" a="1"/>
  <c r="D32" i="12" s="1"/>
  <c r="T31" i="12" a="1"/>
  <c r="T31" i="12" s="1"/>
  <c r="E31" i="12" a="1"/>
  <c r="E31" i="12" s="1"/>
  <c r="D31" i="12" a="1"/>
  <c r="D31" i="12" s="1"/>
  <c r="T30" i="12" a="1"/>
  <c r="T30" i="12" s="1"/>
  <c r="E30" i="12" a="1"/>
  <c r="E30" i="12" s="1"/>
  <c r="D30" i="12" a="1"/>
  <c r="D30" i="12" s="1"/>
  <c r="A30" i="12"/>
  <c r="T29" i="12" a="1"/>
  <c r="T29" i="12" s="1"/>
  <c r="E29" i="12" a="1"/>
  <c r="E29" i="12" s="1"/>
  <c r="D29" i="12" a="1"/>
  <c r="D29" i="12" s="1"/>
  <c r="A29" i="12"/>
  <c r="T28" i="12" a="1"/>
  <c r="T28" i="12" s="1"/>
  <c r="E28" i="12" a="1"/>
  <c r="E28" i="12" s="1"/>
  <c r="D28" i="12" a="1"/>
  <c r="D28" i="12" s="1"/>
  <c r="A28" i="12"/>
  <c r="T27" i="12" a="1"/>
  <c r="T27" i="12" s="1"/>
  <c r="E27" i="12" a="1"/>
  <c r="E27" i="12" s="1"/>
  <c r="D27" i="12" a="1"/>
  <c r="D27" i="12" s="1"/>
  <c r="A27" i="12"/>
  <c r="T26" i="12" a="1"/>
  <c r="T26" i="12" s="1"/>
  <c r="E26" i="12" a="1"/>
  <c r="E26" i="12" s="1"/>
  <c r="D26" i="12" a="1"/>
  <c r="D26" i="12" s="1"/>
  <c r="A26" i="12"/>
  <c r="T25" i="12" a="1"/>
  <c r="T25" i="12" s="1"/>
  <c r="E25" i="12" a="1"/>
  <c r="E25" i="12" s="1"/>
  <c r="D25" i="12" a="1"/>
  <c r="D25" i="12" s="1"/>
  <c r="A25" i="12"/>
  <c r="T24" i="12" a="1"/>
  <c r="T24" i="12" s="1"/>
  <c r="E24" i="12" a="1"/>
  <c r="E24" i="12" s="1"/>
  <c r="D24" i="12" a="1"/>
  <c r="D24" i="12" s="1"/>
  <c r="A24" i="12"/>
  <c r="T23" i="12" a="1"/>
  <c r="T23" i="12" s="1"/>
  <c r="E23" i="12" a="1"/>
  <c r="E23" i="12" s="1"/>
  <c r="D23" i="12" a="1"/>
  <c r="D23" i="12" s="1"/>
  <c r="T22" i="12" a="1"/>
  <c r="T22" i="12" s="1"/>
  <c r="E22" i="12" a="1"/>
  <c r="E22" i="12" s="1"/>
  <c r="D22" i="12" a="1"/>
  <c r="D22" i="12" s="1"/>
  <c r="T21" i="12" a="1"/>
  <c r="T21" i="12" s="1"/>
  <c r="E21" i="12" a="1"/>
  <c r="E21" i="12" s="1"/>
  <c r="D21" i="12" a="1"/>
  <c r="D21" i="12" s="1"/>
  <c r="T20" i="12" a="1"/>
  <c r="T20" i="12" s="1"/>
  <c r="E20" i="12" a="1"/>
  <c r="E20" i="12" s="1"/>
  <c r="D20" i="12" a="1"/>
  <c r="D20" i="12" s="1"/>
  <c r="T19" i="12" a="1"/>
  <c r="T19" i="12" s="1"/>
  <c r="E19" i="12" a="1"/>
  <c r="E19" i="12" s="1"/>
  <c r="D19" i="12" a="1"/>
  <c r="D19" i="12" s="1"/>
  <c r="A19" i="12"/>
  <c r="T18" i="12" a="1"/>
  <c r="T18" i="12" s="1"/>
  <c r="E18" i="12" a="1"/>
  <c r="E18" i="12" s="1"/>
  <c r="D18" i="12" a="1"/>
  <c r="D18" i="12" s="1"/>
  <c r="A18" i="12"/>
  <c r="T17" i="12" a="1"/>
  <c r="T17" i="12" s="1"/>
  <c r="E17" i="12" a="1"/>
  <c r="E17" i="12" s="1"/>
  <c r="D17" i="12" a="1"/>
  <c r="D17" i="12" s="1"/>
  <c r="T16" i="12" a="1"/>
  <c r="T16" i="12" s="1"/>
  <c r="E16" i="12" a="1"/>
  <c r="E16" i="12" s="1"/>
  <c r="D16" i="12" a="1"/>
  <c r="D16" i="12" s="1"/>
  <c r="T15" i="12" a="1"/>
  <c r="T15" i="12" s="1"/>
  <c r="E15" i="12" a="1"/>
  <c r="E15" i="12" s="1"/>
  <c r="D15" i="12" a="1"/>
  <c r="D15" i="12" s="1"/>
  <c r="A15" i="12"/>
  <c r="T14" i="12" a="1"/>
  <c r="T14" i="12" s="1"/>
  <c r="E14" i="12" a="1"/>
  <c r="E14" i="12" s="1"/>
  <c r="D14" i="12" a="1"/>
  <c r="D14" i="12" s="1"/>
  <c r="A14" i="12"/>
  <c r="T13" i="12" a="1"/>
  <c r="T13" i="12" s="1"/>
  <c r="E13" i="12" a="1"/>
  <c r="E13" i="12" s="1"/>
  <c r="D13" i="12" a="1"/>
  <c r="D13" i="12" s="1"/>
  <c r="A13" i="12"/>
  <c r="T12" i="12" a="1"/>
  <c r="T12" i="12" s="1"/>
  <c r="E12" i="12" a="1"/>
  <c r="E12" i="12" s="1"/>
  <c r="D12" i="12" a="1"/>
  <c r="D12" i="12" s="1"/>
  <c r="A12" i="12"/>
  <c r="T11" i="12" a="1"/>
  <c r="T11" i="12" s="1"/>
  <c r="E11" i="12" a="1"/>
  <c r="E11" i="12" s="1"/>
  <c r="D11" i="12" a="1"/>
  <c r="D11" i="12" s="1"/>
  <c r="A11" i="12"/>
  <c r="T10" i="12" a="1"/>
  <c r="T10" i="12" s="1"/>
  <c r="E10" i="12" a="1"/>
  <c r="E10" i="12" s="1"/>
  <c r="D10" i="12" a="1"/>
  <c r="D10" i="12" s="1"/>
  <c r="A10" i="12"/>
  <c r="T9" i="12" a="1"/>
  <c r="T9" i="12" s="1"/>
  <c r="E9" i="12" a="1"/>
  <c r="E9" i="12" s="1"/>
  <c r="D9" i="12" a="1"/>
  <c r="D9" i="12" s="1"/>
  <c r="A9" i="12"/>
  <c r="A8" i="12"/>
  <c r="A7" i="12"/>
  <c r="D6" i="12" a="1"/>
  <c r="D6" i="12" s="1"/>
  <c r="D5" i="12" a="1"/>
  <c r="D5" i="12" s="1"/>
  <c r="A4" i="12"/>
  <c r="L63" i="12" l="1"/>
  <c r="M63" i="12"/>
  <c r="M68" i="12"/>
  <c r="L68" i="12"/>
  <c r="L64" i="12"/>
  <c r="M64" i="12"/>
  <c r="L65" i="12"/>
  <c r="M65" i="12"/>
  <c r="M66" i="12"/>
  <c r="L66" i="12"/>
  <c r="M62" i="12"/>
  <c r="L62" i="12"/>
  <c r="M67" i="12"/>
  <c r="L67" i="12"/>
  <c r="G29" i="13" a="1"/>
  <c r="G29" i="13" s="1"/>
  <c r="G32" i="13" a="1"/>
  <c r="G32" i="13" s="1"/>
  <c r="G31" i="13" a="1"/>
  <c r="G31" i="13" s="1"/>
  <c r="G30" i="13" a="1"/>
  <c r="G30" i="13" s="1"/>
  <c r="E194" i="12" a="1"/>
  <c r="E194" i="12" s="1"/>
  <c r="J194" i="12" s="1"/>
  <c r="L46" i="12"/>
  <c r="L51" i="12"/>
  <c r="L48" i="12"/>
  <c r="K46" i="12"/>
  <c r="L43" i="12"/>
  <c r="K43" i="12"/>
  <c r="L50" i="12"/>
  <c r="K50" i="12"/>
  <c r="K45" i="12"/>
  <c r="L45" i="12"/>
  <c r="K51" i="12"/>
  <c r="K164" i="12"/>
  <c r="J164" i="12"/>
  <c r="K153" i="12"/>
  <c r="J153" i="12"/>
  <c r="K167" i="12"/>
  <c r="J167" i="12"/>
  <c r="K178" i="12"/>
  <c r="J178" i="12"/>
  <c r="K196" i="12"/>
  <c r="J196" i="12"/>
  <c r="J129" i="12"/>
  <c r="K129" i="12"/>
  <c r="K156" i="12"/>
  <c r="J156" i="12"/>
  <c r="K159" i="12"/>
  <c r="J159" i="12"/>
  <c r="K162" i="12"/>
  <c r="J162" i="12"/>
  <c r="K181" i="12"/>
  <c r="J181" i="12"/>
  <c r="K199" i="12"/>
  <c r="J199" i="12"/>
  <c r="K141" i="12"/>
  <c r="J141" i="12"/>
  <c r="K154" i="12"/>
  <c r="J154" i="12"/>
  <c r="K142" i="12"/>
  <c r="J142" i="12"/>
  <c r="K165" i="12"/>
  <c r="J165" i="12"/>
  <c r="J128" i="12"/>
  <c r="K128" i="12"/>
  <c r="K157" i="12"/>
  <c r="J157" i="12"/>
  <c r="K179" i="12"/>
  <c r="J179" i="12"/>
  <c r="K197" i="12"/>
  <c r="J197" i="12"/>
  <c r="J126" i="12"/>
  <c r="K126" i="12"/>
  <c r="K183" i="12"/>
  <c r="J183" i="12"/>
  <c r="K160" i="12"/>
  <c r="J160" i="12"/>
  <c r="K233" i="12"/>
  <c r="G236" i="12" s="1"/>
  <c r="J233" i="12"/>
  <c r="G235" i="12" s="1"/>
  <c r="K47" i="12"/>
  <c r="L47" i="12"/>
  <c r="K163" i="12"/>
  <c r="J163" i="12"/>
  <c r="K177" i="12"/>
  <c r="J177" i="12"/>
  <c r="K184" i="12"/>
  <c r="J184" i="12"/>
  <c r="K195" i="12"/>
  <c r="J195" i="12"/>
  <c r="K152" i="12"/>
  <c r="J152" i="12"/>
  <c r="K166" i="12"/>
  <c r="J166" i="12"/>
  <c r="K155" i="12"/>
  <c r="J155" i="12"/>
  <c r="K182" i="12"/>
  <c r="J182" i="12"/>
  <c r="J127" i="12"/>
  <c r="K127" i="12"/>
  <c r="J130" i="12"/>
  <c r="K130" i="12"/>
  <c r="K158" i="12"/>
  <c r="J158" i="12"/>
  <c r="K161" i="12"/>
  <c r="J161" i="12"/>
  <c r="K180" i="12"/>
  <c r="J180" i="12"/>
  <c r="K198" i="12"/>
  <c r="J198" i="12"/>
  <c r="G144" i="12" l="1"/>
  <c r="K194" i="12"/>
  <c r="G104" i="12"/>
  <c r="G105" i="12"/>
  <c r="G250" i="12"/>
  <c r="K48" i="12"/>
  <c r="G133" i="12"/>
  <c r="G132" i="12"/>
  <c r="K52" i="12"/>
  <c r="L52" i="12"/>
  <c r="G214" i="12"/>
  <c r="G145" i="12"/>
  <c r="L44" i="12"/>
  <c r="K44" i="12"/>
  <c r="G213" i="12"/>
  <c r="G186" i="12"/>
  <c r="G201" i="12"/>
  <c r="K248" i="12"/>
  <c r="J248" i="12"/>
  <c r="K246" i="12"/>
  <c r="J246" i="12"/>
  <c r="G187" i="12"/>
  <c r="G202" i="12"/>
  <c r="K244" i="12"/>
  <c r="J244" i="12"/>
  <c r="K247" i="12"/>
  <c r="J247" i="12"/>
  <c r="K245" i="12"/>
  <c r="J245" i="12"/>
  <c r="L49" i="12"/>
  <c r="K49" i="12"/>
  <c r="K243" i="12"/>
  <c r="J243" i="12"/>
  <c r="G170" i="12" l="1"/>
  <c r="G54" i="12"/>
  <c r="G169" i="12"/>
  <c r="G55" i="12"/>
  <c r="E46" i="1" l="1"/>
  <c r="E45" i="1"/>
  <c r="E26" i="9"/>
  <c r="I33" i="9" s="1"/>
  <c r="E25" i="9"/>
  <c r="I44" i="9" s="1"/>
  <c r="E12" i="9"/>
  <c r="E18" i="9" s="1"/>
  <c r="A15" i="10"/>
  <c r="A14" i="10"/>
  <c r="E13" i="10"/>
  <c r="A11" i="10"/>
  <c r="A8" i="10"/>
  <c r="A5" i="10"/>
  <c r="A4" i="10"/>
  <c r="A3" i="10"/>
  <c r="H44" i="9"/>
  <c r="E44" i="9"/>
  <c r="H43" i="9"/>
  <c r="E43" i="9"/>
  <c r="H42" i="9"/>
  <c r="E42" i="9"/>
  <c r="H35" i="9"/>
  <c r="H34" i="9"/>
  <c r="H33" i="9"/>
  <c r="A15" i="9"/>
  <c r="A14" i="9"/>
  <c r="A11" i="9"/>
  <c r="A8" i="9"/>
  <c r="A5" i="9"/>
  <c r="A4" i="9"/>
  <c r="A3" i="9"/>
  <c r="H25" i="8" a="1"/>
  <c r="H25" i="8" s="1"/>
  <c r="G25" i="8" a="1"/>
  <c r="G25" i="8"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A15" i="8"/>
  <c r="F14" i="8" a="1"/>
  <c r="F14" i="8" s="1"/>
  <c r="E14" i="8" a="1"/>
  <c r="E14" i="8" s="1"/>
  <c r="D14" i="8" a="1"/>
  <c r="D14" i="8" s="1"/>
  <c r="A14" i="8"/>
  <c r="F13" i="8" a="1"/>
  <c r="F13" i="8" s="1"/>
  <c r="E13" i="8" a="1"/>
  <c r="E13" i="8" s="1"/>
  <c r="D13" i="8" a="1"/>
  <c r="D13" i="8" s="1"/>
  <c r="F12" i="8" a="1"/>
  <c r="F12" i="8" s="1"/>
  <c r="E12" i="8" a="1"/>
  <c r="E12" i="8" s="1"/>
  <c r="D12" i="8" a="1"/>
  <c r="D12" i="8" s="1"/>
  <c r="F11" i="8" a="1"/>
  <c r="F11" i="8" s="1"/>
  <c r="E11" i="8" a="1"/>
  <c r="E11" i="8" s="1"/>
  <c r="D11" i="8" a="1"/>
  <c r="D11" i="8" s="1"/>
  <c r="A11" i="8"/>
  <c r="F10" i="8" a="1"/>
  <c r="F10" i="8" s="1"/>
  <c r="E10" i="8" a="1"/>
  <c r="E10" i="8" s="1"/>
  <c r="D10" i="8" a="1"/>
  <c r="D10" i="8" s="1"/>
  <c r="A8" i="8"/>
  <c r="D7" i="8" a="1"/>
  <c r="D7" i="8" s="1"/>
  <c r="D6" i="8" a="1"/>
  <c r="D6" i="8" s="1"/>
  <c r="D5" i="8" a="1"/>
  <c r="D5" i="8" s="1"/>
  <c r="A5" i="8"/>
  <c r="A4" i="8"/>
  <c r="A3" i="8"/>
  <c r="I42" i="9" l="1"/>
  <c r="E46" i="9" s="1"/>
  <c r="I34" i="9"/>
  <c r="E37" i="9" s="1"/>
  <c r="I35" i="9"/>
  <c r="I43" i="9"/>
  <c r="H45" i="7" l="1"/>
  <c r="I45" i="7" s="1"/>
  <c r="G45" i="7"/>
  <c r="H44" i="7"/>
  <c r="I44" i="7" s="1"/>
  <c r="G44" i="7"/>
  <c r="A44" i="7"/>
  <c r="L35" i="7"/>
  <c r="F35" i="7"/>
  <c r="G35" i="7" s="1"/>
  <c r="L34" i="7"/>
  <c r="F34" i="7"/>
  <c r="G34" i="7" s="1"/>
  <c r="F24" i="7"/>
  <c r="G24" i="7" s="1"/>
  <c r="A21" i="7"/>
  <c r="A20" i="7"/>
  <c r="A17" i="7"/>
  <c r="A16" i="7"/>
  <c r="A15" i="7"/>
  <c r="A14" i="7"/>
  <c r="A13" i="7"/>
  <c r="A12" i="7"/>
  <c r="A9" i="7"/>
  <c r="A8" i="7"/>
  <c r="A5" i="7"/>
  <c r="A4" i="7"/>
  <c r="A3" i="7"/>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D83" i="6" a="1"/>
  <c r="D83" i="6" s="1"/>
  <c r="D82" i="6" a="1"/>
  <c r="D82" i="6" s="1"/>
  <c r="D81" i="6" a="1"/>
  <c r="D81" i="6" s="1"/>
  <c r="F78" i="6" a="1"/>
  <c r="F78" i="6" s="1"/>
  <c r="E78" i="6" a="1"/>
  <c r="E78" i="6" s="1"/>
  <c r="D78" i="6" a="1"/>
  <c r="D78" i="6" s="1"/>
  <c r="D77" i="6" a="1"/>
  <c r="D77" i="6" s="1"/>
  <c r="D76" i="6" a="1"/>
  <c r="D76" i="6" s="1"/>
  <c r="F73" i="6" a="1"/>
  <c r="F73" i="6" s="1"/>
  <c r="E73" i="6" a="1"/>
  <c r="E73" i="6"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G25" i="12" s="1"/>
  <c r="I35" i="6" a="1"/>
  <c r="I35" i="6" s="1"/>
  <c r="H35" i="6" a="1"/>
  <c r="H35" i="6" s="1"/>
  <c r="G35" i="6" a="1"/>
  <c r="G35" i="6" s="1"/>
  <c r="F35" i="6" a="1"/>
  <c r="F35" i="6" s="1"/>
  <c r="E35" i="6" a="1"/>
  <c r="E35" i="6" s="1"/>
  <c r="D35" i="6" a="1"/>
  <c r="D35" i="6" s="1"/>
  <c r="G17" i="12" s="1"/>
  <c r="I34" i="6" a="1"/>
  <c r="I34" i="6" s="1"/>
  <c r="H34" i="6" a="1"/>
  <c r="H34" i="6" s="1"/>
  <c r="G34" i="6" a="1"/>
  <c r="G34" i="6" s="1"/>
  <c r="F34" i="6" a="1"/>
  <c r="F34" i="6" s="1"/>
  <c r="E34" i="6" a="1"/>
  <c r="E34" i="6" s="1"/>
  <c r="D34" i="6" a="1"/>
  <c r="D34" i="6" s="1"/>
  <c r="G19" i="12" s="1"/>
  <c r="I33" i="6" a="1"/>
  <c r="I33" i="6" s="1"/>
  <c r="H33" i="6" a="1"/>
  <c r="H33" i="6" s="1"/>
  <c r="G33" i="6" a="1"/>
  <c r="G33" i="6" s="1"/>
  <c r="F33" i="6" a="1"/>
  <c r="F33" i="6" s="1"/>
  <c r="E33" i="6" a="1"/>
  <c r="E33" i="6" s="1"/>
  <c r="D33" i="6" a="1"/>
  <c r="D33" i="6" s="1"/>
  <c r="G33" i="12" s="1"/>
  <c r="I32" i="6" a="1"/>
  <c r="I32" i="6" s="1"/>
  <c r="H32" i="6" a="1"/>
  <c r="H32" i="6" s="1"/>
  <c r="G32" i="6" a="1"/>
  <c r="G32" i="6" s="1"/>
  <c r="F32" i="6" a="1"/>
  <c r="F32" i="6" s="1"/>
  <c r="E32" i="6" a="1"/>
  <c r="E32" i="6" s="1"/>
  <c r="D32" i="6" a="1"/>
  <c r="D32" i="6" s="1"/>
  <c r="G26" i="12" s="1"/>
  <c r="I31" i="6" a="1"/>
  <c r="I31" i="6" s="1"/>
  <c r="H31" i="6" a="1"/>
  <c r="H31" i="6" s="1"/>
  <c r="G31" i="6" a="1"/>
  <c r="G31" i="6" s="1"/>
  <c r="F31" i="6" a="1"/>
  <c r="F31" i="6" s="1"/>
  <c r="E31" i="6" a="1"/>
  <c r="E31" i="6" s="1"/>
  <c r="D31" i="6" a="1"/>
  <c r="D31" i="6" s="1"/>
  <c r="G24" i="12" s="1"/>
  <c r="I30" i="6" a="1"/>
  <c r="I30" i="6" s="1"/>
  <c r="H30" i="6" a="1"/>
  <c r="H30" i="6" s="1"/>
  <c r="G30" i="6" a="1"/>
  <c r="G30" i="6" s="1"/>
  <c r="F30" i="6" a="1"/>
  <c r="F30" i="6" s="1"/>
  <c r="E30" i="6" a="1"/>
  <c r="E30" i="6" s="1"/>
  <c r="D30" i="6" a="1"/>
  <c r="D30" i="6" s="1"/>
  <c r="G23" i="12" s="1"/>
  <c r="I29" i="6" a="1"/>
  <c r="I29" i="6" s="1"/>
  <c r="H29" i="6" a="1"/>
  <c r="H29" i="6" s="1"/>
  <c r="G29" i="6" a="1"/>
  <c r="G29" i="6" s="1"/>
  <c r="F29" i="6" a="1"/>
  <c r="F29" i="6" s="1"/>
  <c r="E29" i="6" a="1"/>
  <c r="E29" i="6" s="1"/>
  <c r="D29" i="6" a="1"/>
  <c r="D29" i="6" s="1"/>
  <c r="G21" i="12" s="1"/>
  <c r="R28" i="6" a="1"/>
  <c r="R28" i="6" s="1"/>
  <c r="Q28" i="6" a="1"/>
  <c r="Q28" i="6" s="1"/>
  <c r="L28" i="6" a="1"/>
  <c r="L28" i="6" s="1"/>
  <c r="K28" i="6" a="1"/>
  <c r="K28" i="6" s="1"/>
  <c r="I28" i="6" a="1"/>
  <c r="I28" i="6" s="1"/>
  <c r="H28" i="6" a="1"/>
  <c r="H28" i="6" s="1"/>
  <c r="G28" i="6" a="1"/>
  <c r="G28" i="6" s="1"/>
  <c r="F28" i="6" a="1"/>
  <c r="F28" i="6" s="1"/>
  <c r="E28" i="6" a="1"/>
  <c r="E28" i="6" s="1"/>
  <c r="D28" i="6" a="1"/>
  <c r="D28" i="6" s="1"/>
  <c r="G22" i="12" s="1"/>
  <c r="R27" i="6" a="1"/>
  <c r="R27" i="6" s="1"/>
  <c r="Q27" i="6" a="1"/>
  <c r="Q27" i="6" s="1"/>
  <c r="L27" i="6" a="1"/>
  <c r="L27" i="6" s="1"/>
  <c r="K27" i="6" a="1"/>
  <c r="K27" i="6" s="1"/>
  <c r="I27" i="6" a="1"/>
  <c r="I27" i="6" s="1"/>
  <c r="H27" i="6" a="1"/>
  <c r="H27" i="6" s="1"/>
  <c r="G27" i="6" a="1"/>
  <c r="G27" i="6" s="1"/>
  <c r="F27" i="6" a="1"/>
  <c r="F27" i="6" s="1"/>
  <c r="E27" i="6" a="1"/>
  <c r="E27" i="6" s="1"/>
  <c r="D27" i="6" a="1"/>
  <c r="D27" i="6" s="1"/>
  <c r="G20" i="12" s="1"/>
  <c r="R26" i="6" a="1"/>
  <c r="R26" i="6" s="1"/>
  <c r="Q26" i="6" a="1"/>
  <c r="Q26" i="6" s="1"/>
  <c r="L26" i="6" a="1"/>
  <c r="L26" i="6" s="1"/>
  <c r="K26" i="6" a="1"/>
  <c r="K26" i="6" s="1"/>
  <c r="I26" i="6" a="1"/>
  <c r="I26" i="6" s="1"/>
  <c r="H26" i="6" a="1"/>
  <c r="H26" i="6" s="1"/>
  <c r="G26" i="6" a="1"/>
  <c r="G26" i="6" s="1"/>
  <c r="F26" i="6" a="1"/>
  <c r="F26" i="6" s="1"/>
  <c r="E26" i="6" a="1"/>
  <c r="E26" i="6" s="1"/>
  <c r="D26" i="6" a="1"/>
  <c r="D26" i="6" s="1"/>
  <c r="G14" i="12"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G28" i="12" s="1"/>
  <c r="R23" i="6" a="1"/>
  <c r="R23" i="6" s="1"/>
  <c r="Q23" i="6" a="1"/>
  <c r="Q23" i="6" s="1"/>
  <c r="L23" i="6" a="1"/>
  <c r="L23" i="6" s="1"/>
  <c r="K23" i="6" a="1"/>
  <c r="K23" i="6" s="1"/>
  <c r="I23" i="6" a="1"/>
  <c r="I23" i="6" s="1"/>
  <c r="H23" i="6" a="1"/>
  <c r="H23" i="6" s="1"/>
  <c r="G23" i="6" a="1"/>
  <c r="G23" i="6" s="1"/>
  <c r="F23" i="6" a="1"/>
  <c r="F23" i="6" s="1"/>
  <c r="E23" i="6" a="1"/>
  <c r="E23" i="6" s="1"/>
  <c r="D23" i="6" a="1"/>
  <c r="D23" i="6" s="1"/>
  <c r="G27" i="12"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G16" i="12" s="1"/>
  <c r="A21" i="6"/>
  <c r="R20" i="6" a="1"/>
  <c r="R20" i="6" s="1"/>
  <c r="Q20" i="6" a="1"/>
  <c r="Q20" i="6" s="1"/>
  <c r="L20" i="6" a="1"/>
  <c r="L20" i="6" s="1"/>
  <c r="K20" i="6" a="1"/>
  <c r="K20" i="6" s="1"/>
  <c r="I20" i="6" a="1"/>
  <c r="I20" i="6" s="1"/>
  <c r="H20" i="6" a="1"/>
  <c r="H20" i="6" s="1"/>
  <c r="G20" i="6" a="1"/>
  <c r="G20" i="6" s="1"/>
  <c r="F20" i="6" a="1"/>
  <c r="F20" i="6" s="1"/>
  <c r="E20" i="6" a="1"/>
  <c r="E20" i="6" s="1"/>
  <c r="D20" i="6" a="1"/>
  <c r="D20" i="6" s="1"/>
  <c r="A20" i="6"/>
  <c r="Q18" i="6" a="1"/>
  <c r="Q18" i="6" s="1"/>
  <c r="K18" i="6" a="1"/>
  <c r="K18" i="6" s="1"/>
  <c r="Q17" i="6" a="1"/>
  <c r="Q17" i="6" s="1"/>
  <c r="K17" i="6" a="1"/>
  <c r="K17" i="6" s="1"/>
  <c r="A17" i="6"/>
  <c r="A16" i="6"/>
  <c r="A15" i="6"/>
  <c r="A14" i="6"/>
  <c r="A13" i="6"/>
  <c r="A12" i="6"/>
  <c r="A9" i="6"/>
  <c r="A8" i="6"/>
  <c r="D7" i="6" a="1"/>
  <c r="D7" i="6" s="1"/>
  <c r="D6" i="6" a="1"/>
  <c r="D6" i="6" s="1"/>
  <c r="D5" i="6" a="1"/>
  <c r="D5" i="6" s="1"/>
  <c r="A5" i="6"/>
  <c r="A4" i="6"/>
  <c r="A3" i="6"/>
  <c r="G53" i="19" l="1" a="1"/>
  <c r="G53" i="19" s="1"/>
  <c r="G52" i="19" a="1"/>
  <c r="G52" i="19" s="1"/>
  <c r="G51" i="19" a="1"/>
  <c r="G51" i="19" s="1"/>
  <c r="G50" i="19" a="1"/>
  <c r="G50" i="19" s="1"/>
  <c r="G33" i="19" a="1"/>
  <c r="G33" i="19" s="1"/>
  <c r="G32" i="19" a="1"/>
  <c r="G32" i="19" s="1"/>
  <c r="G31" i="19" a="1"/>
  <c r="G31" i="19" s="1"/>
  <c r="G30" i="19" a="1"/>
  <c r="G30" i="19" s="1"/>
  <c r="G54" i="19" a="1"/>
  <c r="G54" i="19" s="1"/>
  <c r="G36" i="19" a="1"/>
  <c r="G36" i="19" s="1"/>
  <c r="G49" i="19" a="1"/>
  <c r="G49" i="19" s="1"/>
  <c r="G35" i="19" a="1"/>
  <c r="G35" i="19" s="1"/>
  <c r="G48" i="19" a="1"/>
  <c r="G48" i="19" s="1"/>
  <c r="G34" i="19" a="1"/>
  <c r="G34" i="19" s="1"/>
  <c r="G47" i="19" a="1"/>
  <c r="G47" i="19" s="1"/>
  <c r="G46" i="19" a="1"/>
  <c r="G46" i="19" s="1"/>
  <c r="G42" i="19" a="1"/>
  <c r="G42" i="19" s="1"/>
  <c r="G39" i="19" a="1"/>
  <c r="G39" i="19" s="1"/>
  <c r="G45" i="19" a="1"/>
  <c r="G45" i="19" s="1"/>
  <c r="G43" i="19" a="1"/>
  <c r="G43" i="19" s="1"/>
  <c r="G41" i="19" a="1"/>
  <c r="G41" i="19" s="1"/>
  <c r="G44" i="19" a="1"/>
  <c r="G44" i="19" s="1"/>
  <c r="G40" i="19" a="1"/>
  <c r="G40" i="19" s="1"/>
  <c r="G38" i="19" a="1"/>
  <c r="G38" i="19" s="1"/>
  <c r="G37" i="19" a="1"/>
  <c r="G37" i="19" s="1"/>
  <c r="G32" i="12"/>
  <c r="G31" i="12"/>
  <c r="G29" i="12"/>
  <c r="G30" i="12"/>
  <c r="G12" i="12"/>
  <c r="G11" i="12"/>
  <c r="G10" i="12"/>
  <c r="G9" i="12"/>
  <c r="G18" i="12"/>
  <c r="P25" i="7"/>
  <c r="T18" i="7" a="1"/>
  <c r="T18" i="7" s="1"/>
  <c r="Y6" i="19" s="1" a="1"/>
  <c r="Y6" i="19" s="1"/>
  <c r="F18" i="7"/>
  <c r="K18" i="7" a="1"/>
  <c r="K18" i="7" s="1"/>
  <c r="U18" i="7" a="1"/>
  <c r="U18" i="7" s="1"/>
  <c r="S18" i="7" a="1"/>
  <c r="S18" i="7" s="1"/>
  <c r="X6" i="19" s="1" a="1"/>
  <c r="L18" i="7" a="1"/>
  <c r="L18" i="7" s="1"/>
  <c r="M6" i="19" s="1" a="1"/>
  <c r="G18" i="7"/>
  <c r="N18" i="7" a="1"/>
  <c r="N18" i="7" s="1"/>
  <c r="P6" i="19" s="1" a="1"/>
  <c r="P6" i="19" s="1"/>
  <c r="R18" i="7" a="1"/>
  <c r="R18" i="7" s="1"/>
  <c r="V6" i="19" s="1" a="1"/>
  <c r="V6" i="19" s="1"/>
  <c r="Q18" i="7" a="1"/>
  <c r="Q18" i="7" s="1"/>
  <c r="P18" i="7" a="1"/>
  <c r="P18" i="7" s="1"/>
  <c r="S6" i="19" s="1" a="1"/>
  <c r="S6" i="19" s="1"/>
  <c r="O18" i="7" a="1"/>
  <c r="O18" i="7" s="1"/>
  <c r="R6" i="19" s="1" a="1"/>
  <c r="M18" i="7" a="1"/>
  <c r="M18" i="7" s="1"/>
  <c r="O6" i="19" s="1" a="1"/>
  <c r="Y18" i="7"/>
  <c r="K6" i="19" s="1" a="1"/>
  <c r="K6" i="19" s="1"/>
  <c r="X18" i="7"/>
  <c r="J6" i="19" s="1" a="1"/>
  <c r="J6" i="19" s="1"/>
  <c r="V18" i="7" a="1"/>
  <c r="V18" i="7" s="1"/>
  <c r="AB6" i="19" s="1" a="1"/>
  <c r="AB6" i="19" s="1"/>
  <c r="J45" i="7"/>
  <c r="D32" i="7"/>
  <c r="J44" i="7"/>
  <c r="E114" i="12" a="1"/>
  <c r="E114" i="12" s="1"/>
  <c r="E115" i="12" a="1"/>
  <c r="E115" i="12" s="1"/>
  <c r="E116" i="12" a="1"/>
  <c r="E116" i="12" s="1"/>
  <c r="E112" i="12" a="1"/>
  <c r="E112" i="12" s="1"/>
  <c r="E113" i="12" a="1"/>
  <c r="E113" i="12" s="1"/>
  <c r="D25" i="1" a="1"/>
  <c r="D25" i="1" s="1"/>
  <c r="P24" i="7"/>
  <c r="X6" i="19" l="1"/>
  <c r="Z15" i="19" a="1"/>
  <c r="Z15" i="19" s="1"/>
  <c r="Z14" i="19" a="1"/>
  <c r="Z14" i="19" s="1"/>
  <c r="Z13" i="19" a="1"/>
  <c r="Z13" i="19" s="1"/>
  <c r="Z20" i="19" a="1"/>
  <c r="Z20" i="19" s="1"/>
  <c r="Z25" i="19" a="1"/>
  <c r="Z25" i="19" s="1"/>
  <c r="Z12" i="19" a="1"/>
  <c r="Z12" i="19" s="1"/>
  <c r="Z24" i="19" a="1"/>
  <c r="Z24" i="19" s="1"/>
  <c r="Z11" i="19" a="1"/>
  <c r="Z11" i="19" s="1"/>
  <c r="Z23" i="19" a="1"/>
  <c r="Z23" i="19" s="1"/>
  <c r="Z10" i="19" a="1"/>
  <c r="Z10" i="19" s="1"/>
  <c r="Z9" i="19" a="1"/>
  <c r="Z9" i="19" s="1"/>
  <c r="Z22" i="19" a="1"/>
  <c r="Z22" i="19" s="1"/>
  <c r="Z8" i="19" a="1"/>
  <c r="Z8" i="19" s="1"/>
  <c r="Z21" i="19" a="1"/>
  <c r="Z21" i="19" s="1"/>
  <c r="Z19" i="19" a="1"/>
  <c r="Z19" i="19" s="1"/>
  <c r="Z16" i="19" a="1"/>
  <c r="Z16" i="19" s="1"/>
  <c r="Z18" i="19" a="1"/>
  <c r="Z18" i="19" s="1"/>
  <c r="Z17" i="19" a="1"/>
  <c r="Z17" i="19" s="1"/>
  <c r="M6" i="19"/>
  <c r="O6" i="19"/>
  <c r="Q20" i="19" a="1"/>
  <c r="Q20" i="19" s="1"/>
  <c r="Q9" i="19" a="1"/>
  <c r="Q9" i="19" s="1"/>
  <c r="Q19" i="19" a="1"/>
  <c r="Q19" i="19" s="1"/>
  <c r="Q8" i="19" a="1"/>
  <c r="Q8" i="19" s="1"/>
  <c r="Q18" i="19" a="1"/>
  <c r="Q18" i="19" s="1"/>
  <c r="Q17" i="19" a="1"/>
  <c r="Q17" i="19" s="1"/>
  <c r="Q16" i="19" a="1"/>
  <c r="Q16" i="19" s="1"/>
  <c r="Q10" i="19" a="1"/>
  <c r="Q10" i="19" s="1"/>
  <c r="Q15" i="19" a="1"/>
  <c r="Q15" i="19" s="1"/>
  <c r="Q13" i="19" a="1"/>
  <c r="Q13" i="19" s="1"/>
  <c r="Q25" i="19" a="1"/>
  <c r="Q25" i="19" s="1"/>
  <c r="Q14" i="19" a="1"/>
  <c r="Q14" i="19" s="1"/>
  <c r="Q24" i="19" a="1"/>
  <c r="Q24" i="19" s="1"/>
  <c r="Q23" i="19" a="1"/>
  <c r="Q23" i="19" s="1"/>
  <c r="Q12" i="19" a="1"/>
  <c r="Q12" i="19" s="1"/>
  <c r="Q21" i="19" a="1"/>
  <c r="Q21" i="19" s="1"/>
  <c r="Q22" i="19" a="1"/>
  <c r="Q22" i="19" s="1"/>
  <c r="Q11" i="19" a="1"/>
  <c r="Q11" i="19" s="1"/>
  <c r="R6" i="19"/>
  <c r="T14" i="19" a="1"/>
  <c r="T14" i="19" s="1"/>
  <c r="T13" i="19" a="1"/>
  <c r="T13" i="19" s="1"/>
  <c r="T12" i="19" a="1"/>
  <c r="T12" i="19" s="1"/>
  <c r="T25" i="19" a="1"/>
  <c r="T25" i="19" s="1"/>
  <c r="T11" i="19" a="1"/>
  <c r="T11" i="19" s="1"/>
  <c r="T24" i="19" a="1"/>
  <c r="T24" i="19" s="1"/>
  <c r="T10" i="19" a="1"/>
  <c r="T10" i="19" s="1"/>
  <c r="T23" i="19" a="1"/>
  <c r="T23" i="19" s="1"/>
  <c r="T9" i="19" a="1"/>
  <c r="T9" i="19" s="1"/>
  <c r="T19" i="19" a="1"/>
  <c r="T19" i="19" s="1"/>
  <c r="T22" i="19" a="1"/>
  <c r="T22" i="19" s="1"/>
  <c r="T8" i="19" a="1"/>
  <c r="T8" i="19" s="1"/>
  <c r="T15" i="19" a="1"/>
  <c r="T15" i="19" s="1"/>
  <c r="T21" i="19" a="1"/>
  <c r="T21" i="19" s="1"/>
  <c r="T20" i="19" a="1"/>
  <c r="T20" i="19" s="1"/>
  <c r="T18" i="19" a="1"/>
  <c r="T18" i="19" s="1"/>
  <c r="T17" i="19" a="1"/>
  <c r="T17" i="19" s="1"/>
  <c r="T16" i="19" a="1"/>
  <c r="T16" i="19" s="1"/>
  <c r="U6" i="19" a="1"/>
  <c r="AA6" i="19" a="1"/>
  <c r="L6" i="19" a="1"/>
  <c r="Q7" i="19" a="1"/>
  <c r="Q7" i="19" s="1"/>
  <c r="T7" i="19" a="1"/>
  <c r="T7" i="19" s="1"/>
  <c r="Z7" i="19" a="1"/>
  <c r="Z7" i="19" s="1"/>
  <c r="Q6" i="19" a="1"/>
  <c r="Q6" i="19" s="1"/>
  <c r="T6" i="19" a="1"/>
  <c r="T6" i="19" s="1"/>
  <c r="Z6" i="19" a="1"/>
  <c r="Z6" i="19" s="1"/>
  <c r="J29" i="12" a="1"/>
  <c r="J29" i="12" s="1"/>
  <c r="J32" i="12" a="1"/>
  <c r="J32" i="12" s="1"/>
  <c r="J31" i="12" a="1"/>
  <c r="J31" i="12" s="1"/>
  <c r="J30" i="12" a="1"/>
  <c r="J30" i="12" s="1"/>
  <c r="I18" i="7"/>
  <c r="J33" i="12" s="1" a="1"/>
  <c r="J33" i="12" s="1"/>
  <c r="J12" i="12" a="1"/>
  <c r="J12" i="12" s="1"/>
  <c r="J11" i="12" a="1"/>
  <c r="J11" i="12" s="1"/>
  <c r="J10" i="12" a="1"/>
  <c r="J10" i="12" s="1"/>
  <c r="J9" i="12" a="1"/>
  <c r="J9" i="12" s="1"/>
  <c r="O9" i="12" s="1"/>
  <c r="J28" i="12" a="1"/>
  <c r="J28" i="12" s="1"/>
  <c r="J16" i="12" a="1"/>
  <c r="J16" i="12" s="1"/>
  <c r="J27" i="12" a="1"/>
  <c r="J27" i="12" s="1"/>
  <c r="J26" i="12" a="1"/>
  <c r="J26" i="12" s="1"/>
  <c r="J15" i="12" a="1"/>
  <c r="J15" i="12" s="1"/>
  <c r="J25" i="12" a="1"/>
  <c r="J25" i="12" s="1"/>
  <c r="J14" i="12" a="1"/>
  <c r="J14" i="12" s="1"/>
  <c r="J21" i="12" a="1"/>
  <c r="J21" i="12" s="1"/>
  <c r="J24" i="12" a="1"/>
  <c r="J24" i="12" s="1"/>
  <c r="J13" i="12" a="1"/>
  <c r="J13" i="12" s="1"/>
  <c r="J23" i="12" a="1"/>
  <c r="J23" i="12" s="1"/>
  <c r="J20" i="12" a="1"/>
  <c r="J20" i="12" s="1"/>
  <c r="J18" i="12" a="1"/>
  <c r="J18" i="12" s="1"/>
  <c r="J19" i="12" a="1"/>
  <c r="J19" i="12" s="1"/>
  <c r="E39" i="1" a="1"/>
  <c r="E39" i="1" s="1"/>
  <c r="W18" i="7"/>
  <c r="J113" i="12"/>
  <c r="K113" i="12"/>
  <c r="K112" i="12"/>
  <c r="J112" i="12"/>
  <c r="J116" i="12"/>
  <c r="K116" i="12"/>
  <c r="K115" i="12"/>
  <c r="J115" i="12"/>
  <c r="J114" i="12"/>
  <c r="K114" i="12"/>
  <c r="E25" i="1" a="1"/>
  <c r="E25" i="1" s="1"/>
  <c r="E28" i="1" a="1"/>
  <c r="E28" i="1" s="1"/>
  <c r="E34" i="1" a="1"/>
  <c r="E34" i="1" s="1"/>
  <c r="E29" i="1" a="1"/>
  <c r="E29" i="1" s="1"/>
  <c r="E38" i="1" a="1"/>
  <c r="E38" i="1" s="1"/>
  <c r="E40" i="1" a="1"/>
  <c r="E40" i="1" s="1"/>
  <c r="E41" i="1" a="1"/>
  <c r="E41" i="1" s="1"/>
  <c r="E36" i="1" a="1"/>
  <c r="E36" i="1" s="1"/>
  <c r="G12" i="5" a="1"/>
  <c r="G12" i="5" s="1"/>
  <c r="H12" i="5"/>
  <c r="I12" i="5"/>
  <c r="H20" i="1" a="1"/>
  <c r="H20" i="1" s="1"/>
  <c r="H19" i="1" a="1"/>
  <c r="H19" i="1" s="1"/>
  <c r="H18" i="1" a="1"/>
  <c r="H18" i="1" s="1"/>
  <c r="H17" i="1" a="1"/>
  <c r="H17" i="1" s="1"/>
  <c r="H16" i="1" a="1"/>
  <c r="H16" i="1" s="1"/>
  <c r="H15" i="1" a="1"/>
  <c r="H15" i="1" s="1"/>
  <c r="H14" i="1" a="1"/>
  <c r="H14" i="1" s="1"/>
  <c r="H13" i="1" a="1"/>
  <c r="H13" i="1" s="1"/>
  <c r="H12" i="1" a="1"/>
  <c r="H12" i="1" s="1"/>
  <c r="H11" i="1" a="1"/>
  <c r="H11" i="1" s="1"/>
  <c r="H10" i="1" a="1"/>
  <c r="H10" i="1" s="1"/>
  <c r="H9" i="1" a="1"/>
  <c r="H9" i="1" s="1"/>
  <c r="H8" i="1" a="1"/>
  <c r="H8" i="1" s="1"/>
  <c r="H7" i="1" a="1"/>
  <c r="H7" i="1" s="1"/>
  <c r="F14" i="1"/>
  <c r="F13" i="1"/>
  <c r="F12" i="1"/>
  <c r="F11" i="1"/>
  <c r="F10" i="1"/>
  <c r="F9" i="1"/>
  <c r="F8" i="1"/>
  <c r="F7" i="1"/>
  <c r="F6" i="1"/>
  <c r="J22" i="12" l="1" a="1"/>
  <c r="J22" i="12" s="1"/>
  <c r="O22" i="12" s="1"/>
  <c r="J17" i="12" a="1"/>
  <c r="J17" i="12" s="1"/>
  <c r="O17" i="12" s="1"/>
  <c r="AA6" i="19"/>
  <c r="AC6" i="19" s="1" a="1"/>
  <c r="AC6" i="19" s="1"/>
  <c r="AC22" i="19" a="1"/>
  <c r="AC22" i="19" s="1"/>
  <c r="AC10" i="19" a="1"/>
  <c r="AC10" i="19" s="1"/>
  <c r="AC23" i="19" a="1"/>
  <c r="AC23" i="19" s="1"/>
  <c r="AC21" i="19" a="1"/>
  <c r="AC21" i="19" s="1"/>
  <c r="AC9" i="19" a="1"/>
  <c r="AC9" i="19" s="1"/>
  <c r="AC14" i="19" a="1"/>
  <c r="AC14" i="19" s="1"/>
  <c r="AC11" i="19" a="1"/>
  <c r="AC11" i="19" s="1"/>
  <c r="AC8" i="19" a="1"/>
  <c r="AC8" i="19" s="1"/>
  <c r="AC20" i="19" a="1"/>
  <c r="AC20" i="19" s="1"/>
  <c r="AC19" i="19" a="1"/>
  <c r="AC19" i="19" s="1"/>
  <c r="AC18" i="19" a="1"/>
  <c r="AC18" i="19" s="1"/>
  <c r="AC17" i="19" a="1"/>
  <c r="AC17" i="19" s="1"/>
  <c r="AC16" i="19" a="1"/>
  <c r="AC16" i="19" s="1"/>
  <c r="AC15" i="19" a="1"/>
  <c r="AC15" i="19" s="1"/>
  <c r="AC12" i="19" a="1"/>
  <c r="AC12" i="19" s="1"/>
  <c r="AC25" i="19" a="1"/>
  <c r="AC25" i="19" s="1"/>
  <c r="AC13" i="19" a="1"/>
  <c r="AC13" i="19" s="1"/>
  <c r="AC24" i="19" a="1"/>
  <c r="AC24" i="19" s="1"/>
  <c r="L6" i="19"/>
  <c r="N6" i="19" s="1" a="1"/>
  <c r="N6" i="19" s="1"/>
  <c r="N13" i="19" a="1"/>
  <c r="N13" i="19" s="1"/>
  <c r="N12" i="19" a="1"/>
  <c r="N12" i="19" s="1"/>
  <c r="N25" i="19" a="1"/>
  <c r="N25" i="19" s="1"/>
  <c r="N11" i="19" a="1"/>
  <c r="N11" i="19" s="1"/>
  <c r="N24" i="19" a="1"/>
  <c r="N24" i="19" s="1"/>
  <c r="N10" i="19" a="1"/>
  <c r="N10" i="19" s="1"/>
  <c r="N23" i="19" a="1"/>
  <c r="N23" i="19" s="1"/>
  <c r="N9" i="19" a="1"/>
  <c r="N9" i="19" s="1"/>
  <c r="N22" i="19" a="1"/>
  <c r="N22" i="19" s="1"/>
  <c r="N8" i="19" a="1"/>
  <c r="N8" i="19" s="1"/>
  <c r="N18" i="19" a="1"/>
  <c r="N18" i="19" s="1"/>
  <c r="N21" i="19" a="1"/>
  <c r="N21" i="19" s="1"/>
  <c r="N20" i="19" a="1"/>
  <c r="N20" i="19" s="1"/>
  <c r="N19" i="19" a="1"/>
  <c r="N19" i="19" s="1"/>
  <c r="N14" i="19" a="1"/>
  <c r="N14" i="19" s="1"/>
  <c r="N17" i="19" a="1"/>
  <c r="N17" i="19" s="1"/>
  <c r="N15" i="19" a="1"/>
  <c r="N15" i="19" s="1"/>
  <c r="N16" i="19" a="1"/>
  <c r="N16" i="19" s="1"/>
  <c r="U6" i="19"/>
  <c r="W6" i="19" s="1" a="1"/>
  <c r="W6" i="19" s="1"/>
  <c r="F6" i="19" s="1"/>
  <c r="W24" i="19" a="1"/>
  <c r="W24" i="19" s="1"/>
  <c r="W20" i="19" a="1"/>
  <c r="W20" i="19" s="1"/>
  <c r="W9" i="19" a="1"/>
  <c r="W9" i="19" s="1"/>
  <c r="W19" i="19" a="1"/>
  <c r="W19" i="19" s="1"/>
  <c r="W8" i="19" a="1"/>
  <c r="W8" i="19" s="1"/>
  <c r="W18" i="19" a="1"/>
  <c r="W18" i="19" s="1"/>
  <c r="W17" i="19" a="1"/>
  <c r="W17" i="19" s="1"/>
  <c r="W11" i="19" a="1"/>
  <c r="W11" i="19" s="1"/>
  <c r="W16" i="19" a="1"/>
  <c r="W16" i="19" s="1"/>
  <c r="W10" i="19" a="1"/>
  <c r="W10" i="19" s="1"/>
  <c r="W15" i="19" a="1"/>
  <c r="W15" i="19" s="1"/>
  <c r="W25" i="19" a="1"/>
  <c r="W25" i="19" s="1"/>
  <c r="W14" i="19" a="1"/>
  <c r="W14" i="19" s="1"/>
  <c r="W21" i="19" a="1"/>
  <c r="W21" i="19" s="1"/>
  <c r="W13" i="19" a="1"/>
  <c r="W13" i="19" s="1"/>
  <c r="W22" i="19" a="1"/>
  <c r="W22" i="19" s="1"/>
  <c r="W23" i="19" a="1"/>
  <c r="W23" i="19" s="1"/>
  <c r="W12" i="19" a="1"/>
  <c r="W12" i="19" s="1"/>
  <c r="N7" i="19" a="1"/>
  <c r="N7" i="19" s="1"/>
  <c r="E6" i="19" a="1"/>
  <c r="AC7" i="19" a="1"/>
  <c r="AC7" i="19" s="1"/>
  <c r="W7" i="19" a="1"/>
  <c r="W7" i="19" s="1"/>
  <c r="O29" i="12"/>
  <c r="P29" i="12"/>
  <c r="O30" i="12"/>
  <c r="P30" i="12"/>
  <c r="O31" i="12"/>
  <c r="P31" i="12"/>
  <c r="P32" i="12"/>
  <c r="O32" i="12"/>
  <c r="P9" i="12"/>
  <c r="P10" i="12"/>
  <c r="O10" i="12"/>
  <c r="O11" i="12"/>
  <c r="P11" i="12"/>
  <c r="O12" i="12"/>
  <c r="P12" i="12"/>
  <c r="P23" i="12"/>
  <c r="O23" i="12"/>
  <c r="O26" i="12"/>
  <c r="P26" i="12"/>
  <c r="P13" i="12"/>
  <c r="O13" i="12"/>
  <c r="P24" i="12"/>
  <c r="O24" i="12"/>
  <c r="P25" i="12"/>
  <c r="O25" i="12"/>
  <c r="O21" i="12"/>
  <c r="P21" i="12"/>
  <c r="P27" i="12"/>
  <c r="O27" i="12"/>
  <c r="P16" i="12"/>
  <c r="O16" i="12"/>
  <c r="P15" i="12"/>
  <c r="O15" i="12"/>
  <c r="P19" i="12"/>
  <c r="O19" i="12"/>
  <c r="P17" i="12"/>
  <c r="O14" i="12"/>
  <c r="P14" i="12"/>
  <c r="P28" i="12"/>
  <c r="O28" i="12"/>
  <c r="P18" i="12"/>
  <c r="O18" i="12"/>
  <c r="P20" i="12"/>
  <c r="O20" i="12"/>
  <c r="P33" i="12"/>
  <c r="O33" i="12"/>
  <c r="E26" i="1" a="1"/>
  <c r="E26" i="1" s="1"/>
  <c r="E33" i="1" a="1"/>
  <c r="E33" i="1" s="1"/>
  <c r="E30" i="1" a="1"/>
  <c r="E30" i="1" s="1"/>
  <c r="E31" i="1" a="1"/>
  <c r="E31" i="1" s="1"/>
  <c r="E32" i="1" a="1"/>
  <c r="E32" i="1" s="1"/>
  <c r="E35" i="1" a="1"/>
  <c r="E35" i="1" s="1"/>
  <c r="E37" i="1" a="1"/>
  <c r="E37" i="1" s="1"/>
  <c r="E27" i="1" a="1"/>
  <c r="E27" i="1" s="1"/>
  <c r="E42" i="1" a="1"/>
  <c r="E42" i="1" s="1"/>
  <c r="G118" i="12"/>
  <c r="G119" i="12"/>
  <c r="F20" i="1"/>
  <c r="F19" i="1"/>
  <c r="F18" i="1"/>
  <c r="F17" i="1"/>
  <c r="F16" i="1"/>
  <c r="F15" i="1"/>
  <c r="D20" i="1"/>
  <c r="D19" i="1"/>
  <c r="D18" i="1"/>
  <c r="D17" i="1"/>
  <c r="D16" i="1"/>
  <c r="D15" i="1"/>
  <c r="D14" i="1"/>
  <c r="D13" i="1"/>
  <c r="D12" i="1"/>
  <c r="D11" i="1"/>
  <c r="D10" i="1"/>
  <c r="D9" i="1"/>
  <c r="D8" i="1"/>
  <c r="D7" i="1"/>
  <c r="D6" i="1"/>
  <c r="P22" i="12" l="1"/>
  <c r="F9" i="19"/>
  <c r="F10" i="19"/>
  <c r="F19" i="19"/>
  <c r="F7" i="19"/>
  <c r="G7" i="19" s="1"/>
  <c r="F24" i="19"/>
  <c r="G24" i="19" s="1"/>
  <c r="F16" i="19"/>
  <c r="G16" i="19" s="1"/>
  <c r="F11" i="19"/>
  <c r="F15" i="19"/>
  <c r="G15" i="19" s="1"/>
  <c r="F25" i="19"/>
  <c r="G25" i="19" s="1"/>
  <c r="F17" i="19"/>
  <c r="G17" i="19" s="1"/>
  <c r="F12" i="19"/>
  <c r="G12" i="19" s="1"/>
  <c r="F14" i="19"/>
  <c r="G14" i="19" s="1"/>
  <c r="F13" i="19"/>
  <c r="G13" i="19" s="1"/>
  <c r="F20" i="19"/>
  <c r="G20" i="19" s="1"/>
  <c r="F21" i="19"/>
  <c r="G21" i="19" s="1"/>
  <c r="F18" i="19"/>
  <c r="G18" i="19" s="1"/>
  <c r="F8" i="19"/>
  <c r="G8" i="19" s="1"/>
  <c r="F23" i="19"/>
  <c r="G23" i="19" s="1"/>
  <c r="F22" i="19"/>
  <c r="G22" i="19" s="1"/>
  <c r="E6" i="19"/>
  <c r="G11" i="19"/>
  <c r="I7" i="19"/>
  <c r="G10" i="19"/>
  <c r="G9" i="19"/>
  <c r="G19" i="19"/>
  <c r="G35" i="12"/>
  <c r="G36" i="12"/>
  <c r="I11" i="5"/>
  <c r="H6" i="1" s="1" a="1"/>
  <c r="H6" i="1" s="1"/>
  <c r="H11" i="5"/>
  <c r="G11" i="5" a="1"/>
  <c r="G11" i="5" s="1"/>
  <c r="A17" i="5"/>
  <c r="A16" i="5"/>
  <c r="A13" i="5"/>
  <c r="A12" i="5"/>
  <c r="A11" i="5"/>
  <c r="A8" i="5"/>
  <c r="A5" i="5"/>
  <c r="A4" i="5"/>
  <c r="A3" i="5"/>
  <c r="J139" i="4"/>
  <c r="E139" i="4"/>
  <c r="J138" i="4"/>
  <c r="G138" i="4"/>
  <c r="E138" i="4"/>
  <c r="J137" i="4"/>
  <c r="G137" i="4"/>
  <c r="E137" i="4"/>
  <c r="D137" i="4"/>
  <c r="J136" i="4"/>
  <c r="G136" i="4"/>
  <c r="E136" i="4"/>
  <c r="D136" i="4"/>
  <c r="J135" i="4"/>
  <c r="G135" i="4"/>
  <c r="E135" i="4"/>
  <c r="D135" i="4"/>
  <c r="J134" i="4"/>
  <c r="G134" i="4"/>
  <c r="E134" i="4"/>
  <c r="D134" i="4"/>
  <c r="J133" i="4"/>
  <c r="G133" i="4"/>
  <c r="F133" i="4"/>
  <c r="E133" i="4"/>
  <c r="D133" i="4"/>
  <c r="J132" i="4"/>
  <c r="I132" i="4"/>
  <c r="G132" i="4"/>
  <c r="F132" i="4"/>
  <c r="E132" i="4"/>
  <c r="D132" i="4"/>
  <c r="J131" i="4"/>
  <c r="I131" i="4"/>
  <c r="H131" i="4"/>
  <c r="G131" i="4"/>
  <c r="F131" i="4"/>
  <c r="E131" i="4"/>
  <c r="D131" i="4"/>
  <c r="F120" i="4" a="1"/>
  <c r="F120" i="4" s="1"/>
  <c r="E120" i="4" a="1"/>
  <c r="E120" i="4" s="1"/>
  <c r="D120" i="4" a="1"/>
  <c r="D120" i="4" s="1"/>
  <c r="F119" i="4" a="1"/>
  <c r="F119" i="4" s="1"/>
  <c r="E119" i="4" a="1"/>
  <c r="E119" i="4" s="1"/>
  <c r="D119" i="4" a="1"/>
  <c r="D119" i="4" s="1"/>
  <c r="F118" i="4" a="1"/>
  <c r="F118" i="4" s="1"/>
  <c r="E118" i="4" a="1"/>
  <c r="E118" i="4" s="1"/>
  <c r="D118" i="4" a="1"/>
  <c r="D118" i="4" s="1"/>
  <c r="F117" i="4" a="1"/>
  <c r="F117" i="4" s="1"/>
  <c r="E117" i="4" a="1"/>
  <c r="E117" i="4" s="1"/>
  <c r="D117" i="4" a="1"/>
  <c r="D117" i="4" s="1"/>
  <c r="F116" i="4" a="1"/>
  <c r="F116" i="4" s="1"/>
  <c r="E116" i="4" a="1"/>
  <c r="E116" i="4" s="1"/>
  <c r="D116" i="4" a="1"/>
  <c r="D116" i="4" s="1"/>
  <c r="F115" i="4" a="1"/>
  <c r="F115" i="4" s="1"/>
  <c r="E115" i="4" a="1"/>
  <c r="E115" i="4" s="1"/>
  <c r="D115" i="4" a="1"/>
  <c r="D115" i="4" s="1"/>
  <c r="F114" i="4" a="1"/>
  <c r="F114" i="4" s="1"/>
  <c r="E114" i="4" a="1"/>
  <c r="E114" i="4" s="1"/>
  <c r="D114" i="4" a="1"/>
  <c r="D114" i="4" s="1"/>
  <c r="G113" i="4" a="1"/>
  <c r="G113" i="4" s="1"/>
  <c r="F113" i="4" a="1"/>
  <c r="F113" i="4" s="1"/>
  <c r="E113" i="4" a="1"/>
  <c r="E113" i="4" s="1"/>
  <c r="D113" i="4" a="1"/>
  <c r="D113" i="4" s="1"/>
  <c r="D110" i="4" a="1"/>
  <c r="D110" i="4" s="1"/>
  <c r="D109" i="4" a="1"/>
  <c r="D109" i="4" s="1"/>
  <c r="D108" i="4" a="1"/>
  <c r="D108" i="4" s="1"/>
  <c r="D107" i="4" a="1"/>
  <c r="D107" i="4" s="1"/>
  <c r="J104" i="4" a="1"/>
  <c r="J104" i="4" s="1"/>
  <c r="I104" i="4" a="1"/>
  <c r="I104" i="4" s="1"/>
  <c r="H104" i="4" a="1"/>
  <c r="H104" i="4" s="1"/>
  <c r="G104" i="4" a="1"/>
  <c r="G104" i="4" s="1"/>
  <c r="F104" i="4" a="1"/>
  <c r="F104" i="4" s="1"/>
  <c r="E104" i="4" a="1"/>
  <c r="E104" i="4" s="1"/>
  <c r="D104" i="4" a="1"/>
  <c r="D104" i="4" s="1"/>
  <c r="J103" i="4" a="1"/>
  <c r="J103" i="4" s="1"/>
  <c r="I103" i="4" a="1"/>
  <c r="I103" i="4" s="1"/>
  <c r="H103" i="4" a="1"/>
  <c r="H103" i="4" s="1"/>
  <c r="G103" i="4" a="1"/>
  <c r="G103" i="4" s="1"/>
  <c r="F103" i="4" a="1"/>
  <c r="F103" i="4" s="1"/>
  <c r="E103" i="4" a="1"/>
  <c r="E103" i="4" s="1"/>
  <c r="D103" i="4" a="1"/>
  <c r="D103" i="4" s="1"/>
  <c r="J102" i="4" a="1"/>
  <c r="J102" i="4" s="1"/>
  <c r="I102" i="4" a="1"/>
  <c r="I102" i="4" s="1"/>
  <c r="H102" i="4" a="1"/>
  <c r="H102" i="4" s="1"/>
  <c r="G102" i="4" a="1"/>
  <c r="G102" i="4" s="1"/>
  <c r="F102" i="4" a="1"/>
  <c r="F102" i="4" s="1"/>
  <c r="E102" i="4" a="1"/>
  <c r="E102" i="4" s="1"/>
  <c r="D102" i="4" a="1"/>
  <c r="D102" i="4" s="1"/>
  <c r="J101" i="4" a="1"/>
  <c r="J101" i="4" s="1"/>
  <c r="I101" i="4" a="1"/>
  <c r="I101" i="4" s="1"/>
  <c r="H101" i="4" a="1"/>
  <c r="H101" i="4" s="1"/>
  <c r="G101" i="4" a="1"/>
  <c r="G101" i="4" s="1"/>
  <c r="F101" i="4" a="1"/>
  <c r="F101" i="4" s="1"/>
  <c r="E101" i="4" a="1"/>
  <c r="E101" i="4" s="1"/>
  <c r="D101" i="4" a="1"/>
  <c r="D101" i="4" s="1"/>
  <c r="J100" i="4" a="1"/>
  <c r="J100" i="4" s="1"/>
  <c r="I100" i="4" a="1"/>
  <c r="I100" i="4" s="1"/>
  <c r="H100" i="4" a="1"/>
  <c r="H100" i="4" s="1"/>
  <c r="G100" i="4" a="1"/>
  <c r="G100" i="4" s="1"/>
  <c r="F100" i="4" a="1"/>
  <c r="F100" i="4" s="1"/>
  <c r="E100" i="4" a="1"/>
  <c r="E100" i="4" s="1"/>
  <c r="D100" i="4" a="1"/>
  <c r="D100" i="4" s="1"/>
  <c r="J99" i="4" a="1"/>
  <c r="J99" i="4" s="1"/>
  <c r="I99" i="4" a="1"/>
  <c r="I99" i="4" s="1"/>
  <c r="H99" i="4" a="1"/>
  <c r="H99" i="4" s="1"/>
  <c r="G99" i="4" a="1"/>
  <c r="G99" i="4" s="1"/>
  <c r="F99" i="4" a="1"/>
  <c r="F99" i="4" s="1"/>
  <c r="E99" i="4" a="1"/>
  <c r="E99" i="4" s="1"/>
  <c r="D99" i="4" a="1"/>
  <c r="D99" i="4" s="1"/>
  <c r="J98" i="4" a="1"/>
  <c r="J98" i="4" s="1"/>
  <c r="I98" i="4" a="1"/>
  <c r="I98" i="4" s="1"/>
  <c r="H98" i="4" a="1"/>
  <c r="H98" i="4" s="1"/>
  <c r="G98" i="4" a="1"/>
  <c r="G98" i="4" s="1"/>
  <c r="F98" i="4" a="1"/>
  <c r="F98" i="4" s="1"/>
  <c r="E98" i="4" a="1"/>
  <c r="E98" i="4" s="1"/>
  <c r="D98" i="4" a="1"/>
  <c r="D98" i="4" s="1"/>
  <c r="J97" i="4" a="1"/>
  <c r="J97" i="4" s="1"/>
  <c r="I97" i="4" a="1"/>
  <c r="I97" i="4" s="1"/>
  <c r="H97" i="4" a="1"/>
  <c r="H97" i="4" s="1"/>
  <c r="G97" i="4" a="1"/>
  <c r="G97" i="4" s="1"/>
  <c r="F97" i="4" a="1"/>
  <c r="F97" i="4" s="1"/>
  <c r="E97" i="4" a="1"/>
  <c r="E97" i="4" s="1"/>
  <c r="D97" i="4" a="1"/>
  <c r="D97" i="4" s="1"/>
  <c r="J96" i="4" a="1"/>
  <c r="J96" i="4" s="1"/>
  <c r="I96" i="4" a="1"/>
  <c r="I96" i="4" s="1"/>
  <c r="H96" i="4" a="1"/>
  <c r="H96" i="4" s="1"/>
  <c r="G96" i="4" a="1"/>
  <c r="G96" i="4" s="1"/>
  <c r="F96" i="4" a="1"/>
  <c r="F96" i="4" s="1"/>
  <c r="E96" i="4" a="1"/>
  <c r="E96" i="4" s="1"/>
  <c r="D96" i="4" a="1"/>
  <c r="D96" i="4" s="1"/>
  <c r="J95" i="4" a="1"/>
  <c r="J95" i="4" s="1"/>
  <c r="I95" i="4" a="1"/>
  <c r="I95" i="4" s="1"/>
  <c r="H95" i="4" a="1"/>
  <c r="H95" i="4" s="1"/>
  <c r="G95" i="4" a="1"/>
  <c r="G95" i="4" s="1"/>
  <c r="F95" i="4" a="1"/>
  <c r="F95" i="4" s="1"/>
  <c r="E95" i="4" a="1"/>
  <c r="E95" i="4" s="1"/>
  <c r="D95" i="4" a="1"/>
  <c r="D95" i="4" s="1"/>
  <c r="J94" i="4" a="1"/>
  <c r="J94" i="4" s="1"/>
  <c r="I94" i="4" a="1"/>
  <c r="I94" i="4" s="1"/>
  <c r="H94" i="4" a="1"/>
  <c r="H94" i="4" s="1"/>
  <c r="G94" i="4" a="1"/>
  <c r="G94" i="4" s="1"/>
  <c r="F94" i="4" a="1"/>
  <c r="F94" i="4" s="1"/>
  <c r="E94" i="4" a="1"/>
  <c r="E94" i="4" s="1"/>
  <c r="D94" i="4" a="1"/>
  <c r="D94" i="4" s="1"/>
  <c r="J93" i="4" a="1"/>
  <c r="J93" i="4" s="1"/>
  <c r="I93" i="4" a="1"/>
  <c r="I93" i="4" s="1"/>
  <c r="H93" i="4" a="1"/>
  <c r="H93" i="4" s="1"/>
  <c r="G93" i="4" a="1"/>
  <c r="G93" i="4" s="1"/>
  <c r="F93" i="4" a="1"/>
  <c r="F93" i="4" s="1"/>
  <c r="E93" i="4" a="1"/>
  <c r="E93" i="4" s="1"/>
  <c r="D93" i="4" a="1"/>
  <c r="D93" i="4" s="1"/>
  <c r="J92" i="4" a="1"/>
  <c r="J92" i="4" s="1"/>
  <c r="I92" i="4" a="1"/>
  <c r="I92" i="4" s="1"/>
  <c r="H92" i="4" a="1"/>
  <c r="H92" i="4" s="1"/>
  <c r="G92" i="4" a="1"/>
  <c r="G92" i="4" s="1"/>
  <c r="F92" i="4" a="1"/>
  <c r="F92" i="4" s="1"/>
  <c r="E92" i="4" a="1"/>
  <c r="E92" i="4" s="1"/>
  <c r="D92" i="4" a="1"/>
  <c r="D92" i="4" s="1"/>
  <c r="J91" i="4" a="1"/>
  <c r="J91" i="4" s="1"/>
  <c r="I91" i="4" a="1"/>
  <c r="I91" i="4" s="1"/>
  <c r="H91" i="4" a="1"/>
  <c r="H91" i="4" s="1"/>
  <c r="G91" i="4" a="1"/>
  <c r="G91" i="4" s="1"/>
  <c r="F91" i="4" a="1"/>
  <c r="F91" i="4" s="1"/>
  <c r="E91" i="4" a="1"/>
  <c r="E91" i="4" s="1"/>
  <c r="D91" i="4" a="1"/>
  <c r="D91" i="4" s="1"/>
  <c r="J90" i="4" a="1"/>
  <c r="J90" i="4" s="1"/>
  <c r="I90" i="4" a="1"/>
  <c r="I90" i="4" s="1"/>
  <c r="H90" i="4" a="1"/>
  <c r="H90" i="4" s="1"/>
  <c r="G90" i="4" a="1"/>
  <c r="G90" i="4" s="1"/>
  <c r="F90" i="4" a="1"/>
  <c r="F90" i="4" s="1"/>
  <c r="E90" i="4" a="1"/>
  <c r="E90" i="4" s="1"/>
  <c r="D90" i="4" a="1"/>
  <c r="D90" i="4" s="1"/>
  <c r="J89" i="4" a="1"/>
  <c r="J89" i="4" s="1"/>
  <c r="I89" i="4" a="1"/>
  <c r="I89" i="4" s="1"/>
  <c r="H89" i="4" a="1"/>
  <c r="H89" i="4" s="1"/>
  <c r="G89" i="4" a="1"/>
  <c r="G89" i="4" s="1"/>
  <c r="F89" i="4" a="1"/>
  <c r="F89" i="4" s="1"/>
  <c r="E89" i="4" a="1"/>
  <c r="E89" i="4" s="1"/>
  <c r="D89" i="4" a="1"/>
  <c r="D89" i="4" s="1"/>
  <c r="J88" i="4" a="1"/>
  <c r="J88" i="4" s="1"/>
  <c r="I88" i="4" a="1"/>
  <c r="I88" i="4" s="1"/>
  <c r="H88" i="4" a="1"/>
  <c r="H88" i="4" s="1"/>
  <c r="G88" i="4" a="1"/>
  <c r="G88" i="4" s="1"/>
  <c r="F88" i="4" a="1"/>
  <c r="F88" i="4" s="1"/>
  <c r="E88" i="4" a="1"/>
  <c r="E88" i="4" s="1"/>
  <c r="D88" i="4" a="1"/>
  <c r="D88" i="4" s="1"/>
  <c r="J87" i="4" a="1"/>
  <c r="J87" i="4" s="1"/>
  <c r="I87" i="4" a="1"/>
  <c r="I87" i="4" s="1"/>
  <c r="H87" i="4" a="1"/>
  <c r="H87" i="4" s="1"/>
  <c r="G87" i="4" a="1"/>
  <c r="G87" i="4" s="1"/>
  <c r="F87" i="4" a="1"/>
  <c r="F87" i="4" s="1"/>
  <c r="E87" i="4" a="1"/>
  <c r="E87" i="4" s="1"/>
  <c r="D87" i="4" a="1"/>
  <c r="D87" i="4" s="1"/>
  <c r="D84" i="4" a="1"/>
  <c r="D84" i="4" s="1"/>
  <c r="D83" i="4" a="1"/>
  <c r="D83" i="4" s="1"/>
  <c r="D82" i="4" a="1"/>
  <c r="D82" i="4" s="1"/>
  <c r="D81" i="4" a="1"/>
  <c r="D81" i="4" s="1"/>
  <c r="K77" i="4" a="1"/>
  <c r="K77" i="4" s="1"/>
  <c r="J77" i="4" a="1"/>
  <c r="J77" i="4" s="1"/>
  <c r="I77" i="4" a="1"/>
  <c r="I77" i="4" s="1"/>
  <c r="H77" i="4" a="1"/>
  <c r="H77" i="4" s="1"/>
  <c r="G77" i="4" a="1"/>
  <c r="G77" i="4" s="1"/>
  <c r="F77" i="4" a="1"/>
  <c r="F77" i="4" s="1"/>
  <c r="E77" i="4" a="1"/>
  <c r="E77" i="4" s="1"/>
  <c r="D77" i="4" a="1"/>
  <c r="D77" i="4" s="1"/>
  <c r="K76" i="4" a="1"/>
  <c r="K76" i="4" s="1"/>
  <c r="J76" i="4" a="1"/>
  <c r="J76" i="4" s="1"/>
  <c r="I76" i="4" a="1"/>
  <c r="I76" i="4" s="1"/>
  <c r="H76" i="4" a="1"/>
  <c r="H76" i="4" s="1"/>
  <c r="G76" i="4" a="1"/>
  <c r="G76" i="4" s="1"/>
  <c r="F76" i="4" a="1"/>
  <c r="F76" i="4" s="1"/>
  <c r="E76" i="4" a="1"/>
  <c r="E76" i="4" s="1"/>
  <c r="D76" i="4" a="1"/>
  <c r="D76" i="4" s="1"/>
  <c r="K75" i="4" a="1"/>
  <c r="K75" i="4" s="1"/>
  <c r="J75" i="4" a="1"/>
  <c r="J75" i="4" s="1"/>
  <c r="I75" i="4" a="1"/>
  <c r="I75" i="4" s="1"/>
  <c r="H75" i="4" a="1"/>
  <c r="H75" i="4" s="1"/>
  <c r="G75" i="4" a="1"/>
  <c r="G75" i="4" s="1"/>
  <c r="F75" i="4" a="1"/>
  <c r="F75" i="4" s="1"/>
  <c r="E75" i="4" a="1"/>
  <c r="E75" i="4" s="1"/>
  <c r="D75" i="4" a="1"/>
  <c r="D75" i="4" s="1"/>
  <c r="K74" i="4" a="1"/>
  <c r="K74" i="4" s="1"/>
  <c r="J74" i="4" a="1"/>
  <c r="J74" i="4" s="1"/>
  <c r="I74" i="4" a="1"/>
  <c r="I74" i="4" s="1"/>
  <c r="H74" i="4" a="1"/>
  <c r="H74" i="4" s="1"/>
  <c r="G74" i="4" a="1"/>
  <c r="G74" i="4" s="1"/>
  <c r="F74" i="4" a="1"/>
  <c r="F74" i="4" s="1"/>
  <c r="E74" i="4" a="1"/>
  <c r="E74" i="4" s="1"/>
  <c r="D74" i="4" a="1"/>
  <c r="D74" i="4" s="1"/>
  <c r="K73" i="4" a="1"/>
  <c r="K73" i="4" s="1"/>
  <c r="J73" i="4" a="1"/>
  <c r="J73" i="4" s="1"/>
  <c r="I73" i="4" a="1"/>
  <c r="I73" i="4" s="1"/>
  <c r="H73" i="4" a="1"/>
  <c r="H73" i="4" s="1"/>
  <c r="G73" i="4" a="1"/>
  <c r="G73" i="4" s="1"/>
  <c r="F73" i="4" a="1"/>
  <c r="F73" i="4" s="1"/>
  <c r="E73" i="4" a="1"/>
  <c r="E73" i="4" s="1"/>
  <c r="D73" i="4" a="1"/>
  <c r="D73" i="4" s="1"/>
  <c r="K72" i="4" a="1"/>
  <c r="K72" i="4" s="1"/>
  <c r="J72" i="4" a="1"/>
  <c r="J72" i="4" s="1"/>
  <c r="I72" i="4" a="1"/>
  <c r="I72" i="4" s="1"/>
  <c r="H72" i="4" a="1"/>
  <c r="H72" i="4" s="1"/>
  <c r="G72" i="4" a="1"/>
  <c r="G72" i="4" s="1"/>
  <c r="F72" i="4" a="1"/>
  <c r="F72" i="4" s="1"/>
  <c r="E72" i="4" a="1"/>
  <c r="E72" i="4" s="1"/>
  <c r="D72" i="4" a="1"/>
  <c r="D72" i="4" s="1"/>
  <c r="K71" i="4" a="1"/>
  <c r="K71" i="4" s="1"/>
  <c r="J71" i="4" a="1"/>
  <c r="J71" i="4" s="1"/>
  <c r="I71" i="4" a="1"/>
  <c r="I71" i="4" s="1"/>
  <c r="H71" i="4" a="1"/>
  <c r="H71" i="4" s="1"/>
  <c r="G71" i="4" a="1"/>
  <c r="G71" i="4" s="1"/>
  <c r="F71" i="4" a="1"/>
  <c r="F71" i="4" s="1"/>
  <c r="E71" i="4" a="1"/>
  <c r="E71" i="4" s="1"/>
  <c r="D71" i="4" a="1"/>
  <c r="D71" i="4" s="1"/>
  <c r="K70" i="4" a="1"/>
  <c r="K70" i="4" s="1"/>
  <c r="J70" i="4" a="1"/>
  <c r="J70" i="4" s="1"/>
  <c r="I70" i="4" a="1"/>
  <c r="I70" i="4" s="1"/>
  <c r="H70" i="4" a="1"/>
  <c r="H70" i="4" s="1"/>
  <c r="G70" i="4" a="1"/>
  <c r="G70" i="4" s="1"/>
  <c r="F70" i="4" a="1"/>
  <c r="F70" i="4" s="1"/>
  <c r="E70" i="4" a="1"/>
  <c r="E70" i="4" s="1"/>
  <c r="D70" i="4" a="1"/>
  <c r="D70" i="4" s="1"/>
  <c r="K69" i="4" a="1"/>
  <c r="K69" i="4" s="1"/>
  <c r="J69" i="4" a="1"/>
  <c r="J69" i="4" s="1"/>
  <c r="I69" i="4" a="1"/>
  <c r="I69" i="4" s="1"/>
  <c r="H69" i="4" a="1"/>
  <c r="H69" i="4" s="1"/>
  <c r="G69" i="4" a="1"/>
  <c r="G69" i="4" s="1"/>
  <c r="F69" i="4" a="1"/>
  <c r="F69" i="4" s="1"/>
  <c r="E69" i="4" a="1"/>
  <c r="E69" i="4" s="1"/>
  <c r="D69" i="4" a="1"/>
  <c r="D69" i="4" s="1"/>
  <c r="K68" i="4" a="1"/>
  <c r="K68" i="4" s="1"/>
  <c r="J68" i="4" a="1"/>
  <c r="J68" i="4" s="1"/>
  <c r="I68" i="4" a="1"/>
  <c r="I68" i="4" s="1"/>
  <c r="H68" i="4" a="1"/>
  <c r="H68" i="4" s="1"/>
  <c r="G68" i="4" a="1"/>
  <c r="G68" i="4" s="1"/>
  <c r="F68" i="4" a="1"/>
  <c r="F68" i="4" s="1"/>
  <c r="E68" i="4" a="1"/>
  <c r="E68" i="4" s="1"/>
  <c r="D68" i="4" a="1"/>
  <c r="D68" i="4" s="1"/>
  <c r="K67" i="4" a="1"/>
  <c r="K67" i="4" s="1"/>
  <c r="J67" i="4" a="1"/>
  <c r="J67" i="4" s="1"/>
  <c r="I67" i="4" a="1"/>
  <c r="I67" i="4" s="1"/>
  <c r="H67" i="4" a="1"/>
  <c r="H67" i="4" s="1"/>
  <c r="G67" i="4" a="1"/>
  <c r="G67" i="4" s="1"/>
  <c r="F67" i="4" a="1"/>
  <c r="F67" i="4" s="1"/>
  <c r="E67" i="4" a="1"/>
  <c r="E67" i="4" s="1"/>
  <c r="D67" i="4" a="1"/>
  <c r="D67" i="4" s="1"/>
  <c r="K66" i="4" a="1"/>
  <c r="K66" i="4" s="1"/>
  <c r="J66" i="4" a="1"/>
  <c r="J66" i="4" s="1"/>
  <c r="I66" i="4" a="1"/>
  <c r="I66" i="4" s="1"/>
  <c r="H66" i="4" a="1"/>
  <c r="H66" i="4" s="1"/>
  <c r="G66" i="4" a="1"/>
  <c r="G66" i="4" s="1"/>
  <c r="F66" i="4" a="1"/>
  <c r="F66" i="4" s="1"/>
  <c r="E66" i="4" a="1"/>
  <c r="E66" i="4" s="1"/>
  <c r="D66" i="4" a="1"/>
  <c r="D66" i="4" s="1"/>
  <c r="K65" i="4" a="1"/>
  <c r="K65" i="4" s="1"/>
  <c r="J65" i="4" a="1"/>
  <c r="J65" i="4" s="1"/>
  <c r="I65" i="4" a="1"/>
  <c r="I65" i="4" s="1"/>
  <c r="H65" i="4" a="1"/>
  <c r="H65" i="4" s="1"/>
  <c r="G65" i="4" a="1"/>
  <c r="G65" i="4" s="1"/>
  <c r="F65" i="4" a="1"/>
  <c r="F65" i="4" s="1"/>
  <c r="E65" i="4" a="1"/>
  <c r="E65" i="4" s="1"/>
  <c r="D65" i="4" a="1"/>
  <c r="D65" i="4" s="1"/>
  <c r="K64" i="4" a="1"/>
  <c r="K64" i="4" s="1"/>
  <c r="J64" i="4" a="1"/>
  <c r="J64" i="4" s="1"/>
  <c r="I64" i="4" a="1"/>
  <c r="I64" i="4" s="1"/>
  <c r="H64" i="4" a="1"/>
  <c r="H64" i="4" s="1"/>
  <c r="G64" i="4" a="1"/>
  <c r="G64" i="4" s="1"/>
  <c r="F64" i="4" a="1"/>
  <c r="F64" i="4" s="1"/>
  <c r="E64" i="4" a="1"/>
  <c r="E64" i="4" s="1"/>
  <c r="D64" i="4" a="1"/>
  <c r="D64" i="4" s="1"/>
  <c r="K63" i="4" a="1"/>
  <c r="K63" i="4" s="1"/>
  <c r="J63" i="4" a="1"/>
  <c r="J63" i="4" s="1"/>
  <c r="I63" i="4" a="1"/>
  <c r="I63" i="4" s="1"/>
  <c r="H63" i="4" a="1"/>
  <c r="H63" i="4" s="1"/>
  <c r="G63" i="4" a="1"/>
  <c r="G63" i="4" s="1"/>
  <c r="F63" i="4" a="1"/>
  <c r="F63" i="4" s="1"/>
  <c r="E63" i="4" a="1"/>
  <c r="E63" i="4" s="1"/>
  <c r="D63" i="4" a="1"/>
  <c r="D63" i="4" s="1"/>
  <c r="K62" i="4" a="1"/>
  <c r="K62" i="4" s="1"/>
  <c r="J62" i="4" a="1"/>
  <c r="J62" i="4" s="1"/>
  <c r="I62" i="4" a="1"/>
  <c r="I62" i="4" s="1"/>
  <c r="H62" i="4" a="1"/>
  <c r="H62" i="4" s="1"/>
  <c r="G62" i="4" a="1"/>
  <c r="G62" i="4" s="1"/>
  <c r="F62" i="4" a="1"/>
  <c r="F62" i="4" s="1"/>
  <c r="E62" i="4" a="1"/>
  <c r="E62" i="4" s="1"/>
  <c r="D62" i="4" a="1"/>
  <c r="D62" i="4" s="1"/>
  <c r="K61" i="4" a="1"/>
  <c r="K61" i="4" s="1"/>
  <c r="J61" i="4" a="1"/>
  <c r="J61" i="4" s="1"/>
  <c r="I61" i="4" a="1"/>
  <c r="I61" i="4" s="1"/>
  <c r="H61" i="4" a="1"/>
  <c r="H61" i="4" s="1"/>
  <c r="G61" i="4" a="1"/>
  <c r="G61" i="4" s="1"/>
  <c r="F61" i="4" a="1"/>
  <c r="F61" i="4" s="1"/>
  <c r="E61" i="4" a="1"/>
  <c r="E61" i="4" s="1"/>
  <c r="D61" i="4" a="1"/>
  <c r="D61" i="4" s="1"/>
  <c r="K60" i="4" a="1"/>
  <c r="K60" i="4" s="1"/>
  <c r="J60" i="4" a="1"/>
  <c r="J60" i="4" s="1"/>
  <c r="I60" i="4" a="1"/>
  <c r="I60" i="4" s="1"/>
  <c r="H60" i="4" a="1"/>
  <c r="H60" i="4" s="1"/>
  <c r="G60" i="4" a="1"/>
  <c r="G60" i="4" s="1"/>
  <c r="F60" i="4" a="1"/>
  <c r="F60" i="4" s="1"/>
  <c r="E60" i="4" a="1"/>
  <c r="E60" i="4" s="1"/>
  <c r="D60" i="4" a="1"/>
  <c r="D60" i="4" s="1"/>
  <c r="K59" i="4" a="1"/>
  <c r="K59" i="4" s="1"/>
  <c r="J59" i="4" a="1"/>
  <c r="J59" i="4" s="1"/>
  <c r="I59" i="4" a="1"/>
  <c r="I59" i="4" s="1"/>
  <c r="H59" i="4" a="1"/>
  <c r="H59" i="4" s="1"/>
  <c r="G59" i="4" a="1"/>
  <c r="G59" i="4" s="1"/>
  <c r="F59" i="4" a="1"/>
  <c r="F59" i="4" s="1"/>
  <c r="E59" i="4" a="1"/>
  <c r="E59" i="4" s="1"/>
  <c r="D59" i="4" a="1"/>
  <c r="D59" i="4" s="1"/>
  <c r="K58" i="4" a="1"/>
  <c r="K58" i="4" s="1"/>
  <c r="J58" i="4" a="1"/>
  <c r="J58" i="4" s="1"/>
  <c r="I58" i="4" a="1"/>
  <c r="I58" i="4" s="1"/>
  <c r="H58" i="4" a="1"/>
  <c r="H58" i="4" s="1"/>
  <c r="G58" i="4" a="1"/>
  <c r="G58" i="4" s="1"/>
  <c r="F58" i="4" a="1"/>
  <c r="F58" i="4" s="1"/>
  <c r="E58" i="4" a="1"/>
  <c r="E58" i="4" s="1"/>
  <c r="D58" i="4" a="1"/>
  <c r="D58" i="4" s="1"/>
  <c r="K57" i="4" a="1"/>
  <c r="K57" i="4" s="1"/>
  <c r="J57" i="4" a="1"/>
  <c r="J57" i="4" s="1"/>
  <c r="I57" i="4" a="1"/>
  <c r="I57" i="4" s="1"/>
  <c r="H57" i="4" a="1"/>
  <c r="H57" i="4" s="1"/>
  <c r="G57" i="4" a="1"/>
  <c r="G57" i="4" s="1"/>
  <c r="F57" i="4" a="1"/>
  <c r="F57" i="4" s="1"/>
  <c r="E57" i="4" a="1"/>
  <c r="E57" i="4" s="1"/>
  <c r="D57" i="4" a="1"/>
  <c r="D57" i="4" s="1"/>
  <c r="K56" i="4" a="1"/>
  <c r="K56" i="4" s="1"/>
  <c r="J56" i="4" a="1"/>
  <c r="J56" i="4" s="1"/>
  <c r="I56" i="4" a="1"/>
  <c r="I56" i="4" s="1"/>
  <c r="H56" i="4" a="1"/>
  <c r="H56" i="4" s="1"/>
  <c r="G56" i="4" a="1"/>
  <c r="G56" i="4" s="1"/>
  <c r="F56" i="4" a="1"/>
  <c r="F56" i="4" s="1"/>
  <c r="E56" i="4" a="1"/>
  <c r="E56" i="4" s="1"/>
  <c r="D56" i="4" a="1"/>
  <c r="D56" i="4" s="1"/>
  <c r="K55" i="4" a="1"/>
  <c r="K55" i="4" s="1"/>
  <c r="J55" i="4" a="1"/>
  <c r="J55" i="4" s="1"/>
  <c r="I55" i="4" a="1"/>
  <c r="I55" i="4" s="1"/>
  <c r="H55" i="4" a="1"/>
  <c r="H55" i="4" s="1"/>
  <c r="G55" i="4" a="1"/>
  <c r="G55" i="4" s="1"/>
  <c r="F55" i="4" a="1"/>
  <c r="F55" i="4" s="1"/>
  <c r="E55" i="4" a="1"/>
  <c r="E55" i="4" s="1"/>
  <c r="D55" i="4" a="1"/>
  <c r="D55" i="4" s="1"/>
  <c r="K54" i="4" a="1"/>
  <c r="K54" i="4" s="1"/>
  <c r="J54" i="4" a="1"/>
  <c r="J54" i="4" s="1"/>
  <c r="I54" i="4" a="1"/>
  <c r="I54" i="4" s="1"/>
  <c r="H54" i="4" a="1"/>
  <c r="H54" i="4" s="1"/>
  <c r="G54" i="4" a="1"/>
  <c r="G54" i="4" s="1"/>
  <c r="F54" i="4" a="1"/>
  <c r="F54" i="4" s="1"/>
  <c r="E54" i="4" a="1"/>
  <c r="E54" i="4" s="1"/>
  <c r="D54" i="4" a="1"/>
  <c r="D54" i="4" s="1"/>
  <c r="D52" i="4" a="1"/>
  <c r="D52" i="4" s="1"/>
  <c r="D51" i="4" a="1"/>
  <c r="D51" i="4" s="1"/>
  <c r="D50" i="4" a="1"/>
  <c r="D50" i="4" s="1"/>
  <c r="D49" i="4" a="1"/>
  <c r="D49" i="4" s="1"/>
  <c r="J43" i="4" a="1"/>
  <c r="J43" i="4" s="1"/>
  <c r="I43" i="4" a="1"/>
  <c r="I43" i="4" s="1"/>
  <c r="H43" i="4" a="1"/>
  <c r="H43" i="4" s="1"/>
  <c r="G43" i="4" a="1"/>
  <c r="G43" i="4" s="1"/>
  <c r="F43" i="4" a="1"/>
  <c r="F43" i="4" s="1"/>
  <c r="E43" i="4" a="1"/>
  <c r="E43" i="4" s="1"/>
  <c r="D43" i="4" a="1"/>
  <c r="D43" i="4" s="1"/>
  <c r="J42" i="4" a="1"/>
  <c r="J42" i="4" s="1"/>
  <c r="I42" i="4" a="1"/>
  <c r="I42" i="4" s="1"/>
  <c r="H42" i="4" a="1"/>
  <c r="H42" i="4" s="1"/>
  <c r="G42" i="4" a="1"/>
  <c r="G42" i="4" s="1"/>
  <c r="F42" i="4" a="1"/>
  <c r="F42" i="4" s="1"/>
  <c r="E42" i="4" a="1"/>
  <c r="E42" i="4" s="1"/>
  <c r="D42" i="4" a="1"/>
  <c r="D42" i="4" s="1"/>
  <c r="J41" i="4" a="1"/>
  <c r="J41" i="4" s="1"/>
  <c r="I41" i="4" a="1"/>
  <c r="I41" i="4" s="1"/>
  <c r="H41" i="4" a="1"/>
  <c r="H41" i="4" s="1"/>
  <c r="G41" i="4" a="1"/>
  <c r="G41" i="4" s="1"/>
  <c r="F41" i="4" a="1"/>
  <c r="F41" i="4" s="1"/>
  <c r="E41" i="4" a="1"/>
  <c r="E41" i="4" s="1"/>
  <c r="D41" i="4" a="1"/>
  <c r="D41" i="4" s="1"/>
  <c r="J40" i="4" a="1"/>
  <c r="J40" i="4" s="1"/>
  <c r="I40" i="4" a="1"/>
  <c r="I40" i="4" s="1"/>
  <c r="H40" i="4" a="1"/>
  <c r="H40" i="4" s="1"/>
  <c r="G40" i="4" a="1"/>
  <c r="G40" i="4" s="1"/>
  <c r="F40" i="4" a="1"/>
  <c r="F40" i="4" s="1"/>
  <c r="E40" i="4" a="1"/>
  <c r="E40" i="4" s="1"/>
  <c r="D40" i="4" a="1"/>
  <c r="D40" i="4" s="1"/>
  <c r="D38" i="4" a="1"/>
  <c r="D38" i="4" s="1"/>
  <c r="D37" i="4" a="1"/>
  <c r="D37" i="4" s="1"/>
  <c r="L34" i="4" a="1"/>
  <c r="L34" i="4" s="1"/>
  <c r="K34" i="4" a="1"/>
  <c r="K34" i="4" s="1"/>
  <c r="J34" i="4" a="1"/>
  <c r="J34" i="4" s="1"/>
  <c r="I34" i="4" a="1"/>
  <c r="I34" i="4" s="1"/>
  <c r="H34" i="4" a="1"/>
  <c r="H34" i="4" s="1"/>
  <c r="G34" i="4" a="1"/>
  <c r="G34" i="4" s="1"/>
  <c r="F34" i="4" a="1"/>
  <c r="F34" i="4" s="1"/>
  <c r="E34" i="4" a="1"/>
  <c r="E34" i="4" s="1"/>
  <c r="D34" i="4" a="1"/>
  <c r="D34" i="4" s="1"/>
  <c r="L33" i="4" a="1"/>
  <c r="L33" i="4" s="1"/>
  <c r="K33" i="4" a="1"/>
  <c r="K33" i="4" s="1"/>
  <c r="J33" i="4" a="1"/>
  <c r="J33" i="4" s="1"/>
  <c r="I33" i="4" a="1"/>
  <c r="I33" i="4" s="1"/>
  <c r="H33" i="4" a="1"/>
  <c r="H33" i="4" s="1"/>
  <c r="G33" i="4" a="1"/>
  <c r="G33" i="4" s="1"/>
  <c r="F33" i="4" a="1"/>
  <c r="F33" i="4" s="1"/>
  <c r="E33" i="4" a="1"/>
  <c r="E33" i="4" s="1"/>
  <c r="E20" i="1" s="1"/>
  <c r="D33" i="4" a="1"/>
  <c r="D33" i="4" s="1"/>
  <c r="L32" i="4" a="1"/>
  <c r="L32" i="4" s="1"/>
  <c r="K32" i="4" a="1"/>
  <c r="K32" i="4" s="1"/>
  <c r="J32" i="4" a="1"/>
  <c r="J32" i="4" s="1"/>
  <c r="I32" i="4" a="1"/>
  <c r="I32" i="4" s="1"/>
  <c r="H32" i="4" a="1"/>
  <c r="H32" i="4" s="1"/>
  <c r="G32" i="4" a="1"/>
  <c r="G32" i="4" s="1"/>
  <c r="F32" i="4" a="1"/>
  <c r="F32" i="4" s="1"/>
  <c r="E32" i="4" a="1"/>
  <c r="E32" i="4" s="1"/>
  <c r="D32" i="4" a="1"/>
  <c r="D32" i="4" s="1"/>
  <c r="L31" i="4" a="1"/>
  <c r="L31" i="4" s="1"/>
  <c r="K31" i="4" a="1"/>
  <c r="K31" i="4" s="1"/>
  <c r="J31" i="4" a="1"/>
  <c r="J31" i="4" s="1"/>
  <c r="I31" i="4" a="1"/>
  <c r="I31" i="4" s="1"/>
  <c r="H31" i="4" a="1"/>
  <c r="H31" i="4" s="1"/>
  <c r="G31" i="4" a="1"/>
  <c r="G31" i="4" s="1"/>
  <c r="F31" i="4" a="1"/>
  <c r="F31" i="4" s="1"/>
  <c r="E31" i="4" a="1"/>
  <c r="E31" i="4" s="1"/>
  <c r="D31" i="4" a="1"/>
  <c r="D31" i="4" s="1"/>
  <c r="L30" i="4" a="1"/>
  <c r="L30" i="4" s="1"/>
  <c r="K30" i="4" a="1"/>
  <c r="K30" i="4" s="1"/>
  <c r="J30" i="4" a="1"/>
  <c r="J30" i="4" s="1"/>
  <c r="I30" i="4" a="1"/>
  <c r="I30" i="4" s="1"/>
  <c r="H30" i="4" a="1"/>
  <c r="H30" i="4" s="1"/>
  <c r="G30" i="4" a="1"/>
  <c r="G30" i="4" s="1"/>
  <c r="F30" i="4" a="1"/>
  <c r="F30" i="4" s="1"/>
  <c r="E30" i="4" a="1"/>
  <c r="E30" i="4" s="1"/>
  <c r="E17" i="1" s="1"/>
  <c r="D30" i="4" a="1"/>
  <c r="D30" i="4" s="1"/>
  <c r="L29" i="4" a="1"/>
  <c r="L29" i="4" s="1"/>
  <c r="K29" i="4" a="1"/>
  <c r="K29" i="4" s="1"/>
  <c r="J29" i="4" a="1"/>
  <c r="J29" i="4" s="1"/>
  <c r="I29" i="4" a="1"/>
  <c r="I29" i="4" s="1"/>
  <c r="H29" i="4" a="1"/>
  <c r="H29" i="4" s="1"/>
  <c r="G29" i="4" a="1"/>
  <c r="G29" i="4" s="1"/>
  <c r="F29" i="4" a="1"/>
  <c r="F29" i="4" s="1"/>
  <c r="E29" i="4" a="1"/>
  <c r="E29" i="4" s="1"/>
  <c r="E16" i="1" s="1"/>
  <c r="D29" i="4" a="1"/>
  <c r="D29" i="4" s="1"/>
  <c r="L28" i="4" a="1"/>
  <c r="L28" i="4" s="1"/>
  <c r="K28" i="4" a="1"/>
  <c r="K28" i="4" s="1"/>
  <c r="J28" i="4" a="1"/>
  <c r="J28" i="4" s="1"/>
  <c r="I28" i="4" a="1"/>
  <c r="I28" i="4" s="1"/>
  <c r="H28" i="4" a="1"/>
  <c r="H28" i="4" s="1"/>
  <c r="G28" i="4" a="1"/>
  <c r="G28" i="4" s="1"/>
  <c r="F28" i="4" a="1"/>
  <c r="F28" i="4" s="1"/>
  <c r="E28" i="4" a="1"/>
  <c r="E28" i="4" s="1"/>
  <c r="E15" i="1" s="1"/>
  <c r="D28" i="4" a="1"/>
  <c r="D28" i="4" s="1"/>
  <c r="L27" i="4" a="1"/>
  <c r="L27" i="4" s="1"/>
  <c r="K27" i="4" a="1"/>
  <c r="K27" i="4" s="1"/>
  <c r="J27" i="4" a="1"/>
  <c r="J27" i="4" s="1"/>
  <c r="I27" i="4" a="1"/>
  <c r="I27" i="4" s="1"/>
  <c r="H27" i="4" a="1"/>
  <c r="H27" i="4" s="1"/>
  <c r="G27" i="4" a="1"/>
  <c r="G27" i="4" s="1"/>
  <c r="F27" i="4" a="1"/>
  <c r="F27" i="4" s="1"/>
  <c r="E27" i="4" a="1"/>
  <c r="E27" i="4" s="1"/>
  <c r="D27" i="4" a="1"/>
  <c r="D27" i="4" s="1"/>
  <c r="L26" i="4" a="1"/>
  <c r="L26" i="4" s="1"/>
  <c r="K26" i="4" a="1"/>
  <c r="K26" i="4" s="1"/>
  <c r="J26" i="4" a="1"/>
  <c r="J26" i="4" s="1"/>
  <c r="I26" i="4" a="1"/>
  <c r="I26" i="4" s="1"/>
  <c r="H26" i="4" a="1"/>
  <c r="H26" i="4" s="1"/>
  <c r="G26" i="4" a="1"/>
  <c r="G26" i="4" s="1"/>
  <c r="F26" i="4" a="1"/>
  <c r="F26" i="4" s="1"/>
  <c r="E26" i="4" a="1"/>
  <c r="E26" i="4" s="1"/>
  <c r="D26" i="4" a="1"/>
  <c r="D26" i="4" s="1"/>
  <c r="L25" i="4" a="1"/>
  <c r="L25" i="4" s="1"/>
  <c r="K25" i="4" a="1"/>
  <c r="K25" i="4" s="1"/>
  <c r="J25" i="4" a="1"/>
  <c r="J25" i="4" s="1"/>
  <c r="I25" i="4" a="1"/>
  <c r="I25" i="4" s="1"/>
  <c r="H25" i="4" a="1"/>
  <c r="H25" i="4" s="1"/>
  <c r="G25" i="4" a="1"/>
  <c r="G25" i="4" s="1"/>
  <c r="F25" i="4" a="1"/>
  <c r="F25" i="4" s="1"/>
  <c r="E25" i="4" a="1"/>
  <c r="E25" i="4" s="1"/>
  <c r="D25" i="4" a="1"/>
  <c r="D25" i="4" s="1"/>
  <c r="L24" i="4" a="1"/>
  <c r="L24" i="4" s="1"/>
  <c r="K24" i="4" a="1"/>
  <c r="K24" i="4" s="1"/>
  <c r="J24" i="4" a="1"/>
  <c r="J24" i="4" s="1"/>
  <c r="I24" i="4" a="1"/>
  <c r="I24" i="4" s="1"/>
  <c r="H24" i="4" a="1"/>
  <c r="H24" i="4" s="1"/>
  <c r="G24" i="4" a="1"/>
  <c r="G24" i="4" s="1"/>
  <c r="F24" i="4" a="1"/>
  <c r="F24" i="4" s="1"/>
  <c r="E24" i="4" a="1"/>
  <c r="E24" i="4" s="1"/>
  <c r="D24" i="4" a="1"/>
  <c r="D24" i="4" s="1"/>
  <c r="L23" i="4" a="1"/>
  <c r="L23" i="4" s="1"/>
  <c r="K23" i="4" a="1"/>
  <c r="K23" i="4" s="1"/>
  <c r="J23" i="4" a="1"/>
  <c r="J23" i="4" s="1"/>
  <c r="I23" i="4" a="1"/>
  <c r="I23" i="4" s="1"/>
  <c r="H23" i="4" a="1"/>
  <c r="H23" i="4" s="1"/>
  <c r="G23" i="4" a="1"/>
  <c r="G23" i="4" s="1"/>
  <c r="F23" i="4" a="1"/>
  <c r="F23" i="4" s="1"/>
  <c r="E23" i="4" a="1"/>
  <c r="E23" i="4" s="1"/>
  <c r="D23" i="4" a="1"/>
  <c r="D23" i="4" s="1"/>
  <c r="L22" i="4" a="1"/>
  <c r="L22" i="4" s="1"/>
  <c r="K22" i="4" a="1"/>
  <c r="K22" i="4" s="1"/>
  <c r="J22" i="4" a="1"/>
  <c r="J22" i="4" s="1"/>
  <c r="I22" i="4" a="1"/>
  <c r="I22" i="4" s="1"/>
  <c r="H22" i="4" a="1"/>
  <c r="H22" i="4" s="1"/>
  <c r="G22" i="4" a="1"/>
  <c r="G22" i="4" s="1"/>
  <c r="F22" i="4" a="1"/>
  <c r="F22" i="4" s="1"/>
  <c r="E22" i="4" a="1"/>
  <c r="E22" i="4" s="1"/>
  <c r="D22" i="4" a="1"/>
  <c r="D22" i="4" s="1"/>
  <c r="L21" i="4" a="1"/>
  <c r="L21" i="4" s="1"/>
  <c r="K21" i="4" a="1"/>
  <c r="K21" i="4" s="1"/>
  <c r="J21" i="4" a="1"/>
  <c r="J21" i="4" s="1"/>
  <c r="I21" i="4" a="1"/>
  <c r="I21" i="4" s="1"/>
  <c r="H21" i="4" a="1"/>
  <c r="H21" i="4" s="1"/>
  <c r="G21" i="4" a="1"/>
  <c r="G21" i="4" s="1"/>
  <c r="F21" i="4" a="1"/>
  <c r="F21" i="4" s="1"/>
  <c r="E21" i="4" a="1"/>
  <c r="E21" i="4" s="1"/>
  <c r="D21" i="4" a="1"/>
  <c r="D21" i="4" s="1"/>
  <c r="L20" i="4" a="1"/>
  <c r="L20" i="4" s="1"/>
  <c r="K20" i="4" a="1"/>
  <c r="K20" i="4" s="1"/>
  <c r="J20" i="4" a="1"/>
  <c r="J20" i="4" s="1"/>
  <c r="I20" i="4" a="1"/>
  <c r="I20" i="4" s="1"/>
  <c r="H20" i="4" a="1"/>
  <c r="H20" i="4" s="1"/>
  <c r="G20" i="4" a="1"/>
  <c r="G20" i="4" s="1"/>
  <c r="F20" i="4" a="1"/>
  <c r="F20" i="4" s="1"/>
  <c r="E20" i="4" a="1"/>
  <c r="E20" i="4" s="1"/>
  <c r="D20" i="4" a="1"/>
  <c r="D20" i="4" s="1"/>
  <c r="L19" i="4" a="1"/>
  <c r="L19" i="4" s="1"/>
  <c r="K19" i="4" a="1"/>
  <c r="K19" i="4" s="1"/>
  <c r="J19" i="4" a="1"/>
  <c r="J19" i="4" s="1"/>
  <c r="I19" i="4" a="1"/>
  <c r="I19" i="4" s="1"/>
  <c r="H19" i="4" a="1"/>
  <c r="H19" i="4" s="1"/>
  <c r="G19" i="4" a="1"/>
  <c r="G19" i="4" s="1"/>
  <c r="F19" i="4" a="1"/>
  <c r="F19" i="4" s="1"/>
  <c r="E19" i="4" a="1"/>
  <c r="E19" i="4" s="1"/>
  <c r="D19" i="4" a="1"/>
  <c r="D19" i="4" s="1"/>
  <c r="L18" i="4" a="1"/>
  <c r="L18" i="4" s="1"/>
  <c r="K18" i="4" a="1"/>
  <c r="K18" i="4" s="1"/>
  <c r="J18" i="4" a="1"/>
  <c r="J18" i="4" s="1"/>
  <c r="I18" i="4" a="1"/>
  <c r="I18" i="4" s="1"/>
  <c r="H18" i="4" a="1"/>
  <c r="H18" i="4" s="1"/>
  <c r="G18" i="4" a="1"/>
  <c r="G18" i="4" s="1"/>
  <c r="F18" i="4" a="1"/>
  <c r="F18" i="4" s="1"/>
  <c r="E18" i="4" a="1"/>
  <c r="E18" i="4" s="1"/>
  <c r="D18" i="4" a="1"/>
  <c r="D18" i="4" s="1"/>
  <c r="L17" i="4" a="1"/>
  <c r="L17" i="4" s="1"/>
  <c r="K17" i="4" a="1"/>
  <c r="K17" i="4" s="1"/>
  <c r="J17" i="4" a="1"/>
  <c r="J17" i="4" s="1"/>
  <c r="I17" i="4" a="1"/>
  <c r="I17" i="4" s="1"/>
  <c r="H17" i="4" a="1"/>
  <c r="H17" i="4" s="1"/>
  <c r="G17" i="4" a="1"/>
  <c r="G17" i="4" s="1"/>
  <c r="F17" i="4" a="1"/>
  <c r="F17" i="4" s="1"/>
  <c r="E17" i="4" a="1"/>
  <c r="E17" i="4" s="1"/>
  <c r="E13" i="1" s="1"/>
  <c r="D17" i="4" a="1"/>
  <c r="D17" i="4" s="1"/>
  <c r="A17" i="4"/>
  <c r="L16" i="4" a="1"/>
  <c r="L16" i="4" s="1"/>
  <c r="K16" i="4" a="1"/>
  <c r="K16" i="4" s="1"/>
  <c r="J16" i="4" a="1"/>
  <c r="J16" i="4" s="1"/>
  <c r="I16" i="4" a="1"/>
  <c r="I16" i="4" s="1"/>
  <c r="H16" i="4" a="1"/>
  <c r="H16" i="4" s="1"/>
  <c r="G16" i="4" a="1"/>
  <c r="G16" i="4" s="1"/>
  <c r="F16" i="4" a="1"/>
  <c r="F16" i="4" s="1"/>
  <c r="E16" i="4" a="1"/>
  <c r="E16" i="4" s="1"/>
  <c r="E12" i="1" s="1"/>
  <c r="D16" i="4" a="1"/>
  <c r="D16" i="4" s="1"/>
  <c r="A16" i="4"/>
  <c r="L15" i="4" a="1"/>
  <c r="L15" i="4" s="1"/>
  <c r="K15" i="4" a="1"/>
  <c r="K15" i="4" s="1"/>
  <c r="J15" i="4" a="1"/>
  <c r="J15" i="4" s="1"/>
  <c r="I15" i="4" a="1"/>
  <c r="I15" i="4" s="1"/>
  <c r="H15" i="4" a="1"/>
  <c r="H15" i="4" s="1"/>
  <c r="G15" i="4" a="1"/>
  <c r="G15" i="4" s="1"/>
  <c r="F15" i="4" a="1"/>
  <c r="F15" i="4" s="1"/>
  <c r="E15" i="4" a="1"/>
  <c r="E15" i="4" s="1"/>
  <c r="E11" i="1" s="1"/>
  <c r="D15" i="4" a="1"/>
  <c r="D15" i="4" s="1"/>
  <c r="L14" i="4" a="1"/>
  <c r="L14" i="4" s="1"/>
  <c r="K14" i="4" a="1"/>
  <c r="K14" i="4" s="1"/>
  <c r="J14" i="4" a="1"/>
  <c r="J14" i="4" s="1"/>
  <c r="I14" i="4" a="1"/>
  <c r="I14" i="4" s="1"/>
  <c r="H14" i="4" a="1"/>
  <c r="H14" i="4" s="1"/>
  <c r="G14" i="4" a="1"/>
  <c r="G14" i="4" s="1"/>
  <c r="F14" i="4" a="1"/>
  <c r="F14" i="4" s="1"/>
  <c r="E14" i="4" a="1"/>
  <c r="E14" i="4" s="1"/>
  <c r="E10" i="1" s="1"/>
  <c r="D14" i="4" a="1"/>
  <c r="D14" i="4" s="1"/>
  <c r="L13" i="4" a="1"/>
  <c r="L13" i="4" s="1"/>
  <c r="K13" i="4" a="1"/>
  <c r="K13" i="4" s="1"/>
  <c r="J13" i="4" a="1"/>
  <c r="J13" i="4" s="1"/>
  <c r="I13" i="4" a="1"/>
  <c r="I13" i="4" s="1"/>
  <c r="H13" i="4" a="1"/>
  <c r="H13" i="4" s="1"/>
  <c r="G13" i="4" a="1"/>
  <c r="G13" i="4" s="1"/>
  <c r="F13" i="4" a="1"/>
  <c r="F13" i="4" s="1"/>
  <c r="E13" i="4" a="1"/>
  <c r="E13" i="4" s="1"/>
  <c r="E9" i="1" s="1"/>
  <c r="D13" i="4" a="1"/>
  <c r="D13" i="4" s="1"/>
  <c r="A13" i="4"/>
  <c r="L12" i="4" a="1"/>
  <c r="L12" i="4" s="1"/>
  <c r="K12" i="4" a="1"/>
  <c r="K12" i="4" s="1"/>
  <c r="J12" i="4" a="1"/>
  <c r="J12" i="4" s="1"/>
  <c r="I12" i="4" a="1"/>
  <c r="I12" i="4" s="1"/>
  <c r="H12" i="4" a="1"/>
  <c r="H12" i="4" s="1"/>
  <c r="G12" i="4" a="1"/>
  <c r="G12" i="4" s="1"/>
  <c r="F12" i="4" a="1"/>
  <c r="F12" i="4" s="1"/>
  <c r="E12" i="4" a="1"/>
  <c r="E12" i="4" s="1"/>
  <c r="E8" i="1" s="1"/>
  <c r="D12" i="4" a="1"/>
  <c r="D12" i="4" s="1"/>
  <c r="A12" i="4"/>
  <c r="L11" i="4" a="1"/>
  <c r="L11" i="4" s="1"/>
  <c r="K11" i="4" a="1"/>
  <c r="K11" i="4" s="1"/>
  <c r="J11" i="4" a="1"/>
  <c r="J11" i="4" s="1"/>
  <c r="I11" i="4" a="1"/>
  <c r="I11" i="4" s="1"/>
  <c r="H11" i="4" a="1"/>
  <c r="H11" i="4" s="1"/>
  <c r="G11" i="4" a="1"/>
  <c r="G11" i="4" s="1"/>
  <c r="F11" i="4" a="1"/>
  <c r="F11" i="4" s="1"/>
  <c r="E11" i="4" a="1"/>
  <c r="E11" i="4" s="1"/>
  <c r="D11" i="4" a="1"/>
  <c r="D11" i="4" s="1"/>
  <c r="A11" i="4"/>
  <c r="L10" i="4" a="1"/>
  <c r="L10" i="4" s="1"/>
  <c r="K10" i="4" a="1"/>
  <c r="K10" i="4" s="1"/>
  <c r="J10" i="4" a="1"/>
  <c r="J10" i="4" s="1"/>
  <c r="I10" i="4" a="1"/>
  <c r="I10" i="4" s="1"/>
  <c r="H10" i="4" a="1"/>
  <c r="H10" i="4" s="1"/>
  <c r="G10" i="4" a="1"/>
  <c r="G10" i="4" s="1"/>
  <c r="F10" i="4" a="1"/>
  <c r="F10" i="4" s="1"/>
  <c r="E10" i="4" a="1"/>
  <c r="E10" i="4" s="1"/>
  <c r="D10" i="4" a="1"/>
  <c r="D10" i="4" s="1"/>
  <c r="D8" i="4" a="1"/>
  <c r="D8" i="4" s="1"/>
  <c r="A8" i="4"/>
  <c r="D7" i="4" a="1"/>
  <c r="D7" i="4" s="1"/>
  <c r="D6" i="4" a="1"/>
  <c r="D6" i="4" s="1"/>
  <c r="D5" i="4" a="1"/>
  <c r="D5" i="4" s="1"/>
  <c r="A5" i="4"/>
  <c r="A4" i="4"/>
  <c r="A3" i="4"/>
  <c r="E259" i="3" a="1"/>
  <c r="E259" i="3" s="1"/>
  <c r="D259" i="3" a="1"/>
  <c r="D259" i="3" s="1"/>
  <c r="E258" i="3" a="1"/>
  <c r="E258" i="3" s="1"/>
  <c r="D258" i="3" a="1"/>
  <c r="D258" i="3" s="1"/>
  <c r="D256" i="3" a="1"/>
  <c r="D256" i="3" s="1"/>
  <c r="D255" i="3" a="1"/>
  <c r="D255" i="3" s="1"/>
  <c r="D254" i="3" a="1"/>
  <c r="D254" i="3" s="1"/>
  <c r="D253" i="3" a="1"/>
  <c r="D253" i="3" s="1"/>
  <c r="S250" i="3" a="1"/>
  <c r="S250" i="3" s="1"/>
  <c r="R250" i="3" a="1"/>
  <c r="R250" i="3" s="1"/>
  <c r="Q250" i="3" a="1"/>
  <c r="Q250" i="3" s="1"/>
  <c r="P250" i="3" a="1"/>
  <c r="P250" i="3" s="1"/>
  <c r="O250" i="3" a="1"/>
  <c r="O250" i="3" s="1"/>
  <c r="N250" i="3" a="1"/>
  <c r="N250" i="3" s="1"/>
  <c r="M250" i="3" a="1"/>
  <c r="M250" i="3" s="1"/>
  <c r="L250" i="3" a="1"/>
  <c r="L250" i="3" s="1"/>
  <c r="K250" i="3" a="1"/>
  <c r="K250" i="3" s="1"/>
  <c r="J250" i="3" a="1"/>
  <c r="J250" i="3" s="1"/>
  <c r="I250" i="3" a="1"/>
  <c r="I250" i="3" s="1"/>
  <c r="H250" i="3" a="1"/>
  <c r="H250" i="3" s="1"/>
  <c r="G250" i="3" a="1"/>
  <c r="G250" i="3" s="1"/>
  <c r="F250" i="3" a="1"/>
  <c r="F250" i="3" s="1"/>
  <c r="E250" i="3" a="1"/>
  <c r="E250" i="3" s="1"/>
  <c r="D250" i="3" a="1"/>
  <c r="D250" i="3" s="1"/>
  <c r="S249" i="3" a="1"/>
  <c r="S249" i="3" s="1"/>
  <c r="R249" i="3" a="1"/>
  <c r="R249" i="3" s="1"/>
  <c r="Q249" i="3" a="1"/>
  <c r="Q249" i="3" s="1"/>
  <c r="P249" i="3" a="1"/>
  <c r="P249" i="3" s="1"/>
  <c r="O249" i="3" a="1"/>
  <c r="O249" i="3" s="1"/>
  <c r="N249" i="3" a="1"/>
  <c r="N249" i="3" s="1"/>
  <c r="M249" i="3" a="1"/>
  <c r="M249" i="3" s="1"/>
  <c r="L249" i="3" a="1"/>
  <c r="L249" i="3" s="1"/>
  <c r="K249" i="3" a="1"/>
  <c r="K249" i="3" s="1"/>
  <c r="J249" i="3" a="1"/>
  <c r="J249" i="3" s="1"/>
  <c r="I249" i="3" a="1"/>
  <c r="I249" i="3" s="1"/>
  <c r="H249" i="3" a="1"/>
  <c r="H249" i="3" s="1"/>
  <c r="G249" i="3" a="1"/>
  <c r="G249" i="3" s="1"/>
  <c r="F249" i="3" a="1"/>
  <c r="F249" i="3" s="1"/>
  <c r="E249" i="3" a="1"/>
  <c r="E249" i="3" s="1"/>
  <c r="D249" i="3" a="1"/>
  <c r="D249" i="3" s="1"/>
  <c r="S248" i="3" a="1"/>
  <c r="S248" i="3" s="1"/>
  <c r="R248" i="3" a="1"/>
  <c r="R248" i="3" s="1"/>
  <c r="Q248" i="3" a="1"/>
  <c r="Q248" i="3" s="1"/>
  <c r="P248" i="3" a="1"/>
  <c r="P248" i="3" s="1"/>
  <c r="O248" i="3" a="1"/>
  <c r="O248" i="3" s="1"/>
  <c r="N248" i="3" a="1"/>
  <c r="N248" i="3" s="1"/>
  <c r="M248" i="3" a="1"/>
  <c r="M248" i="3" s="1"/>
  <c r="L248" i="3" a="1"/>
  <c r="L248" i="3" s="1"/>
  <c r="K248" i="3" a="1"/>
  <c r="K248" i="3" s="1"/>
  <c r="J248" i="3" a="1"/>
  <c r="J248" i="3" s="1"/>
  <c r="I248" i="3" a="1"/>
  <c r="I248" i="3" s="1"/>
  <c r="H248" i="3" a="1"/>
  <c r="H248" i="3" s="1"/>
  <c r="G248" i="3" a="1"/>
  <c r="G248" i="3" s="1"/>
  <c r="F248" i="3" a="1"/>
  <c r="F248" i="3" s="1"/>
  <c r="E248" i="3" a="1"/>
  <c r="E248" i="3" s="1"/>
  <c r="D248" i="3" a="1"/>
  <c r="D248" i="3" s="1"/>
  <c r="S247" i="3" a="1"/>
  <c r="S247" i="3" s="1"/>
  <c r="R247" i="3" a="1"/>
  <c r="R247" i="3" s="1"/>
  <c r="Q247" i="3" a="1"/>
  <c r="Q247" i="3" s="1"/>
  <c r="P247" i="3" a="1"/>
  <c r="P247" i="3" s="1"/>
  <c r="O247" i="3" a="1"/>
  <c r="O247" i="3" s="1"/>
  <c r="N247" i="3" a="1"/>
  <c r="N247" i="3" s="1"/>
  <c r="M247" i="3" a="1"/>
  <c r="M247" i="3" s="1"/>
  <c r="L247" i="3" a="1"/>
  <c r="L247" i="3" s="1"/>
  <c r="K247" i="3" a="1"/>
  <c r="K247" i="3" s="1"/>
  <c r="J247" i="3" a="1"/>
  <c r="J247" i="3" s="1"/>
  <c r="I247" i="3" a="1"/>
  <c r="I247" i="3" s="1"/>
  <c r="H247" i="3" a="1"/>
  <c r="H247" i="3" s="1"/>
  <c r="G247" i="3" a="1"/>
  <c r="G247" i="3" s="1"/>
  <c r="F247" i="3" a="1"/>
  <c r="F247" i="3" s="1"/>
  <c r="E247" i="3" a="1"/>
  <c r="E247" i="3" s="1"/>
  <c r="D247" i="3" a="1"/>
  <c r="D247" i="3" s="1"/>
  <c r="S246" i="3" a="1"/>
  <c r="S246" i="3" s="1"/>
  <c r="R246" i="3" a="1"/>
  <c r="R246" i="3" s="1"/>
  <c r="Q246" i="3" a="1"/>
  <c r="Q246" i="3" s="1"/>
  <c r="P246" i="3" a="1"/>
  <c r="P246" i="3" s="1"/>
  <c r="O246" i="3" a="1"/>
  <c r="O246" i="3" s="1"/>
  <c r="N246" i="3" a="1"/>
  <c r="N246" i="3" s="1"/>
  <c r="M246" i="3" a="1"/>
  <c r="M246" i="3" s="1"/>
  <c r="L246" i="3" a="1"/>
  <c r="L246" i="3" s="1"/>
  <c r="K246" i="3" a="1"/>
  <c r="K246" i="3" s="1"/>
  <c r="J246" i="3" a="1"/>
  <c r="J246" i="3" s="1"/>
  <c r="I246" i="3" a="1"/>
  <c r="I246" i="3" s="1"/>
  <c r="H246" i="3" a="1"/>
  <c r="H246" i="3" s="1"/>
  <c r="G246" i="3" a="1"/>
  <c r="G246" i="3" s="1"/>
  <c r="F246" i="3" a="1"/>
  <c r="F246" i="3" s="1"/>
  <c r="E246" i="3" a="1"/>
  <c r="E246" i="3" s="1"/>
  <c r="D246" i="3" a="1"/>
  <c r="D246" i="3" s="1"/>
  <c r="S245" i="3" a="1"/>
  <c r="S245" i="3" s="1"/>
  <c r="R245" i="3" a="1"/>
  <c r="R245" i="3" s="1"/>
  <c r="Q245" i="3" a="1"/>
  <c r="Q245" i="3" s="1"/>
  <c r="P245" i="3" a="1"/>
  <c r="P245" i="3" s="1"/>
  <c r="O245" i="3" a="1"/>
  <c r="O245" i="3" s="1"/>
  <c r="N245" i="3" a="1"/>
  <c r="N245" i="3" s="1"/>
  <c r="M245" i="3" a="1"/>
  <c r="M245" i="3" s="1"/>
  <c r="L245" i="3" a="1"/>
  <c r="L245" i="3" s="1"/>
  <c r="K245" i="3" a="1"/>
  <c r="K245" i="3" s="1"/>
  <c r="J245" i="3" a="1"/>
  <c r="J245" i="3" s="1"/>
  <c r="I245" i="3" a="1"/>
  <c r="I245" i="3" s="1"/>
  <c r="H245" i="3" a="1"/>
  <c r="H245" i="3" s="1"/>
  <c r="G245" i="3" a="1"/>
  <c r="G245" i="3" s="1"/>
  <c r="F245" i="3" a="1"/>
  <c r="F245" i="3" s="1"/>
  <c r="E245" i="3" a="1"/>
  <c r="E245" i="3" s="1"/>
  <c r="D245" i="3" a="1"/>
  <c r="D245" i="3" s="1"/>
  <c r="S244" i="3" a="1"/>
  <c r="S244" i="3" s="1"/>
  <c r="R244" i="3" a="1"/>
  <c r="R244" i="3" s="1"/>
  <c r="Q244" i="3" a="1"/>
  <c r="Q244" i="3" s="1"/>
  <c r="P244" i="3" a="1"/>
  <c r="P244" i="3" s="1"/>
  <c r="O244" i="3" a="1"/>
  <c r="O244" i="3" s="1"/>
  <c r="N244" i="3" a="1"/>
  <c r="N244" i="3" s="1"/>
  <c r="M244" i="3" a="1"/>
  <c r="M244" i="3" s="1"/>
  <c r="L244" i="3" a="1"/>
  <c r="L244" i="3" s="1"/>
  <c r="K244" i="3" a="1"/>
  <c r="K244" i="3" s="1"/>
  <c r="J244" i="3" a="1"/>
  <c r="J244" i="3" s="1"/>
  <c r="I244" i="3" a="1"/>
  <c r="I244" i="3" s="1"/>
  <c r="H244" i="3" a="1"/>
  <c r="H244" i="3" s="1"/>
  <c r="G244" i="3" a="1"/>
  <c r="G244" i="3" s="1"/>
  <c r="F244" i="3" a="1"/>
  <c r="F244" i="3" s="1"/>
  <c r="E244" i="3" a="1"/>
  <c r="E244" i="3" s="1"/>
  <c r="D244" i="3" a="1"/>
  <c r="D244" i="3" s="1"/>
  <c r="S243" i="3" a="1"/>
  <c r="S243" i="3" s="1"/>
  <c r="R243" i="3" a="1"/>
  <c r="R243" i="3" s="1"/>
  <c r="Q243" i="3" a="1"/>
  <c r="Q243" i="3" s="1"/>
  <c r="P243" i="3" a="1"/>
  <c r="P243" i="3" s="1"/>
  <c r="O243" i="3" a="1"/>
  <c r="O243" i="3" s="1"/>
  <c r="N243" i="3" a="1"/>
  <c r="N243" i="3" s="1"/>
  <c r="M243" i="3" a="1"/>
  <c r="M243" i="3" s="1"/>
  <c r="L243" i="3" a="1"/>
  <c r="L243" i="3" s="1"/>
  <c r="K243" i="3" a="1"/>
  <c r="K243" i="3" s="1"/>
  <c r="J243" i="3" a="1"/>
  <c r="J243" i="3" s="1"/>
  <c r="I243" i="3" a="1"/>
  <c r="I243" i="3" s="1"/>
  <c r="H243" i="3" a="1"/>
  <c r="H243" i="3" s="1"/>
  <c r="G243" i="3" a="1"/>
  <c r="G243" i="3" s="1"/>
  <c r="F243" i="3" a="1"/>
  <c r="F243" i="3" s="1"/>
  <c r="E243" i="3" a="1"/>
  <c r="E243" i="3" s="1"/>
  <c r="D243" i="3" a="1"/>
  <c r="D243" i="3" s="1"/>
  <c r="S242" i="3" a="1"/>
  <c r="S242" i="3" s="1"/>
  <c r="R242" i="3" a="1"/>
  <c r="R242" i="3" s="1"/>
  <c r="Q242" i="3" a="1"/>
  <c r="Q242" i="3" s="1"/>
  <c r="P242" i="3" a="1"/>
  <c r="P242" i="3" s="1"/>
  <c r="O242" i="3" a="1"/>
  <c r="O242" i="3" s="1"/>
  <c r="N242" i="3" a="1"/>
  <c r="N242" i="3" s="1"/>
  <c r="M242" i="3" a="1"/>
  <c r="M242" i="3" s="1"/>
  <c r="L242" i="3" a="1"/>
  <c r="L242" i="3" s="1"/>
  <c r="K242" i="3" a="1"/>
  <c r="K242" i="3" s="1"/>
  <c r="J242" i="3" a="1"/>
  <c r="J242" i="3" s="1"/>
  <c r="I242" i="3" a="1"/>
  <c r="I242" i="3" s="1"/>
  <c r="H242" i="3" a="1"/>
  <c r="H242" i="3" s="1"/>
  <c r="G242" i="3" a="1"/>
  <c r="G242" i="3" s="1"/>
  <c r="F242" i="3" a="1"/>
  <c r="F242" i="3" s="1"/>
  <c r="E242" i="3" a="1"/>
  <c r="E242" i="3" s="1"/>
  <c r="D242" i="3" a="1"/>
  <c r="D242" i="3" s="1"/>
  <c r="S241" i="3" a="1"/>
  <c r="S241" i="3" s="1"/>
  <c r="R241" i="3" a="1"/>
  <c r="R241" i="3" s="1"/>
  <c r="Q241" i="3" a="1"/>
  <c r="Q241" i="3" s="1"/>
  <c r="P241" i="3" a="1"/>
  <c r="P241" i="3" s="1"/>
  <c r="O241" i="3" a="1"/>
  <c r="O241" i="3" s="1"/>
  <c r="N241" i="3" a="1"/>
  <c r="N241" i="3" s="1"/>
  <c r="M241" i="3" a="1"/>
  <c r="M241" i="3" s="1"/>
  <c r="L241" i="3" a="1"/>
  <c r="L241" i="3" s="1"/>
  <c r="K241" i="3" a="1"/>
  <c r="K241" i="3" s="1"/>
  <c r="J241" i="3" a="1"/>
  <c r="J241" i="3" s="1"/>
  <c r="I241" i="3" a="1"/>
  <c r="I241" i="3" s="1"/>
  <c r="H241" i="3" a="1"/>
  <c r="H241" i="3" s="1"/>
  <c r="G241" i="3" a="1"/>
  <c r="G241" i="3" s="1"/>
  <c r="F241" i="3" a="1"/>
  <c r="F241" i="3" s="1"/>
  <c r="E241" i="3" a="1"/>
  <c r="E241" i="3" s="1"/>
  <c r="D241" i="3" a="1"/>
  <c r="D241" i="3" s="1"/>
  <c r="S240" i="3" a="1"/>
  <c r="S240" i="3" s="1"/>
  <c r="R240" i="3" a="1"/>
  <c r="R240" i="3" s="1"/>
  <c r="Q240" i="3" a="1"/>
  <c r="Q240" i="3" s="1"/>
  <c r="P240" i="3" a="1"/>
  <c r="P240" i="3" s="1"/>
  <c r="O240" i="3" a="1"/>
  <c r="O240" i="3" s="1"/>
  <c r="N240" i="3" a="1"/>
  <c r="N240" i="3" s="1"/>
  <c r="M240" i="3" a="1"/>
  <c r="M240" i="3" s="1"/>
  <c r="L240" i="3" a="1"/>
  <c r="L240" i="3" s="1"/>
  <c r="K240" i="3" a="1"/>
  <c r="K240" i="3" s="1"/>
  <c r="J240" i="3" a="1"/>
  <c r="J240" i="3" s="1"/>
  <c r="I240" i="3" a="1"/>
  <c r="I240" i="3" s="1"/>
  <c r="H240" i="3" a="1"/>
  <c r="H240" i="3" s="1"/>
  <c r="G240" i="3" a="1"/>
  <c r="G240" i="3" s="1"/>
  <c r="F240" i="3" a="1"/>
  <c r="F240" i="3" s="1"/>
  <c r="E240" i="3" a="1"/>
  <c r="E240" i="3" s="1"/>
  <c r="D240" i="3" a="1"/>
  <c r="D240" i="3" s="1"/>
  <c r="S239" i="3" a="1"/>
  <c r="S239" i="3" s="1"/>
  <c r="R239" i="3" a="1"/>
  <c r="R239" i="3" s="1"/>
  <c r="Q239" i="3" a="1"/>
  <c r="Q239" i="3" s="1"/>
  <c r="P239" i="3" a="1"/>
  <c r="P239" i="3" s="1"/>
  <c r="O239" i="3" a="1"/>
  <c r="O239" i="3" s="1"/>
  <c r="N239" i="3" a="1"/>
  <c r="N239" i="3" s="1"/>
  <c r="M239" i="3" a="1"/>
  <c r="M239" i="3" s="1"/>
  <c r="L239" i="3" a="1"/>
  <c r="L239" i="3" s="1"/>
  <c r="K239" i="3" a="1"/>
  <c r="K239" i="3" s="1"/>
  <c r="J239" i="3" a="1"/>
  <c r="J239" i="3" s="1"/>
  <c r="I239" i="3" a="1"/>
  <c r="I239" i="3" s="1"/>
  <c r="H239" i="3" a="1"/>
  <c r="H239" i="3" s="1"/>
  <c r="G239" i="3" a="1"/>
  <c r="G239" i="3" s="1"/>
  <c r="F239" i="3" a="1"/>
  <c r="F239" i="3" s="1"/>
  <c r="E239" i="3" a="1"/>
  <c r="E239" i="3" s="1"/>
  <c r="D239" i="3" a="1"/>
  <c r="D239" i="3" s="1"/>
  <c r="S238" i="3" a="1"/>
  <c r="S238" i="3" s="1"/>
  <c r="R238" i="3" a="1"/>
  <c r="R238" i="3" s="1"/>
  <c r="Q238" i="3" a="1"/>
  <c r="Q238" i="3" s="1"/>
  <c r="P238" i="3" a="1"/>
  <c r="P238" i="3" s="1"/>
  <c r="O238" i="3" a="1"/>
  <c r="O238" i="3" s="1"/>
  <c r="N238" i="3" a="1"/>
  <c r="N238" i="3" s="1"/>
  <c r="M238" i="3" a="1"/>
  <c r="M238" i="3" s="1"/>
  <c r="L238" i="3" a="1"/>
  <c r="L238" i="3" s="1"/>
  <c r="K238" i="3" a="1"/>
  <c r="K238" i="3" s="1"/>
  <c r="J238" i="3" a="1"/>
  <c r="J238" i="3" s="1"/>
  <c r="I238" i="3" a="1"/>
  <c r="I238" i="3" s="1"/>
  <c r="H238" i="3" a="1"/>
  <c r="H238" i="3" s="1"/>
  <c r="G238" i="3" a="1"/>
  <c r="G238" i="3" s="1"/>
  <c r="F238" i="3" a="1"/>
  <c r="F238" i="3" s="1"/>
  <c r="E238" i="3" a="1"/>
  <c r="E238" i="3" s="1"/>
  <c r="D238" i="3" a="1"/>
  <c r="D238" i="3" s="1"/>
  <c r="S237" i="3" a="1"/>
  <c r="S237" i="3" s="1"/>
  <c r="R237" i="3" a="1"/>
  <c r="R237" i="3" s="1"/>
  <c r="Q237" i="3" a="1"/>
  <c r="Q237" i="3" s="1"/>
  <c r="P237" i="3" a="1"/>
  <c r="P237" i="3" s="1"/>
  <c r="O237" i="3" a="1"/>
  <c r="O237" i="3" s="1"/>
  <c r="N237" i="3" a="1"/>
  <c r="N237" i="3" s="1"/>
  <c r="M237" i="3" a="1"/>
  <c r="M237" i="3" s="1"/>
  <c r="L237" i="3" a="1"/>
  <c r="L237" i="3" s="1"/>
  <c r="K237" i="3" a="1"/>
  <c r="K237" i="3" s="1"/>
  <c r="J237" i="3" a="1"/>
  <c r="J237" i="3" s="1"/>
  <c r="I237" i="3" a="1"/>
  <c r="I237" i="3" s="1"/>
  <c r="H237" i="3" a="1"/>
  <c r="H237" i="3" s="1"/>
  <c r="G237" i="3" a="1"/>
  <c r="G237" i="3" s="1"/>
  <c r="F237" i="3" a="1"/>
  <c r="F237" i="3" s="1"/>
  <c r="E237" i="3" a="1"/>
  <c r="E237" i="3" s="1"/>
  <c r="D237" i="3" a="1"/>
  <c r="D237" i="3" s="1"/>
  <c r="S236" i="3" a="1"/>
  <c r="S236" i="3" s="1"/>
  <c r="R236" i="3" a="1"/>
  <c r="R236" i="3" s="1"/>
  <c r="Q236" i="3" a="1"/>
  <c r="Q236" i="3" s="1"/>
  <c r="P236" i="3" a="1"/>
  <c r="P236" i="3" s="1"/>
  <c r="O236" i="3" a="1"/>
  <c r="O236" i="3" s="1"/>
  <c r="N236" i="3" a="1"/>
  <c r="N236" i="3" s="1"/>
  <c r="M236" i="3" a="1"/>
  <c r="M236" i="3" s="1"/>
  <c r="L236" i="3" a="1"/>
  <c r="L236" i="3" s="1"/>
  <c r="K236" i="3" a="1"/>
  <c r="K236" i="3" s="1"/>
  <c r="J236" i="3" a="1"/>
  <c r="J236" i="3" s="1"/>
  <c r="I236" i="3" a="1"/>
  <c r="I236" i="3" s="1"/>
  <c r="H236" i="3" a="1"/>
  <c r="H236" i="3" s="1"/>
  <c r="G236" i="3" a="1"/>
  <c r="G236" i="3" s="1"/>
  <c r="F236" i="3" a="1"/>
  <c r="F236" i="3" s="1"/>
  <c r="E236" i="3" a="1"/>
  <c r="E236" i="3" s="1"/>
  <c r="D236" i="3" a="1"/>
  <c r="D236" i="3" s="1"/>
  <c r="S235" i="3" a="1"/>
  <c r="S235" i="3" s="1"/>
  <c r="R235" i="3" a="1"/>
  <c r="R235" i="3" s="1"/>
  <c r="Q235" i="3" a="1"/>
  <c r="Q235" i="3" s="1"/>
  <c r="P235" i="3" a="1"/>
  <c r="P235" i="3" s="1"/>
  <c r="O235" i="3" a="1"/>
  <c r="O235" i="3" s="1"/>
  <c r="N235" i="3" a="1"/>
  <c r="N235" i="3" s="1"/>
  <c r="M235" i="3" a="1"/>
  <c r="M235" i="3" s="1"/>
  <c r="L235" i="3" a="1"/>
  <c r="L235" i="3" s="1"/>
  <c r="K235" i="3" a="1"/>
  <c r="K235" i="3" s="1"/>
  <c r="J235" i="3" a="1"/>
  <c r="J235" i="3" s="1"/>
  <c r="I235" i="3" a="1"/>
  <c r="I235" i="3" s="1"/>
  <c r="H235" i="3" a="1"/>
  <c r="H235" i="3" s="1"/>
  <c r="G235" i="3" a="1"/>
  <c r="G235" i="3" s="1"/>
  <c r="F235" i="3" a="1"/>
  <c r="F235" i="3" s="1"/>
  <c r="E235" i="3" a="1"/>
  <c r="E235" i="3" s="1"/>
  <c r="D235" i="3" a="1"/>
  <c r="D235" i="3" s="1"/>
  <c r="S234" i="3" a="1"/>
  <c r="S234" i="3" s="1"/>
  <c r="R234" i="3" a="1"/>
  <c r="R234" i="3" s="1"/>
  <c r="Q234" i="3" a="1"/>
  <c r="Q234" i="3" s="1"/>
  <c r="P234" i="3" a="1"/>
  <c r="P234" i="3" s="1"/>
  <c r="O234" i="3" a="1"/>
  <c r="O234" i="3" s="1"/>
  <c r="N234" i="3" a="1"/>
  <c r="N234" i="3" s="1"/>
  <c r="M234" i="3" a="1"/>
  <c r="M234" i="3" s="1"/>
  <c r="L234" i="3" a="1"/>
  <c r="L234" i="3" s="1"/>
  <c r="K234" i="3" a="1"/>
  <c r="K234" i="3" s="1"/>
  <c r="J234" i="3" a="1"/>
  <c r="J234" i="3" s="1"/>
  <c r="I234" i="3" a="1"/>
  <c r="I234" i="3" s="1"/>
  <c r="H234" i="3" a="1"/>
  <c r="H234" i="3" s="1"/>
  <c r="G234" i="3" a="1"/>
  <c r="G234" i="3" s="1"/>
  <c r="F234" i="3" a="1"/>
  <c r="F234" i="3" s="1"/>
  <c r="E234" i="3" a="1"/>
  <c r="E234" i="3" s="1"/>
  <c r="D234" i="3" a="1"/>
  <c r="D234" i="3" s="1"/>
  <c r="S233" i="3" a="1"/>
  <c r="S233" i="3" s="1"/>
  <c r="R233" i="3" a="1"/>
  <c r="R233" i="3" s="1"/>
  <c r="Q233" i="3" a="1"/>
  <c r="Q233" i="3" s="1"/>
  <c r="P233" i="3" a="1"/>
  <c r="P233" i="3" s="1"/>
  <c r="O233" i="3" a="1"/>
  <c r="O233" i="3" s="1"/>
  <c r="N233" i="3" a="1"/>
  <c r="N233" i="3" s="1"/>
  <c r="M233" i="3" a="1"/>
  <c r="M233" i="3" s="1"/>
  <c r="L233" i="3" a="1"/>
  <c r="L233" i="3" s="1"/>
  <c r="K233" i="3" a="1"/>
  <c r="K233" i="3" s="1"/>
  <c r="J233" i="3" a="1"/>
  <c r="J233" i="3" s="1"/>
  <c r="I233" i="3" a="1"/>
  <c r="I233" i="3" s="1"/>
  <c r="H233" i="3" a="1"/>
  <c r="H233" i="3" s="1"/>
  <c r="G233" i="3" a="1"/>
  <c r="G233" i="3" s="1"/>
  <c r="F233" i="3" a="1"/>
  <c r="F233" i="3" s="1"/>
  <c r="E233" i="3" a="1"/>
  <c r="E233" i="3" s="1"/>
  <c r="D233" i="3" a="1"/>
  <c r="D233" i="3" s="1"/>
  <c r="S232" i="3" a="1"/>
  <c r="S232" i="3" s="1"/>
  <c r="R232" i="3" a="1"/>
  <c r="R232" i="3" s="1"/>
  <c r="Q232" i="3" a="1"/>
  <c r="Q232" i="3" s="1"/>
  <c r="P232" i="3" a="1"/>
  <c r="P232" i="3" s="1"/>
  <c r="O232" i="3" a="1"/>
  <c r="O232" i="3" s="1"/>
  <c r="N232" i="3" a="1"/>
  <c r="N232" i="3" s="1"/>
  <c r="M232" i="3" a="1"/>
  <c r="M232" i="3" s="1"/>
  <c r="L232" i="3" a="1"/>
  <c r="L232" i="3" s="1"/>
  <c r="K232" i="3" a="1"/>
  <c r="K232" i="3" s="1"/>
  <c r="J232" i="3" a="1"/>
  <c r="J232" i="3" s="1"/>
  <c r="I232" i="3" a="1"/>
  <c r="I232" i="3" s="1"/>
  <c r="H232" i="3" a="1"/>
  <c r="H232" i="3" s="1"/>
  <c r="G232" i="3" a="1"/>
  <c r="G232" i="3" s="1"/>
  <c r="F232" i="3" a="1"/>
  <c r="F232" i="3" s="1"/>
  <c r="E232" i="3" a="1"/>
  <c r="E232" i="3" s="1"/>
  <c r="D232" i="3" a="1"/>
  <c r="D232" i="3" s="1"/>
  <c r="D229" i="3" a="1"/>
  <c r="D229" i="3" s="1"/>
  <c r="D228" i="3" a="1"/>
  <c r="D228" i="3" s="1"/>
  <c r="D227" i="3" a="1"/>
  <c r="D227" i="3" s="1"/>
  <c r="E224" i="3" a="1"/>
  <c r="E224" i="3" s="1"/>
  <c r="D224" i="3" a="1"/>
  <c r="D224" i="3" s="1"/>
  <c r="E223" i="3" a="1"/>
  <c r="E223" i="3" s="1"/>
  <c r="D223" i="3" a="1"/>
  <c r="D223" i="3" s="1"/>
  <c r="E222" i="3" a="1"/>
  <c r="E222" i="3" s="1"/>
  <c r="D222" i="3" a="1"/>
  <c r="D222" i="3" s="1"/>
  <c r="E221" i="3" a="1"/>
  <c r="E221" i="3" s="1"/>
  <c r="D221" i="3" a="1"/>
  <c r="D221" i="3" s="1"/>
  <c r="E220" i="3" a="1"/>
  <c r="E220" i="3" s="1"/>
  <c r="D220" i="3" a="1"/>
  <c r="D220" i="3" s="1"/>
  <c r="E219" i="3" a="1"/>
  <c r="E219" i="3" s="1"/>
  <c r="D219" i="3" a="1"/>
  <c r="D219" i="3" s="1"/>
  <c r="E218" i="3" a="1"/>
  <c r="E218" i="3" s="1"/>
  <c r="D218" i="3" a="1"/>
  <c r="D218" i="3" s="1"/>
  <c r="E217" i="3" a="1"/>
  <c r="E217" i="3" s="1"/>
  <c r="D217" i="3" a="1"/>
  <c r="D217" i="3" s="1"/>
  <c r="E216" i="3" a="1"/>
  <c r="E216" i="3" s="1"/>
  <c r="D216" i="3" a="1"/>
  <c r="D216" i="3" s="1"/>
  <c r="E215" i="3" a="1"/>
  <c r="E215" i="3" s="1"/>
  <c r="D215" i="3" a="1"/>
  <c r="D215" i="3" s="1"/>
  <c r="E214" i="3" a="1"/>
  <c r="E214" i="3" s="1"/>
  <c r="D214" i="3" a="1"/>
  <c r="D214" i="3" s="1"/>
  <c r="E213" i="3" a="1"/>
  <c r="E213" i="3" s="1"/>
  <c r="D213" i="3" a="1"/>
  <c r="D213" i="3" s="1"/>
  <c r="D211" i="3" a="1"/>
  <c r="D211" i="3" s="1"/>
  <c r="E208" i="3" a="1"/>
  <c r="E208" i="3" s="1"/>
  <c r="D208" i="3" a="1"/>
  <c r="D208" i="3" s="1"/>
  <c r="E207" i="3" a="1"/>
  <c r="E207" i="3" s="1"/>
  <c r="D207" i="3" a="1"/>
  <c r="D207" i="3" s="1"/>
  <c r="D205" i="3" a="1"/>
  <c r="D205" i="3" s="1"/>
  <c r="D204" i="3" a="1"/>
  <c r="D204" i="3" s="1"/>
  <c r="D203" i="3" a="1"/>
  <c r="D203" i="3" s="1"/>
  <c r="D202" i="3" a="1"/>
  <c r="D202" i="3" s="1"/>
  <c r="H199" i="3" a="1"/>
  <c r="H199" i="3" s="1"/>
  <c r="G199" i="3" a="1"/>
  <c r="G199" i="3" s="1"/>
  <c r="F199" i="3" a="1"/>
  <c r="F199" i="3" s="1"/>
  <c r="E199" i="3" a="1"/>
  <c r="E199" i="3" s="1"/>
  <c r="D199" i="3" a="1"/>
  <c r="D199" i="3" s="1"/>
  <c r="H198" i="3" a="1"/>
  <c r="H198" i="3" s="1"/>
  <c r="G198" i="3" a="1"/>
  <c r="G198" i="3" s="1"/>
  <c r="F198" i="3" a="1"/>
  <c r="F198" i="3" s="1"/>
  <c r="E198" i="3" a="1"/>
  <c r="E198" i="3" s="1"/>
  <c r="D198" i="3" a="1"/>
  <c r="D198" i="3" s="1"/>
  <c r="H197" i="3" a="1"/>
  <c r="H197" i="3" s="1"/>
  <c r="G197" i="3" a="1"/>
  <c r="G197" i="3" s="1"/>
  <c r="F197" i="3" a="1"/>
  <c r="F197" i="3" s="1"/>
  <c r="E197" i="3" a="1"/>
  <c r="E197" i="3" s="1"/>
  <c r="D197" i="3" a="1"/>
  <c r="D197" i="3" s="1"/>
  <c r="H196" i="3" a="1"/>
  <c r="H196" i="3" s="1"/>
  <c r="G196" i="3" a="1"/>
  <c r="G196" i="3" s="1"/>
  <c r="F196" i="3" a="1"/>
  <c r="F196" i="3" s="1"/>
  <c r="E196" i="3" a="1"/>
  <c r="E196" i="3" s="1"/>
  <c r="D196" i="3" a="1"/>
  <c r="D196" i="3" s="1"/>
  <c r="H195" i="3" a="1"/>
  <c r="H195" i="3" s="1"/>
  <c r="G195" i="3" a="1"/>
  <c r="G195" i="3" s="1"/>
  <c r="F195" i="3" a="1"/>
  <c r="F195" i="3" s="1"/>
  <c r="E195" i="3" a="1"/>
  <c r="E195" i="3" s="1"/>
  <c r="D195" i="3" a="1"/>
  <c r="D195" i="3" s="1"/>
  <c r="H194" i="3" a="1"/>
  <c r="H194" i="3" s="1"/>
  <c r="G194" i="3" a="1"/>
  <c r="G194" i="3" s="1"/>
  <c r="F194" i="3" a="1"/>
  <c r="F194" i="3" s="1"/>
  <c r="E194" i="3" a="1"/>
  <c r="E194" i="3" s="1"/>
  <c r="D194" i="3" a="1"/>
  <c r="D194" i="3" s="1"/>
  <c r="H193" i="3" a="1"/>
  <c r="H193" i="3" s="1"/>
  <c r="G193" i="3" a="1"/>
  <c r="G193" i="3" s="1"/>
  <c r="F193" i="3" a="1"/>
  <c r="F193" i="3" s="1"/>
  <c r="E193" i="3" a="1"/>
  <c r="E193" i="3" s="1"/>
  <c r="D193" i="3" a="1"/>
  <c r="D193" i="3" s="1"/>
  <c r="H192" i="3" a="1"/>
  <c r="H192" i="3" s="1"/>
  <c r="G192" i="3" a="1"/>
  <c r="G192" i="3" s="1"/>
  <c r="F192" i="3" a="1"/>
  <c r="F192" i="3" s="1"/>
  <c r="E192" i="3" a="1"/>
  <c r="E192" i="3" s="1"/>
  <c r="D192" i="3" a="1"/>
  <c r="D192" i="3" s="1"/>
  <c r="H191" i="3" a="1"/>
  <c r="H191" i="3" s="1"/>
  <c r="G191" i="3" a="1"/>
  <c r="G191" i="3" s="1"/>
  <c r="F191" i="3" a="1"/>
  <c r="F191" i="3" s="1"/>
  <c r="E191" i="3" a="1"/>
  <c r="E191" i="3" s="1"/>
  <c r="D191" i="3" a="1"/>
  <c r="D191" i="3" s="1"/>
  <c r="H190" i="3" a="1"/>
  <c r="H190" i="3" s="1"/>
  <c r="G190" i="3" a="1"/>
  <c r="G190" i="3" s="1"/>
  <c r="F190" i="3" a="1"/>
  <c r="F190" i="3" s="1"/>
  <c r="E190" i="3" a="1"/>
  <c r="E190" i="3" s="1"/>
  <c r="D190" i="3" a="1"/>
  <c r="D190" i="3" s="1"/>
  <c r="H189" i="3" a="1"/>
  <c r="H189" i="3" s="1"/>
  <c r="G189" i="3" a="1"/>
  <c r="G189" i="3" s="1"/>
  <c r="F189" i="3" a="1"/>
  <c r="F189" i="3" s="1"/>
  <c r="E189" i="3" a="1"/>
  <c r="E189" i="3" s="1"/>
  <c r="D189" i="3" a="1"/>
  <c r="D189" i="3" s="1"/>
  <c r="H188" i="3" a="1"/>
  <c r="H188" i="3" s="1"/>
  <c r="G188" i="3" a="1"/>
  <c r="G188" i="3" s="1"/>
  <c r="F188" i="3" a="1"/>
  <c r="F188" i="3" s="1"/>
  <c r="E188" i="3" a="1"/>
  <c r="E188" i="3" s="1"/>
  <c r="D188" i="3" a="1"/>
  <c r="D188" i="3" s="1"/>
  <c r="H187" i="3" a="1"/>
  <c r="H187" i="3" s="1"/>
  <c r="G187" i="3" a="1"/>
  <c r="G187" i="3" s="1"/>
  <c r="F187" i="3" a="1"/>
  <c r="F187" i="3" s="1"/>
  <c r="E187" i="3" a="1"/>
  <c r="E187" i="3" s="1"/>
  <c r="D187" i="3" a="1"/>
  <c r="D187" i="3" s="1"/>
  <c r="D181" i="3" a="1"/>
  <c r="D181" i="3" s="1"/>
  <c r="D180" i="3" a="1"/>
  <c r="D180" i="3" s="1"/>
  <c r="D179" i="3" a="1"/>
  <c r="D179" i="3" s="1"/>
  <c r="D178" i="3" a="1"/>
  <c r="D178" i="3" s="1"/>
  <c r="E175" i="3" a="1"/>
  <c r="E175" i="3" s="1"/>
  <c r="D175" i="3" a="1"/>
  <c r="D175" i="3" s="1"/>
  <c r="D174" i="3" a="1"/>
  <c r="D174" i="3" s="1"/>
  <c r="D173" i="3" a="1"/>
  <c r="D173" i="3" s="1"/>
  <c r="D170" i="3" a="1"/>
  <c r="D170" i="3" s="1"/>
  <c r="D169" i="3" a="1"/>
  <c r="D169" i="3" s="1"/>
  <c r="D168" i="3" a="1"/>
  <c r="D168" i="3" s="1"/>
  <c r="D167" i="3" a="1"/>
  <c r="D167" i="3" s="1"/>
  <c r="D164" i="3" a="1"/>
  <c r="D164" i="3" s="1"/>
  <c r="D163" i="3" a="1"/>
  <c r="D163" i="3" s="1"/>
  <c r="D162" i="3" a="1"/>
  <c r="D162" i="3" s="1"/>
  <c r="D161" i="3" a="1"/>
  <c r="D161" i="3" s="1"/>
  <c r="E158" i="3" a="1"/>
  <c r="E158" i="3" s="1"/>
  <c r="D158" i="3" a="1"/>
  <c r="D158" i="3" s="1"/>
  <c r="E157" i="3" a="1"/>
  <c r="E157" i="3" s="1"/>
  <c r="D157" i="3" a="1"/>
  <c r="D157" i="3" s="1"/>
  <c r="E156" i="3" a="1"/>
  <c r="E156" i="3" s="1"/>
  <c r="D156" i="3" a="1"/>
  <c r="D156" i="3" s="1"/>
  <c r="E155" i="3" a="1"/>
  <c r="E155" i="3" s="1"/>
  <c r="D155" i="3" a="1"/>
  <c r="D155" i="3" s="1"/>
  <c r="E154" i="3" a="1"/>
  <c r="E154" i="3" s="1"/>
  <c r="D154" i="3" a="1"/>
  <c r="D154" i="3" s="1"/>
  <c r="D151" i="3" a="1"/>
  <c r="D151" i="3" s="1"/>
  <c r="D150" i="3" a="1"/>
  <c r="D150" i="3" s="1"/>
  <c r="E147" i="3" a="1"/>
  <c r="E147" i="3" s="1"/>
  <c r="D147" i="3" a="1"/>
  <c r="D147" i="3" s="1"/>
  <c r="E146" i="3" a="1"/>
  <c r="E146" i="3" s="1"/>
  <c r="D146" i="3" a="1"/>
  <c r="D146" i="3" s="1"/>
  <c r="E145" i="3" a="1"/>
  <c r="E145" i="3" s="1"/>
  <c r="D145" i="3" a="1"/>
  <c r="D145" i="3" s="1"/>
  <c r="E144" i="3" a="1"/>
  <c r="E144" i="3" s="1"/>
  <c r="D144" i="3" a="1"/>
  <c r="D144" i="3" s="1"/>
  <c r="E143" i="3" a="1"/>
  <c r="E143" i="3" s="1"/>
  <c r="D143" i="3" a="1"/>
  <c r="D143" i="3" s="1"/>
  <c r="D141" i="3" a="1"/>
  <c r="D141" i="3" s="1"/>
  <c r="D140" i="3" a="1"/>
  <c r="D140" i="3" s="1"/>
  <c r="D139" i="3" a="1"/>
  <c r="D139" i="3" s="1"/>
  <c r="E136" i="3" a="1"/>
  <c r="E136" i="3" s="1"/>
  <c r="D136" i="3" a="1"/>
  <c r="D136" i="3" s="1"/>
  <c r="E135" i="3" a="1"/>
  <c r="E135" i="3" s="1"/>
  <c r="D135" i="3" a="1"/>
  <c r="D135" i="3" s="1"/>
  <c r="D133" i="3" a="1"/>
  <c r="D133" i="3" s="1"/>
  <c r="D132" i="3" a="1"/>
  <c r="D132" i="3" s="1"/>
  <c r="E129" i="3" a="1"/>
  <c r="E129" i="3" s="1"/>
  <c r="D129" i="3" a="1"/>
  <c r="D129" i="3" s="1"/>
  <c r="E128" i="3" a="1"/>
  <c r="E128" i="3" s="1"/>
  <c r="D128" i="3" a="1"/>
  <c r="D128" i="3" s="1"/>
  <c r="D125" i="3" a="1"/>
  <c r="D125" i="3" s="1"/>
  <c r="D124" i="3" a="1"/>
  <c r="D124" i="3" s="1"/>
  <c r="G121" i="3" a="1"/>
  <c r="G121" i="3" s="1"/>
  <c r="F121" i="3" a="1"/>
  <c r="F121" i="3" s="1"/>
  <c r="E121" i="3" a="1"/>
  <c r="E121" i="3" s="1"/>
  <c r="D121" i="3" a="1"/>
  <c r="D121" i="3" s="1"/>
  <c r="G120" i="3" a="1"/>
  <c r="G120" i="3" s="1"/>
  <c r="F120" i="3" a="1"/>
  <c r="F120" i="3" s="1"/>
  <c r="E120" i="3" a="1"/>
  <c r="E120" i="3" s="1"/>
  <c r="D120" i="3" a="1"/>
  <c r="D120" i="3" s="1"/>
  <c r="D117" i="3" a="1"/>
  <c r="D117" i="3" s="1"/>
  <c r="D116" i="3" a="1"/>
  <c r="D116" i="3" s="1"/>
  <c r="D115" i="3" a="1"/>
  <c r="D115" i="3" s="1"/>
  <c r="G112" i="3" a="1"/>
  <c r="G112" i="3" s="1"/>
  <c r="F112" i="3" a="1"/>
  <c r="F112" i="3" s="1"/>
  <c r="E112" i="3" a="1"/>
  <c r="E112" i="3" s="1"/>
  <c r="D112" i="3" a="1"/>
  <c r="D112" i="3" s="1"/>
  <c r="G111" i="3" a="1"/>
  <c r="G111" i="3" s="1"/>
  <c r="F111" i="3" a="1"/>
  <c r="F111" i="3" s="1"/>
  <c r="E111" i="3" a="1"/>
  <c r="E111" i="3" s="1"/>
  <c r="D111" i="3" a="1"/>
  <c r="D111" i="3" s="1"/>
  <c r="G110" i="3" a="1"/>
  <c r="G110" i="3" s="1"/>
  <c r="F110" i="3" a="1"/>
  <c r="F110" i="3" s="1"/>
  <c r="E110" i="3" a="1"/>
  <c r="E110" i="3" s="1"/>
  <c r="D110" i="3" a="1"/>
  <c r="D110" i="3" s="1"/>
  <c r="D107" i="3" a="1"/>
  <c r="D107" i="3" s="1"/>
  <c r="D106" i="3" a="1"/>
  <c r="D106" i="3" s="1"/>
  <c r="D105" i="3" a="1"/>
  <c r="D105" i="3" s="1"/>
  <c r="D98" i="3" a="1"/>
  <c r="D98" i="3" s="1"/>
  <c r="S97" i="3" a="1"/>
  <c r="S97" i="3" s="1"/>
  <c r="R97" i="3" a="1"/>
  <c r="R97" i="3" s="1"/>
  <c r="Q97" i="3" a="1"/>
  <c r="Q97" i="3" s="1"/>
  <c r="P97" i="3" a="1"/>
  <c r="P97" i="3" s="1"/>
  <c r="O97" i="3" a="1"/>
  <c r="O97" i="3" s="1"/>
  <c r="N97" i="3" a="1"/>
  <c r="N97" i="3" s="1"/>
  <c r="M97" i="3" a="1"/>
  <c r="M97" i="3" s="1"/>
  <c r="L97" i="3" a="1"/>
  <c r="L97" i="3" s="1"/>
  <c r="K97" i="3" a="1"/>
  <c r="K97" i="3" s="1"/>
  <c r="J97" i="3" a="1"/>
  <c r="J97" i="3" s="1"/>
  <c r="I97" i="3" a="1"/>
  <c r="I97" i="3" s="1"/>
  <c r="H97" i="3" a="1"/>
  <c r="H97" i="3" s="1"/>
  <c r="G97" i="3" a="1"/>
  <c r="G97" i="3" s="1"/>
  <c r="F97" i="3" a="1"/>
  <c r="F97" i="3" s="1"/>
  <c r="E97" i="3" a="1"/>
  <c r="E97" i="3" s="1"/>
  <c r="D97" i="3" a="1"/>
  <c r="D97" i="3" s="1"/>
  <c r="S96" i="3" a="1"/>
  <c r="S96" i="3" s="1"/>
  <c r="R96" i="3" a="1"/>
  <c r="R96" i="3" s="1"/>
  <c r="Q96" i="3" a="1"/>
  <c r="Q96" i="3" s="1"/>
  <c r="P96" i="3" a="1"/>
  <c r="P96" i="3" s="1"/>
  <c r="O96" i="3" a="1"/>
  <c r="O96" i="3" s="1"/>
  <c r="N96" i="3" a="1"/>
  <c r="N96" i="3" s="1"/>
  <c r="M96" i="3" a="1"/>
  <c r="M96" i="3" s="1"/>
  <c r="L96" i="3" a="1"/>
  <c r="L96" i="3" s="1"/>
  <c r="K96" i="3" a="1"/>
  <c r="K96" i="3" s="1"/>
  <c r="J96" i="3" a="1"/>
  <c r="J96" i="3" s="1"/>
  <c r="I96" i="3" a="1"/>
  <c r="I96" i="3" s="1"/>
  <c r="H96" i="3" a="1"/>
  <c r="H96" i="3" s="1"/>
  <c r="G96" i="3" a="1"/>
  <c r="G96" i="3" s="1"/>
  <c r="F96" i="3" a="1"/>
  <c r="F96" i="3" s="1"/>
  <c r="E96" i="3" a="1"/>
  <c r="E96" i="3" s="1"/>
  <c r="D96" i="3" a="1"/>
  <c r="D96" i="3" s="1"/>
  <c r="S95" i="3" a="1"/>
  <c r="S95" i="3" s="1"/>
  <c r="R95" i="3" a="1"/>
  <c r="R95" i="3" s="1"/>
  <c r="Q95" i="3" a="1"/>
  <c r="Q95" i="3" s="1"/>
  <c r="P95" i="3" a="1"/>
  <c r="P95" i="3" s="1"/>
  <c r="O95" i="3" a="1"/>
  <c r="O95" i="3" s="1"/>
  <c r="N95" i="3" a="1"/>
  <c r="N95" i="3" s="1"/>
  <c r="M95" i="3" a="1"/>
  <c r="M95" i="3" s="1"/>
  <c r="L95" i="3" a="1"/>
  <c r="L95" i="3" s="1"/>
  <c r="K95" i="3" a="1"/>
  <c r="K95" i="3" s="1"/>
  <c r="J95" i="3" a="1"/>
  <c r="J95" i="3" s="1"/>
  <c r="I95" i="3" a="1"/>
  <c r="I95" i="3" s="1"/>
  <c r="H95" i="3" a="1"/>
  <c r="H95" i="3" s="1"/>
  <c r="G95" i="3" a="1"/>
  <c r="G95" i="3" s="1"/>
  <c r="F95" i="3" a="1"/>
  <c r="F95" i="3" s="1"/>
  <c r="E95" i="3" a="1"/>
  <c r="E95" i="3" s="1"/>
  <c r="D95" i="3" a="1"/>
  <c r="D95" i="3" s="1"/>
  <c r="S94" i="3" a="1"/>
  <c r="S94" i="3" s="1"/>
  <c r="R94" i="3" a="1"/>
  <c r="R94" i="3" s="1"/>
  <c r="Q94" i="3" a="1"/>
  <c r="Q94" i="3" s="1"/>
  <c r="P94" i="3" a="1"/>
  <c r="P94" i="3" s="1"/>
  <c r="O94" i="3" a="1"/>
  <c r="O94" i="3" s="1"/>
  <c r="N94" i="3" a="1"/>
  <c r="N94" i="3" s="1"/>
  <c r="M94" i="3" a="1"/>
  <c r="M94" i="3" s="1"/>
  <c r="L94" i="3" a="1"/>
  <c r="L94" i="3" s="1"/>
  <c r="K94" i="3" a="1"/>
  <c r="K94" i="3" s="1"/>
  <c r="J94" i="3" a="1"/>
  <c r="J94" i="3" s="1"/>
  <c r="I94" i="3" a="1"/>
  <c r="I94" i="3" s="1"/>
  <c r="H94" i="3" a="1"/>
  <c r="H94" i="3" s="1"/>
  <c r="G94" i="3" a="1"/>
  <c r="G94" i="3" s="1"/>
  <c r="F94" i="3" a="1"/>
  <c r="F94" i="3" s="1"/>
  <c r="E94" i="3" a="1"/>
  <c r="E94" i="3" s="1"/>
  <c r="D94" i="3" a="1"/>
  <c r="D94" i="3" s="1"/>
  <c r="S93" i="3" a="1"/>
  <c r="S93" i="3" s="1"/>
  <c r="R93" i="3" a="1"/>
  <c r="R93" i="3" s="1"/>
  <c r="Q93" i="3" a="1"/>
  <c r="Q93" i="3" s="1"/>
  <c r="P93" i="3" a="1"/>
  <c r="P93" i="3" s="1"/>
  <c r="O93" i="3" a="1"/>
  <c r="O93" i="3" s="1"/>
  <c r="N93" i="3" a="1"/>
  <c r="N93" i="3" s="1"/>
  <c r="M93" i="3" a="1"/>
  <c r="M93" i="3" s="1"/>
  <c r="L93" i="3" a="1"/>
  <c r="L93" i="3" s="1"/>
  <c r="K93" i="3" a="1"/>
  <c r="K93" i="3" s="1"/>
  <c r="J93" i="3" a="1"/>
  <c r="J93" i="3" s="1"/>
  <c r="I93" i="3" a="1"/>
  <c r="I93" i="3" s="1"/>
  <c r="H93" i="3" a="1"/>
  <c r="H93" i="3" s="1"/>
  <c r="G93" i="3" a="1"/>
  <c r="G93" i="3" s="1"/>
  <c r="F93" i="3" a="1"/>
  <c r="F93" i="3" s="1"/>
  <c r="E93" i="3" a="1"/>
  <c r="E93" i="3" s="1"/>
  <c r="D93" i="3" a="1"/>
  <c r="D93" i="3" s="1"/>
  <c r="S92" i="3" a="1"/>
  <c r="S92" i="3" s="1"/>
  <c r="R92" i="3" a="1"/>
  <c r="R92" i="3" s="1"/>
  <c r="Q92" i="3" a="1"/>
  <c r="Q92" i="3" s="1"/>
  <c r="P92" i="3" a="1"/>
  <c r="P92" i="3" s="1"/>
  <c r="O92" i="3" a="1"/>
  <c r="O92" i="3" s="1"/>
  <c r="N92" i="3" a="1"/>
  <c r="N92" i="3" s="1"/>
  <c r="M92" i="3" a="1"/>
  <c r="M92" i="3" s="1"/>
  <c r="L92" i="3" a="1"/>
  <c r="L92" i="3" s="1"/>
  <c r="K92" i="3" a="1"/>
  <c r="K92" i="3" s="1"/>
  <c r="J92" i="3" a="1"/>
  <c r="J92" i="3" s="1"/>
  <c r="I92" i="3" a="1"/>
  <c r="I92" i="3" s="1"/>
  <c r="H92" i="3" a="1"/>
  <c r="H92" i="3" s="1"/>
  <c r="G92" i="3" a="1"/>
  <c r="G92" i="3" s="1"/>
  <c r="F92" i="3" a="1"/>
  <c r="F92" i="3" s="1"/>
  <c r="E92" i="3" a="1"/>
  <c r="E92" i="3" s="1"/>
  <c r="D92" i="3" a="1"/>
  <c r="D92" i="3" s="1"/>
  <c r="S91" i="3" a="1"/>
  <c r="S91" i="3" s="1"/>
  <c r="R91" i="3" a="1"/>
  <c r="R91" i="3" s="1"/>
  <c r="Q91" i="3" a="1"/>
  <c r="Q91" i="3" s="1"/>
  <c r="P91" i="3" a="1"/>
  <c r="P91" i="3" s="1"/>
  <c r="O91" i="3" a="1"/>
  <c r="O91" i="3" s="1"/>
  <c r="N91" i="3" a="1"/>
  <c r="N91" i="3" s="1"/>
  <c r="M91" i="3" a="1"/>
  <c r="M91" i="3" s="1"/>
  <c r="L91" i="3" a="1"/>
  <c r="L91" i="3" s="1"/>
  <c r="K91" i="3" a="1"/>
  <c r="K91" i="3" s="1"/>
  <c r="J91" i="3" a="1"/>
  <c r="J91" i="3" s="1"/>
  <c r="I91" i="3" a="1"/>
  <c r="I91" i="3" s="1"/>
  <c r="H91" i="3" a="1"/>
  <c r="H91" i="3" s="1"/>
  <c r="G91" i="3" a="1"/>
  <c r="G91" i="3" s="1"/>
  <c r="F91" i="3" a="1"/>
  <c r="F91" i="3" s="1"/>
  <c r="E91" i="3" a="1"/>
  <c r="E91" i="3" s="1"/>
  <c r="D91" i="3" a="1"/>
  <c r="D91" i="3" s="1"/>
  <c r="S90" i="3" a="1"/>
  <c r="S90" i="3" s="1"/>
  <c r="R90" i="3" a="1"/>
  <c r="R90" i="3" s="1"/>
  <c r="Q90" i="3" a="1"/>
  <c r="Q90" i="3" s="1"/>
  <c r="P90" i="3" a="1"/>
  <c r="P90" i="3" s="1"/>
  <c r="O90" i="3" a="1"/>
  <c r="O90" i="3" s="1"/>
  <c r="N90" i="3" a="1"/>
  <c r="N90" i="3" s="1"/>
  <c r="M90" i="3" a="1"/>
  <c r="M90" i="3" s="1"/>
  <c r="L90" i="3" a="1"/>
  <c r="L90" i="3" s="1"/>
  <c r="K90" i="3" a="1"/>
  <c r="K90" i="3" s="1"/>
  <c r="J90" i="3" a="1"/>
  <c r="J90" i="3" s="1"/>
  <c r="I90" i="3" a="1"/>
  <c r="I90" i="3" s="1"/>
  <c r="H90" i="3" a="1"/>
  <c r="H90" i="3" s="1"/>
  <c r="G90" i="3" a="1"/>
  <c r="G90" i="3" s="1"/>
  <c r="F90" i="3" a="1"/>
  <c r="F90" i="3" s="1"/>
  <c r="E90" i="3" a="1"/>
  <c r="E90" i="3" s="1"/>
  <c r="D90" i="3" a="1"/>
  <c r="D90" i="3" s="1"/>
  <c r="D83" i="3" a="1"/>
  <c r="D83" i="3" s="1"/>
  <c r="D82" i="3" a="1"/>
  <c r="D82" i="3" s="1"/>
  <c r="D81" i="3" a="1"/>
  <c r="D81" i="3" s="1"/>
  <c r="E77" i="3" a="1"/>
  <c r="E77" i="3" s="1"/>
  <c r="D77" i="3" a="1"/>
  <c r="D77" i="3" s="1"/>
  <c r="E76" i="3" a="1"/>
  <c r="E76" i="3" s="1"/>
  <c r="D76" i="3" a="1"/>
  <c r="D76" i="3" s="1"/>
  <c r="E75" i="3" a="1"/>
  <c r="E75" i="3" s="1"/>
  <c r="D75" i="3" a="1"/>
  <c r="D75" i="3" s="1"/>
  <c r="E74" i="3" a="1"/>
  <c r="E74" i="3" s="1"/>
  <c r="D74" i="3" a="1"/>
  <c r="D74" i="3" s="1"/>
  <c r="E73" i="3" a="1"/>
  <c r="E73" i="3" s="1"/>
  <c r="D73" i="3" a="1"/>
  <c r="D73" i="3" s="1"/>
  <c r="E72" i="3" a="1"/>
  <c r="E72" i="3" s="1"/>
  <c r="D72" i="3" a="1"/>
  <c r="D72" i="3" s="1"/>
  <c r="E71" i="3" a="1"/>
  <c r="E71" i="3" s="1"/>
  <c r="D71" i="3" a="1"/>
  <c r="D71" i="3" s="1"/>
  <c r="E70" i="3" a="1"/>
  <c r="E70" i="3" s="1"/>
  <c r="D70" i="3" a="1"/>
  <c r="D70" i="3" s="1"/>
  <c r="E69" i="3" a="1"/>
  <c r="E69" i="3" s="1"/>
  <c r="D69" i="3" a="1"/>
  <c r="D69" i="3" s="1"/>
  <c r="E68" i="3" a="1"/>
  <c r="E68" i="3" s="1"/>
  <c r="D68" i="3" a="1"/>
  <c r="D68" i="3" s="1"/>
  <c r="E67" i="3" a="1"/>
  <c r="E67" i="3" s="1"/>
  <c r="D67" i="3" a="1"/>
  <c r="D67" i="3" s="1"/>
  <c r="E66" i="3" a="1"/>
  <c r="E66" i="3" s="1"/>
  <c r="D66" i="3" a="1"/>
  <c r="D66" i="3" s="1"/>
  <c r="E65" i="3" a="1"/>
  <c r="E65" i="3" s="1"/>
  <c r="D65" i="3" a="1"/>
  <c r="D65" i="3" s="1"/>
  <c r="E64" i="3" a="1"/>
  <c r="E64" i="3" s="1"/>
  <c r="D64" i="3" a="1"/>
  <c r="D64" i="3" s="1"/>
  <c r="D59" i="3" a="1"/>
  <c r="D59" i="3" s="1"/>
  <c r="D58" i="3" a="1"/>
  <c r="D58" i="3" s="1"/>
  <c r="D57" i="3" a="1"/>
  <c r="D57" i="3" s="1"/>
  <c r="G54" i="3" a="1"/>
  <c r="G54" i="3" s="1"/>
  <c r="F54" i="3" a="1"/>
  <c r="F54" i="3" s="1"/>
  <c r="E54" i="3" a="1"/>
  <c r="E54" i="3" s="1"/>
  <c r="D54" i="3" a="1"/>
  <c r="D54" i="3" s="1"/>
  <c r="G53" i="3" a="1"/>
  <c r="G53" i="3" s="1"/>
  <c r="F53" i="3" a="1"/>
  <c r="F53" i="3" s="1"/>
  <c r="E53" i="3" a="1"/>
  <c r="E53" i="3" s="1"/>
  <c r="D53" i="3" a="1"/>
  <c r="D53" i="3" s="1"/>
  <c r="G52" i="3" a="1"/>
  <c r="G52" i="3" s="1"/>
  <c r="F52" i="3" a="1"/>
  <c r="F52" i="3" s="1"/>
  <c r="E52" i="3" a="1"/>
  <c r="E52" i="3" s="1"/>
  <c r="D52" i="3" a="1"/>
  <c r="D52" i="3" s="1"/>
  <c r="G51" i="3" a="1"/>
  <c r="G51" i="3" s="1"/>
  <c r="F51" i="3" a="1"/>
  <c r="F51" i="3" s="1"/>
  <c r="E51" i="3" a="1"/>
  <c r="E51" i="3" s="1"/>
  <c r="D51" i="3" a="1"/>
  <c r="D51" i="3" s="1"/>
  <c r="G50" i="3" a="1"/>
  <c r="G50" i="3" s="1"/>
  <c r="F50" i="3" a="1"/>
  <c r="F50" i="3" s="1"/>
  <c r="E50" i="3" a="1"/>
  <c r="E50" i="3" s="1"/>
  <c r="D50" i="3" a="1"/>
  <c r="D50" i="3" s="1"/>
  <c r="G49" i="3" a="1"/>
  <c r="G49" i="3" s="1"/>
  <c r="F49" i="3" a="1"/>
  <c r="F49" i="3" s="1"/>
  <c r="E49" i="3" a="1"/>
  <c r="E49" i="3" s="1"/>
  <c r="D49" i="3" a="1"/>
  <c r="D49" i="3" s="1"/>
  <c r="G48" i="3" a="1"/>
  <c r="G48" i="3" s="1"/>
  <c r="F48" i="3" a="1"/>
  <c r="F48" i="3" s="1"/>
  <c r="E48" i="3" a="1"/>
  <c r="E48" i="3" s="1"/>
  <c r="D48" i="3" a="1"/>
  <c r="D48" i="3" s="1"/>
  <c r="D46" i="3" a="1"/>
  <c r="D46" i="3" s="1"/>
  <c r="D45" i="3" a="1"/>
  <c r="D45" i="3" s="1"/>
  <c r="E43" i="3" a="1"/>
  <c r="E43" i="3" s="1"/>
  <c r="D43" i="3" a="1"/>
  <c r="D43" i="3" s="1"/>
  <c r="E42" i="3" a="1"/>
  <c r="E42" i="3" s="1"/>
  <c r="D42" i="3" a="1"/>
  <c r="D42" i="3" s="1"/>
  <c r="E41" i="3" a="1"/>
  <c r="E41" i="3" s="1"/>
  <c r="D41" i="3" a="1"/>
  <c r="D41" i="3" s="1"/>
  <c r="E40" i="3" a="1"/>
  <c r="E40" i="3" s="1"/>
  <c r="D40" i="3" a="1"/>
  <c r="D40" i="3" s="1"/>
  <c r="E39" i="3" a="1"/>
  <c r="E39" i="3" s="1"/>
  <c r="D39" i="3" a="1"/>
  <c r="D39" i="3" s="1"/>
  <c r="E38" i="3" a="1"/>
  <c r="E38" i="3" s="1"/>
  <c r="D38" i="3" a="1"/>
  <c r="D38" i="3" s="1"/>
  <c r="E37" i="3" a="1"/>
  <c r="E37" i="3" s="1"/>
  <c r="D37" i="3" a="1"/>
  <c r="D37" i="3" s="1"/>
  <c r="D35" i="3" a="1"/>
  <c r="D35" i="3" s="1"/>
  <c r="D34" i="3" a="1"/>
  <c r="D34" i="3" s="1"/>
  <c r="D30" i="3" a="1"/>
  <c r="D30" i="3" s="1"/>
  <c r="D29" i="3" a="1"/>
  <c r="D29" i="3" s="1"/>
  <c r="D28" i="3" a="1"/>
  <c r="D28" i="3" s="1"/>
  <c r="D27" i="3" a="1"/>
  <c r="D27" i="3" s="1"/>
  <c r="D26" i="3" a="1"/>
  <c r="D26" i="3" s="1"/>
  <c r="D25" i="3" a="1"/>
  <c r="D25" i="3" s="1"/>
  <c r="D24" i="3" a="1"/>
  <c r="D24" i="3" s="1"/>
  <c r="D23" i="3" a="1"/>
  <c r="D23" i="3" s="1"/>
  <c r="D22" i="3" a="1"/>
  <c r="D22" i="3" s="1"/>
  <c r="D21" i="3" a="1"/>
  <c r="D21" i="3" s="1"/>
  <c r="D19" i="3" a="1"/>
  <c r="D19" i="3" s="1"/>
  <c r="D18" i="3" a="1"/>
  <c r="D18" i="3" s="1"/>
  <c r="F14" i="3" a="1"/>
  <c r="F14" i="3" s="1"/>
  <c r="E14" i="3" a="1"/>
  <c r="E14" i="3" s="1"/>
  <c r="D14" i="3" a="1"/>
  <c r="D14" i="3" s="1"/>
  <c r="F13" i="3" a="1"/>
  <c r="F13" i="3" s="1"/>
  <c r="E13" i="3" a="1"/>
  <c r="E13" i="3" s="1"/>
  <c r="D13" i="3" a="1"/>
  <c r="D13" i="3" s="1"/>
  <c r="F12" i="3" a="1"/>
  <c r="F12" i="3" s="1"/>
  <c r="E12" i="3" a="1"/>
  <c r="E12" i="3" s="1"/>
  <c r="D12" i="3" a="1"/>
  <c r="D12" i="3" s="1"/>
  <c r="F11" i="3" a="1"/>
  <c r="F11" i="3" s="1"/>
  <c r="E11" i="3" a="1"/>
  <c r="E11" i="3" s="1"/>
  <c r="D11" i="3" a="1"/>
  <c r="D11" i="3" s="1"/>
  <c r="F10" i="3" a="1"/>
  <c r="F10" i="3" s="1"/>
  <c r="E10" i="3" a="1"/>
  <c r="E10" i="3" s="1"/>
  <c r="D10" i="3" a="1"/>
  <c r="D10" i="3" s="1"/>
  <c r="F9" i="3" a="1"/>
  <c r="F9" i="3" s="1"/>
  <c r="E9" i="3" a="1"/>
  <c r="E9" i="3" s="1"/>
  <c r="D9" i="3" a="1"/>
  <c r="D9" i="3" s="1"/>
  <c r="F8" i="3" a="1"/>
  <c r="F8" i="3" s="1"/>
  <c r="E8" i="3" a="1"/>
  <c r="E8" i="3" s="1"/>
  <c r="D8" i="3" a="1"/>
  <c r="D8" i="3" s="1"/>
  <c r="F7" i="3" a="1"/>
  <c r="F7" i="3" s="1"/>
  <c r="E7" i="3" a="1"/>
  <c r="E7" i="3" s="1"/>
  <c r="D7" i="3" a="1"/>
  <c r="D7" i="3" s="1"/>
  <c r="D5" i="3" a="1"/>
  <c r="D5" i="3" s="1"/>
  <c r="I8" i="19" l="1"/>
  <c r="I6" i="19"/>
  <c r="G6" i="19"/>
  <c r="E19" i="1"/>
  <c r="E14" i="1"/>
  <c r="E7" i="1"/>
  <c r="E18" i="1"/>
  <c r="E6" i="1"/>
  <c r="H54" i="3"/>
  <c r="H52" i="3"/>
  <c r="H48" i="3"/>
  <c r="H50" i="3"/>
  <c r="H53" i="3"/>
  <c r="H51" i="3"/>
  <c r="H49"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<sst xmlns="http://schemas.openxmlformats.org/spreadsheetml/2006/main" count="867" uniqueCount="486">
  <si>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</si>
  <si>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</si>
  <si>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</si>
  <si>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</si>
  <si>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</si>
  <si>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</si>
  <si>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</si>
  <si>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</si>
  <si>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</si>
  <si>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</si>
  <si>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</si>
  <si>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</si>
  <si>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</si>
  <si>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</si>
  <si>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</si>
  <si>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</si>
  <si>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</si>
  <si>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</si>
  <si>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</si>
  <si>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</si>
  <si>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</si>
  <si>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</si>
  <si>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</si>
  <si>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</si>
  <si>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</si>
  <si>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</si>
  <si>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</si>
  <si>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</si>
  <si>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</si>
  <si>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</si>
  <si>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</si>
  <si>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</si>
  <si>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</si>
  <si>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</si>
  <si>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</si>
  <si>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</si>
  <si>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</si>
  <si>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</si>
  <si>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</si>
  <si>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</si>
  <si>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</si>
  <si>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</si>
  <si>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</si>
  <si>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</si>
  <si>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</si>
  <si>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</si>
  <si>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</si>
  <si>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</si>
  <si>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</si>
  <si>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</si>
  <si>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</si>
  <si>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</si>
  <si>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</si>
  <si>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</si>
  <si>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</si>
  <si>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</si>
  <si>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</si>
  <si>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</si>
  <si>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</si>
  <si>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</si>
  <si>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</si>
  <si>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</si>
  <si>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</si>
  <si>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</si>
  <si>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</si>
  <si>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</si>
  <si>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</si>
  <si>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</si>
  <si>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</si>
  <si>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</si>
  <si>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</si>
  <si>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</si>
  <si>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</si>
  <si>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</si>
  <si>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</si>
  <si>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</si>
  <si>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</si>
  <si>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</si>
  <si>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</si>
  <si>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</si>
  <si>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</si>
  <si>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</si>
  <si>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</si>
  <si>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</si>
  <si>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</si>
  <si>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</si>
  <si>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</si>
  <si>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Scope 3 Emission Factors for Natural Gas (kg CO2 - e / GJ) Metro</t>
  </si>
  <si>
    <t>Scope 3 Emission Factors for Natural Gas (kg CO2 - e / GJ) Non - Metro</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</si>
  <si>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</si>
  <si>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</si>
  <si>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</si>
  <si>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</si>
  <si>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</si>
  <si>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</si>
  <si>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</si>
  <si>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</si>
  <si>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</si>
  <si>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</si>
  <si>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</si>
  <si>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</si>
  <si>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</si>
  <si>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</si>
  <si>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</si>
  <si>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</si>
  <si>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</si>
  <si>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</si>
  <si>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</si>
  <si>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</si>
  <si>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</si>
  <si>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</si>
  <si>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</si>
  <si>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</si>
  <si>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</si>
  <si>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</si>
  <si>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</si>
  <si>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</si>
  <si>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</si>
  <si>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</si>
  <si>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</si>
  <si>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</si>
  <si>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</si>
  <si>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</si>
  <si>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</si>
  <si>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</si>
  <si>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</si>
  <si>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</si>
  <si>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</si>
  <si>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</si>
  <si>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</si>
  <si>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</si>
  <si>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</si>
  <si>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</si>
  <si>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</si>
  <si>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</si>
  <si>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</si>
  <si>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</si>
  <si>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</si>
  <si>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</si>
  <si>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</si>
  <si>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</si>
  <si>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</si>
  <si>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</si>
  <si>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</si>
  <si>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</si>
  <si>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</si>
  <si>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</si>
  <si>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</si>
  <si>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</si>
  <si>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</si>
  <si>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</si>
  <si>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</si>
  <si>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</si>
  <si>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</si>
  <si>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</si>
  <si>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</si>
  <si>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</si>
  <si>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</si>
  <si>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</si>
  <si>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</si>
  <si>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</si>
  <si>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</si>
  <si>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</si>
  <si>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</si>
  <si>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</si>
  <si>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</si>
  <si>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</si>
  <si>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</si>
  <si>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</si>
  <si>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</si>
  <si>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</si>
  <si>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</si>
  <si>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</si>
  <si>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</si>
  <si>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</si>
  <si>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</si>
  <si>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</si>
  <si>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</si>
  <si>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</si>
  <si>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</si>
  <si>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</si>
  <si>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</si>
  <si>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</si>
  <si>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</si>
  <si>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</si>
  <si>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</si>
  <si>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</si>
  <si>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</si>
  <si>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</si>
  <si>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</si>
  <si>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</si>
  <si>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</si>
  <si>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</si>
  <si>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</si>
  <si>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</si>
  <si>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</si>
  <si>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</si>
  <si>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</si>
  <si>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</si>
  <si>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</si>
  <si>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</si>
  <si>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</si>
  <si>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</si>
  <si>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</si>
  <si>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</si>
  <si>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</si>
  <si>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</si>
  <si>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(kg / ha)</t>
    </r>
  </si>
  <si>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</si>
  <si>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</si>
  <si>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</si>
  <si>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</si>
  <si>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</si>
  <si>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</si>
  <si>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</si>
  <si>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</si>
  <si>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</si>
  <si>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</si>
  <si>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</si>
  <si>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Soil amendments</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</si>
  <si>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</si>
  <si>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</si>
  <si>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</si>
  <si>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</si>
  <si>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</si>
  <si>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</si>
  <si>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</si>
  <si>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</si>
  <si>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Percent Potash</t>
  </si>
  <si>
    <t>Total</t>
  </si>
  <si>
    <t>Lime product 1</t>
  </si>
  <si>
    <t>Lime product 2</t>
  </si>
  <si>
    <t>Organic fertiliser applied</t>
  </si>
  <si>
    <t>Organic fertiliser type (select)</t>
  </si>
  <si>
    <t>Percentage of N in fertiliser</t>
  </si>
  <si>
    <t>Amount applied (kg/hectare)</t>
  </si>
  <si>
    <t>Amount N applied (kg/hectare)</t>
  </si>
  <si>
    <t>Total organic fertliser applied</t>
  </si>
  <si>
    <t>Total nitrogen applied (kg)</t>
  </si>
  <si>
    <r>
      <t>TM</t>
    </r>
    <r>
      <rPr>
        <b/>
        <vertAlign val="subscript"/>
        <sz val="11"/>
        <color rgb="FF533001"/>
        <rFont val="Times New Roman"/>
        <family val="1"/>
      </rPr>
      <t>jf</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</si>
  <si>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</si>
  <si>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</si>
  <si>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</si>
  <si>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</si>
  <si>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</si>
  <si>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</si>
  <si>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</si>
  <si>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</si>
  <si>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</si>
  <si>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</si>
  <si>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</si>
  <si>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</si>
  <si>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</si>
  <si>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</si>
  <si>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</si>
  <si>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</si>
  <si>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</si>
  <si>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</si>
  <si>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</si>
  <si>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</si>
  <si>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</si>
  <si>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</si>
  <si>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</si>
  <si>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</si>
  <si>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</si>
  <si>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</si>
  <si>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</si>
  <si>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</si>
  <si>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</si>
  <si>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</si>
  <si>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</si>
  <si>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</si>
  <si>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</si>
  <si>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</si>
  <si>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</si>
  <si>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</si>
  <si>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</si>
  <si>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</si>
  <si>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</si>
  <si>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</si>
  <si>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</si>
  <si>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</si>
  <si>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</si>
  <si>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</si>
  <si>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</si>
  <si>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</si>
  <si>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</si>
  <si>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</si>
  <si>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</si>
  <si>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</si>
  <si>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</si>
  <si>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</si>
  <si>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</si>
  <si>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</si>
  <si>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</si>
  <si>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</si>
  <si>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Fuel</t>
  </si>
  <si>
    <t>Fertiliser</t>
  </si>
  <si>
    <t>Electricity</t>
  </si>
  <si>
    <t>Amount purchased from grid</t>
  </si>
  <si>
    <t>Grid</t>
  </si>
  <si>
    <t>Calculations - Purchased goods scope 3</t>
  </si>
  <si>
    <t>Home</t>
  </si>
  <si>
    <t>Chemical compound</t>
  </si>
  <si>
    <t>Quantity</t>
  </si>
  <si>
    <t>Quantity Unit</t>
  </si>
  <si>
    <t>AusLCI Emissions intensity</t>
  </si>
  <si>
    <t>Custom emissions intensity</t>
  </si>
  <si>
    <t>Emissions intensity unit</t>
  </si>
  <si>
    <t>Scope 3 emissions inc. custom (t CO2-e)2</t>
  </si>
  <si>
    <t>Custom emissions intensity source</t>
  </si>
  <si>
    <t>Custom emissions intensity source type (Select)</t>
  </si>
  <si>
    <t>Custom emissions intensity credential / certification link</t>
  </si>
  <si>
    <t>Scope 3 data score</t>
  </si>
  <si>
    <t>Emissions intensity calculated from approved method</t>
  </si>
  <si>
    <t>Waste</t>
  </si>
  <si>
    <t>Freight and transport</t>
  </si>
  <si>
    <t>N2O MMS</t>
  </si>
  <si>
    <t>Enteric methane</t>
  </si>
  <si>
    <t>Total scope 3 - Inorganic fertiliser chemical compounds exc. custom</t>
  </si>
  <si>
    <t>t CO2-e</t>
  </si>
  <si>
    <t>Total scope 3 - Inorganic fertiliser chemical compounds inc. custom</t>
  </si>
  <si>
    <t>Sources &amp; acknowledgements</t>
  </si>
  <si>
    <t>Scope 3 emissions exc. custom (t CO2-e)</t>
  </si>
  <si>
    <t>Total scope 3 - Organic fertiliser exc. custom</t>
  </si>
  <si>
    <t>Total scope 3 - Organic fertiliser inc. custom</t>
  </si>
  <si>
    <t>Total scope 3 - Purchased Livestock exc. custom</t>
  </si>
  <si>
    <t>Total scope 3 - Purchased Livestock inc. custom</t>
  </si>
  <si>
    <t>Soil amendment type</t>
  </si>
  <si>
    <t>Total scope 3 - Soil Amendments exc. custom</t>
  </si>
  <si>
    <t>Total scope 3 - Soil Amendments inc. custom</t>
  </si>
  <si>
    <t>Agrochemical type</t>
  </si>
  <si>
    <t>Total scope 3 - Agrochemicals exc. custom</t>
  </si>
  <si>
    <t>Total scope 3 - Agrochemicals inc. custom</t>
  </si>
  <si>
    <t>Lick block type</t>
  </si>
  <si>
    <t>Total scope 3 - Lick Blocks exc. custom</t>
  </si>
  <si>
    <t>Total scope 3 - Lick Blocks inc. custom</t>
  </si>
  <si>
    <t>Feed ingredient</t>
  </si>
  <si>
    <t>Total scope 3 - Animal Feed exc. custom</t>
  </si>
  <si>
    <t>Total scope 3 - Animal Feed inc. custom</t>
  </si>
  <si>
    <t>Feed / Bait ingredient</t>
  </si>
  <si>
    <t>Total scope 3 - Aquaculture feed and Bait exc. custom</t>
  </si>
  <si>
    <t>Total scope 3 - Aquaculture feed and Bait inc. custom</t>
  </si>
  <si>
    <t>Packaging component</t>
  </si>
  <si>
    <t>Verified credential matching ISO14067</t>
  </si>
  <si>
    <t>Total scope 3 - Packaging exc. custom</t>
  </si>
  <si>
    <t>Total scope 3 - Packaging inc. custom</t>
  </si>
  <si>
    <t>Total scope 3 - Cleaning chemicals exc. custom</t>
  </si>
  <si>
    <t>Total scope 3 - Cleaning chemicals inc. custom</t>
  </si>
  <si>
    <t>Type</t>
  </si>
  <si>
    <t>Total scope 3 - Seeds and seedlings exc. custom</t>
  </si>
  <si>
    <t>Total scope 3 - Seeds and seedlings inc. custom</t>
  </si>
  <si>
    <t>Total scope 3 - Other agricultural inputs exc. custom</t>
  </si>
  <si>
    <t>Input - Other farm inputs</t>
  </si>
  <si>
    <t>Tip: You can add more rows to the table by right-clicking on the table and selecting "Insert &gt; Table rows above/below".</t>
  </si>
  <si>
    <t>Packaging name</t>
  </si>
  <si>
    <t>Packaging component (select)</t>
  </si>
  <si>
    <t>Quantity purchased</t>
  </si>
  <si>
    <t>Quantity unit</t>
  </si>
  <si>
    <t>Reisling bottle</t>
  </si>
  <si>
    <t>Plastic packaging</t>
  </si>
  <si>
    <t>Cardboard</t>
  </si>
  <si>
    <t>Cleaning chemicals</t>
  </si>
  <si>
    <t>Chemical name</t>
  </si>
  <si>
    <t>Bleach</t>
  </si>
  <si>
    <t>Polypropylene (PP)</t>
  </si>
  <si>
    <t>Seed (general crop and pasture)</t>
  </si>
  <si>
    <t>Seedlings (forestry, horticulture, environmental)</t>
  </si>
  <si>
    <t>Input - Purchased feed - Livestock</t>
  </si>
  <si>
    <t>Supplemental feed</t>
  </si>
  <si>
    <t>Lick blocks</t>
  </si>
  <si>
    <t>Amount (t)</t>
  </si>
  <si>
    <t>Feed blends</t>
  </si>
  <si>
    <t>Feed blend name</t>
  </si>
  <si>
    <t>Amount fed (kg)</t>
  </si>
  <si>
    <t>Ingredient 2 (select)</t>
  </si>
  <si>
    <t>Ingredient 3 (select)</t>
  </si>
  <si>
    <t>Ingredient 4 (select)</t>
  </si>
  <si>
    <t>Ingredient 5 (select)</t>
  </si>
  <si>
    <t>Beet pulp</t>
  </si>
  <si>
    <t>Wheat</t>
  </si>
  <si>
    <t>Canola oil</t>
  </si>
  <si>
    <t>Bentonite</t>
  </si>
  <si>
    <t>Meat meal</t>
  </si>
  <si>
    <t>Wheat Bran</t>
  </si>
  <si>
    <t>Hay bales in paddock</t>
  </si>
  <si>
    <t>Hay</t>
  </si>
  <si>
    <t>Cotton seed</t>
  </si>
  <si>
    <r>
      <rPr>
        <b/>
        <i/>
        <sz val="12"/>
        <color rgb="FF0070C0"/>
        <rFont val="Times New Roman"/>
        <family val="1"/>
      </rPr>
      <t>Tip:</t>
    </r>
    <r>
      <rPr>
        <i/>
        <sz val="12"/>
        <color rgb="FF0070C0"/>
        <rFont val="Times New Roman"/>
        <family val="1"/>
      </rPr>
      <t xml:space="preserve"> You can add more rows to the table by right-clicking on the table and selecting "Insert &gt; Table rows above/below".</t>
    </r>
  </si>
  <si>
    <t>High Animal Protein Formulated Feed</t>
  </si>
  <si>
    <t>Cereal grain</t>
  </si>
  <si>
    <t>Squid</t>
  </si>
  <si>
    <t>Whole Sardines</t>
  </si>
  <si>
    <t>Feed blends Aquaculture and fishery</t>
  </si>
  <si>
    <t>Whole Fish</t>
  </si>
  <si>
    <t>Agrochemicals applied</t>
  </si>
  <si>
    <t>💡You can add more rows to the table by right-clicking on the table and selecting "Insert &gt; Table rows above/below".</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</si>
  <si>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</si>
  <si>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</si>
  <si>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</si>
  <si>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</si>
  <si>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</si>
  <si>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</si>
  <si>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unit (select)</t>
  </si>
  <si>
    <t>Active ingredient 1 amount</t>
  </si>
  <si>
    <t>Active ingredient 2 (select)</t>
  </si>
  <si>
    <t>Active ingredient 2 unit (select)</t>
  </si>
  <si>
    <t>Active ingredient 2 amount</t>
  </si>
  <si>
    <t>Active ingredient 3 (select)</t>
  </si>
  <si>
    <t>Active ingredient 3 unit (select)</t>
  </si>
  <si>
    <t>Active ingredient 3 amount</t>
  </si>
  <si>
    <t>RELYON DI-PAR 250 SC HERBICIDE</t>
  </si>
  <si>
    <t>litre / hectare</t>
  </si>
  <si>
    <t>Paraquat, diquat</t>
  </si>
  <si>
    <t>Grams / litre</t>
  </si>
  <si>
    <t>Generic Insecticide</t>
  </si>
  <si>
    <t>Grams / kg</t>
  </si>
  <si>
    <t>Application area</t>
  </si>
  <si>
    <t>ACT</t>
  </si>
  <si>
    <t>Western Australia - South West Interconnected System (SWIS)</t>
  </si>
  <si>
    <t>Application unit</t>
  </si>
  <si>
    <t>Density</t>
  </si>
  <si>
    <t>Canada</t>
  </si>
  <si>
    <t>Category</t>
  </si>
  <si>
    <t>Region of origin</t>
  </si>
  <si>
    <t>Calcium nitrate</t>
  </si>
  <si>
    <t>Ammonia</t>
  </si>
  <si>
    <t>Amount applied per hectare</t>
  </si>
  <si>
    <t>Custom emissions intensity (Method 2)</t>
  </si>
  <si>
    <t>Column1</t>
  </si>
  <si>
    <t>Average liveweight (kg/head)</t>
  </si>
  <si>
    <t>Livestock type (select)</t>
  </si>
  <si>
    <t>Class (select)</t>
  </si>
  <si>
    <t>Quantity (head)</t>
  </si>
  <si>
    <t>Total liveweight (kg)</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</si>
  <si>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</si>
  <si>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</si>
  <si>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</si>
  <si>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</si>
  <si>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</si>
  <si>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</si>
  <si>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</si>
  <si>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</si>
  <si>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</si>
  <si>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Australia</t>
  </si>
  <si>
    <t>NSW</t>
  </si>
  <si>
    <t>Table_SourceData_LivestockProduct_Chickens</t>
  </si>
  <si>
    <t>Column2</t>
  </si>
  <si>
    <t>Table_SourceData_LivestockProduct_Dairycattle</t>
  </si>
  <si>
    <t>Table_SourceData_LivestockProduct_Pigs</t>
  </si>
  <si>
    <t>Dairy cattle</t>
  </si>
  <si>
    <t>Chickens</t>
  </si>
  <si>
    <t>Pigs</t>
  </si>
  <si>
    <t>Sheep</t>
  </si>
  <si>
    <t>Sheep, for mutton</t>
  </si>
  <si>
    <t>VIC</t>
  </si>
  <si>
    <t>Sheep, for prime lamb</t>
  </si>
  <si>
    <t>WA</t>
  </si>
  <si>
    <t>Dairy cows</t>
  </si>
  <si>
    <t>Type (select)</t>
  </si>
  <si>
    <t>Alkaline cleaner</t>
  </si>
  <si>
    <t>Phosphoric acid</t>
  </si>
  <si>
    <t>Quantity purchased (kg)</t>
  </si>
  <si>
    <t>Ingredient 1 EF</t>
  </si>
  <si>
    <t>Global</t>
  </si>
  <si>
    <t>Ingredient 2 EF</t>
  </si>
  <si>
    <t>Ingredient 3 EF</t>
  </si>
  <si>
    <t>Ingredient 4 EF</t>
  </si>
  <si>
    <t>Ingredient 5 EF</t>
  </si>
  <si>
    <t>Ingredient 6 EF</t>
  </si>
  <si>
    <t>Scope 3 (Method 1)</t>
  </si>
  <si>
    <t>Scope 3 (Method 2)</t>
  </si>
  <si>
    <t>Boost-It</t>
  </si>
  <si>
    <t>Emissions intensity (Method 1)</t>
  </si>
  <si>
    <t>Total amount (kg)</t>
  </si>
  <si>
    <t>Transaction name</t>
  </si>
  <si>
    <t>Chooks from Barry</t>
  </si>
  <si>
    <t>Emissions intensity from seller (kg CO2e / kg liveweight)</t>
  </si>
  <si>
    <t>Emissions intensity from seller (kg CO@e / kg product)</t>
  </si>
  <si>
    <t>Seller declared EI (kg CO2e / kg product)</t>
  </si>
  <si>
    <t>Emissions intensity (kg CO2e/kg)</t>
  </si>
  <si>
    <t>Emissions intensity (Method 2)</t>
  </si>
  <si>
    <t>Fertiliser branded products</t>
  </si>
  <si>
    <t>Fertiliser custom blends - chemical compounds</t>
  </si>
  <si>
    <t>Ingredient 1 custom Emissions intensity (kg CO2e / kg)</t>
  </si>
  <si>
    <t>Column3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</si>
</sst>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d/mm/yyyy;@"/>
    <numFmt numFmtId="165" formatCode="[$-C09]d\ mmmm\ yyyy;@"/>
    <numFmt numFmtId="166" formatCode="[$-C09]dd\-mmmm\-yyyy;@"/>
    <numFmt numFmtId="167" formatCode="0.000"/>
    <numFmt numFmtId="168" formatCode="_-* #,##0_-;\-* #,##0_-;_-* &quot;-&quot;??_-;_-@_-"/>
  </numFmts>
  <fonts count="65"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b/>
      <sz val="11"/>
      <color rgb="FF183C1B"/>
      <name val="Aptos Narrow"/>
      <family val="1"/>
      <scheme val="minor"/>
    </font>
    <font>
      <b/>
      <sz val="11"/>
      <color theme="7" tint="-0.499984740745262"/>
      <name val="Aptos Narrow"/>
      <family val="1"/>
      <scheme val="minor"/>
    </font>
    <font>
      <sz val="11"/>
      <color theme="1" tint="0.24994659260841701"/>
      <name val="Aptos Narrow"/>
      <family val="2"/>
      <scheme val="minor"/>
    </font>
    <font>
      <b/>
      <sz val="16"/>
      <color theme="1"/>
      <name val="Aptos Narrow"/>
      <family val="1"/>
      <scheme val="minor"/>
    </font>
    <font>
      <sz val="16"/>
      <color theme="1"/>
      <name val="Aptos Narrow"/>
      <family val="1"/>
      <scheme val="minor"/>
    </font>
    <font>
      <b/>
      <sz val="12"/>
      <color theme="1"/>
      <name val="Aptos Narrow"/>
      <family val="1"/>
      <scheme val="minor"/>
    </font>
    <font>
      <sz val="12"/>
      <color theme="1"/>
      <name val="Aptos Narrow"/>
      <family val="1"/>
      <scheme val="minor"/>
    </font>
    <font>
      <sz val="14"/>
      <color theme="5"/>
      <name val="Times New Roman"/>
      <family val="1"/>
    </font>
    <font>
      <b/>
      <i/>
      <sz val="12"/>
      <color rgb="FF0070C0"/>
      <name val="Times New Roman"/>
      <family val="1"/>
    </font>
    <font>
      <i/>
      <sz val="12"/>
      <color rgb="FF0070C0"/>
      <name val="Times New Roman"/>
      <family val="1"/>
    </font>
    <font>
      <b/>
      <sz val="11"/>
      <color theme="5" tint="-0.499984740745262"/>
      <name val="Aptos Narrow"/>
      <family val="1"/>
      <scheme val="minor"/>
    </font>
    <font>
      <sz val="8"/>
      <name val="Times New Roman"/>
      <family val="2"/>
    </font>
    <font>
      <b/>
      <sz val="10"/>
      <color theme="1" tint="0.34998626667073579"/>
      <name val="Times New Roman"/>
      <family val="1"/>
    </font>
  </fonts>
  <fills count="14">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FFC000"/>
        <bgColor indexed="64"/>
      </patternFill>
    </fill>
    <fill>
      <patternFill patternType="solid">
        <fgColor rgb="FF008000"/>
        <bgColor indexed="64"/>
      </patternFill>
    </fill>
  </fills>
  <borders count="2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right style="thin">
        <color theme="0" tint="-0.34998626667073579"/>
      </right>
      <top/>
      <bottom/>
      <diagonal/>
    </border>
    <border>
      <left/>
      <right/>
      <top/>
      <bottom style="thin">
        <color indexed="64"/>
      </bottom>
      <diagonal/>
    </border>
    <border>
      <left/>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s>
  <cellStyleXfs count="47">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3" borderId="0">
      <alignment horizontal="left" vertical="center" indent="1"/>
    </xf>
    <xf numFmtId="0" fontId="59" fillId="2" borderId="0">
      <alignment horizontal="left" vertical="center"/>
    </xf>
  </cellStyleXfs>
  <cellXfs count="214">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3" fillId="0" borderId="0" xfId="3" applyAlignment="1" applyProtection="1">
      <alignment horizontal="center" vertical="center" wrapText="1"/>
      <protection locked="0"/>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0" fillId="0" borderId="0" xfId="21"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0" fontId="31" fillId="2" borderId="0" xfId="27">
      <alignment horizontal="center"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4" fontId="0" fillId="0" borderId="0" xfId="0" applyNumberFormat="1"/>
    <xf numFmtId="0" fontId="11" fillId="0" borderId="0" xfId="4" applyFont="1" applyFill="1" applyAlignment="1">
      <alignment horizontal="left" vertical="center" indent="1"/>
    </xf>
    <xf numFmtId="0" fontId="52" fillId="0" borderId="0" xfId="44" applyFont="1" applyFill="1">
      <alignment horizontal="left" vertical="center" indent="1"/>
      <protection locked="0"/>
    </xf>
    <xf numFmtId="0" fontId="53" fillId="12" borderId="0" xfId="44" applyFont="1" applyFill="1">
      <alignment horizontal="left" vertical="center" indent="1"/>
      <protection locked="0"/>
    </xf>
    <xf numFmtId="4" fontId="11" fillId="5" borderId="1" xfId="32" applyFill="1">
      <alignment horizontal="center" vertical="center"/>
    </xf>
    <xf numFmtId="0" fontId="3" fillId="5" borderId="0" xfId="3" applyFill="1"/>
    <xf numFmtId="0" fontId="54" fillId="2" borderId="1" xfId="3" applyFont="1" applyFill="1" applyBorder="1"/>
    <xf numFmtId="0" fontId="4" fillId="5" borderId="1" xfId="19" applyFill="1">
      <alignment horizontal="center" vertical="center"/>
    </xf>
    <xf numFmtId="0" fontId="54" fillId="2" borderId="0" xfId="3" applyFont="1" applyFill="1"/>
    <xf numFmtId="0" fontId="18" fillId="13" borderId="0" xfId="45">
      <alignment horizontal="left" vertical="center" indent="1"/>
    </xf>
    <xf numFmtId="0" fontId="3" fillId="2" borderId="22" xfId="3" applyFill="1" applyBorder="1"/>
    <xf numFmtId="3" fontId="11" fillId="2" borderId="23" xfId="43" applyFill="1" applyBorder="1">
      <alignment horizontal="center" vertical="center"/>
    </xf>
    <xf numFmtId="0" fontId="55" fillId="2" borderId="10" xfId="3" applyFont="1" applyFill="1" applyBorder="1"/>
    <xf numFmtId="0" fontId="56" fillId="2" borderId="10" xfId="3" applyFont="1" applyFill="1" applyBorder="1"/>
    <xf numFmtId="0" fontId="3" fillId="2" borderId="10" xfId="3" applyFill="1" applyBorder="1"/>
    <xf numFmtId="0" fontId="10" fillId="2" borderId="10" xfId="10" applyBorder="1">
      <alignment horizontal="left" vertical="center"/>
    </xf>
    <xf numFmtId="0" fontId="57" fillId="2" borderId="10" xfId="3" applyFont="1" applyFill="1" applyBorder="1"/>
    <xf numFmtId="0" fontId="58" fillId="2" borderId="10" xfId="3" applyFont="1" applyFill="1" applyBorder="1"/>
    <xf numFmtId="0" fontId="12" fillId="0" borderId="0" xfId="3" applyFont="1"/>
    <xf numFmtId="0" fontId="52" fillId="4" borderId="0" xfId="44" applyFont="1" applyProtection="1">
      <alignment horizontal="left" vertical="center" indent="1"/>
    </xf>
    <xf numFmtId="0" fontId="53" fillId="12" borderId="0" xfId="44" applyFont="1" applyFill="1" applyProtection="1">
      <alignment horizontal="left" vertical="center" indent="1"/>
    </xf>
    <xf numFmtId="0" fontId="57" fillId="2" borderId="0" xfId="3" applyFont="1" applyFill="1"/>
    <xf numFmtId="0" fontId="58" fillId="2" borderId="0" xfId="3" applyFont="1" applyFill="1"/>
    <xf numFmtId="4" fontId="3" fillId="2" borderId="0" xfId="3" applyNumberFormat="1" applyFill="1"/>
    <xf numFmtId="0" fontId="54" fillId="5" borderId="1" xfId="3" applyFont="1" applyFill="1" applyBorder="1"/>
    <xf numFmtId="0" fontId="54" fillId="5" borderId="1" xfId="19" applyFont="1" applyFill="1">
      <alignment horizontal="center" vertical="center"/>
    </xf>
    <xf numFmtId="0" fontId="0" fillId="0" borderId="0" xfId="35" applyFont="1" applyBorder="1">
      <alignment horizontal="center" vertical="center"/>
    </xf>
    <xf numFmtId="0" fontId="0" fillId="0" borderId="0" xfId="19" applyFont="1" applyFill="1" applyBorder="1">
      <alignment horizontal="center" vertical="center"/>
    </xf>
    <xf numFmtId="0" fontId="5" fillId="0" borderId="0" xfId="15" applyFill="1">
      <alignment vertical="center"/>
    </xf>
    <xf numFmtId="0" fontId="59" fillId="2" borderId="0" xfId="46">
      <alignment horizontal="left" vertical="center"/>
    </xf>
    <xf numFmtId="0" fontId="34" fillId="2" borderId="0" xfId="3" applyFont="1" applyFill="1" applyAlignment="1" applyProtection="1">
      <alignment horizontal="center"/>
      <protection locked="0"/>
    </xf>
    <xf numFmtId="4" fontId="0" fillId="0" borderId="0" xfId="32" applyFont="1" applyBorder="1">
      <alignment horizontal="center" vertical="center"/>
    </xf>
    <xf numFmtId="0" fontId="5" fillId="2" borderId="0" xfId="15" applyFill="1">
      <alignment vertical="center"/>
    </xf>
    <xf numFmtId="0" fontId="0" fillId="0" borderId="0" xfId="32" applyNumberFormat="1" applyFont="1" applyBorder="1">
      <alignment horizontal="center" vertical="center"/>
    </xf>
    <xf numFmtId="0" fontId="47" fillId="2" borderId="0" xfId="4" applyFont="1">
      <alignment horizontal="left" vertical="center"/>
    </xf>
    <xf numFmtId="0" fontId="0" fillId="2" borderId="0" xfId="0" applyFill="1"/>
    <xf numFmtId="0" fontId="62" fillId="0" borderId="0" xfId="4" applyFont="1" applyFill="1" applyAlignment="1">
      <alignment horizontal="center" vertical="center"/>
    </xf>
    <xf numFmtId="0" fontId="0" fillId="5" borderId="0" xfId="4" applyFont="1" applyFill="1">
      <alignment horizontal="left" vertical="center"/>
    </xf>
    <xf numFmtId="0" fontId="11" fillId="0" borderId="1" xfId="32" applyNumberFormat="1">
      <alignment horizontal="center" vertical="center"/>
    </xf>
    <xf numFmtId="0" fontId="0" fillId="5" borderId="21" xfId="4" applyFont="1" applyFill="1" applyBorder="1">
      <alignment horizontal="left" vertical="center"/>
    </xf>
    <xf numFmtId="0" fontId="34" fillId="2" borderId="0" xfId="0" applyFont="1" applyFill="1" applyAlignment="1">
      <alignment horizontal="center" vertical="center"/>
    </xf>
    <xf numFmtId="0" fontId="34" fillId="2" borderId="0" xfId="0" applyFont="1" applyFill="1"/>
    <xf numFmtId="0" fontId="35" fillId="2" borderId="0" xfId="0" applyFont="1" applyFill="1"/>
    <xf numFmtId="0" fontId="0" fillId="0" borderId="0" xfId="0" applyAlignment="1">
      <alignment horizontal="center" vertical="center" wrapText="1"/>
    </xf>
    <xf numFmtId="4" fontId="39" fillId="0" borderId="1" xfId="32" applyFont="1" applyAlignment="1">
      <alignment horizontal="center" vertical="center" wrapText="1"/>
    </xf>
    <xf numFmtId="0" fontId="52" fillId="4" borderId="0" xfId="44" applyNumberFormat="1" applyFont="1" applyFill="1" applyBorder="1" applyAlignment="1" applyProtection="1">
      <alignment horizontal="left" vertical="center" indent="1"/>
    </xf>
    <xf numFmtId="0" fontId="3" fillId="2" borderId="0" xfId="3" applyFont="1" applyFill="1"/>
    <xf numFmtId="0" fontId="54" fillId="5" borderId="1" xfId="19" applyFont="1" applyFill="1" applyBorder="1">
      <alignment horizontal="center" vertical="center"/>
    </xf>
    <xf numFmtId="0" fontId="3" fillId="2" borderId="0" xfId="3" applyFont="1" applyFill="1" applyBorder="1"/>
    <xf numFmtId="0" fontId="54" fillId="5" borderId="24" xfId="3" applyFont="1" applyFill="1" applyBorder="1"/>
    <xf numFmtId="0" fontId="54" fillId="2" borderId="24" xfId="3" applyFont="1" applyFill="1" applyBorder="1"/>
    <xf numFmtId="0" fontId="54" fillId="5" borderId="24" xfId="19" applyFont="1" applyFill="1" applyBorder="1">
      <alignment horizontal="center" vertical="center"/>
    </xf>
    <xf numFmtId="0" fontId="0" fillId="0" borderId="0" xfId="6" applyFont="1" applyFill="1" applyBorder="1">
      <alignment horizontal="left" vertical="center"/>
    </xf>
    <xf numFmtId="0" fontId="11" fillId="0" borderId="1" xfId="30" applyFill="1">
      <alignment horizontal="center" vertical="center"/>
    </xf>
    <xf numFmtId="0" fontId="4" fillId="11" borderId="24" xfId="19" applyBorder="1">
      <alignment horizontal="center" vertical="center"/>
    </xf>
    <xf numFmtId="0" fontId="11" fillId="0" borderId="24" xfId="30" applyFill="1" applyBorder="1">
      <alignment horizontal="center" vertical="center"/>
    </xf>
    <xf numFmtId="0" fontId="24" fillId="2" borderId="24" xfId="20" applyBorder="1">
      <alignment horizontal="center" vertical="center"/>
    </xf>
    <xf numFmtId="0" fontId="6" fillId="2" borderId="0" xfId="6" applyNumberFormat="1" applyFont="1" applyFill="1" applyBorder="1" applyAlignment="1">
      <alignment horizontal="left" vertical="center"/>
    </xf>
    <xf numFmtId="0" fontId="3" fillId="0" borderId="24" xfId="19" applyFont="1" applyFill="1" applyBorder="1">
      <alignment horizontal="center" vertical="center"/>
    </xf>
    <xf numFmtId="0" fontId="54" fillId="2" borderId="1" xfId="3" applyNumberFormat="1" applyFont="1" applyFill="1" applyBorder="1" applyAlignment="1"/>
    <xf numFmtId="0" fontId="0" fillId="0" borderId="0" xfId="44" applyNumberFormat="1" applyFont="1" applyFill="1" applyBorder="1" applyAlignment="1" applyProtection="1">
      <alignment horizontal="left" vertical="center" indent="1"/>
    </xf>
    <xf numFmtId="0" fontId="0" fillId="0" borderId="0" xfId="3" applyFont="1" applyFill="1" applyBorder="1"/>
    <xf numFmtId="0" fontId="0" fillId="0" borderId="0" xfId="3" applyNumberFormat="1" applyFont="1" applyFill="1" applyBorder="1" applyAlignment="1"/>
    <xf numFmtId="0" fontId="64" fillId="2" borderId="1" xfId="20" applyFont="1">
      <alignment horizontal="center" vertical="center"/>
    </xf>
    <xf numFmtId="0" fontId="24" fillId="2" borderId="0" xfId="20" applyBorder="1">
      <alignment horizontal="center" vertical="center"/>
    </xf>
  </cellXfs>
  <cellStyles count="47">
    <cellStyle name="Alert" xfId="23" xr:uid="{3F39CD44-D56D-45C9-A246-A65A1A3ADBF4}"/>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s>
  <dxfs count="46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2"/>
        <color theme="1"/>
        <name val="Times New Roman"/>
        <family val="2"/>
        <scheme val="none"/>
      </font>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numFmt numFmtId="4" formatCode="#,##0.00"/>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numFmt numFmtId="165" formatCode="[$-C09]d\ mmmm\ yyyy;@"/>
    </dxf>
    <dxf>
      <numFmt numFmtId="165" formatCode="[$-C09]d\ mmmm\ yyyy;@"/>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border outline="0">
        <left style="thin">
          <color theme="0" tint="-0.34998626667073579"/>
        </left>
      </border>
    </dxf>
    <dxf>
      <numFmt numFmtId="0" formatCode="General"/>
    </dxf>
    <dxf>
      <fill>
        <patternFill>
          <fgColor indexed="64"/>
          <bgColor theme="0"/>
        </patternFill>
      </fill>
      <border outline="0">
        <right style="thin">
          <color theme="0" tint="-0.34998626667073579"/>
        </right>
      </border>
    </dxf>
    <dxf>
      <font>
        <b/>
        <strike val="0"/>
        <outline val="0"/>
        <shadow val="0"/>
        <u val="none"/>
        <vertAlign val="baseline"/>
        <sz val="11"/>
        <color theme="5" tint="-0.499984740745262"/>
        <name val="Aptos Narrow"/>
        <family val="1"/>
        <scheme val="minor"/>
      </font>
      <alignment horizontal="center"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numFmt numFmtId="4" formatCode="#,##0.00"/>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numFmt numFmtId="0" formatCode="General"/>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border outline="0">
        <left style="thin">
          <color theme="0" tint="-0.34998626667073579"/>
        </left>
      </border>
    </dxf>
    <dxf>
      <fill>
        <patternFill patternType="solid">
          <fgColor indexed="64"/>
          <bgColor theme="0"/>
        </patternFill>
      </fill>
    </dxf>
    <dxf>
      <border outline="0">
        <right style="thin">
          <color theme="0" tint="-0.34998626667073579"/>
        </right>
      </border>
    </dxf>
    <dxf>
      <font>
        <b/>
        <strike val="0"/>
        <outline val="0"/>
        <shadow val="0"/>
        <u val="none"/>
        <vertAlign val="baseline"/>
        <sz val="11"/>
        <color rgb="FF183C1B"/>
        <name val="Aptos Narrow"/>
        <family val="1"/>
        <scheme val="minor"/>
      </font>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461"/>
      <tableStyleElement type="headerRow" dxfId="460"/>
      <tableStyleElement type="totalRow" dxfId="459"/>
      <tableStyleElement type="firstColumn" dxfId="458"/>
      <tableStyleElement type="firstRowStripe" dxfId="457"/>
      <tableStyleElement type="secondRowStripe" dxfId="456"/>
    </tableStyle>
    <tableStyle name="Equation table" pivot="0" count="6" xr9:uid="{0B4491E8-4F2C-4EE8-9336-DC99561B4B77}">
      <tableStyleElement type="wholeTable" dxfId="455"/>
      <tableStyleElement type="headerRow" dxfId="454"/>
      <tableStyleElement type="totalRow" dxfId="453"/>
      <tableStyleElement type="firstColumn" dxfId="452"/>
      <tableStyleElement type="firstRowStripe" dxfId="451"/>
      <tableStyleElement type="secondRowStripe" dxfId="4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Y20" headerRowDxfId="302" dataDxfId="301" totalsRowDxfId="300">
  <autoFilter ref="D17:Y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2" xr3:uid="{3C05F0AD-9F76-4223-8CAA-F4D965A959FA}" name="Product (select)" dataDxfId="299" totalsRowDxfId="298" dataCellStyle="Input select"/>
    <tableColumn id="23" xr3:uid="{F727E370-72E8-46CC-9F10-18494CAC017E}" name="Amount applied per hectare" totalsRowFunction="custom" dataDxfId="297" totalsRowDxfId="296">
      <totalsRowFormula>SUM(Table_Input_InorganicFertiliser_Brands[[#Headers],[#Data],[Amount applied per hectare]])</totalsRowFormula>
    </tableColumn>
    <tableColumn id="18" xr3:uid="{2253738D-C34B-45FC-A347-3594DD12A0FD}" name="Application unit" totalsRowDxfId="295"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294"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293" totalsRowDxfId="292">
      <calculatedColumnFormula>$E$9</calculatedColumnFormula>
    </tableColumn>
    <tableColumn id="1" xr3:uid="{DE25213C-DDD2-412A-85A4-29987D633B72}" name="Total applied (kg)" dataDxfId="291" totalsRowDxfId="290"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15" xr3:uid="{7FDE2B62-67B1-4CE8-95C6-BAE6E215F5A5}" name="Emissions intensity (kg CO2e/kg)" totalsRowDxfId="62" dataCellStyle="Input number general"/>
    <tableColumn id="3" xr3:uid="{47369C23-2EB2-4294-911F-7E8527CF792D}" name="Ingredient 1" dataDxfId="289" totalsRowDxfId="288"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287" totalsRowDxfId="286"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285"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284" totalsRowDxfId="283"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282" totalsRowDxfId="281"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280" totalsRowDxfId="279"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278" totalsRowDxfId="277"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276"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275"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274"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273"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272"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271" totalsRowDxfId="270"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269" totalsRowDxfId="268"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267" totalsRowDxfId="266"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3:V25" totalsRowShown="0" headerRowDxfId="265" dataDxfId="264">
  <autoFilter ref="D23:V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D7B2B046-E882-4B22-9EF8-F965A75EB19A}" name="Custom blend name" dataCellStyle="Input text"/>
    <tableColumn id="2" xr3:uid="{53F36107-B1C8-4A11-8D64-98D96B16556E}" name="Amount applied (kg / ha)" dataDxfId="263"/>
    <tableColumn id="3" xr3:uid="{9EAF254B-17DE-4675-8AF9-F68B80BF582C}" name="Application area (ha)" dataDxfId="262" dataCellStyle="Input number 2 decimal places">
      <calculatedColumnFormula>$E$9</calculatedColumnFormula>
    </tableColumn>
    <tableColumn id="4" xr3:uid="{CFA5CCED-3BC5-4DD2-AC3F-E4DC58D9B605}" name="Total applied (kg)" dataDxfId="261"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260" dataCellStyle="Input select"/>
    <tableColumn id="6" xr3:uid="{3F30B499-2152-42DE-8F13-8F97800C0F82}" name="Ingredient 1 percent" dataDxfId="259"/>
    <tableColumn id="8" xr3:uid="{81DBD2AF-CE79-4DFA-ABE1-18247069D1B2}" name="Ingredient 2" dataDxfId="258" dataCellStyle="Input select"/>
    <tableColumn id="9" xr3:uid="{1CF7EE6F-57DF-414D-AEE5-FBCA6348094D}" name="Ingredient 2 percent" dataDxfId="257"/>
    <tableColumn id="11" xr3:uid="{A18D28AA-C181-4552-8786-2ECF509C16C8}" name="Ingredient 3" dataDxfId="256" dataCellStyle="Input select"/>
    <tableColumn id="12" xr3:uid="{B6A6831A-C9EE-4F80-B87F-A0C4C20DFCFD}" name="Ingredient 3 percent" dataDxfId="255"/>
    <tableColumn id="14" xr3:uid="{4467B432-BBEC-488F-912D-5D7123AE260A}" name="Ingredient 4" dataDxfId="254" dataCellStyle="Input select"/>
    <tableColumn id="15" xr3:uid="{0FA01265-32D2-4FC6-BCD7-17164873ADC9}" name="Ingredient 4 percent" dataCellStyle="Input percent"/>
    <tableColumn id="7" xr3:uid="{BF8B607F-8C2E-4E2B-B89D-E699723F771C}" name="N application rate (kg/ha)" dataDxfId="253"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252"/>
    <tableColumn id="13" xr3:uid="{CA785B69-1D00-4D4E-954C-77FAF8F67EDB}" name="Ammonia source" dataDxfId="251"/>
    <tableColumn id="16" xr3:uid="{B8B42398-BB17-404B-A426-41ED65CACCAA}" name="Ingredient 1 custom Emissions intensity (kg CO2e / kg)" dataCellStyle="Input number general"/>
    <tableColumn id="17" xr3:uid="{23FFAFBE-8C55-4EAC-9414-4B22EA154FDC}" name="Column1" dataCellStyle="Input number general"/>
    <tableColumn id="18" xr3:uid="{80D7FD3A-96F0-411A-9F97-85760434F1D3}" name="Column2" dataCellStyle="Input number general"/>
    <tableColumn id="19" xr3:uid="{26218020-894B-4D85-A5AA-1A31C3C48CE5}" name="Column3"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Lime" displayName="Table_Input_Lime" ref="D33:L35" totalsRowShown="0" headerRowDxfId="250" dataDxfId="249" headerRowCellStyle="Input table column header">
  <autoFilter ref="D33:L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55C6D57-C99E-4560-95BE-1D32508E9DC1}" name="Product" dataDxfId="248"/>
    <tableColumn id="2" xr3:uid="{BBD9A28E-9144-4A75-B4E2-101A86320BD7}" name="Amount applied (t/hectare)" dataDxfId="247"/>
    <tableColumn id="4" xr3:uid="{28D6DB55-F183-4018-A8CF-F5EECD3B6F14}" name="Application area (ha)" dataDxfId="246">
      <calculatedColumnFormula>$E$9</calculatedColumnFormula>
    </tableColumn>
    <tableColumn id="3" xr3:uid="{A873C277-F431-4770-984D-50E37F5B322A}" name="Total amount applied (t)" dataDxfId="245" dataCellStyle="Input number general calculated">
      <calculatedColumnFormula>IFERROR(Table_Input_Lime[[#This Row],[Amount applied (t/hectare)]]*Table_Input_Lime[[#This Row],[Application area (ha)]], 0)</calculatedColumnFormula>
    </tableColumn>
    <tableColumn id="6" xr3:uid="{16ED2D76-C87F-43C7-B68B-22CC0CF81AAF}" name="Percent Lime CaCO3" dataDxfId="244"/>
    <tableColumn id="8" xr3:uid="{87445951-81DE-4186-A628-A263C2301F74}" name="Percent Dolomite CaMg(CO3)2" dataDxfId="243"/>
    <tableColumn id="7" xr3:uid="{7689CF48-369A-4C18-99A1-A2DDCFE99B7F}" name="Percent Gypsum" dataDxfId="242"/>
    <tableColumn id="9" xr3:uid="{6D9C9366-2A84-4F0D-B1D0-A748B17B5C0D}" name="Percent Potash" dataDxfId="241"/>
    <tableColumn id="10" xr3:uid="{E00BF7C1-7D20-4C62-A394-32D1C7721ABB}" name="Total" dataDxfId="240">
      <calculatedColumnFormula>SUM(Table_Input_Lime[[#This Row],[Percent Lime CaCO3]:[Percent Potash]])</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2805B9B9-D4A7-40D9-97DF-7EB3223F48A7}" name="Table_Input_OrganicFertiliser" displayName="Table_Input_OrganicFertiliser" ref="D43:J45" totalsRowShown="0" headerRowDxfId="239" dataDxfId="238" headerRowCellStyle="Input table column header">
  <autoFilter ref="D43:J45"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CD2D85D-8F13-4E36-95FC-BDFFE879E75E}" name="Organic fertiliser type (select)" dataDxfId="237" dataCellStyle="Input select"/>
    <tableColumn id="5" xr3:uid="{90211506-45BB-448E-9141-3C3CE3626033}" name="Percentage of N in fertiliser" dataDxfId="236"/>
    <tableColumn id="2" xr3:uid="{FBF064EA-8FB5-43A6-A6A6-369C36395228}" name="Amount applied (kg/hectare)" dataDxfId="235"/>
    <tableColumn id="11" xr3:uid="{C66580F9-10D5-43D2-89CD-7DC865B9F8D9}" name="Amount N applied (kg/hectare)" dataDxfId="234" dataCellStyle="Input number general calculated">
      <calculatedColumnFormula>Table_Input_OrganicFertiliser[[#This Row],[Amount applied (kg/hectare)]]*Table_Input_OrganicFertiliser[[#This Row],[Percentage of N in fertiliser]]</calculatedColumnFormula>
    </tableColumn>
    <tableColumn id="4" xr3:uid="{446ACDC4-9A1A-43A3-A3FF-9116ED45FD6D}" name="Application area (ha)" dataDxfId="233">
      <calculatedColumnFormula>$E$9</calculatedColumnFormula>
    </tableColumn>
    <tableColumn id="7" xr3:uid="{C9641984-3538-4424-A9FC-1F56669263A3}" name="Total organic fertliser applied" dataDxfId="232" dataCellStyle="Input number general calculated">
      <calculatedColumnFormula>Table_Input_OrganicFertiliser[[#This Row],[Amount applied (kg/hectare)]]*Table_Input_OrganicFertiliser[[#This Row],[Application area (ha)]]</calculatedColumnFormula>
    </tableColumn>
    <tableColumn id="3" xr3:uid="{485BE4F1-40BB-41CE-94E7-8D4A9E8D5E85}" name="Total nitrogen applied (kg)" dataDxfId="23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41080D4-224C-452D-8770-96095FF2D84C}" name="Table_Input_LickBlocks" displayName="Table_Input_LickBlocks" ref="D8:E11" totalsRowShown="0">
  <autoFilter ref="D8:E11" xr:uid="{23CC8ACE-49F5-489C-AA70-D6D9F6B88E9E}">
    <filterColumn colId="0" hiddenButton="1"/>
    <filterColumn colId="1" hiddenButton="1"/>
  </autoFilter>
  <tableColumns count="2">
    <tableColumn id="1" xr3:uid="{38AE9B23-AA45-43DD-8732-E68556C90F92}" name="Product">
      <calculatedColumnFormula>'Calcs - Scope 3 OLD'!D140</calculatedColumnFormula>
    </tableColumn>
    <tableColumn id="2" xr3:uid="{44E220C6-A6A0-48E9-AABA-9EA1B21AD31B}" name="Amount (t)"/>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16:O19" totalsRowShown="0">
  <autoFilter ref="D16:O19"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9491CF8-20F0-4FE5-B2E5-824F35323759}" name="Feed blend name"/>
    <tableColumn id="2" xr3:uid="{B20486A1-6FF2-452C-92CA-CCED9D67FD05}" name="Amount fed (kg)"/>
    <tableColumn id="4" xr3:uid="{47465BD2-065D-4E8F-9CB3-6E6F67E11E4D}" name="Ingredient 1 (select)" dataCellStyle="Input select"/>
    <tableColumn id="5" xr3:uid="{1B19298C-F8E3-4AF0-9B9E-CE0CD24308C3}" name="Ingredient 1 percent"/>
    <tableColumn id="6" xr3:uid="{250D764C-1759-4C06-9C17-CD1C40A86BF4}" name="Ingredient 2 (select)" dataCellStyle="Input select"/>
    <tableColumn id="7" xr3:uid="{F61D43DF-B902-4B65-AB44-E98C6D51FD13}" name="Ingredient 2 percent"/>
    <tableColumn id="8" xr3:uid="{B9F5222F-9F2A-4E26-931C-754BB15D7CDC}" name="Ingredient 3 (select)" dataCellStyle="Input select"/>
    <tableColumn id="9" xr3:uid="{30B89A53-F667-4FBE-AF8B-FB021EB3D926}" name="Ingredient 3 percent"/>
    <tableColumn id="10" xr3:uid="{51F803AC-A802-43FA-8B0E-24B789B98A9C}" name="Ingredient 4 (select)" dataCellStyle="Input select"/>
    <tableColumn id="11" xr3:uid="{33104403-8828-4357-9E7C-9063DE9C33A5}" name="Ingredient 4 percent"/>
    <tableColumn id="12" xr3:uid="{45138421-33E6-4367-A8DE-BFC8C4CBB63F}" name="Ingredient 5 (select)" dataCellStyle="Input select"/>
    <tableColumn id="13" xr3:uid="{986577A3-172B-40AF-A1FA-4DF40DB752F6}" name="Ingredient 5 percent"/>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49522DB5-5990-4913-8C85-8036034BCCFF}" name="Table_Input_AquacultureFeed" displayName="Table_Input_AquacultureFeed" ref="D25:O27" totalsRowShown="0" headerRowDxfId="230">
  <autoFilter ref="D25:O27" xr:uid="{49522DB5-5990-4913-8C85-8036034BCCFF}"/>
  <tableColumns count="12">
    <tableColumn id="1" xr3:uid="{6383F67F-7EC8-4491-B6E2-F42CE1446819}" name="Feed blend name" dataDxfId="229"/>
    <tableColumn id="2" xr3:uid="{6F8228DB-F597-482F-8F7E-556A06B31A1E}" name="Amount fed (kg)" dataDxfId="228" dataCellStyle="Input number 2 decimal places"/>
    <tableColumn id="4" xr3:uid="{61190F26-0D6E-4E3D-BD15-3C34861B65BC}" name="Ingredient 1 (select)" dataDxfId="227" dataCellStyle="Input select"/>
    <tableColumn id="5" xr3:uid="{C8104EC4-4E8A-4566-AD11-22D595E84539}" name="Ingredient 1 percent" dataCellStyle="Input percent"/>
    <tableColumn id="6" xr3:uid="{2A996D99-E581-4763-A595-785729DB930E}" name="Ingredient 2 (select)" dataCellStyle="Input select"/>
    <tableColumn id="7" xr3:uid="{12F933A7-5B2F-4DF7-A1C8-49CC4A0A3B28}" name="Ingredient 2 percent" dataCellStyle="Input percent"/>
    <tableColumn id="8" xr3:uid="{8D83EC54-84AF-4F36-9C43-7DF24B21EF80}" name="Ingredient 3 (select)" dataCellStyle="Input select"/>
    <tableColumn id="9" xr3:uid="{2EADACC8-241A-4833-B15C-CA9E0CB6F878}" name="Ingredient 3 percent" dataCellStyle="Input percent"/>
    <tableColumn id="10" xr3:uid="{DE50EA53-AEBB-4D88-848D-446CB72B7F74}" name="Ingredient 4 (select)" dataCellStyle="Input select"/>
    <tableColumn id="11" xr3:uid="{5A91AE37-5D82-4188-B9BC-BACB6987541D}" name="Ingredient 4 percent" dataCellStyle="Input percent"/>
    <tableColumn id="12" xr3:uid="{C467554F-D728-4444-932E-4AB1AC3D91C3}" name="Ingredient 5 (select)" dataCellStyle="Input select"/>
    <tableColumn id="13" xr3:uid="{D54F08CC-198E-4895-AE8D-248008BA5417}" name="Ingredient 5 percent" dataCellStyle="Input percent"/>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leaningChemicals" displayName="Table_Input_CleaningChemicals" ref="D39:G45" totalsRowShown="0" headerRowCellStyle="Input table column header">
  <autoFilter ref="D39:G45" xr:uid="{4FE24B05-BD40-4784-8F98-E98038ED84BF}">
    <filterColumn colId="0" hiddenButton="1"/>
    <filterColumn colId="1" hiddenButton="1"/>
    <filterColumn colId="2" hiddenButton="1"/>
    <filterColumn colId="3" hiddenButton="1"/>
  </autoFilter>
  <tableColumns count="4">
    <tableColumn id="3" xr3:uid="{E67DFCD7-C12B-4EA2-8140-D78C5ABDB407}" name="Chemical name" dataDxfId="69" dataCellStyle="Input select"/>
    <tableColumn id="1" xr3:uid="{87D126BF-005E-4246-BF36-6C26A15AD99A}" name="Type (select)" dataCellStyle="Input select"/>
    <tableColumn id="2" xr3:uid="{56461109-5CAC-43CC-94E5-D96155D01EEF}" name="Quantity purchased (kg)" dataCellStyle="Input number general"/>
    <tableColumn id="4" xr3:uid="{B5D0CD51-BE14-41B2-9BE8-DABB736F6C4B}" name="Emissions intensity from seller (kg CO@e / kg product)" dataCellStyle="Input number general"/>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28:H32" totalsRowShown="0" headerRowCellStyle="Input table column header">
  <autoFilter ref="D28:H32"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2" xr3:uid="{360D1B02-386E-49B9-8B92-E9676AD4A378}" name="Packaging component (select)" dataCellStyle="Input select"/>
    <tableColumn id="3" xr3:uid="{14ED4487-F547-485F-9AFB-212F5584207F}" name="Quantity purchased" dataCellStyle="Input number general"/>
    <tableColumn id="4" xr3:uid="{BBF04413-741D-4D84-88D9-1F89896D7D6F}" name="Quantity unit" dataCellStyle="Input number general calculated">
      <calculatedColumnFormula array="1">Common_InputFunctions.Utility_LookupValueInTable(Table_Input_Packaging[[#This Row],[Packaging component (select)]], Table_Scope3_Packaging[Packaging component],Table_Scope3_Packaging[Quantity Unit])</calculatedColumnFormula>
    </tableColumn>
    <tableColumn id="5" xr3:uid="{FA07284B-8D1C-4BF7-9BAA-B337C0E6CA18}" name="Seller declared EI (kg CO2e / kg product)"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Agrochemicals" displayName="Table_Input_Agrochemicals" ref="D23:R24" totalsRowShown="0">
  <autoFilter ref="D23:R24"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tableColumn id="2" xr3:uid="{53230D96-4E84-460D-9046-7CE32E68C856}" name="Amount applied per ha"/>
    <tableColumn id="7" xr3:uid="{69498A75-62A6-484D-B013-ED14417EEBB4}" name="Application unit (select)" dataCellStyle="Input select"/>
    <tableColumn id="6" xr3:uid="{209ECDF7-51D4-4C0E-850D-19BAB4D0D3B8}" name="Application area (ha)">
      <calculatedColumnFormula>I20</calculatedColumnFormula>
    </tableColumn>
    <tableColumn id="3" xr3:uid="{DEE684A7-4E1A-46AA-B0D4-02E9625D315A}" name="Total applied" dataCellStyle="Input number general calculated">
      <calculatedColumnFormula>Table_Input_Agrochemicals[[#This Row],[Amount applied per ha]]*Table_Input_Agrochemicals[[#This Row],[Application area (ha)]]</calculatedColumnFormula>
    </tableColumn>
    <tableColumn id="4" xr3:uid="{EC89C89A-4D36-451B-BCBE-1C016D3F8F34}" name="Active ingredient 1 (select)" dataCellStyle="Input select"/>
    <tableColumn id="5" xr3:uid="{1DB0C7A3-E8B5-4E6D-AA5F-8D94DC978EA5}" name="Active ingredient 1 unit (select)" dataCellStyle="Input select"/>
    <tableColumn id="8" xr3:uid="{F058D2A6-41E8-4384-8586-262C5EAC5D9F}" name="Active ingredient 1 amount"/>
    <tableColumn id="9" xr3:uid="{74F84648-C9E3-4305-994A-7D3B973043A9}" name="Active ingredient 2 (select)" dataCellStyle="Input select"/>
    <tableColumn id="10" xr3:uid="{98D19D64-9603-4825-8116-20183EFA70DA}" name="Active ingredient 2 unit (select)" dataCellStyle="Input select"/>
    <tableColumn id="11" xr3:uid="{78375E20-4985-4634-B5B1-6B81635A6FC6}" name="Active ingredient 2 amount"/>
    <tableColumn id="12" xr3:uid="{7449CB84-4B0D-4B55-95E5-3523F3590622}" name="Active ingredient 3 (select)" dataCellStyle="Input select"/>
    <tableColumn id="13" xr3:uid="{2007A993-273E-48CE-AE78-DD96978BFFC3}" name="Active ingredient 3 unit (select)" dataCellStyle="Input select"/>
    <tableColumn id="14" xr3:uid="{71087BB0-6CBC-4FB4-9C30-2409748F8A46}" name="Active ingredient 3 amount"/>
    <tableColumn id="15" xr3:uid="{7BAEC1BA-E570-4691-B645-6B160BB307CB}" name="Emissions intensity from seller (kg CO@e / kg product)" dataDxfId="63" dataCellStyle="Input number general"/>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267A0FD-D6FB-4207-BD45-9DE0BB33BDE3}" name="Table_Input_Fuel" displayName="Table_Input_Fuel" ref="D10:I12" totalsRowDxfId="226" headerRowCellStyle="Input table column header">
  <autoFilter ref="D10:I12"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781CF403-6676-4EC1-8C44-392D67F614F9}" name="Fuel use (select)" totalsRowFunction="average" totalsRowDxfId="225" dataCellStyle="Input select" totalsRowCellStyle="Input select"/>
    <tableColumn id="3" xr3:uid="{2F4926CE-6EFC-4996-91EA-985E04C68CA4}" name="Fuel type (select)" totalsRowDxfId="224" dataCellStyle="Input select" totalsRowCellStyle="Input select"/>
    <tableColumn id="4" xr3:uid="{1FFC5489-922D-4440-BFF8-1C82F89D7C13}" name="Amount purchased" totalsRowDxfId="223" totalsRowCellStyle="Content bold"/>
    <tableColumn id="6" xr3:uid="{8FECDE7F-72E1-4F9F-9717-51DFCFC8B7FA}" name="Amount unit" totalsRowDxfId="222" dataCellStyle="Input number general calculated">
      <calculatedColumnFormula array="1">Common_InputFunctions.Utility_LookupValueInTable(Table_Input_Fuel[[#This Row],[Fuel type (select)]],Table_FuelTypes_Units[Fuel type], Table_FuelTypes_Units[Unit])</calculatedColumnFormula>
    </tableColumn>
    <tableColumn id="5" xr3:uid="{133387A9-248F-45F1-96F1-4D2728C0EBB8}" name="Percent consumed" totalsRowDxfId="221" totalsRowCellStyle="Input percent">
      <calculatedColumnFormula>1</calculatedColumnFormula>
    </tableColumn>
    <tableColumn id="1" xr3:uid="{0B1E778F-5088-434C-9ED2-6721724D18B8}" name="Amount consumed" totalsRowFunction="custom" totalsRowDxfId="220"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2:I35" totalsRowShown="0" headerRowCellStyle="Input table column header">
  <autoFilter ref="D32:I35"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219"/>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date]],DATEVALUE($E$26),"M")&gt;36,"Ineligible - older than 36 months","Elegible")</calculatedColumnFormula>
    </tableColumn>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1:I44" totalsRowShown="0" headerRowCellStyle="Input table column header">
  <autoFilter ref="D41:I44"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text calculated">
      <calculatedColumnFormula>"Issued for generated electricity"</calculatedColumnFormula>
    </tableColumn>
    <tableColumn id="2" xr3:uid="{89A8CE48-DCCB-4E01-8021-9F8D64DA67F4}" name="Generation date" dataDxfId="218"/>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date]]&gt;=DATEVALUE($E$25), Table_Input_RECConsumedByEntity[[#This Row],[Generation date]]&lt;= DATEVALUE($E$26)), "Elegible", "Ineligible - outside reporting year")</calculatedColumnFormula>
    </tableColumn>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 displayName="Table_Input_LivestockPurchases" ref="D7:K13" totalsRowShown="0">
  <autoFilter ref="D7:K13"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 xr3:uid="{ACF6D17C-6D3B-4B7A-BB32-3FC6652840C2}" name="Livestock type (select)" dataCellStyle="Input select"/>
    <tableColumn id="2" xr3:uid="{FA43F52A-7609-4014-A6D3-CAC2C970F57C}" name="Class (select)" dataCellStyle="Input select"/>
    <tableColumn id="6" xr3:uid="{41EDEC1E-1793-4BBD-B0C8-66DE9A0925D5}" name="Source region (Select)" dataCellStyle="Input select"/>
    <tableColumn id="3" xr3:uid="{34B46AEC-F18A-4C32-831B-7206C405BBE6}" name="Quantity (head)" dataCellStyle="Input number general"/>
    <tableColumn id="4" xr3:uid="{FCB04E36-ABA4-4D11-99EF-B10E5BE997E4}" name="Average liveweight (kg/head)" dataCellStyle="Input number general"/>
    <tableColumn id="5" xr3:uid="{0AF052DA-C2BE-4680-AC4D-78306992A2EF}" name="Total liveweight (kg)" dataCellStyle="Input number general calculated">
      <calculatedColumnFormula>Table_Input_LivestockPurchases[[#This Row],[Quantity (head)]]*Table_Input_LivestockPurchases[[#This Row],[Average liveweight (kg/head)]]</calculatedColumnFormula>
    </tableColumn>
    <tableColumn id="10" xr3:uid="{E755B211-CEF0-4B3E-84C1-9A1AB45C4175}" name="Emissions intensity from seller (kg CO2e / kg liveweight)"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889AA07-8652-4118-9D63-0669DF435473}" name="Table_Scope3_InorganicFertiliser_Old" displayName="Table_Scope3_InorganicFertiliser_Old" ref="D8:T33" totalsRowShown="0" headerRowDxfId="449">
  <autoFilter ref="D8:T33" xr:uid="{3792A08B-29D7-43AC-8F2D-9CFFDAF4E1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A26E62E6-9988-4467-98CF-5D143A43BCBC}" name="Category">
      <calculatedColumnFormula array="1">Common_InputFunctions.Utility_DisplayArrayInTable(Scope3_SourceData.Scope3_InorganicFertilisers_Data(), Table_Scope3_InorganicFertiliser_Old[[#Headers],[Category]], 0, 2)</calculatedColumnFormula>
    </tableColumn>
    <tableColumn id="2" xr3:uid="{D116A3CB-B6B4-4AA0-8E1C-32CF32CE5F75}" name="Product">
      <calculatedColumnFormula array="1">Common_InputFunctions.Utility_DisplayArrayInTable(Scope3_SourceData.Scope3_InorganicFertilisers_Data(), Table_Scope3_InorganicFertiliser_Old[[#Headers],[Category]], 0, 2)</calculatedColumnFormula>
    </tableColumn>
    <tableColumn id="13" xr3:uid="{C177358E-B721-4277-B535-3BCE77721E50}" name="Region of origin" dataCellStyle="Normal 2">
      <calculatedColumnFormula array="1">Common_InputFunctions.Utility_DisplayArrayInTable(Scope3_SourceData.Scope3_InorganicFertilisers_Data(), Table_Scope3_InorganicFertiliser_Old[[#Headers],[Category]], 0, 2)</calculatedColumnFormula>
    </tableColumn>
    <tableColumn id="17" xr3:uid="{C63AD841-3779-4F9E-979C-C4B240019827}" name="Chemical compound" dataCellStyle="Normal 2"/>
    <tableColumn id="18" xr3:uid="{0F58EC34-CC51-4883-B676-2A758A134A0C}" name="Urea source" dataCellStyle="Normal 2"/>
    <tableColumn id="16" xr3:uid="{4351E302-6CA8-41C0-831F-6BF02C2156CF}" name="Ammonia source" dataCellStyle="Normal 2"/>
    <tableColumn id="3" xr3:uid="{094195E4-44D5-4A3A-BDF7-51BACCF8C322}" name="Quantity"/>
    <tableColumn id="4" xr3:uid="{F138BFEE-7488-47AA-B818-9AACC5E92950}" name="Quantity Unit">
      <calculatedColumnFormula array="1">Common_InputFunctions.Utility_DisplayArrayInTable(Scope3_SourceData.Scope3_InorganicFertilisers_Data(), Table_Scope3_InorganicFertiliser_Old[[#Headers],[Category]], 0, 1)</calculatedColumnFormula>
    </tableColumn>
    <tableColumn id="5" xr3:uid="{01ECA038-88AE-47F2-8DBB-09545BB31DA7}" name="AusLCI Emissions intensity" dataDxfId="448">
      <calculatedColumnFormula array="1">Common_InputFunctions.Utility_DisplayArrayInTable(Scope3_SourceData.Scope3_InorganicFertilisers_Data(), Table_Scope3_InorganicFertiliser_Old[[#Headers],[Category]], 0, 1)</calculatedColumnFormula>
    </tableColumn>
    <tableColumn id="6" xr3:uid="{F38E8F4D-9D96-4D94-AB35-84195C2383BF}" name="Custom emissions intensity (Method 2)" dataDxfId="447" dataCellStyle="Input number 2 decimal places"/>
    <tableColumn id="12" xr3:uid="{6CD7BF08-7733-491C-BA9F-1EAD8F25F6AB}" name="Emissions intensity unit" dataDxfId="446" dataCellStyle="Normal 2">
      <calculatedColumnFormula>"kg CO2e / " &amp; Table_Scope3_InorganicFertiliser_Old[[#This Row],[Quantity Unit]]</calculatedColumnFormula>
    </tableColumn>
    <tableColumn id="14" xr3:uid="{78FD8AF0-6919-444D-9308-760263A10C62}" name="Scope 3 emissions exc. custom (t CO2-e)">
      <calculatedColumnFormula>Table_Scope3_InorganicFertiliser_Old[[#This Row],[Quantity]]*Table_Scope3_InorganicFertiliser_Old[[#This Row],[AusLCI Emissions intensity]]</calculatedColumnFormula>
    </tableColumn>
    <tableColumn id="15" xr3:uid="{2132CD9B-C820-453D-8EFD-A121ACE8F670}" name="Scope 3 emissions inc. custom (t CO2-e)2" dataDxfId="445">
      <calculatedColumnFormula>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calculatedColumnFormula>
    </tableColumn>
    <tableColumn id="7" xr3:uid="{31E6FB17-15EC-468A-8F48-0266EEBF3CAB}" name="Custom emissions intensity source" dataDxfId="444"/>
    <tableColumn id="8" xr3:uid="{CC453D67-3C9F-40DA-BAEA-31459E646CAA}" name="Custom emissions intensity source type (Select)" dataDxfId="443" dataCellStyle="Input select"/>
    <tableColumn id="9" xr3:uid="{392E54E6-4C8A-499A-BE04-EA7908E8D9F3}" name="Custom emissions intensity credential / certification link" dataDxfId="442"/>
    <tableColumn id="11" xr3:uid="{AD530986-C50B-4EE7-AABD-8864CCB8B330}" name="Scope 3 data score">
      <calculatedColumnFormula array="1">Common_InputFunctions.Utility_LookupValueInTableNumber(Table_Scope3_InorganicFertiliser_Old[[#This Row],[Custom emissions intensity source type (Select)]],#REF!,#REF!)</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322E309-A1C9-4F30-AA3A-4C1BCEE1E6BE}" name="Table_Scope3_OrganicFertiliser" displayName="Table_Scope3_OrganicFertiliser" ref="D42:P52" totalsRowShown="0" headerRowDxfId="441" dataDxfId="440" headerRowCellStyle="Equation table header">
  <autoFilter ref="D42:P52" xr:uid="{E172E861-22BE-4FC8-A0B7-83CA1966C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26934AAE-98FF-4C43-9786-8EE25B1865FF}" name="Organic fertiliser type" dataDxfId="439">
      <calculatedColumnFormula array="1">Common_InputFunctions.Utility_DisplayArrayInTable(Scope3_SourceData.Scope3_OrganicFertilisers_Data(), Table_Scope3_OrganicFertiliser[[#Headers],[Organic fertiliser type]], 0, 2)</calculatedColumnFormula>
    </tableColumn>
    <tableColumn id="2" xr3:uid="{123D2550-6776-410A-8885-A8C46DC49525}" name="Source" dataDxfId="438">
      <calculatedColumnFormula array="1">Common_InputFunctions.Utility_DisplayArrayInTable(Scope3_SourceData.Scope3_OrganicFertilisers_Data(), Table_Scope3_OrganicFertiliser[[#Headers],[Organic fertiliser type]], 0, 2)</calculatedColumnFormula>
    </tableColumn>
    <tableColumn id="3" xr3:uid="{354D6E88-EC7E-4377-BB92-92661572380C}" name="Quantity" dataDxfId="437"/>
    <tableColumn id="4" xr3:uid="{AF3095DD-89D8-4D36-BD6B-1A36DE87634F}" name="Quantity Unit" dataDxfId="436">
      <calculatedColumnFormula array="1">Common_InputFunctions.Utility_DisplayArrayInTable(Scope3_SourceData.Scope3_OrganicFertilisers_Data(), Table_Scope3_OrganicFertiliser[[#Headers],[Organic fertiliser type]], 0, 1)</calculatedColumnFormula>
    </tableColumn>
    <tableColumn id="5" xr3:uid="{A46E2149-3367-4F3C-9A46-A9A7436F9AA8}" name="AusLCI Emissions intensity" dataDxfId="435">
      <calculatedColumnFormula array="1">Common_InputFunctions.Utility_DisplayArrayInTable(Scope3_SourceData.Scope3_OrganicFertilisers_Data(), Table_Scope3_OrganicFertiliser[[#Headers],[Organic fertiliser type]], 0, 1)</calculatedColumnFormula>
    </tableColumn>
    <tableColumn id="6" xr3:uid="{2F223D06-24D7-4DF6-ACB5-9F1A090C1476}" name="Custom emissions intensity" dataDxfId="434"/>
    <tableColumn id="7" xr3:uid="{ED194064-6E2B-4CA8-80FA-D34D7B7A9DFF}" name="Emissions intensity unit" dataDxfId="433">
      <calculatedColumnFormula array="1">Common_InputFunctions.Utility_DisplayArrayInTable(Scope3_SourceData.Scope3_OrganicFertilisers_Data(), Table_Scope3_OrganicFertiliser[[#Headers],[Organic fertiliser type]], 0, 1)</calculatedColumnFormula>
    </tableColumn>
    <tableColumn id="8" xr3:uid="{691E5BEE-9C3E-4416-AFF1-79DC8A265137}" name="Scope 3 emissions exc. custom (t CO2-e)" dataDxfId="432">
      <calculatedColumnFormula>Table_Scope3_OrganicFertiliser[[#This Row],[Quantity]]*Table_Scope3_OrganicFertiliser[[#This Row],[AusLCI Emissions intensity]]</calculatedColumnFormula>
    </tableColumn>
    <tableColumn id="9" xr3:uid="{AB077C2D-134C-40B4-BFA8-CF72021D901C}" name="Scope 3 emissions inc. custom (t CO2-e)2" dataDxfId="431">
      <calculatedColumnFormula>Table_Scope3_OrganicFertiliser[[#This Row],[Quantity]]*IF(Table_Scope3_OrganicFertiliser[[#This Row],[Custom emissions intensity]], Table_Scope3_OrganicFertiliser[[#This Row],[Custom emissions intensity]], Table_Scope3_OrganicFertiliser[[#This Row],[AusLCI Emissions intensity]])</calculatedColumnFormula>
    </tableColumn>
    <tableColumn id="10" xr3:uid="{0205BF8D-9906-495F-90B6-2D1BABCFFA7E}" name="Custom emissions intensity source" dataDxfId="430"/>
    <tableColumn id="11" xr3:uid="{20DE4F6F-5D34-47A0-96F7-613CB05A2F00}" name="Custom emissions intensity source type (Select)" dataCellStyle="Input select"/>
    <tableColumn id="12" xr3:uid="{BE6CEBBB-FC0D-4310-B460-1AF164F818D0}" name="Custom emissions intensity credential / certification link" dataDxfId="429"/>
    <tableColumn id="13" xr3:uid="{8FD29B83-E6F0-48D4-9BD8-4D62D615F8F8}" name="Scope 3 data score" dataDxfId="428">
      <calculatedColumnFormula array="1">Common_InputFunctions.Utility_LookupValueInTableNumber(Table_Scope3_OrganicFertiliser[[#This Row],[Custom emissions intensity source type (Select)]],#REF!,#REF!)</calculatedColumnFormula>
    </tableColumn>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C5BDA1E-9FCE-41CA-AA15-6DF12E27FC48}" name="Table_Scope3_SoilAmendments" displayName="Table_Scope3_SoilAmendments" ref="D111:O116" totalsRowShown="0" headerRowDxfId="427" dataDxfId="426" headerRowCellStyle="Equation table header">
  <autoFilter ref="D111:O116" xr:uid="{BCB52E1B-7F3C-4E5F-89B5-9DD992D6DF8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ADE3720-C155-40DE-BF99-E5E961C227EC}" name="Soil amendment type" dataDxfId="425">
      <calculatedColumnFormula array="1">Common_InputFunctions.Utility_DisplayArrayInTable(Scope3_SourceData.Scope3_SoilAmendments_Data(), Table_Scope3_SoilAmendments[[#Headers],[Soil amendment type]], 0, 2)</calculatedColumnFormula>
    </tableColumn>
    <tableColumn id="3" xr3:uid="{81D43BA9-E39D-466C-B2A8-DE0C6296C924}" name="Quantity" dataDxfId="424" dataCellStyle="Normal 2">
      <calculatedColumnFormula array="1">Fertiliser_InputFunctions.Fertiliser_TotalSoilAmendmentApplied(Table_Input_Lime[Total amount applied (t)],Table_Input_Lime[Percent Lime CaCO3])</calculatedColumnFormula>
    </tableColumn>
    <tableColumn id="4" xr3:uid="{6501C009-A9A4-4181-BFF4-F9603616F2A9}" name="Quantity Unit" dataDxfId="423">
      <calculatedColumnFormula array="1">Common_InputFunctions.Utility_DisplayArrayInTable(Scope3_SourceData.Scope3_OrganicFertilisers_Data(), Table_Scope3_SoilAmendments[[#Headers],[Soil amendment type]], 0, 2)</calculatedColumnFormula>
    </tableColumn>
    <tableColumn id="5" xr3:uid="{39EECE04-C60D-46BD-9AFA-C54EC36D3FE7}" name="AusLCI Emissions intensity" dataDxfId="422">
      <calculatedColumnFormula array="1">Common_InputFunctions.Utility_DisplayArrayInTable(Scope3_SourceData.Scope3_SoilAmendments_Data(), Table_Scope3_SoilAmendments[[#Headers],[Soil amendment type]], 0, 2)</calculatedColumnFormula>
    </tableColumn>
    <tableColumn id="6" xr3:uid="{A5699586-0D6D-4174-B9FD-275D074320BB}" name="Custom emissions intensity" dataDxfId="421"/>
    <tableColumn id="7" xr3:uid="{98F1F39C-CAC6-4200-815B-D3698B75D8BA}" name="Emissions intensity unit" dataDxfId="420">
      <calculatedColumnFormula array="1">Common_InputFunctions.Utility_DisplayArrayInTable(Scope3_SourceData.Scope3_SoilAmendments_Data(), Table_Scope3_SoilAmendments[[#Headers],[Soil amendment type]], 0, 2)</calculatedColumnFormula>
    </tableColumn>
    <tableColumn id="8" xr3:uid="{FEFD5B3A-6044-4E89-B9F9-0A47CF9B6846}" name="Scope 3 emissions exc. custom (t CO2-e)" dataDxfId="419">
      <calculatedColumnFormula>Table_Scope3_SoilAmendments[[#This Row],[Quantity]]*Table_Scope3_SoilAmendments[[#This Row],[AusLCI Emissions intensity]]</calculatedColumnFormula>
    </tableColumn>
    <tableColumn id="9" xr3:uid="{543409B5-2E30-4E07-B328-34B9E02BCDB3}" name="Scope 3 emissions inc. custom (t CO2-e)2" dataDxfId="418">
      <calculatedColumnFormula>Table_Scope3_SoilAmendments[[#This Row],[Quantity]]*IF(Table_Scope3_SoilAmendments[[#This Row],[Custom emissions intensity]], Table_Scope3_SoilAmendments[[#This Row],[Custom emissions intensity]], Table_Scope3_SoilAmendments[[#This Row],[AusLCI Emissions intensity]])</calculatedColumnFormula>
    </tableColumn>
    <tableColumn id="10" xr3:uid="{C6CEB8A5-E71A-4D46-B435-1E1602BFEF90}" name="Custom emissions intensity source" dataDxfId="417"/>
    <tableColumn id="11" xr3:uid="{489B5F84-8E65-4F39-9BBC-E78CC0BE3CD0}" name="Custom emissions intensity source type (Select)" dataDxfId="416" dataCellStyle="Input select"/>
    <tableColumn id="12" xr3:uid="{4CF75BF2-BD55-4391-ACB4-588470EFA7A3}" name="Custom emissions intensity credential / certification link" dataDxfId="415"/>
    <tableColumn id="13" xr3:uid="{C3D5AA1F-E5A7-40F7-B344-D03BD1431326}" name="Scope 3 data score" dataDxfId="414">
      <calculatedColumnFormula array="1">Common_InputFunctions.Utility_LookupValueInTableNumber(Table_Scope3_SoilAmendments[[#This Row],[Custom emissions intensity source type (Select)]],#REF!,#REF!)</calculatedColumnFormula>
    </tableColum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E6974DB-8E99-4067-86AE-FE845D052DF7}" name="Table_Scope3_Agrochemicals" displayName="Table_Scope3_Agrochemicals" ref="D125:O130" totalsRowShown="0" headerRowDxfId="413" dataDxfId="412" headerRowCellStyle="Equation table header">
  <autoFilter ref="D125:O130" xr:uid="{3693AC8C-71E5-4A67-A7C1-3A271982E4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2B9239E5-8AE1-4DDB-80A7-778A50C75B04}" name="Agrochemical type" dataDxfId="411">
      <calculatedColumnFormula array="1">Common_InputFunctions.Utility_DisplayArrayInTable(Scope3_SourceData.Scope3_Agrochemicals_Data(), Table_Scope3_Agrochemicals[[#Headers],[Agrochemical type]], 0, 2)</calculatedColumnFormula>
    </tableColumn>
    <tableColumn id="3" xr3:uid="{C9915B4D-9645-4DA2-BCF5-1528B62C39F1}" name="Quantity" dataDxfId="410">
      <calculatedColumnFormula array="1">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calculatedColumnFormula>
    </tableColumn>
    <tableColumn id="4" xr3:uid="{DFB9053F-5CFC-4AE4-9036-4592828A192A}" name="Quantity Unit" dataDxfId="409">
      <calculatedColumnFormula array="1">Common_InputFunctions.Utility_DisplayArrayInTable(Scope3_SourceData.Scope3_Agrochemicals_Data(), Table_Scope3_Agrochemicals[[#Headers],[Agrochemical type]], 0, 2)</calculatedColumnFormula>
    </tableColumn>
    <tableColumn id="5" xr3:uid="{E8D3E719-2A5E-483A-9377-A79610CE84BA}" name="AusLCI Emissions intensity" dataDxfId="408">
      <calculatedColumnFormula array="1">Common_InputFunctions.Utility_DisplayArrayInTable(Scope3_SourceData.Scope3_Agrochemicals_Data(), Table_Scope3_Agrochemicals[[#Headers],[Agrochemical type]], 0, 2)</calculatedColumnFormula>
    </tableColumn>
    <tableColumn id="6" xr3:uid="{AE546F26-6FD4-4093-89DC-94C7CED9A9F2}" name="Custom emissions intensity" dataDxfId="407"/>
    <tableColumn id="7" xr3:uid="{A67960B4-7A0D-47E4-84DD-812458CC8633}" name="Emissions intensity unit" dataDxfId="406">
      <calculatedColumnFormula array="1">Common_InputFunctions.Utility_DisplayArrayInTable(Scope3_SourceData.Scope3_Agrochemicals_Data(), Table_Scope3_Agrochemicals[[#Headers],[Agrochemical type]], 0, 2)</calculatedColumnFormula>
    </tableColumn>
    <tableColumn id="8" xr3:uid="{A52E5303-9A66-40E6-B2D1-9BFB1F8DCB87}" name="Scope 3 emissions exc. custom (t CO2-e)" dataDxfId="405">
      <calculatedColumnFormula>Table_Scope3_Agrochemicals[[#This Row],[Quantity]]*Table_Scope3_Agrochemicals[[#This Row],[AusLCI Emissions intensity]]</calculatedColumnFormula>
    </tableColumn>
    <tableColumn id="9" xr3:uid="{9BEE8F3F-1516-4C76-A1DD-B80075407F60}" name="Scope 3 emissions inc. custom (t CO2-e)2" dataDxfId="404">
      <calculatedColumnFormula>Table_Scope3_Agrochemicals[[#This Row],[Quantity]]*IF(Table_Scope3_Agrochemicals[[#This Row],[Custom emissions intensity]], Table_Scope3_Agrochemicals[[#This Row],[Custom emissions intensity]], Table_Scope3_Agrochemicals[[#This Row],[AusLCI Emissions intensity]])</calculatedColumnFormula>
    </tableColumn>
    <tableColumn id="10" xr3:uid="{EB00C0C9-58CE-47C6-BC17-1630867D7EC7}" name="Custom emissions intensity source" dataDxfId="403"/>
    <tableColumn id="11" xr3:uid="{BCC280A4-70B3-4C0E-8867-0DDF4348CD1E}" name="Custom emissions intensity source type (Select)" dataDxfId="402" dataCellStyle="Input select"/>
    <tableColumn id="12" xr3:uid="{A488298E-41BE-414B-A691-6BF06CC16487}" name="Custom emissions intensity credential / certification link" dataDxfId="401"/>
    <tableColumn id="13" xr3:uid="{BAFCF88E-DDA4-4655-B797-2A797B0A305A}" name="Scope 3 data score" dataDxfId="400">
      <calculatedColumnFormula array="1">Common_InputFunctions.Utility_LookupValueInTableNumber(Table_Scope3_Agrochemicals[[#This Row],[Custom emissions intensity source type (Select)]],#REF!,#REF!)</calculatedColumnFormula>
    </tableColum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EDCE235B-14D5-479C-8490-6C77374E0AD6}" name="Table68" displayName="Table68" ref="D139:O142" totalsRowShown="0" headerRowDxfId="399" dataDxfId="398" headerRowCellStyle="Equation table header">
  <autoFilter ref="D139:O142" xr:uid="{2BD37221-6228-41F3-8E25-E7922F3C09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D201E3D2-D8B3-44F6-A2BB-3CB56697A062}" name="Lick block type" dataDxfId="397">
      <calculatedColumnFormula array="1">Common_InputFunctions.Utility_DisplayArrayInTable(Scope3_SourceData.Scope3_LickBlocks_Data(), Table68[[#Headers],[Lick block type]], 0, 2)</calculatedColumnFormula>
    </tableColumn>
    <tableColumn id="2" xr3:uid="{DA652F67-ACF2-45FA-B5F7-8948109EB6E0}" name="Quantity" dataDxfId="396">
      <calculatedColumnFormula>'Input - Feed - Dairy'!E9</calculatedColumnFormula>
    </tableColumn>
    <tableColumn id="3" xr3:uid="{19B996C8-D69C-4B31-8A1A-53E04E32DD8B}" name="Quantity Unit" dataDxfId="395">
      <calculatedColumnFormula array="1">Common_InputFunctions.Utility_DisplayArrayInTable(Scope3_SourceData.Scope3_LickBlocks_Data(), Table68[[#Headers],[Lick block type]], 0, 2)</calculatedColumnFormula>
    </tableColumn>
    <tableColumn id="4" xr3:uid="{0BBA9652-55A0-4ADC-8679-910D7D9BECE8}" name="AusLCI Emissions intensity" dataDxfId="394">
      <calculatedColumnFormula array="1">Common_InputFunctions.Utility_DisplayArrayInTable(Scope3_SourceData.Scope3_LickBlocks_Data(), Table68[[#Headers],[Lick block type]], 0, 2)</calculatedColumnFormula>
    </tableColumn>
    <tableColumn id="5" xr3:uid="{35DFE3B5-382A-4DD4-AF8A-5BEEF9989085}" name="Custom emissions intensity" dataDxfId="393"/>
    <tableColumn id="6" xr3:uid="{57CCC596-EAA4-4752-99FE-80BB013322CC}" name="Emissions intensity unit" dataDxfId="392">
      <calculatedColumnFormula array="1">Common_InputFunctions.Utility_DisplayArrayInTable(Scope3_SourceData.Scope3_LickBlocks_Data(), Table68[[#Headers],[Lick block type]], 0, 2)</calculatedColumnFormula>
    </tableColumn>
    <tableColumn id="7" xr3:uid="{52FCEC3F-745B-45BC-848C-FDF48E168366}" name="Scope 3 emissions exc. custom (t CO2-e)" dataDxfId="391">
      <calculatedColumnFormula>Table68[[#This Row],[Quantity]]*Table68[[#This Row],[AusLCI Emissions intensity]]</calculatedColumnFormula>
    </tableColumn>
    <tableColumn id="8" xr3:uid="{ACEAD9C0-64C5-4DB5-A632-9C95391E16BA}" name="Scope 3 emissions inc. custom (t CO2-e)2" dataDxfId="390">
      <calculatedColumnFormula>Table68[[#This Row],[Quantity]]*IF(Table68[[#This Row],[Custom emissions intensity]], Table68[[#This Row],[Custom emissions intensity]], Table68[[#This Row],[AusLCI Emissions intensity]])</calculatedColumnFormula>
    </tableColumn>
    <tableColumn id="9" xr3:uid="{6D56F11C-FDD6-4BDF-B8E1-B3B94F441CF6}" name="Custom emissions intensity source" dataDxfId="389"/>
    <tableColumn id="10" xr3:uid="{3FE4C6F0-46BC-4CAE-BB4B-E2388FD8F5DE}" name="Custom emissions intensity source type (Select)" dataDxfId="388" dataCellStyle="Input select"/>
    <tableColumn id="11" xr3:uid="{7C058F3A-D9B7-4B57-988F-7C114A1D1B0E}" name="Custom emissions intensity credential / certification link" dataDxfId="387"/>
    <tableColumn id="12" xr3:uid="{91B54F2B-4870-4004-BA7C-24F0081E7D43}" name="Scope 3 data score" dataDxfId="386">
      <calculatedColumnFormula array="1">Common_InputFunctions.Utility_LookupValueInTableNumber(Table68[[#This Row],[Custom emissions intensity source type (Select)]],#REF!,#REF!)</calculatedColumnFormula>
    </tableColum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6B67CB68-19C9-41C6-BD2C-B7ED574A900C}" name="Table_Scope3_AnimalFeed" displayName="Table_Scope3_AnimalFeed" ref="D151:O167" totalsRowShown="0" headerRowDxfId="385" dataDxfId="384" headerRowCellStyle="Equation table header">
  <autoFilter ref="D151:O167" xr:uid="{DAB87CE6-879B-4536-B39F-9EB7F056F7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BD27C13-197F-40CA-90A4-FCB9A876CA6F}" name="Feed ingredient" dataDxfId="383">
      <calculatedColumnFormula array="1">Common_InputFunctions.Utility_DisplayArrayInTable(Scope3_SourceData.Scope3_AnimalFeed_Data(), Table_Scope3_AnimalFeed[[#Headers],[Feed ingredient]], 0, 2)</calculatedColumnFormula>
    </tableColumn>
    <tableColumn id="2" xr3:uid="{2C47578D-1CC6-4911-9115-3B20D15CC269}" name="Quantity" dataDxfId="382">
      <calculatedColumnFormula array="1">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calculatedColumnFormula>
    </tableColumn>
    <tableColumn id="3" xr3:uid="{B6D0EB09-D24D-437B-9239-AC59FD1E1DE6}" name="Quantity Unit" dataDxfId="381">
      <calculatedColumnFormula array="1">Common_InputFunctions.Utility_DisplayArrayInTable(Scope3_SourceData.Scope3_AnimalFeed_Data(), Table_Scope3_AnimalFeed[[#Headers],[Feed ingredient]], 0, 2)</calculatedColumnFormula>
    </tableColumn>
    <tableColumn id="4" xr3:uid="{6B296D7E-154E-4113-AC1F-979122BFC644}" name="AusLCI Emissions intensity" dataDxfId="380">
      <calculatedColumnFormula array="1">Common_InputFunctions.Utility_DisplayArrayInTable(Scope3_SourceData.Scope3_AnimalFeed_Data(), Table_Scope3_AnimalFeed[[#Headers],[Feed ingredient]], 0, 2)</calculatedColumnFormula>
    </tableColumn>
    <tableColumn id="5" xr3:uid="{5004FF5B-716F-4260-A746-601E5243C2C0}" name="Custom emissions intensity" dataDxfId="379"/>
    <tableColumn id="6" xr3:uid="{7E2A15D3-418B-4623-BB0A-004779B919AE}" name="Emissions intensity unit" dataDxfId="378">
      <calculatedColumnFormula array="1">Common_InputFunctions.Utility_DisplayArrayInTable(Scope3_SourceData.Scope3_AnimalFeed_Data(), Table_Scope3_AnimalFeed[[#Headers],[Feed ingredient]], 0, 2)</calculatedColumnFormula>
    </tableColumn>
    <tableColumn id="7" xr3:uid="{767AED52-72E7-49C0-B02C-E266D9C271EA}" name="Scope 3 emissions exc. custom (t CO2-e)" dataDxfId="377">
      <calculatedColumnFormula>Table_Scope3_AnimalFeed[[#This Row],[Quantity]]*Table_Scope3_AnimalFeed[[#This Row],[AusLCI Emissions intensity]]</calculatedColumnFormula>
    </tableColumn>
    <tableColumn id="8" xr3:uid="{EB611953-88C5-4706-B438-ADDF33321847}" name="Scope 3 emissions inc. custom (t CO2-e)2" dataDxfId="376">
      <calculatedColumnFormula>Table_Scope3_AnimalFeed[[#This Row],[Quantity]]*IF(Table_Scope3_AnimalFeed[[#This Row],[Custom emissions intensity]], Table_Scope3_AnimalFeed[[#This Row],[Custom emissions intensity]], Table_Scope3_AnimalFeed[[#This Row],[AusLCI Emissions intensity]])</calculatedColumnFormula>
    </tableColumn>
    <tableColumn id="9" xr3:uid="{AE7A4E20-4DA5-43E0-BCE1-D83D4F7740FE}" name="Custom emissions intensity source" dataDxfId="375"/>
    <tableColumn id="10" xr3:uid="{8DE4F761-3544-4E4C-BDE3-DC02EE855AE6}" name="Custom emissions intensity source type (Select)" dataDxfId="374" dataCellStyle="Input select"/>
    <tableColumn id="11" xr3:uid="{3921779E-8049-4FA4-863E-C1CB0FC21B60}" name="Custom emissions intensity credential / certification link" dataDxfId="373"/>
    <tableColumn id="12" xr3:uid="{C378A2CF-3CA8-42AE-8BCC-9E749FEE7162}" name="Scope 3 data score" dataDxfId="372">
      <calculatedColumnFormula array="1">Common_InputFunctions.Utility_LookupValueInTableNumber(Table_Scope3_AnimalFeed[[#This Row],[Custom emissions intensity source type (Select)]],#REF!,#REF!)</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568A9F2B-5819-40D8-A5BC-B9E88CC6AFB2}" name="Table_Scope3_AquacultureFeedBait" displayName="Table_Scope3_AquacultureFeedBait" ref="D176:O184" totalsRowShown="0" headerRowDxfId="371" dataDxfId="370" headerRowCellStyle="Equation table header">
  <autoFilter ref="D176:O184" xr:uid="{F7E7200E-0C08-48D1-8A07-9947FD77E2C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188F981-9EE9-4FE8-9CA6-CE7AB469CF85}" name="Feed / Bait ingredient" dataDxfId="369">
      <calculatedColumnFormula array="1">Common_InputFunctions.Utility_DisplayArrayInTable(Scope3_SourceData.Scope3_AquacultureFeedAndBait_Data(), Table_Scope3_AquacultureFeedBait[[#Headers],[Feed / Bait ingredient]], 0, 2)</calculatedColumnFormula>
    </tableColumn>
    <tableColumn id="2" xr3:uid="{D68BA8D2-5829-4CDB-824F-394076346A27}" name="Quantity" dataDxfId="368">
      <calculatedColumnFormula array="1">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calculatedColumnFormula>
    </tableColumn>
    <tableColumn id="3" xr3:uid="{2619AB87-005B-4BC3-BF2C-4DF1E341C37D}" name="Quantity Unit" dataDxfId="367">
      <calculatedColumnFormula array="1">Common_InputFunctions.Utility_DisplayArrayInTable(Scope3_SourceData.Scope3_AquacultureFeedAndBait_Data(), Table_Scope3_AquacultureFeedBait[[#Headers],[Feed / Bait ingredient]], 0, 2)</calculatedColumnFormula>
    </tableColumn>
    <tableColumn id="4" xr3:uid="{1367638C-1D66-455D-B92C-D9F4792B2F62}" name="AusLCI Emissions intensity" dataDxfId="366">
      <calculatedColumnFormula array="1">Common_InputFunctions.Utility_DisplayArrayInTable(Scope3_SourceData.Scope3_AquacultureFeedAndBait_Data(), Table_Scope3_AquacultureFeedBait[[#Headers],[Feed / Bait ingredient]], 0, 2)</calculatedColumnFormula>
    </tableColumn>
    <tableColumn id="5" xr3:uid="{B74F0CD0-6052-409E-A908-0E970AB4B509}" name="Custom emissions intensity" dataDxfId="365"/>
    <tableColumn id="6" xr3:uid="{487B1346-7F0C-4540-843A-47F14BF4CBDF}" name="Emissions intensity unit" dataDxfId="364">
      <calculatedColumnFormula array="1">Common_InputFunctions.Utility_DisplayArrayInTable(Scope3_SourceData.Scope3_AquacultureFeedAndBait_Data(), Table_Scope3_AquacultureFeedBait[[#Headers],[Feed / Bait ingredient]], 0, 2)</calculatedColumnFormula>
    </tableColumn>
    <tableColumn id="7" xr3:uid="{27CEE63D-18C5-4029-9958-274DCF0DF53A}" name="Scope 3 emissions exc. custom (t CO2-e)" dataDxfId="363">
      <calculatedColumnFormula>Table_Scope3_AquacultureFeedBait[[#This Row],[Quantity]]*Table_Scope3_AquacultureFeedBait[[#This Row],[AusLCI Emissions intensity]]</calculatedColumnFormula>
    </tableColumn>
    <tableColumn id="8" xr3:uid="{90F179EF-9158-4D18-B1E6-2CC2AD7DE50E}" name="Scope 3 emissions inc. custom (t CO2-e)2" dataDxfId="362">
      <calculatedColumnFormula>Table_Scope3_AquacultureFeedBait[[#This Row],[Quantity]]*IF(Table_Scope3_AquacultureFeedBait[[#This Row],[Custom emissions intensity]], Table_Scope3_AquacultureFeedBait[[#This Row],[Custom emissions intensity]], Table_Scope3_AquacultureFeedBait[[#This Row],[AusLCI Emissions intensity]])</calculatedColumnFormula>
    </tableColumn>
    <tableColumn id="9" xr3:uid="{D3E5C197-F174-4357-9FFD-7C31D1749DBD}" name="Custom emissions intensity source" dataDxfId="361"/>
    <tableColumn id="10" xr3:uid="{6E51CC5A-A48D-4108-B0FC-9C3FD2967088}" name="Custom emissions intensity source type (Select)" dataDxfId="360" dataCellStyle="Input select"/>
    <tableColumn id="11" xr3:uid="{D7926F02-B044-4771-8CD8-3404809FC58C}" name="Custom emissions intensity credential / certification link" dataDxfId="359"/>
    <tableColumn id="12" xr3:uid="{02355A58-E083-4126-96A0-2A4D76149118}" name="Scope 3 data score" dataDxfId="358">
      <calculatedColumnFormula array="1">Common_InputFunctions.Utility_LookupValueInTableNumber(Table_Scope3_AquacultureFeedBait[[#This Row],[Custom emissions intensity source type (Select)]],#REF!,#REF!)</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5A61C346-2591-4183-84C6-77A652B432D8}" name="Table_Scope3_Livestock" displayName="Table_Scope3_Livestock" ref="D61:Q102" totalsRowShown="0" headerRowDxfId="101" dataDxfId="100" headerRowCellStyle="Equation table header">
  <autoFilter ref="D61:Q102" xr:uid="{F10D1153-4A60-475C-B050-639402A54FF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372CF0FA-0926-4C2A-A087-50B6323D88D1}" name="Category" dataDxfId="99">
      <calculatedColumnFormula array="1">Common_InputFunctions.Utility_DisplayArrayInTable(Scope3_SourceData.Scope3_Livestock_Data(), Table_Scope3_Livestock[[#Headers],[Category]], 0, 2)</calculatedColumnFormula>
    </tableColumn>
    <tableColumn id="13" xr3:uid="{3316FFAF-CA1A-40A3-A5AA-4CD3F33D4A04}" name="Product" dataDxfId="98">
      <calculatedColumnFormula array="1">Common_InputFunctions.Utility_DisplayArrayInTable(Scope3_SourceData.Scope3_Livestock_Data(), Table_Scope3_Livestock[[#Headers],[Category]], 0, 2)</calculatedColumnFormula>
    </tableColumn>
    <tableColumn id="2" xr3:uid="{CCC5F36E-AD44-4679-97C2-0FBE53FF44CF}" name="Region of origin" dataDxfId="91" dataCellStyle="Normal 2">
      <calculatedColumnFormula array="1">Common_InputFunctions.Utility_DisplayArrayInTable(Scope3_SourceData.Scope3_Livestock_Data(), Table_Scope3_Livestock[[#Headers],[Category]], 0, 2)</calculatedColumnFormula>
    </tableColumn>
    <tableColumn id="14" xr3:uid="{7A07DB9D-2E36-4E0C-96D9-2A450034AC06}" name="Quantity" dataDxfId="82" dataCellStyle="Normal 2">
      <calculatedColumnFormula array="1">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calculatedColumnFormula>
    </tableColumn>
    <tableColumn id="3" xr3:uid="{F57AEE38-889B-43EC-B866-CDA3EDB7AF3B}" name="Quantity unit" dataDxfId="90" dataCellStyle="Normal 2">
      <calculatedColumnFormula array="1">Common_InputFunctions.Utility_DisplayArrayInTable(Scope3_SourceData.Scope3_Livestock_Data(), Table_Scope3_Livestock[[#Headers],[Category]], 0, 2)</calculatedColumnFormula>
    </tableColumn>
    <tableColumn id="4" xr3:uid="{98556593-DBA8-4E21-A6DF-CACBCBC9DD88}" name="AusLCI Emissions intensity" dataDxfId="97">
      <calculatedColumnFormula array="1">Common_InputFunctions.Utility_DisplayArrayInTable(Scope3_SourceData.Scope3_Livestock_Data(), Table_Scope3_Livestock[[#Headers],[Category]], 0, 1)</calculatedColumnFormula>
    </tableColumn>
    <tableColumn id="5" xr3:uid="{62B9E2F2-BA64-4F8D-9EDC-45950F3D431D}" name="Custom emissions intensity" dataDxfId="96"/>
    <tableColumn id="6" xr3:uid="{36CCFC7B-DFDE-40CB-A235-6BB125639B81}" name="Emissions intensity unit" dataDxfId="89" dataCellStyle="Normal 2">
      <calculatedColumnFormula>"kg CO2e / " &amp;Table_Scope3_Livestock[[#This Row],[Quantity unit]]</calculatedColumnFormula>
    </tableColumn>
    <tableColumn id="7" xr3:uid="{DAF93A78-9B42-492A-BFB2-234CE5059B38}" name="Scope 3 emissions exc. custom (t CO2-e)" dataDxfId="84" dataCellStyle="Normal 2">
      <calculatedColumnFormula>Table_Scope3_Livestock[[#This Row],[Quantity]]*Table_Scope3_Livestock[[#This Row],[AusLCI Emissions intensity]]</calculatedColumnFormula>
    </tableColumn>
    <tableColumn id="8" xr3:uid="{CBFBC27A-62AB-4957-AA65-46A0F2D4E298}" name="Scope 3 emissions inc. custom (t CO2-e)2" dataDxfId="83" dataCellStyle="Normal 2">
      <calculatedColumnFormula>Table_Scope3_Livestock[[#This Row],[Quantity]]*IF(Table_Scope3_Livestock[[#This Row],[Custom emissions intensity]], Table_Scope3_Livestock[[#This Row],[Custom emissions intensity]], Table_Scope3_Livestock[[#This Row],[AusLCI Emissions intensity]])</calculatedColumnFormula>
    </tableColumn>
    <tableColumn id="9" xr3:uid="{172F798E-0852-464E-A052-9321163FFE0B}" name="Custom emissions intensity source" dataDxfId="95"/>
    <tableColumn id="10" xr3:uid="{140DD246-897A-4254-ABC3-184B0752C8BC}" name="Custom emissions intensity source type (Select)" dataDxfId="94" dataCellStyle="Input select"/>
    <tableColumn id="11" xr3:uid="{024D51E6-1B28-4F3F-87A3-0C69EE7C1A2B}" name="Custom emissions intensity credential / certification link" dataDxfId="93"/>
    <tableColumn id="12" xr3:uid="{76186394-3B2E-4C37-920B-CE8FD85249D2}" name="Scope 3 data score" dataDxfId="92">
      <calculatedColumnFormula array="1">Common_InputFunctions.Utility_LookupValueInTableNumber(Table_Scope3_Livestock[[#This Row],[Custom emissions intensity source type (Select)]],#REF!,#REF!)</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BCF46AD-0532-4CB4-A4E7-D6FE0618ECB0}" name="Table_Scope3_Packaging" displayName="Table_Scope3_Packaging" ref="D193:O199" totalsRowShown="0" headerRowDxfId="357" dataDxfId="356" headerRowCellStyle="Equation table header">
  <autoFilter ref="D193:O199" xr:uid="{3F2FA35B-A7CA-4FCD-B882-1E7CEC13CDC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28A72D9-C0CD-4DC2-84C8-D5F5F073E6A0}" name="Packaging component" dataDxfId="355">
      <calculatedColumnFormula array="1">Common_InputFunctions.Utility_DisplayArrayInTable(Scope3_SourceData.Scope3_Packaging_Data(),Table_Scope3_Packaging[[#Headers],[Packaging component]], 0, 2)</calculatedColumnFormula>
    </tableColumn>
    <tableColumn id="2" xr3:uid="{97453D1F-B100-4444-9D44-D6A3C09C4D0E}" name="Quantity" dataDxfId="354">
      <calculatedColumnFormula array="1">Common_InputFunctions.Utility_SumQuantityFromCriteria(Table_Scope3_Packaging[[#This Row],[Packaging component]],Table_Input_Packaging[Packaging component (select)],Table_Input_Packaging[Quantity purchased])</calculatedColumnFormula>
    </tableColumn>
    <tableColumn id="3" xr3:uid="{E73E745C-5683-475B-838D-AEA14ACD15A8}" name="Quantity Unit" dataDxfId="353">
      <calculatedColumnFormula array="1">Common_InputFunctions.Utility_DisplayArrayInTable(Scope3_SourceData.Scope3_Packaging_Data(),Table_Scope3_Packaging[[#Headers],[Packaging component]], 0, 2)</calculatedColumnFormula>
    </tableColumn>
    <tableColumn id="4" xr3:uid="{3FD643F8-559E-4D30-B7ED-16C4E920F33D}" name="AusLCI Emissions intensity" dataDxfId="352">
      <calculatedColumnFormula array="1">Common_InputFunctions.Utility_DisplayArrayInTable(Scope3_SourceData.Scope3_Packaging_Data(),Table_Scope3_Packaging[[#Headers],[Packaging component]], 0, 2)</calculatedColumnFormula>
    </tableColumn>
    <tableColumn id="5" xr3:uid="{FD8AC028-A450-47E2-90D5-151005AF9D58}" name="Custom emissions intensity" dataDxfId="351"/>
    <tableColumn id="6" xr3:uid="{ECCFA26D-A2BD-472C-9EE5-9589D767755D}" name="Emissions intensity unit" dataDxfId="350">
      <calculatedColumnFormula array="1">Common_InputFunctions.Utility_DisplayArrayInTable(Scope3_SourceData.Scope3_Packaging_Data(),Table_Scope3_Packaging[[#Headers],[Packaging component]], 0, 2)</calculatedColumnFormula>
    </tableColumn>
    <tableColumn id="7" xr3:uid="{30C79202-10CD-44D3-8398-686225EE1EB4}" name="Scope 3 emissions exc. custom (t CO2-e)" dataDxfId="349">
      <calculatedColumnFormula>Table_Scope3_Packaging[[#This Row],[Quantity]]*Table_Scope3_Packaging[[#This Row],[AusLCI Emissions intensity]]</calculatedColumnFormula>
    </tableColumn>
    <tableColumn id="8" xr3:uid="{3232BA05-6709-45B1-96A7-5A89E22A7648}" name="Scope 3 emissions inc. custom (t CO2-e)2" dataDxfId="348">
      <calculatedColumnFormula>Table_Scope3_Packaging[[#This Row],[Quantity]]*IF(Table_Scope3_Packaging[[#This Row],[Custom emissions intensity]], Table_Scope3_Packaging[[#This Row],[Custom emissions intensity]], Table_Scope3_Packaging[[#This Row],[AusLCI Emissions intensity]])</calculatedColumnFormula>
    </tableColumn>
    <tableColumn id="9" xr3:uid="{573CA4B3-9514-4539-9FDD-798316EC634C}" name="Custom emissions intensity source" dataDxfId="347"/>
    <tableColumn id="10" xr3:uid="{03479FBE-F8B9-4A37-9A74-4F7F8B621BCF}" name="Custom emissions intensity source type (Select)" dataDxfId="346" dataCellStyle="Input select"/>
    <tableColumn id="11" xr3:uid="{DF57E7E3-AB6B-4CCA-94A5-B8E8874AFE53}" name="Custom emissions intensity credential / certification link" dataDxfId="345"/>
    <tableColumn id="12" xr3:uid="{DDCFA855-4F48-43FD-A178-71B5B9D9EDE6}" name="Scope 3 data score" dataDxfId="344">
      <calculatedColumnFormula array="1">Common_InputFunctions.Utility_LookupValueInTableNumber(Table_Scope3_Packaging[[#This Row],[Custom emissions intensity source type (Select)]],#REF!,#REF!)</calculatedColumnFormula>
    </tableColumn>
  </tableColumns>
  <tableStyleInfo name="Editable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D69C855B-5B8B-430F-9B78-16BD3F75EB22}" name="Table_Scope3_CleaningChemicals" displayName="Table_Scope3_CleaningChemicals" ref="D208:Q211" totalsRowShown="0" headerRowDxfId="343" dataDxfId="342" headerRowCellStyle="Equation table header">
  <autoFilter ref="D208:Q211" xr:uid="{26083B28-B3BC-4816-8CAE-E89967B2E94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8150FEC9-7493-4B26-9160-0C5E34EAE1BB}" name="Category" dataDxfId="341">
      <calculatedColumnFormula array="1">Common_InputFunctions.Utility_DisplayArrayInTable(Scope3_SourceData.Scope3_CleaningChemicals_Data(), Table_Scope3_CleaningChemicals[[#Headers],[Category]], 0, 2)</calculatedColumnFormula>
    </tableColumn>
    <tableColumn id="2" xr3:uid="{1D36C3F8-D0F4-4EB8-921C-E057BF8EE780}" name="Product" dataDxfId="340" dataCellStyle="Normal 2"/>
    <tableColumn id="3" xr3:uid="{67B3B0D4-A203-4DF9-9685-A7D04DCD58F5}" name="Region of origin" dataDxfId="339">
      <calculatedColumnFormula array="1">Common_InputFunctions.Utility_DisplayArrayInTable(Scope3_SourceData.Scope3_CleaningChemicals_Data(), Table_Scope3_CleaningChemicals[[#Headers],[Category]], 0, 2)</calculatedColumnFormula>
    </tableColumn>
    <tableColumn id="14" xr3:uid="{0C53F15C-BC21-4CEC-9921-8EFAF06F7370}" name="Quantity" dataDxfId="71" dataCellStyle="Normal 2">
      <calculatedColumnFormula array="1">Common_InputFunctions.Utility_SumQuantityFromCriteria(Table_Scope3_CleaningChemicals[[#This Row],[Product]],Table_Input_CleaningChemicals[Type (select)],Table_Input_CleaningChemicals[Quantity purchased (kg)])</calculatedColumnFormula>
    </tableColumn>
    <tableColumn id="13" xr3:uid="{65C7938F-0502-4BD1-B221-5711FCA71C52}" name="Quantity unit" dataDxfId="72" dataCellStyle="Normal 2"/>
    <tableColumn id="4" xr3:uid="{56A0010A-0F49-4283-856B-AD8BFFD20FE5}" name="AusLCI Emissions intensity" dataDxfId="338">
      <calculatedColumnFormula array="1">Common_InputFunctions.Utility_DisplayArrayInTable(Scope3_SourceData.Scope3_CleaningChemicals_Data(), Table_Scope3_CleaningChemicals[[#Headers],[Category]], 0, 2)</calculatedColumnFormula>
    </tableColumn>
    <tableColumn id="5" xr3:uid="{6579B8BB-E0F3-4022-AA1B-B7667E2C4B9E}" name="Custom emissions intensity" dataDxfId="337"/>
    <tableColumn id="6" xr3:uid="{42FD4F88-135A-433F-817B-5EF0A2C1CC99}" name="Emissions intensity unit" dataDxfId="336">
      <calculatedColumnFormula array="1">Common_InputFunctions.Utility_DisplayArrayInTable(Scope3_SourceData.Scope3_CleaningChemicals_Data(), Table_Scope3_CleaningChemicals[[#Headers],[Category]], 0, 2)</calculatedColumnFormula>
    </tableColumn>
    <tableColumn id="7" xr3:uid="{B55FCB45-7851-4DC1-B0D0-27B7D1EAA91E}" name="Scope 3 emissions exc. custom (t CO2-e)" dataDxfId="335">
      <calculatedColumnFormula>Table_Scope3_CleaningChemicals[[#This Row],[Product]]*Table_Scope3_CleaningChemicals[[#This Row],[AusLCI Emissions intensity]]</calculatedColumnFormula>
    </tableColumn>
    <tableColumn id="8" xr3:uid="{B36A1114-E107-4736-814E-862B9005C600}" name="Scope 3 emissions inc. custom (t CO2-e)2" dataDxfId="70" dataCellStyle="Normal 2">
      <calculatedColumnFormula>Table_Scope3_CleaningChemicals[[#This Row],[Quantity]]*IF(Table_Scope3_CleaningChemicals[[#This Row],[Custom emissions intensity]], Table_Scope3_CleaningChemicals[[#This Row],[Custom emissions intensity]], Table_Scope3_CleaningChemicals[[#This Row],[AusLCI Emissions intensity]])</calculatedColumnFormula>
    </tableColumn>
    <tableColumn id="9" xr3:uid="{B97981A5-BFCD-4796-BF56-AB27C9696A26}" name="Custom emissions intensity source" dataDxfId="334"/>
    <tableColumn id="10" xr3:uid="{EEB70F68-6156-49E4-B0B4-208B3E4F7026}" name="Custom emissions intensity source type (Select)" dataDxfId="333" dataCellStyle="Input select"/>
    <tableColumn id="11" xr3:uid="{BA5DFBCA-79FA-4F03-9757-F52930F566CC}" name="Custom emissions intensity credential / certification link" dataDxfId="332"/>
    <tableColumn id="12" xr3:uid="{5DD64AB4-D99C-4EA4-A163-66A5344CAE67}" name="Scope 3 data score" dataDxfId="331">
      <calculatedColumnFormula array="1">Common_InputFunctions.Utility_LookupValueInTableNumber(Table_Scope3_CleaningChemicals[[#This Row],[Custom emissions intensity source type (Select)]],#REF!,#REF!)</calculatedColumnFormula>
    </tableColumn>
  </tableColumns>
  <tableStyleInfo name="Editable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9BCD346-7A40-4750-B0EE-EC53FA5BD9E6}" name="Table_Scope3_SeedsAndSeedlings" displayName="Table_Scope3_SeedsAndSeedlings" ref="D231:O233" totalsRowShown="0" headerRowDxfId="330" dataDxfId="329" headerRowCellStyle="Equation table header">
  <autoFilter ref="D231:O233" xr:uid="{554A9086-F44A-4342-A732-951CBF12870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58D98FCA-668D-4B49-885B-2D37B18AB688}" name="Type" dataDxfId="328">
      <calculatedColumnFormula array="1">Common_InputFunctions.Utility_DisplayArrayInTable(Scope3_SourceData.Scope3_SeedsAndSeedlings_Data(), Table_Scope3_SeedsAndSeedlings[[#Headers],[Type]], 0, 2)</calculatedColumnFormula>
    </tableColumn>
    <tableColumn id="2" xr3:uid="{7B694384-D0B4-4B10-977F-338E97AEE84C}" name="Quantity" dataDxfId="327">
      <calculatedColumnFormula>'Input - Other Farm Inputs'!E12</calculatedColumnFormula>
    </tableColumn>
    <tableColumn id="3" xr3:uid="{63805590-3971-4A60-929B-D93809E38DF0}" name="Quantity Unit" dataDxfId="326">
      <calculatedColumnFormula array="1">Common_InputFunctions.Utility_DisplayArrayInTable(Scope3_SourceData.Scope3_SeedsAndSeedlings_Data(), Table_Scope3_SeedsAndSeedlings[[#Headers],[Type]], 0, 2)</calculatedColumnFormula>
    </tableColumn>
    <tableColumn id="4" xr3:uid="{AE0CF8BA-0345-4457-B150-DB9D2E95C744}" name="AusLCI Emissions intensity" dataDxfId="325">
      <calculatedColumnFormula array="1">Common_InputFunctions.Utility_DisplayArrayInTable(Scope3_SourceData.Scope3_SeedsAndSeedlings_Data(), Table_Scope3_SeedsAndSeedlings[[#Headers],[Type]], 0, 2)</calculatedColumnFormula>
    </tableColumn>
    <tableColumn id="5" xr3:uid="{2D5A096B-DC1A-4FC8-80BF-74CFB631F8F7}" name="Custom emissions intensity" dataDxfId="324"/>
    <tableColumn id="6" xr3:uid="{960D495E-0E8D-4D30-BC61-38A22BE904C7}" name="Emissions intensity unit" dataDxfId="323">
      <calculatedColumnFormula array="1">Common_InputFunctions.Utility_DisplayArrayInTable(Scope3_SourceData.Scope3_SeedsAndSeedlings_Data(), Table_Scope3_SeedsAndSeedlings[[#Headers],[Type]], 0, 2)</calculatedColumnFormula>
    </tableColumn>
    <tableColumn id="7" xr3:uid="{D3780652-803F-47CE-9DAF-E4A037066AB0}" name="Scope 3 emissions exc. custom (t CO2-e)" dataDxfId="322">
      <calculatedColumnFormula>Table_Scope3_SeedsAndSeedlings[[#This Row],[Quantity]]*Table_Scope3_SeedsAndSeedlings[[#This Row],[AusLCI Emissions intensity]]</calculatedColumnFormula>
    </tableColumn>
    <tableColumn id="8" xr3:uid="{AE235AA0-F3A1-4253-9D93-564F20006938}" name="Scope 3 emissions inc. custom (t CO2-e)2" dataDxfId="321">
      <calculatedColumnFormula>Table_Scope3_SeedsAndSeedlings[[#This Row],[Quantity]]*IF(Table_Scope3_SeedsAndSeedlings[[#This Row],[Custom emissions intensity]], Table_Scope3_SeedsAndSeedlings[[#This Row],[Custom emissions intensity]], Table_Scope3_SeedsAndSeedlings[[#This Row],[AusLCI Emissions intensity]])</calculatedColumnFormula>
    </tableColumn>
    <tableColumn id="9" xr3:uid="{F8EC6892-59F4-4D09-89F0-B86407819470}" name="Custom emissions intensity source" dataDxfId="320"/>
    <tableColumn id="10" xr3:uid="{5E3F759A-7CF7-4F32-AC47-C403C13E0582}" name="Custom emissions intensity source type (Select)" dataDxfId="319" dataCellStyle="Input select"/>
    <tableColumn id="11" xr3:uid="{A13B6EC5-BD65-4FA5-8B09-64B174833640}" name="Custom emissions intensity credential / certification link" dataDxfId="318"/>
    <tableColumn id="12" xr3:uid="{DC7BD0B8-3757-44E3-B057-917F174C2634}" name="Scope 3 data score" dataDxfId="317">
      <calculatedColumnFormula array="1">Common_InputFunctions.Utility_LookupValueInTableNumber(Table_Scope3_SeedsAndSeedlings[[#This Row],[Custom emissions intensity source type (Select)]],#REF!,#REF!)</calculatedColumnFormula>
    </tableColumn>
  </tableColumns>
  <tableStyleInfo name="Editable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84CAAF18-1BF9-4F9F-A8A1-7B710191EF2E}" name="Table_Scope3_OtherInputs" displayName="Table_Scope3_OtherInputs" ref="D242:O248" totalsRowShown="0" headerRowDxfId="316" dataDxfId="315" headerRowCellStyle="Equation table header">
  <autoFilter ref="D242:O248" xr:uid="{79FBD0D7-6F21-4960-82E5-53B1BF766321}"/>
  <tableColumns count="12">
    <tableColumn id="1" xr3:uid="{9118B514-5A77-4BBB-9BA7-F9D0F1CFE720}" name="Type" dataDxfId="314">
      <calculatedColumnFormula array="1">Common_InputFunctions.Utility_DisplayArrayInTable(Scope3_SourceData.Scope3_OtherAgriculturalInputs_Data(), Table_Scope3_OtherInputs[[#Headers],[Type]], 0, 2)</calculatedColumnFormula>
    </tableColumn>
    <tableColumn id="2" xr3:uid="{7C701687-D054-4D5D-8D50-2C3451587D5E}" name="Quantity" dataDxfId="313">
      <calculatedColumnFormula>'Input - Other Farm Inputs'!E6</calculatedColumnFormula>
    </tableColumn>
    <tableColumn id="3" xr3:uid="{57057AAD-AF35-42B5-85F1-B6F80380B944}" name="Quantity Unit" dataDxfId="312">
      <calculatedColumnFormula array="1">Common_InputFunctions.Utility_DisplayArrayInTable(Scope3_SourceData.Scope3_OtherAgriculturalInputs_Data(), Table_Scope3_OtherInputs[[#Headers],[Type]], 0, 2)</calculatedColumnFormula>
    </tableColumn>
    <tableColumn id="4" xr3:uid="{1523AD08-BCA3-4978-9878-634E3C3C38FE}" name="AusLCI Emissions intensity" dataDxfId="311">
      <calculatedColumnFormula array="1">Common_InputFunctions.Utility_DisplayArrayInTable(Scope3_SourceData.Scope3_OtherAgriculturalInputs_Data(), Table_Scope3_OtherInputs[[#Headers],[Type]], 0, 2)</calculatedColumnFormula>
    </tableColumn>
    <tableColumn id="5" xr3:uid="{022ACB78-B94C-412F-A59C-CBC62C09C189}" name="Custom emissions intensity" dataDxfId="310"/>
    <tableColumn id="6" xr3:uid="{22BAB356-6544-4E5A-A0DE-8695FBE35E4E}" name="Emissions intensity unit" dataDxfId="309">
      <calculatedColumnFormula array="1">Common_InputFunctions.Utility_DisplayArrayInTable(Scope3_SourceData.Scope3_OtherAgriculturalInputs_Data(), Table_Scope3_OtherInputs[[#Headers],[Type]], 0, 2)</calculatedColumnFormula>
    </tableColumn>
    <tableColumn id="7" xr3:uid="{66A32FD2-5926-463E-87BB-086E704122DD}" name="Scope 3 emissions exc. custom (t CO2-e)" dataDxfId="308">
      <calculatedColumnFormula>Table_Scope3_OtherInputs[[#This Row],[Quantity]]*Table_Scope3_OtherInputs[[#This Row],[AusLCI Emissions intensity]]</calculatedColumnFormula>
    </tableColumn>
    <tableColumn id="8" xr3:uid="{473A5C7C-830F-414E-AA0D-66B41B3BE560}" name="Scope 3 emissions inc. custom (t CO2-e)2" dataDxfId="307">
      <calculatedColumnFormula>Table_Scope3_OtherInputs[[#This Row],[Quantity]]*IF(Table_Scope3_OtherInputs[[#This Row],[Custom emissions intensity]], Table_Scope3_OtherInputs[[#This Row],[Custom emissions intensity]], Table_Scope3_OtherInputs[[#This Row],[AusLCI Emissions intensity]])</calculatedColumnFormula>
    </tableColumn>
    <tableColumn id="9" xr3:uid="{AFFB28D0-B534-48B1-8DEE-44E340FC0D95}" name="Custom emissions intensity source" dataDxfId="306"/>
    <tableColumn id="10" xr3:uid="{5072550B-A59D-4A10-A807-07808D4CD2E2}" name="Custom emissions intensity source type (Select)" dataDxfId="305" dataCellStyle="Input select"/>
    <tableColumn id="11" xr3:uid="{6C77E12A-D02E-43F8-94B3-23590AFE1962}" name="Custom emissions intensity credential / certification link" dataDxfId="304"/>
    <tableColumn id="12" xr3:uid="{8D10CD65-7F4F-4AE1-8545-9C47C0955D63}" name="Scope 3 data score" dataDxfId="303">
      <calculatedColumnFormula array="1">Common_InputFunctions.Utility_LookupValueInTableNumber(Table_Scope3_OtherInputs[[#This Row],[Custom emissions intensity source type (Select)]],#REF!,#REF!)</calculatedColumnFormula>
    </tableColumn>
  </tableColumns>
  <tableStyleInfo name="Editable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5:L30" totalsRowShown="0">
  <autoFilter ref="D5:L30"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ADC9456-B260-42A6-93B3-9ADE837F96FD}" name="Category" dataDxfId="68" dataCellStyle="Normal 2">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dataDxfId="67" dataCellStyle="Normal 2">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dataDxfId="66" dataCellStyle="Normal 2">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dataDxfId="65" dataCellStyle="Normal 2">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dataDxfId="64" dataCellStyle="Normal 2">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88"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87" dataCellStyle="Content normal">
  <autoFilter ref="D40:E47" xr:uid="{879A0650-599F-46E3-BDCA-CF804D191F3B}">
    <filterColumn colId="0" hiddenButton="1"/>
    <filterColumn colId="1" hiddenButton="1"/>
  </autoFilter>
  <tableColumns count="2">
    <tableColumn id="1" xr3:uid="{F237F8B2-5CE9-4094-A201-E708B82BA8BF}" name="Product" dataDxfId="86"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85"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81" dataCellStyle="Content normal">
  <autoFilter ref="D51:E52" xr:uid="{5D161BB1-95E1-405D-861A-B4883D49A51C}">
    <filterColumn colId="0" hiddenButton="1"/>
    <filterColumn colId="1" hiddenButton="1"/>
  </autoFilter>
  <tableColumns count="2">
    <tableColumn id="1" xr3:uid="{44557688-3D5A-45A6-818D-F1328BB9ECC9}" name="Product" dataDxfId="80"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79"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78" dataCellStyle="Content normal">
  <autoFilter ref="D56:E57" xr:uid="{91542D18-4304-4E66-85EA-4F5A2B9391FE}">
    <filterColumn colId="0" hiddenButton="1"/>
    <filterColumn colId="1" hiddenButton="1"/>
  </autoFilter>
  <tableColumns count="2">
    <tableColumn id="1" xr3:uid="{B414FDE1-8B5E-4532-8C69-A9C006972E91}" name="Product" dataDxfId="7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7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75" dataCellStyle="Content normal">
  <autoFilter ref="D61:E62" xr:uid="{4B96D517-47DA-49C8-8030-0D501D458198}">
    <filterColumn colId="0" hiddenButton="1"/>
    <filterColumn colId="1" hiddenButton="1"/>
  </autoFilter>
  <tableColumns count="2">
    <tableColumn id="1" xr3:uid="{20B25AB9-804F-4D21-9C93-F44C0DAF008F}" name="Product" dataDxfId="7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7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217"/>
    <tableColumn id="2" xr3:uid="{B4717C55-1B95-4E74-B4A0-5CE7A609A36B}" name="Notes" totalsRowDxfId="216"/>
    <tableColumn id="3" xr3:uid="{D976AB1A-52FF-4FBD-9860-B9717ABA5514}" name="Company" totalsRowDxfId="215"/>
    <tableColumn id="4" xr3:uid="{D8F5EA32-4865-44AD-B9C7-F91CA2638E8B}" name="Product name" totalsRowDxfId="214"/>
    <tableColumn id="5" xr3:uid="{D241BEEC-C636-4A92-9BDB-FA8FAA1CAFB2}" name="Unit" totalsRowDxfId="213"/>
    <tableColumn id="6" xr3:uid="{78DBDBE9-27C7-4A0D-B9DA-9F57440C9DE9}" name="Density / gravity" totalsRowDxfId="212"/>
    <tableColumn id="7" xr3:uid="{A50CBE27-EC38-4A34-A2CE-1002E6BA3DD3}" name="Urea source" totalsRowDxfId="211"/>
    <tableColumn id="8" xr3:uid="{16B5D74A-9810-4E92-A540-3E051DC2151D}" name="Ammonia source" totalsRowDxfId="210"/>
    <tableColumn id="9" xr3:uid="{DA7A3BF5-8B40-4495-AD97-6B95B429B465}" name="Ingredient 1" totalsRowDxfId="209"/>
    <tableColumn id="10" xr3:uid="{2A0B8472-D8FF-4086-BE70-2E8BCA80080B}" name="Ingredient 1 percent" totalsRowDxfId="208"/>
    <tableColumn id="11" xr3:uid="{F12415FE-ED65-47A4-AFBE-CEA738CED011}" name="Ingredient 2" totalsRowDxfId="207"/>
    <tableColumn id="12" xr3:uid="{26500CB3-2A36-4020-8DCD-96905995028A}" name="Ingredient 2 percent" totalsRowDxfId="206"/>
    <tableColumn id="13" xr3:uid="{8F8E6FFC-24C1-4EC1-A491-92E852D1C21B}" name="Ingredient 3" totalsRowDxfId="205"/>
    <tableColumn id="14" xr3:uid="{0D08C50E-A1D4-4D59-8D20-E9C72FE59C88}" name="Ingredient 3 percent" totalsRowDxfId="204"/>
    <tableColumn id="15" xr3:uid="{E71FD370-71A1-4861-8573-8E095564A6C6}" name="Ingredient 4" totalsRowDxfId="203"/>
    <tableColumn id="16" xr3:uid="{05524065-59E0-4732-9D5C-80182402ACED}" name="Ingredient 4 percent" totalsRowDxfId="202"/>
    <tableColumn id="17" xr3:uid="{E73E9DAE-88FE-451C-83BB-46CE2CD11EAC}" name="Ingredient 5" totalsRowDxfId="201"/>
    <tableColumn id="18" xr3:uid="{E43B92CC-872A-4D81-AE03-F2A3A1AA9B65}" name="Ingredient 5 percent" totalsRowDxfId="200"/>
    <tableColumn id="19" xr3:uid="{877362A6-7696-4C2B-9AC9-A50CEF0951B6}" name="Ingredient 6" totalsRowDxfId="199"/>
    <tableColumn id="37" xr3:uid="{22756E59-4033-405C-B6C2-0A2E122D072F}" name="Ingredient 6 percent" totalsRowDxfId="198"/>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197"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19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195"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194" dataCellStyle="Content normal">
  <autoFilter ref="K19:L28" xr:uid="{27B93029-EB1F-4C4A-A946-CD673A8A6C46}">
    <filterColumn colId="0" hiddenButton="1"/>
    <filterColumn colId="1" hiddenButton="1"/>
  </autoFilter>
  <tableColumns count="2">
    <tableColumn id="1" xr3:uid="{D0F0FE53-48EF-4C1D-923D-46B182A1D219}" name="Fertiliser type f" dataDxfId="193"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192"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191" dataCellStyle="Content normal">
  <autoFilter ref="Q19:R28" xr:uid="{791CEA59-796C-47AB-86BC-41E8F699030C}">
    <filterColumn colId="0" hiddenButton="1"/>
    <filterColumn colId="1" hiddenButton="1"/>
  </autoFilter>
  <tableColumns count="2">
    <tableColumn id="1" xr3:uid="{8D461AD8-9C85-4218-9322-36C1AD6A4022}" name="Fertiliser type f" dataDxfId="190"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189"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CFAD1F9-357B-4E9A-9BF7-568A5FEE58F8}" name="Table_Fuel_EFs_StationaryLiquid" displayName="Table_Fuel_EFs_StationaryLiquid" ref="D53:K77" totalsRowShown="0" headerRowDxfId="188" dataDxfId="187">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1EAD390-A165-4CF5-811D-02DF3CC6122A}" name="Fuel combusted" dataDxfId="186">
      <calculatedColumnFormula array="1">Common_InputFunctions.Utility_DisplayArrayInTable(Fuel_SourceData.Fuel_Scope1Scope3EmissionFactorsStationaryLiquid_Data(), Table_Fuel_EFs_StationaryLiquid[[#Headers],[Fuel combusted]],0)</calculatedColumnFormula>
    </tableColumn>
    <tableColumn id="2" xr3:uid="{827023F7-3028-4D85-9495-5B748B5EE973}" name="Energy Content Factor (GJ per unit of fuel)" dataDxfId="185">
      <calculatedColumnFormula array="1">Common_InputFunctions.Utility_DisplayArrayInTable(Fuel_SourceData.Fuel_Scope1Scope3EmissionFactorsStationaryLiquid_Data(), Table_Fuel_EFs_StationaryLiquid[[#Headers],[Fuel combusted]],0)</calculatedColumnFormula>
    </tableColumn>
    <tableColumn id="3" xr3:uid="{95CD1A90-FB03-4C44-B88E-42062FBE8150}" name="Fuel unit" dataDxfId="184">
      <calculatedColumnFormula array="1">Common_InputFunctions.Utility_DisplayArrayInTable(Fuel_SourceData.Fuel_Scope1Scope3EmissionFactorsStationaryLiquid_Data(), Table_Fuel_EFs_StationaryLiquid[[#Headers],[Fuel combusted]],0)</calculatedColumnFormula>
    </tableColumn>
    <tableColumn id="4" xr3:uid="{70FA4D07-8C73-4D10-8D26-15EFA5949D79}" name="Scope 1 Emission Factor (kg CO2 - e / GJ) CO2" dataDxfId="183">
      <calculatedColumnFormula array="1">Common_InputFunctions.Utility_DisplayArrayInTable(Fuel_SourceData.Fuel_Scope1Scope3EmissionFactorsStationaryLiquid_Data(), Table_Fuel_EFs_StationaryLiquid[[#Headers],[Fuel combusted]],0)</calculatedColumnFormula>
    </tableColumn>
    <tableColumn id="5" xr3:uid="{68FF4932-1A0B-4AAE-B0F7-032438A6B3EF}" name="Scope 1 Emission Factor (kg CO2 - e / GJ) CH4" dataDxfId="182">
      <calculatedColumnFormula array="1">Common_InputFunctions.Utility_DisplayArrayInTable(Fuel_SourceData.Fuel_Scope1Scope3EmissionFactorsStationaryLiquid_Data(), Table_Fuel_EFs_StationaryLiquid[[#Headers],[Fuel combusted]],0)</calculatedColumnFormula>
    </tableColumn>
    <tableColumn id="6" xr3:uid="{74AB285E-9F41-42F4-9480-8B6E20F00170}" name="Scope 1 Emission Factor (kg CO2 - e / GJ) N2O" dataDxfId="181">
      <calculatedColumnFormula array="1">Common_InputFunctions.Utility_DisplayArrayInTable(Fuel_SourceData.Fuel_Scope1Scope3EmissionFactorsStationaryLiquid_Data(), Table_Fuel_EFs_StationaryLiquid[[#Headers],[Fuel combusted]],0)</calculatedColumnFormula>
    </tableColumn>
    <tableColumn id="7" xr3:uid="{919F6E26-F47B-44D4-8F8A-F77852562840}" name="Scope 1 Emission Factor (kg CO2 - e / GJ) Combined gases" dataDxfId="180">
      <calculatedColumnFormula array="1">Common_InputFunctions.Utility_DisplayArrayInTable(Fuel_SourceData.Fuel_Scope1Scope3EmissionFactorsStationaryLiquid_Data(), Table_Fuel_EFs_StationaryLiquid[[#Headers],[Fuel combusted]],0)</calculatedColumnFormula>
    </tableColumn>
    <tableColumn id="8" xr3:uid="{8E75003A-B04A-4F86-ABC3-FA8871623358}" name="Scope 3 Emission Factor (kg CO2 - e / GJ)" dataDxfId="179">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AA5F61A-4262-4F3A-95EB-A93E25339244}" name="Table_Fuel_EFs_Transport" displayName="Table_Fuel_EFs_Transport" ref="D9:L34" totalsRowShown="0" headerRowDxfId="178" dataDxfId="177">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A45EFC1-BBA2-4419-A8C5-29C74BC547EA}" name="Transport type" dataDxfId="176">
      <calculatedColumnFormula array="1">Common_InputFunctions.Utility_DisplayArrayInTable(Fuel_SourceData.Fuel_Scope1Scope3EmissionFactorsTransport_Data(), Table_Fuel_EFs_Transport[[#Headers],[Transport type]], 0)</calculatedColumnFormula>
    </tableColumn>
    <tableColumn id="2" xr3:uid="{224A088D-05DA-40A3-A15F-06398D522FEE}" name="Fuel combusted" dataDxfId="175">
      <calculatedColumnFormula array="1">Common_InputFunctions.Utility_DisplayArrayInTable(Fuel_SourceData.Fuel_Scope1Scope3EmissionFactorsTransport_Data(), Table_Fuel_EFs_Transport[[#Headers],[Transport type]], 0)</calculatedColumnFormula>
    </tableColumn>
    <tableColumn id="3" xr3:uid="{75DE7DF1-2BB5-4CDD-B9D7-7F717AC0CD85}" name="Energy Content Factor (GJ per unit of fuel)" dataDxfId="174">
      <calculatedColumnFormula array="1">Common_InputFunctions.Utility_DisplayArrayInTable(Fuel_SourceData.Fuel_Scope1Scope3EmissionFactorsTransport_Data(), Table_Fuel_EFs_Transport[[#Headers],[Transport type]], 0)</calculatedColumnFormula>
    </tableColumn>
    <tableColumn id="4" xr3:uid="{E500D0BD-60DD-4567-8451-39BE27936894}" name="Fuel unit" dataDxfId="173">
      <calculatedColumnFormula array="1">Common_InputFunctions.Utility_DisplayArrayInTable(Fuel_SourceData.Fuel_Scope1Scope3EmissionFactorsTransport_Data(), Table_Fuel_EFs_Transport[[#Headers],[Transport type]], 0)</calculatedColumnFormula>
    </tableColumn>
    <tableColumn id="8" xr3:uid="{FC2F71DF-38A6-4790-A301-A7332A75253D}" name="Scope 1 Emission Factor (kg CO2 - e / GJ) CO2" dataDxfId="172">
      <calculatedColumnFormula array="1">Common_InputFunctions.Utility_DisplayArrayInTable(Fuel_SourceData.Fuel_Scope1Scope3EmissionFactorsTransport_Data(), Table_Fuel_EFs_Transport[[#Headers],[Transport type]], 0)</calculatedColumnFormula>
    </tableColumn>
    <tableColumn id="9" xr3:uid="{D4543D4D-0092-4EC5-AA44-71A479222245}" name="Scope 1 Emission Factor (kg CO2 - e / GJ) CH4" dataDxfId="171">
      <calculatedColumnFormula array="1">Common_InputFunctions.Utility_DisplayArrayInTable(Fuel_SourceData.Fuel_Scope1Scope3EmissionFactorsTransport_Data(), Table_Fuel_EFs_Transport[[#Headers],[Transport type]], 0)</calculatedColumnFormula>
    </tableColumn>
    <tableColumn id="10" xr3:uid="{B5607479-2150-4D0C-B63E-40339A07E18B}" name="Scope 1 Emission Factor (kg CO2 - e / GJ) N2O" dataDxfId="170">
      <calculatedColumnFormula array="1">Common_InputFunctions.Utility_DisplayArrayInTable(Fuel_SourceData.Fuel_Scope1Scope3EmissionFactorsTransport_Data(), Table_Fuel_EFs_Transport[[#Headers],[Transport type]], 0)</calculatedColumnFormula>
    </tableColumn>
    <tableColumn id="11" xr3:uid="{43747F08-7A31-41DE-ACFD-063A0F79AB6E}" name="Scope 1 Emission Factor (kg CO2 - e / GJ) Combined gases" dataDxfId="169">
      <calculatedColumnFormula array="1">Common_InputFunctions.Utility_DisplayArrayInTable(Fuel_SourceData.Fuel_Scope1Scope3EmissionFactorsTransport_Data(), Table_Fuel_EFs_Transport[[#Headers],[Transport type]], 0)</calculatedColumnFormula>
    </tableColumn>
    <tableColumn id="12" xr3:uid="{F6090CD5-BDCC-4411-986A-078847F6B0C6}" name="Scope 3 Emission Factor (kg CO2 - e / GJ)" dataDxfId="168">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7AFDC5D-06D3-447D-8A41-03EFC9A42CCC}" name="Table_FuelTypesPerUse" displayName="Table_FuelTypesPerUse" ref="D130:J139" totalsRowShown="0" headerRowDxfId="167" dataDxfId="166">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2C84CAF-1D4E-4BFD-B6D4-BC01CDEA185B}" name="Generators" dataDxfId="165"/>
    <tableColumn id="2" xr3:uid="{13C467F2-26C0-4F6F-B92F-24A4B990E442}" name="Power standalone machinery or heating" dataDxfId="164"/>
    <tableColumn id="3" xr3:uid="{15E7EDC3-8A83-409D-86B7-926996BE8FBC}" name="Aviation" dataDxfId="163"/>
    <tableColumn id="5" xr3:uid="{F31E6FAB-A518-436D-BFB8-D7426676641C}" name="Cars and light commercial vehicles" dataDxfId="162"/>
    <tableColumn id="7" xr3:uid="{6CC11CFE-89B6-44EE-8AED-42AC5C27DB07}" name="Off-road Agriculture and forestry equipment" dataDxfId="161" dataCellStyle="Content bold"/>
    <tableColumn id="8" xr3:uid="{30476670-3728-4B3D-9436-B58D01B767DE}" name="Vessels" dataDxfId="160" dataCellStyle="Content bold"/>
    <tableColumn id="6" xr3:uid="{701F62A8-8600-449C-8513-D7CA0BE9C5D9}" name="General use" dataDxfId="159"/>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7DAB406-894F-41F4-906E-113BFCEE85CC}" name="Table_Fuel_EFs_StationaryGaseous" displayName="Table_Fuel_EFs_StationaryGaseous" ref="D86:J104" totalsRowShown="0" headerRowDxfId="158" dataDxfId="157">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BDA893E-1333-4322-A590-891306E9E387}" name="Fuel combusted" dataDxfId="156">
      <calculatedColumnFormula array="1">Common_InputFunctions.Utility_DisplayArrayInTable(Fuel_SourceData.Fuel_Scope1EmissionFactorsStationaryGaseous_Data(), Table_Fuel_EFs_StationaryGaseous[[#Headers],[Fuel combusted]],0)</calculatedColumnFormula>
    </tableColumn>
    <tableColumn id="2" xr3:uid="{38367592-76AE-45D2-B6D4-5929A49972EE}" name="Energy Content Factor (GJ per unit of fuel)" dataDxfId="155">
      <calculatedColumnFormula array="1">Common_InputFunctions.Utility_DisplayArrayInTable(Fuel_SourceData.Fuel_Scope1EmissionFactorsStationaryGaseous_Data(), Table_Fuel_EFs_StationaryGaseous[[#Headers],[Fuel combusted]],0)</calculatedColumnFormula>
    </tableColumn>
    <tableColumn id="3" xr3:uid="{00870644-2E36-4B78-9D02-8F6CF2F72A99}" name="Fuel unit" dataDxfId="154">
      <calculatedColumnFormula array="1">Common_InputFunctions.Utility_DisplayArrayInTable(Fuel_SourceData.Fuel_Scope1EmissionFactorsStationaryGaseous_Data(), Table_Fuel_EFs_StationaryGaseous[[#Headers],[Fuel combusted]],0)</calculatedColumnFormula>
    </tableColumn>
    <tableColumn id="4" xr3:uid="{A6B1DC50-B678-4D8C-84F6-2D23F3C1CAE0}" name="Scope 1 Emission Factor (kg CO2 - e / GJ) CO2" dataDxfId="153">
      <calculatedColumnFormula array="1">Common_InputFunctions.Utility_DisplayArrayInTable(Fuel_SourceData.Fuel_Scope1EmissionFactorsStationaryGaseous_Data(), Table_Fuel_EFs_StationaryGaseous[[#Headers],[Fuel combusted]],0)</calculatedColumnFormula>
    </tableColumn>
    <tableColumn id="5" xr3:uid="{E52DF7F4-7719-4DF3-9AFB-399F8B29E674}" name="Scope 1 Emission Factor (kg CO2 - e / GJ) CH4" dataDxfId="152">
      <calculatedColumnFormula array="1">Common_InputFunctions.Utility_DisplayArrayInTable(Fuel_SourceData.Fuel_Scope1EmissionFactorsStationaryGaseous_Data(), Table_Fuel_EFs_StationaryGaseous[[#Headers],[Fuel combusted]],0)</calculatedColumnFormula>
    </tableColumn>
    <tableColumn id="6" xr3:uid="{FDBC52B6-A9F5-4E7B-89F3-3D0A826BE58B}" name="Scope 1 Emission Factor (kg CO2 - e / GJ) N2O" dataDxfId="151">
      <calculatedColumnFormula array="1">Common_InputFunctions.Utility_DisplayArrayInTable(Fuel_SourceData.Fuel_Scope1EmissionFactorsStationaryGaseous_Data(), Table_Fuel_EFs_StationaryGaseous[[#Headers],[Fuel combusted]],0)</calculatedColumnFormula>
    </tableColumn>
    <tableColumn id="7" xr3:uid="{8A5F1E8A-C5A0-47A2-9D51-73E35B1CA896}" name="Scope 1 Emission Factor (kg CO2 - e / GJ) Combined gases" dataDxfId="150">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FCE6CEF-80AF-40E1-8702-6CD9388D18D3}" name="Table_Fuel_EFs_StationaryGaseous34" displayName="Table_Fuel_EFs_StationaryGaseous34" ref="D112:F120" headerRowDxfId="149" totalsRowDxfId="148">
  <autoFilter ref="D112:F120" xr:uid="{7D6CE29D-2354-4FAC-9965-9A66FFA42416}">
    <filterColumn colId="0" hiddenButton="1"/>
    <filterColumn colId="1" hiddenButton="1"/>
    <filterColumn colId="2" hiddenButton="1"/>
  </autoFilter>
  <tableColumns count="3">
    <tableColumn id="1" xr3:uid="{8D6A4518-28FB-4E57-835D-24D2CCAEED45}" name="State or territory" totalsRowDxfId="147">
      <calculatedColumnFormula array="1">Common_InputFunctions.Utility_DisplayArrayInTable(Fuel_SourceData.Fuel_Scope3EmissionFactorsStationaryGaseous_Data(), Table_Fuel_EFs_StationaryGaseous34[[#Headers],[State or territory]],0)</calculatedColumnFormula>
    </tableColumn>
    <tableColumn id="2" xr3:uid="{9DBF4953-2B5B-42B3-B3FC-2DF4BB8C15C2}" name="Scope 3 Emission Factors for Natural Gas (kg CO2 - e / GJ) Metro" totalsRowDxfId="146">
      <calculatedColumnFormula array="1">Common_InputFunctions.Utility_DisplayArrayInTable(Fuel_SourceData.Fuel_Scope3EmissionFactorsStationaryGaseous_Data(), Table_Fuel_EFs_StationaryGaseous34[[#Headers],[State or territory]],0)</calculatedColumnFormula>
    </tableColumn>
    <tableColumn id="3" xr3:uid="{5695C453-A4EF-4D74-BA70-DA5E5353CD05}" name="Scope 3 Emission Factors for Natural Gas (kg CO2 - e / GJ) Non - Metro" totalsRowDxfId="145">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9BDC4CA-6D46-463E-BADD-D4EA8B2F0EBF}" name="Table_FuelTypes_Units" displayName="Table_FuelTypes_Units" ref="D142:E162" totalsRowShown="0">
  <autoFilter ref="D142:E162" xr:uid="{74386805-E5CF-44F9-982C-CBCADB323E30}">
    <filterColumn colId="0" hiddenButton="1"/>
    <filterColumn colId="1" hiddenButton="1"/>
  </autoFilter>
  <tableColumns count="2">
    <tableColumn id="1" xr3:uid="{6CBC9B5C-6726-4DC1-9600-721A28731D64}" name="Fuel type"/>
    <tableColumn id="2" xr3:uid="{6FFA818F-5BB0-4361-8331-ED9FA25606D7}" name="Unit"/>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A8EA256-ED3E-4D0F-8436-37C5D8985B9C}"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1DB722-5AF6-4454-AEBA-D35FA4DAF799}"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E6AC57B1-5510-4EBC-B43D-B0DDCC08CB21}" name="Fuel type q" dataDxfId="14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88DBA76E-76AC-4486-B247-982B05E10400}" name="ECTrans,q (GJ/kL)" dataDxfId="14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1959CC89-F95D-48FE-87A3-0627BE1BE6F9}" name="Scope 1 CO2 EFTran,1,tqg (kg CO2-e/GJ)" dataDxfId="14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CB254646-856A-4B00-8EBE-A4A31332D43C}" name="Scope 1 CH4 EFTran,1,tgg (kg CO2-e/GJ)" dataDxfId="14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56297AA0-E4D0-4108-8B54-13BF95E1F926}" name="Scope 1 N2O EFTran,1,tgg (kg CO2-e/GJ)" dataDxfId="14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DA06FFF1-B19C-4E1F-AB30-860AD3C9F309}" name="Scope 3 EFTrans,3,q (kg CO2-e/GJ)" dataDxfId="13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138">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67A892-76D9-4FF5-8ABA-2F6CD6D9A8B5}"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9EC0254-AE44-46EF-AB62-962F2DA92CF8}" name="State/Territory">
      <calculatedColumnFormula array="1">Common_InputFunctions.Utility_DisplayArrayInTable(Common_SourceData.Common_SourceData_AustralianStatesTerritories_Data(),Table_AustralianStates[[#Headers],[State/Territory]],0)</calculatedColumnFormula>
    </tableColumn>
    <tableColumn id="2" xr3:uid="{9F39799F-8CAB-4E46-B72A-746CF765B678}" name="Common Name">
      <calculatedColumnFormula array="1">Common_InputFunctions.Utility_DisplayArrayInTable(Common_SourceData.Common_SourceData_AustralianStatesTerritories_Data(),Table_AustralianStates[[#Headers],[State/Territory]],0)</calculatedColumnFormula>
    </tableColumn>
    <tableColumn id="3" xr3:uid="{7E1866D1-FF5F-4918-A832-3B78B5B2AE8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38D8B0-3EE0-47C8-86DC-72F6646656FA}" name="Table_WASA4Areas" displayName="Table_WASA4Areas" ref="D20:D30" totalsRowShown="0">
  <autoFilter ref="D20:D30" xr:uid="{5FA81339-C6C8-4D36-BEEA-6C4AEDD9E676}">
    <filterColumn colId="0" hiddenButton="1"/>
  </autoFilter>
  <tableColumns count="1">
    <tableColumn id="1" xr3:uid="{3BA89BE8-8E41-4B7C-A584-33B71707722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08DFD7-4C9F-4BCE-B0C2-D2FC84F2F043}" name="Table_GWPData" displayName="Table_GWPData" ref="D36:E43" totalsRowShown="0">
  <autoFilter ref="D36:E43" xr:uid="{B8E87A66-3E41-4AD3-925D-01EE21B43D7A}">
    <filterColumn colId="0" hiddenButton="1"/>
    <filterColumn colId="1" hiddenButton="1"/>
  </autoFilter>
  <tableColumns count="2">
    <tableColumn id="1" xr3:uid="{888A1533-119E-4C94-9619-3D55E4703AF1}" name="Gas">
      <calculatedColumnFormula array="1">Common_InputFunctions.Utility_DisplayArrayInTable(Common_SourceData.Common_SourceData_GWP_Data(), Table_GWPData[[#Headers],[Gas]], 0)</calculatedColumnFormula>
    </tableColumn>
    <tableColumn id="2" xr3:uid="{ED3B0B3E-2E14-438F-987C-B348589529F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8E4C51-2085-43DA-8EFE-E5E01394321E}"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3B3F5C-1235-4393-B133-4240B1C3B384}" name="Gas">
      <calculatedColumnFormula array="1">Common_InputFunctions.Utility_DisplayArrayInTable(Common_SourceData.Common_SourceData_ConvertGasElementalToMolecular_Data(),Table_GasToMolecularConversionFactor[[#Headers],[Gas]], 0)</calculatedColumnFormula>
    </tableColumn>
    <tableColumn id="5" xr3:uid="{E4D22D23-03D4-4BF3-9B9D-A9BEFBA8B012}" name="Conversion factor">
      <calculatedColumnFormula array="1">Common_InputFunctions.Utility_DisplayArrayInTable(Common_SourceData.Common_SourceData_ConvertGasElementalToMolecular_Data(),Table_GasToMolecularConversionFactor[[#Headers],[Gas]], 0)</calculatedColumnFormula>
    </tableColumn>
    <tableColumn id="2" xr3:uid="{6C0239C4-69EA-4440-B62B-A8C51324283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066FE24-EADB-493E-8743-0C8131F7D4D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3D0EE8E-5934-4338-B910-D2F33A230FF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A26F12-6AF9-4548-B1EE-21B1534565D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C6B3486-49D7-4538-ACF2-DEE719FEE0C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430E360-7307-4C08-9F92-83E29583AB90}" name="MAT" totalsRowDxfId="137" totalsRowCellStyle="Content bold">
      <calculatedColumnFormula array="1">Common_InputFunctions.Utility_DisplayArrayInTable(Common_SourceData.Common_SourceData_ClimateZones_Data(), Table_SourceData_ClimateZones[[#Headers],[Climate zone]], 0)</calculatedColumnFormula>
    </tableColumn>
    <tableColumn id="3" xr3:uid="{F4467F45-5530-4233-942C-4ACB969564E5}" name="MAP" totalsRowDxfId="136" totalsRowCellStyle="Content bold">
      <calculatedColumnFormula array="1">Common_InputFunctions.Utility_DisplayArrayInTable(Common_SourceData.Common_SourceData_ClimateZones_Data(), Table_SourceData_ClimateZones[[#Headers],[Climate zone]], 0)</calculatedColumnFormula>
    </tableColumn>
    <tableColumn id="4" xr3:uid="{9EEF2903-2BF6-4F6B-B136-3FEDE2DB9CEB}" name="Frost days per year" totalsRowDxfId="135" totalsRowCellStyle="Content bold">
      <calculatedColumnFormula array="1">Common_InputFunctions.Utility_DisplayArrayInTable(Common_SourceData.Common_SourceData_ClimateZones_Data(), Table_SourceData_ClimateZones[[#Headers],[Climate zone]], 0)</calculatedColumnFormula>
    </tableColumn>
    <tableColumn id="5" xr3:uid="{B6FD8938-ECDC-4294-AB6B-E04EEB72C5A2}" name="Elevation" totalsRowDxfId="134" totalsRowCellStyle="Content bold">
      <calculatedColumnFormula array="1">Common_InputFunctions.Utility_DisplayArrayInTable(Common_SourceData.Common_SourceData_ClimateZones_Data(), Table_SourceData_ClimateZones[[#Headers],[Climate zone]], 0)</calculatedColumnFormula>
    </tableColumn>
    <tableColumn id="6" xr3:uid="{3F552D4D-BF16-40BD-AA41-C77F74C670B2}" name="MAP:PET" totalsRowDxfId="133" totalsRowCellStyle="Content bold">
      <calculatedColumnFormula array="1">Common_InputFunctions.Utility_DisplayArrayInTable(Common_SourceData.Common_SourceData_ClimateZones_Data(), Table_SourceData_ClimateZones[[#Headers],[Climate zone]], 0)</calculatedColumnFormula>
    </tableColumn>
    <tableColumn id="7" xr3:uid="{E5C65E8B-AADF-40BE-9BD2-C1476F37E957}" name="Min temp" totalsRowDxfId="132" totalsRowCellStyle="Content bold">
      <calculatedColumnFormula array="1">Common_InputFunctions.Utility_DisplayArrayInTable(Common_SourceData.Common_SourceData_ClimateZones_Data(), Table_SourceData_ClimateZones[[#Headers],[Climate zone]], 0)</calculatedColumnFormula>
    </tableColumn>
    <tableColumn id="8" xr3:uid="{08E958E2-4C27-404B-A875-F3C770581676}" name="Max temp"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9" xr3:uid="{7D7A970E-B351-4D71-A612-842802BB985D}" name="Min rainfall"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10" xr3:uid="{49C809EA-E0A9-41C4-868D-793286E36F2B}" name="Max rainfall"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11" xr3:uid="{B1FF0B1F-5E45-4110-9A72-2A319490A453}" name="Min frost days"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15" xr3:uid="{6AB643FE-61A3-423D-BB53-5DE0D20514B5}" name="Max frost days"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12" xr3:uid="{6144588B-386A-4107-96C6-5F981B7BA217}" name="Min elevation"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16" xr3:uid="{614B562B-0105-47AA-9220-C9EA1B579AED}" name="Max elevation"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13" xr3:uid="{239FA065-F63F-4C9F-AD9B-CFE1272003C9}" name="Min MAP:PET"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7" xr3:uid="{FD12F5C9-165F-40ED-A122-378232714430}" name="Max MAP:PET" totalsRowDxfId="12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5AD2D5-D5D7-4345-BA34-DF9B62800DA4}"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DD06219-259D-4CFE-B6D5-0EC6DE16CEE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26BA3E3-F7E9-48B8-A53D-2530CE7C233B}" name="Wet or Dry Zone" totalsRowDxfId="12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1EC85A-B24D-4F82-BB56-1C8B863429D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3149608-0FA0-44DE-B096-C85ED4EB84FB}" name="Temperature Zone">
      <calculatedColumnFormula array="1">Common_InputFunctions.Utility_DisplayArrayInTable(Common_SourceData.Common_SourceData_TemperatureZones_Data(),Table_SourceData_TemperatureZones[[#Headers],[Temperature Zone]],0)</calculatedColumnFormula>
    </tableColumn>
    <tableColumn id="2" xr3:uid="{4D7CB2C6-C4FE-4A22-9AA6-F3B0C577CFED}" name="MAT">
      <calculatedColumnFormula array="1">Common_InputFunctions.Utility_DisplayArrayInTable(Common_SourceData.Common_SourceData_TemperatureZones_Data(),Table_SourceData_TemperatureZones[[#Headers],[Temperature Zone]],0)</calculatedColumnFormula>
    </tableColumn>
    <tableColumn id="3" xr3:uid="{1B7D0921-C182-431E-B7DA-E23F39A86F35}" name="Min MAT">
      <calculatedColumnFormula array="1">Common_InputFunctions.Utility_DisplayArrayInTable(Common_SourceData.Common_SourceData_TemperatureZones_Data(),Table_SourceData_TemperatureZones[[#Headers],[Temperature Zone]],0)</calculatedColumnFormula>
    </tableColumn>
    <tableColumn id="4" xr3:uid="{6DD72040-0F6C-40C7-BDEC-426AE52FA8E5}"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E351D7-1C00-4896-BD43-F225E5B19B4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79589F9-D9B1-4633-8382-9C1EA29CD847}" name="Rainfall Zone">
      <calculatedColumnFormula array="1">Common_InputFunctions.Utility_DisplayArrayInTable(Common_SourceData.Common_SourceData_RainfallZones_Data(),Table_SourceData_RainfallZones[[#Headers],[Rainfall Zone]],0)</calculatedColumnFormula>
    </tableColumn>
    <tableColumn id="2" xr3:uid="{2D65A4B6-3313-47B3-BFDD-4CC3D626CE11}" name="Annual rainfall">
      <calculatedColumnFormula array="1">Common_InputFunctions.Utility_DisplayArrayInTable(Common_SourceData.Common_SourceData_RainfallZones_Data(),Table_SourceData_RainfallZones[[#Headers],[Rainfall Zone]],0)</calculatedColumnFormula>
    </tableColumn>
    <tableColumn id="3" xr3:uid="{9257B0DC-3602-4FF0-AA83-2B48CA1B7007}" name="Min rainfall">
      <calculatedColumnFormula array="1">Common_InputFunctions.Utility_DisplayArrayInTable(Common_SourceData.Common_SourceData_RainfallZones_Data(),Table_SourceData_RainfallZones[[#Headers],[Rainfall Zone]],0)</calculatedColumnFormula>
    </tableColumn>
    <tableColumn id="4" xr3:uid="{D0D6BC98-36F4-42A0-BE05-35ECBE3D542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012760-1630-497E-A797-08D1E1F6B69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B14FE04-CFAD-4DBB-86A2-F792A6517A93}" name="Leaching Zone">
      <calculatedColumnFormula array="1">Common_InputFunctions.Utility_DisplayArrayInTable(Common_SourceData.Common_SourceData_LeachingZones_Data(), Table_SourceData_LeachingZones[[#Headers],[Leaching Zone]], 0)</calculatedColumnFormula>
    </tableColumn>
    <tableColumn id="2" xr3:uid="{0B59772A-D315-4592-AD70-575906A2AD5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731BC8A-327D-4507-BA96-62EB47E5FFC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1CD2D-6040-447E-9FC3-3ED89467ED97}" name="Data source">
      <calculatedColumnFormula array="1">Common_InputFunctions.Utility_DisplayArrayInTable(Common_SourceData.Common_SourceData_DataScores_Scope3_Data(), Table_SourceData_DataScores_Scope3[[#Headers],[Data source]], 0)</calculatedColumnFormula>
    </tableColumn>
    <tableColumn id="2" xr3:uid="{8D0BAF55-142E-4DA3-8079-A94EBBC5F1D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90D7458-5A20-4A54-AFF2-AAF23DDF0485}" name="Table_SourceData_FracWET" displayName="Table_SourceData_FracWET" ref="D134:E136" totalsRowShown="0">
  <autoFilter ref="D134:E136" xr:uid="{308E99BE-FE1F-47A4-B2CA-97217277C4E9}">
    <filterColumn colId="0" hiddenButton="1"/>
    <filterColumn colId="1" hiddenButton="1"/>
  </autoFilter>
  <tableColumns count="2">
    <tableColumn id="1" xr3:uid="{9830E341-7ABB-42DB-9F7D-01E9767F30DE}" name="Is in leaching zone">
      <calculatedColumnFormula array="1">Common_InputFunctions.Utility_DisplayArrayInTable(Common_SourceData.Common_SourceData_FracWET_Data(),Table_SourceData_FracWET[[#Headers],[Is in leaching zone]],0)</calculatedColumnFormula>
    </tableColumn>
    <tableColumn id="2" xr3:uid="{AEA5E891-232A-4D87-AF46-421D254B183B}" name="FracWET" dataDxfId="12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78AB1AD-887A-4C39-B46C-CE2FA11EAAE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71CE791-A500-468F-A2B7-A51CB7B2EC57}" name="Production system j">
      <calculatedColumnFormula array="1">Common_InputFunctions.Utility_DisplayArrayInTable(Common_SourceData.Common_SourceData_EFN2O_Data(), Table_SourceData_Common_EFN2O[[#Headers],[Production system j]], 0)</calculatedColumnFormula>
    </tableColumn>
    <tableColumn id="2" xr3:uid="{C1449596-5881-40B4-8E7D-3782FE658918}" name="EFN2O">
      <calculatedColumnFormula array="1">Common_InputFunctions.Utility_DisplayArrayInTable(Common_SourceData.Common_SourceData_EFN2O_Data(), Table_SourceData_Common_EFN2O[[#Headers],[Production system j]], 0)</calculatedColumnFormula>
    </tableColumn>
    <tableColumn id="3" xr3:uid="{09CF8BE8-441C-47CB-958F-EB4D559E0582}" name="Production system only">
      <calculatedColumnFormula array="1">Common_InputFunctions.Utility_DisplayArrayInTable(Common_SourceData.Common_SourceData_EFN2O_Data(), Table_SourceData_Common_EFN2O[[#Headers],[Production system j]], 0)</calculatedColumnFormula>
    </tableColumn>
    <tableColumn id="4" xr3:uid="{F610A84C-EEAD-4EF9-BEC4-73562831B4C9}" name="Irrigation method">
      <calculatedColumnFormula array="1">Common_InputFunctions.Utility_DisplayArrayInTable(Common_SourceData.Common_SourceData_EFN2O_Data(), Table_SourceData_Common_EFN2O[[#Headers],[Production system j]], 0)</calculatedColumnFormula>
    </tableColumn>
    <tableColumn id="5" xr3:uid="{8C99980D-FA84-4B4B-A21E-AE78441F894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F546B94-3041-42AC-A3DE-C153DA5CD7C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CD226A8-B698-4C42-A7CD-F757B6B0E0BF}" name="Irrigation type i">
      <calculatedColumnFormula array="1">Common_InputFunctions.Utility_DisplayArrayInTable(Common_SourceData.Common_SourceData_FracWETIrrigation_Data(), Table_SourceData_FracWETIrrigation[[#Headers],[Irrigation type i]], 0)</calculatedColumnFormula>
    </tableColumn>
    <tableColumn id="2" xr3:uid="{5F4A00C4-55F4-4C5F-B02B-FF66E4DBD293}" name="FracWET" dataDxfId="12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693DCC4-E8A3-4F07-B5B7-2DD7C349035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23F9FDA-B45A-45B3-9189-BD16F6263B7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595344E-F94E-49F3-9A3E-AEC8D9B69BBC}" name="EFPRP" dataDxfId="11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C54E974-0497-4DEB-8210-2BD81D9DDED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5335444-978F-4AF5-90F5-809006CA1C0F}" name="Month">
      <calculatedColumnFormula array="1">Common_InputFunctions.Utility_DisplayArrayInTable(Common_SourceData.Common_SourceData_MonthsToSeasons_Data(), Table_SourceData_Common_MonthToSeason[[#Headers],[Month]], 0)</calculatedColumnFormula>
    </tableColumn>
    <tableColumn id="2" xr3:uid="{A3F83C56-2F86-483B-AA53-4498BC39FEB6}" name="Season" dataDxfId="11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ACC7827-32FF-4EF5-8948-526826777569}"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AB0CD4B-8596-4060-9017-D90C5AB650C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F6AF057-9971-47B8-A7DE-220CE18D2C82}" name="MAT (ºC)" dataDxfId="1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100968B-8D63-415B-A1D7-ABEB4B69C2EC}" name="Anaerobic lagoon" dataDxfId="1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F7A15BE-1B99-480F-8128-9C1781BDBA44}" name="Digester / covered lagoons" dataDxfId="1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3DB7FFD-0A74-4173-B1C9-F9A5F0A00E99}" name="Liquid systems" dataDxfId="1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8B15994-F771-4BD1-A5B6-EC2A99CA716E}" name="Daily spread" dataDxfId="1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1395400-9E2B-47C1-B03C-AB48B132CE24}" name="Composting (passive windrow)" dataDxfId="1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CA23A57-45DA-4637-AA51-FD38549A8045}" name="Solid storage"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C1F003E-8B57-42D6-A03B-5FABF38E036A}" name="Pit storage"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B0B1BFE-5361-470C-9A54-913C4C49730C}" name="Deep litter"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60A0BAE-A75A-4614-93FB-DC2C6CEBC07B}" name="Poultry manure with bedding"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7784A77C-30EB-4DC3-A1AA-14AE8F29F0A2}" name="Poultry manure without bedding"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95F91501-7BCD-4C00-9060-2366A71A9B79}" name="Direct processing"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5A9481E-1366-496D-B4BA-CBA4DC5F7CEE}" name="Direct application"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121A7C7-42E7-48EF-A228-1A9FD9AA9DEC}" name="Pasture range and paddock"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D5F3FAD9-C84F-4B42-92BB-CC29687449D4}" name="MAT raw"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1020675-BC7E-4541-A79A-24F9FD14E51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C306B2CF-F8C8-4A9C-B07B-06E54C6CB61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A954597-C859-4826-8A9C-3E05A2870F80}" name="EFNi &amp; EFN2Oi" dataDxfId="10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29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2.bin"/><Relationship Id="rId4"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2" Type="http://schemas.openxmlformats.org/officeDocument/2006/relationships/table" Target="../tables/table16.xml"/><Relationship Id="rId1" Type="http://schemas.openxmlformats.org/officeDocument/2006/relationships/table" Target="../tables/table15.xml"/><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table" Target="../tables/table28.xml"/><Relationship Id="rId6" Type="http://schemas.openxmlformats.org/officeDocument/2006/relationships/table" Target="../tables/table33.xml"/><Relationship Id="rId5" Type="http://schemas.openxmlformats.org/officeDocument/2006/relationships/table" Target="../tables/table32.xml"/><Relationship Id="rId4" Type="http://schemas.openxmlformats.org/officeDocument/2006/relationships/table" Target="../tables/table31.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41.xml"/><Relationship Id="rId3" Type="http://schemas.openxmlformats.org/officeDocument/2006/relationships/table" Target="../tables/table36.xml"/><Relationship Id="rId7" Type="http://schemas.openxmlformats.org/officeDocument/2006/relationships/table" Target="../tables/table40.xml"/><Relationship Id="rId2" Type="http://schemas.openxmlformats.org/officeDocument/2006/relationships/table" Target="../tables/table35.xml"/><Relationship Id="rId1" Type="http://schemas.openxmlformats.org/officeDocument/2006/relationships/table" Target="../tables/table34.xml"/><Relationship Id="rId6" Type="http://schemas.openxmlformats.org/officeDocument/2006/relationships/table" Target="../tables/table39.xml"/><Relationship Id="rId11" Type="http://schemas.openxmlformats.org/officeDocument/2006/relationships/table" Target="../tables/table44.xml"/><Relationship Id="rId5" Type="http://schemas.openxmlformats.org/officeDocument/2006/relationships/table" Target="../tables/table38.xml"/><Relationship Id="rId10" Type="http://schemas.openxmlformats.org/officeDocument/2006/relationships/table" Target="../tables/table43.xml"/><Relationship Id="rId4" Type="http://schemas.openxmlformats.org/officeDocument/2006/relationships/table" Target="../tables/table37.xml"/><Relationship Id="rId9" Type="http://schemas.openxmlformats.org/officeDocument/2006/relationships/table" Target="../tables/table4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47.xml"/><Relationship Id="rId7" Type="http://schemas.openxmlformats.org/officeDocument/2006/relationships/table" Target="../tables/table51.xml"/><Relationship Id="rId2" Type="http://schemas.openxmlformats.org/officeDocument/2006/relationships/table" Target="../tables/table46.xml"/><Relationship Id="rId1" Type="http://schemas.openxmlformats.org/officeDocument/2006/relationships/table" Target="../tables/table45.xml"/><Relationship Id="rId6" Type="http://schemas.openxmlformats.org/officeDocument/2006/relationships/table" Target="../tables/table50.xml"/><Relationship Id="rId5" Type="http://schemas.openxmlformats.org/officeDocument/2006/relationships/table" Target="../tables/table49.xml"/><Relationship Id="rId4" Type="http://schemas.openxmlformats.org/officeDocument/2006/relationships/table" Target="../tables/table48.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table" Target="../tables/table52.xml"/></Relationships>
</file>

<file path=xl/worksheets/_rels/sheet16.xml.rels><?xml version="1.0" encoding="UTF-8" standalone="yes"?>
<Relationships xmlns="http://schemas.openxmlformats.org/package/2006/relationships"><Relationship Id="rId8" Type="http://schemas.openxmlformats.org/officeDocument/2006/relationships/table" Target="../tables/table60.xml"/><Relationship Id="rId13" Type="http://schemas.openxmlformats.org/officeDocument/2006/relationships/table" Target="../tables/table65.xml"/><Relationship Id="rId18" Type="http://schemas.openxmlformats.org/officeDocument/2006/relationships/table" Target="../tables/table70.xml"/><Relationship Id="rId3" Type="http://schemas.openxmlformats.org/officeDocument/2006/relationships/table" Target="../tables/table55.xml"/><Relationship Id="rId7" Type="http://schemas.openxmlformats.org/officeDocument/2006/relationships/table" Target="../tables/table59.xml"/><Relationship Id="rId12" Type="http://schemas.openxmlformats.org/officeDocument/2006/relationships/table" Target="../tables/table64.xml"/><Relationship Id="rId17" Type="http://schemas.openxmlformats.org/officeDocument/2006/relationships/table" Target="../tables/table69.xml"/><Relationship Id="rId2" Type="http://schemas.openxmlformats.org/officeDocument/2006/relationships/table" Target="../tables/table54.xml"/><Relationship Id="rId16" Type="http://schemas.openxmlformats.org/officeDocument/2006/relationships/table" Target="../tables/table68.xml"/><Relationship Id="rId1" Type="http://schemas.openxmlformats.org/officeDocument/2006/relationships/printerSettings" Target="../printerSettings/printerSettings5.bin"/><Relationship Id="rId6" Type="http://schemas.openxmlformats.org/officeDocument/2006/relationships/table" Target="../tables/table58.xml"/><Relationship Id="rId11" Type="http://schemas.openxmlformats.org/officeDocument/2006/relationships/table" Target="../tables/table63.xml"/><Relationship Id="rId5" Type="http://schemas.openxmlformats.org/officeDocument/2006/relationships/table" Target="../tables/table57.xml"/><Relationship Id="rId15" Type="http://schemas.openxmlformats.org/officeDocument/2006/relationships/table" Target="../tables/table67.xml"/><Relationship Id="rId10" Type="http://schemas.openxmlformats.org/officeDocument/2006/relationships/table" Target="../tables/table62.xml"/><Relationship Id="rId4" Type="http://schemas.openxmlformats.org/officeDocument/2006/relationships/table" Target="../tables/table56.xml"/><Relationship Id="rId9" Type="http://schemas.openxmlformats.org/officeDocument/2006/relationships/table" Target="../tables/table61.xml"/><Relationship Id="rId14" Type="http://schemas.openxmlformats.org/officeDocument/2006/relationships/table" Target="../tables/table6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dimension ref="A1:AA115"/>
  <sheetViews>
    <sheetView showGridLines="0" workbookViewId="0">
      <selection activeCell="E21" sqref="E21"/>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8" t="s">
        <v>279</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9"/>
      <c r="D4" s="109"/>
      <c r="E4" s="109"/>
      <c r="F4" s="109"/>
      <c r="G4" s="109"/>
      <c r="H4" s="109"/>
      <c r="I4" s="109"/>
      <c r="J4" s="109"/>
      <c r="K4" s="109"/>
    </row>
    <row r="5" spans="1:24" ht="20.100000000000001" customHeight="1" x14ac:dyDescent="0.25">
      <c r="A5" s="16" t="str">
        <f>HYPERLINK("#'Results'!A1", "Results")</f>
        <v>Results</v>
      </c>
      <c r="D5" s="9" t="s">
        <v>280</v>
      </c>
      <c r="N5" s="110"/>
    </row>
    <row r="6" spans="1:24" ht="20.100000000000001" customHeight="1" x14ac:dyDescent="0.25">
      <c r="D6" s="111"/>
      <c r="N6" s="112"/>
    </row>
    <row r="7" spans="1:24" ht="20.100000000000001" customHeight="1" x14ac:dyDescent="0.25">
      <c r="A7" s="19" t="s">
        <v>67</v>
      </c>
      <c r="D7" s="8" t="s">
        <v>281</v>
      </c>
      <c r="E7" s="86" t="s">
        <v>282</v>
      </c>
      <c r="F7" s="68"/>
    </row>
    <row r="8" spans="1:24" ht="20.100000000000001" customHeight="1" x14ac:dyDescent="0.25">
      <c r="A8" s="16" t="str">
        <f>HYPERLINK("#'Input - Electricity'!A1", "Electricity")</f>
        <v>Electricity</v>
      </c>
      <c r="D8" s="113" t="s">
        <v>283</v>
      </c>
      <c r="E8" s="86" t="s">
        <v>284</v>
      </c>
    </row>
    <row r="9" spans="1:24" ht="20.100000000000001" customHeight="1" x14ac:dyDescent="0.25">
      <c r="A9" s="16"/>
      <c r="N9" s="114"/>
    </row>
    <row r="10" spans="1:24" ht="20.100000000000001" customHeight="1" x14ac:dyDescent="0.25">
      <c r="A10" s="21" t="s">
        <v>77</v>
      </c>
      <c r="D10" s="100" t="s">
        <v>285</v>
      </c>
      <c r="E10" s="115"/>
      <c r="F10" s="116"/>
      <c r="G10" s="101"/>
      <c r="N10" s="114"/>
    </row>
    <row r="11" spans="1:24" ht="20.100000000000001" customHeight="1" x14ac:dyDescent="0.25">
      <c r="A11" s="16" t="str">
        <f>HYPERLINK("#'14.1.1-2 Purchased electricity'!A1", "14.1.1-2 Purchased electricity")</f>
        <v>14.1.1-2 Purchased electricity</v>
      </c>
      <c r="N11" s="117"/>
    </row>
    <row r="12" spans="1:24" ht="20.100000000000001" customHeight="1" x14ac:dyDescent="0.25">
      <c r="A12" s="16"/>
      <c r="D12" s="113" t="s">
        <v>286</v>
      </c>
      <c r="E12" s="118">
        <v>45292</v>
      </c>
      <c r="F12" s="68" t="s">
        <v>287</v>
      </c>
    </row>
    <row r="13" spans="1:24" ht="20.100000000000001" customHeight="1" x14ac:dyDescent="0.25">
      <c r="A13" s="23" t="s">
        <v>78</v>
      </c>
      <c r="D13" s="113" t="s">
        <v>288</v>
      </c>
      <c r="E13" s="119">
        <f>DATE(YEAR(E12)+1,MONTH(E12),DAY(E12))-1</f>
        <v>45657</v>
      </c>
      <c r="F13" s="68" t="s">
        <v>289</v>
      </c>
      <c r="N13" s="120"/>
      <c r="O13" s="120"/>
    </row>
    <row r="14" spans="1:24" ht="20.100000000000001" customHeight="1" x14ac:dyDescent="0.25">
      <c r="A14" s="16" t="str">
        <f>HYPERLINK("#'Constants - Electricity'!A1", "Constants - Electricity")</f>
        <v>Constants - Electricity</v>
      </c>
      <c r="N14" s="120"/>
      <c r="O14" s="120"/>
    </row>
    <row r="15" spans="1:24" ht="20.100000000000001" customHeight="1" x14ac:dyDescent="0.25">
      <c r="A15" s="16" t="str">
        <f>HYPERLINK("#'Constants - Common'!A1", "Constants - Common")</f>
        <v>Constants - Common</v>
      </c>
      <c r="N15" s="120"/>
      <c r="O15" s="120"/>
    </row>
    <row r="16" spans="1:24" ht="20.100000000000001" customHeight="1" x14ac:dyDescent="0.25">
      <c r="A16" s="3"/>
      <c r="D16" s="9" t="s">
        <v>290</v>
      </c>
      <c r="N16" s="120"/>
      <c r="O16" s="120"/>
    </row>
    <row r="17" spans="1:25" ht="20.100000000000001" customHeight="1" x14ac:dyDescent="0.25">
      <c r="A17" s="3"/>
    </row>
    <row r="18" spans="1:25" ht="20.100000000000001" customHeight="1" x14ac:dyDescent="0.25">
      <c r="A18" s="3"/>
      <c r="D18" s="121" t="s">
        <v>291</v>
      </c>
      <c r="E18" s="41"/>
      <c r="F18" s="41"/>
      <c r="G18" s="42"/>
    </row>
    <row r="19" spans="1:25" ht="20.100000000000001" customHeight="1" x14ac:dyDescent="0.25">
      <c r="A19" s="3"/>
      <c r="D19" s="44" t="s">
        <v>292</v>
      </c>
      <c r="E19" s="45"/>
      <c r="F19" s="45"/>
      <c r="G19" s="46"/>
      <c r="N19" s="110"/>
    </row>
    <row r="20" spans="1:25" ht="20.100000000000001" customHeight="1" x14ac:dyDescent="0.25">
      <c r="A20" s="3"/>
      <c r="D20" s="8"/>
      <c r="E20" s="122"/>
      <c r="F20" s="68"/>
      <c r="N20" s="112"/>
    </row>
    <row r="21" spans="1:25" ht="20.100000000000001" customHeight="1" x14ac:dyDescent="0.25">
      <c r="A21" s="3"/>
      <c r="D21" s="8" t="s">
        <v>293</v>
      </c>
      <c r="E21" s="48" t="s">
        <v>418</v>
      </c>
      <c r="F21" s="68" t="s">
        <v>198</v>
      </c>
    </row>
    <row r="22" spans="1:25" ht="20.100000000000001" customHeight="1" x14ac:dyDescent="0.25">
      <c r="A22" s="3"/>
      <c r="D22" s="8" t="s">
        <v>294</v>
      </c>
      <c r="E22" s="48" t="s">
        <v>295</v>
      </c>
      <c r="F22" s="68" t="s">
        <v>198</v>
      </c>
      <c r="G22" s="8"/>
    </row>
    <row r="23" spans="1:25" ht="20.100000000000001" customHeight="1" x14ac:dyDescent="0.25">
      <c r="A23" s="3"/>
    </row>
    <row r="24" spans="1:25" ht="20.100000000000001" customHeight="1" x14ac:dyDescent="0.25">
      <c r="A24" s="3"/>
    </row>
    <row r="25" spans="1:25" ht="20.100000000000001" customHeight="1" x14ac:dyDescent="0.25">
      <c r="A25" s="3"/>
      <c r="N25" s="112"/>
    </row>
    <row r="26" spans="1:25" ht="20.100000000000001" customHeight="1" x14ac:dyDescent="0.25">
      <c r="A26" s="3"/>
    </row>
    <row r="27" spans="1:25" ht="20.100000000000001" customHeight="1" x14ac:dyDescent="0.25">
      <c r="A27" s="3"/>
    </row>
    <row r="28" spans="1:25" ht="20.100000000000001" customHeight="1" x14ac:dyDescent="0.25">
      <c r="A28" s="3"/>
    </row>
    <row r="29" spans="1:25" ht="20.100000000000001" customHeight="1" x14ac:dyDescent="0.25">
      <c r="A29" s="3"/>
    </row>
    <row r="30" spans="1:25" ht="20.100000000000001" customHeight="1" x14ac:dyDescent="0.25">
      <c r="A30" s="3"/>
      <c r="G30" s="123"/>
      <c r="L30" s="124"/>
      <c r="M30" s="124"/>
      <c r="N30" s="124"/>
      <c r="O30" s="124"/>
      <c r="P30" s="124"/>
      <c r="Q30" s="124"/>
      <c r="R30" s="124"/>
      <c r="S30" s="124"/>
      <c r="T30" s="124"/>
      <c r="U30" s="124"/>
      <c r="V30" s="124"/>
      <c r="W30" s="124"/>
      <c r="X30" s="124"/>
      <c r="Y30" s="124"/>
    </row>
    <row r="31" spans="1:25" ht="20.100000000000001" customHeight="1" x14ac:dyDescent="0.25">
      <c r="A31" s="3"/>
      <c r="G31" s="122"/>
      <c r="L31" s="125"/>
      <c r="M31" s="125"/>
      <c r="N31" s="125"/>
      <c r="O31" s="125"/>
      <c r="P31" s="125"/>
      <c r="Q31" s="125"/>
      <c r="R31" s="125"/>
      <c r="S31" s="125"/>
      <c r="T31" s="125"/>
      <c r="U31" s="125"/>
      <c r="V31" s="125"/>
      <c r="W31" s="125"/>
      <c r="X31" s="125"/>
      <c r="Y31" s="125"/>
    </row>
    <row r="32" spans="1:25" ht="20.100000000000001" customHeight="1" x14ac:dyDescent="0.25">
      <c r="A32" s="3"/>
      <c r="G32" s="122"/>
      <c r="L32" s="125"/>
      <c r="M32" s="125"/>
      <c r="N32" s="125"/>
      <c r="O32" s="125"/>
      <c r="P32" s="125"/>
      <c r="Q32" s="125"/>
      <c r="R32" s="125"/>
      <c r="S32" s="125"/>
      <c r="T32" s="125"/>
      <c r="U32" s="125"/>
      <c r="V32" s="125"/>
      <c r="W32" s="125"/>
      <c r="X32" s="125"/>
      <c r="Y32" s="125"/>
    </row>
    <row r="33" spans="1:25" ht="20.100000000000001" customHeight="1" x14ac:dyDescent="0.25">
      <c r="A33" s="3"/>
      <c r="G33" s="126"/>
      <c r="L33" s="125"/>
      <c r="M33" s="125"/>
      <c r="N33" s="125"/>
      <c r="O33" s="125"/>
      <c r="P33" s="125"/>
      <c r="Q33" s="125"/>
      <c r="R33" s="125"/>
      <c r="S33" s="125"/>
      <c r="T33" s="125"/>
      <c r="U33" s="125"/>
      <c r="V33" s="125"/>
      <c r="W33" s="125"/>
      <c r="X33" s="125"/>
      <c r="Y33" s="125"/>
    </row>
    <row r="34" spans="1:25" ht="20.100000000000001" customHeight="1" x14ac:dyDescent="0.25">
      <c r="A34" s="3"/>
      <c r="J34" s="127"/>
      <c r="K34" s="128"/>
      <c r="L34" s="125"/>
      <c r="M34" s="125"/>
      <c r="N34" s="125"/>
      <c r="O34" s="125"/>
      <c r="P34" s="125"/>
      <c r="Q34" s="125"/>
      <c r="R34" s="125"/>
      <c r="S34" s="125"/>
      <c r="T34" s="125"/>
      <c r="U34" s="125"/>
      <c r="V34" s="125"/>
      <c r="W34" s="125"/>
      <c r="X34" s="125"/>
      <c r="Y34" s="125"/>
    </row>
    <row r="35" spans="1:25" ht="20.100000000000001" customHeight="1" x14ac:dyDescent="0.25">
      <c r="A35" s="3"/>
      <c r="J35" s="127"/>
      <c r="K35" s="128"/>
      <c r="L35" s="125"/>
      <c r="M35" s="125"/>
      <c r="N35" s="125"/>
      <c r="O35" s="125"/>
      <c r="P35" s="125"/>
      <c r="Q35" s="125"/>
      <c r="R35" s="125"/>
      <c r="S35" s="125"/>
      <c r="T35" s="125"/>
      <c r="U35" s="125"/>
      <c r="V35" s="125"/>
      <c r="W35" s="125"/>
      <c r="X35" s="125"/>
      <c r="Y35" s="125"/>
    </row>
    <row r="36" spans="1:25" ht="20.100000000000001" customHeight="1" x14ac:dyDescent="0.25">
      <c r="A36" s="3"/>
      <c r="D36" s="129"/>
      <c r="E36" s="129"/>
      <c r="F36" s="130"/>
      <c r="G36" s="127"/>
      <c r="H36" s="127"/>
      <c r="I36" s="131"/>
      <c r="J36" s="127"/>
      <c r="K36" s="128"/>
      <c r="L36" s="125"/>
      <c r="M36" s="125"/>
      <c r="N36" s="125"/>
      <c r="O36" s="125"/>
      <c r="P36" s="125"/>
      <c r="Q36" s="125"/>
      <c r="R36" s="125"/>
      <c r="S36" s="125"/>
      <c r="T36" s="125"/>
      <c r="U36" s="125"/>
      <c r="V36" s="125"/>
      <c r="W36" s="125"/>
      <c r="X36" s="125"/>
      <c r="Y36" s="125"/>
    </row>
    <row r="37" spans="1:25" ht="20.100000000000001" customHeight="1" x14ac:dyDescent="0.25">
      <c r="A37" s="3"/>
      <c r="D37" s="129"/>
      <c r="E37" s="129"/>
      <c r="F37" s="130"/>
      <c r="G37" s="127"/>
      <c r="H37" s="127"/>
      <c r="I37" s="131"/>
      <c r="J37" s="127"/>
      <c r="K37" s="128"/>
      <c r="L37" s="125"/>
      <c r="M37" s="125"/>
      <c r="N37" s="125"/>
      <c r="O37" s="125"/>
      <c r="P37" s="125"/>
      <c r="Q37" s="125"/>
      <c r="R37" s="125"/>
      <c r="S37" s="125"/>
      <c r="T37" s="125"/>
      <c r="U37" s="125"/>
      <c r="V37" s="125"/>
      <c r="W37" s="125"/>
      <c r="X37" s="125"/>
      <c r="Y37" s="125"/>
    </row>
    <row r="38" spans="1:25" ht="20.100000000000001" customHeight="1" x14ac:dyDescent="0.25">
      <c r="A38" s="3"/>
      <c r="D38" s="129"/>
      <c r="E38" s="129"/>
      <c r="F38" s="130"/>
      <c r="G38" s="127"/>
      <c r="H38" s="127"/>
      <c r="I38" s="131"/>
      <c r="J38" s="127"/>
      <c r="K38" s="128"/>
      <c r="L38" s="125"/>
      <c r="M38" s="125"/>
      <c r="N38" s="125"/>
      <c r="O38" s="125"/>
      <c r="P38" s="125"/>
      <c r="Q38" s="125"/>
      <c r="R38" s="125"/>
      <c r="S38" s="125"/>
      <c r="T38" s="125"/>
      <c r="U38" s="125"/>
      <c r="V38" s="125"/>
      <c r="W38" s="125"/>
      <c r="X38" s="125"/>
      <c r="Y38" s="125"/>
    </row>
    <row r="39" spans="1:25" ht="20.100000000000001" customHeight="1" x14ac:dyDescent="0.25">
      <c r="A39" s="3"/>
      <c r="D39" s="129"/>
      <c r="E39" s="129"/>
      <c r="F39" s="130"/>
      <c r="G39" s="127"/>
      <c r="H39" s="127"/>
      <c r="I39" s="131"/>
      <c r="J39" s="127"/>
      <c r="K39" s="128"/>
      <c r="L39" s="125"/>
      <c r="M39" s="125"/>
      <c r="N39" s="125"/>
      <c r="O39" s="125"/>
      <c r="P39" s="125"/>
      <c r="Q39" s="125"/>
      <c r="R39" s="125"/>
      <c r="S39" s="125"/>
      <c r="T39" s="125"/>
      <c r="U39" s="125"/>
      <c r="V39" s="125"/>
      <c r="W39" s="125"/>
      <c r="X39" s="125"/>
      <c r="Y39" s="125"/>
    </row>
    <row r="40" spans="1:25" ht="20.100000000000001" customHeight="1" x14ac:dyDescent="0.25">
      <c r="A40" s="3"/>
      <c r="D40" s="132"/>
      <c r="E40" s="132"/>
      <c r="F40" s="132"/>
      <c r="G40" s="133"/>
      <c r="H40" s="134"/>
      <c r="I40" s="134"/>
      <c r="J40" s="134"/>
      <c r="K40" s="134"/>
      <c r="L40" s="135"/>
      <c r="M40" s="135"/>
      <c r="N40" s="135"/>
      <c r="O40" s="135"/>
      <c r="P40" s="135"/>
      <c r="Q40" s="135"/>
      <c r="R40" s="135"/>
      <c r="S40" s="135"/>
      <c r="T40" s="135"/>
      <c r="U40" s="135"/>
      <c r="V40" s="135"/>
      <c r="W40" s="135"/>
      <c r="X40" s="135"/>
      <c r="Y40" s="135"/>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6"/>
      <c r="E47" s="136"/>
      <c r="F47" s="136"/>
      <c r="G47" s="136"/>
      <c r="H47" s="136"/>
    </row>
    <row r="48" spans="1:25" ht="20.100000000000001" customHeight="1" x14ac:dyDescent="0.25">
      <c r="D48" s="137"/>
      <c r="E48" s="137"/>
      <c r="F48" s="138"/>
      <c r="G48" s="138"/>
      <c r="H48" s="137"/>
    </row>
    <row r="49" spans="4:8" ht="20.100000000000001" customHeight="1" x14ac:dyDescent="0.25">
      <c r="D49" s="137"/>
      <c r="E49" s="137"/>
      <c r="F49" s="138"/>
      <c r="G49" s="138"/>
      <c r="H49" s="137"/>
    </row>
    <row r="50" spans="4:8" ht="20.100000000000001" customHeight="1" x14ac:dyDescent="0.25">
      <c r="D50" s="137"/>
      <c r="E50" s="137"/>
      <c r="F50" s="138"/>
      <c r="G50" s="138"/>
      <c r="H50" s="137"/>
    </row>
    <row r="51" spans="4:8" ht="20.100000000000001" customHeight="1" x14ac:dyDescent="0.25">
      <c r="D51" s="139"/>
      <c r="E51" s="140"/>
      <c r="F51" s="140"/>
      <c r="G51" s="140"/>
      <c r="H51" s="141"/>
    </row>
    <row r="52" spans="4:8" ht="20.100000000000001" customHeight="1" x14ac:dyDescent="0.25"/>
    <row r="53" spans="4:8" ht="20.100000000000001" customHeight="1" x14ac:dyDescent="0.25"/>
    <row r="54" spans="4:8" ht="20.100000000000001" customHeight="1" x14ac:dyDescent="0.25">
      <c r="G54" s="142"/>
    </row>
    <row r="55" spans="4:8" ht="20.100000000000001" customHeight="1" x14ac:dyDescent="0.25">
      <c r="D55" s="9"/>
    </row>
    <row r="56" spans="4:8" ht="20.100000000000001" customHeight="1" x14ac:dyDescent="0.25"/>
    <row r="57" spans="4:8" ht="20.100000000000001" customHeight="1" x14ac:dyDescent="0.25">
      <c r="D57" s="143"/>
      <c r="F57" s="144"/>
    </row>
    <row r="58" spans="4:8" ht="20.100000000000001" customHeight="1" x14ac:dyDescent="0.25">
      <c r="D58" s="8"/>
      <c r="E58" s="145"/>
    </row>
    <row r="59" spans="4:8" ht="20.100000000000001" customHeight="1" x14ac:dyDescent="0.25">
      <c r="D59" s="8"/>
      <c r="E59" s="145"/>
    </row>
    <row r="60" spans="4:8" ht="20.100000000000001" customHeight="1" x14ac:dyDescent="0.25">
      <c r="D60" s="8"/>
      <c r="E60" s="146"/>
    </row>
    <row r="61" spans="4:8" ht="20.100000000000001" customHeight="1" x14ac:dyDescent="0.25">
      <c r="D61" s="8"/>
    </row>
    <row r="62" spans="4:8" ht="20.100000000000001" customHeight="1" x14ac:dyDescent="0.25"/>
    <row r="63" spans="4:8" ht="20.100000000000001" customHeight="1" x14ac:dyDescent="0.25">
      <c r="D63" s="143"/>
    </row>
    <row r="64" spans="4:8" ht="20.100000000000001" customHeight="1" x14ac:dyDescent="0.25">
      <c r="D64" s="8"/>
      <c r="E64" s="145"/>
    </row>
    <row r="65" spans="4:9" ht="20.100000000000001" customHeight="1" x14ac:dyDescent="0.25">
      <c r="D65" s="8"/>
      <c r="E65" s="145"/>
    </row>
    <row r="66" spans="4:9" ht="20.100000000000001" customHeight="1" x14ac:dyDescent="0.25">
      <c r="D66" s="8"/>
      <c r="E66" s="146"/>
    </row>
    <row r="67" spans="4:9" ht="20.100000000000001" customHeight="1" x14ac:dyDescent="0.25"/>
    <row r="68" spans="4:9" ht="20.100000000000001" customHeight="1" x14ac:dyDescent="0.25"/>
    <row r="69" spans="4:9" ht="20.100000000000001" customHeight="1" x14ac:dyDescent="0.25">
      <c r="D69" s="147"/>
      <c r="E69" s="147"/>
      <c r="F69" s="147"/>
      <c r="G69" s="147"/>
      <c r="H69" s="147"/>
      <c r="I69" s="147"/>
    </row>
    <row r="70" spans="4:9" ht="20.100000000000001" customHeight="1" x14ac:dyDescent="0.25">
      <c r="D70" s="147"/>
      <c r="E70" s="147"/>
      <c r="F70" s="147"/>
      <c r="G70" s="147"/>
      <c r="H70" s="147"/>
      <c r="I70" s="147"/>
    </row>
    <row r="71" spans="4:9" ht="20.100000000000001" customHeight="1" x14ac:dyDescent="0.25">
      <c r="D71" s="147"/>
      <c r="E71" s="147"/>
      <c r="F71" s="147"/>
      <c r="G71" s="147"/>
      <c r="H71" s="147"/>
      <c r="I71" s="147"/>
    </row>
    <row r="72" spans="4:9" ht="20.100000000000001" customHeight="1" x14ac:dyDescent="0.25">
      <c r="D72" s="147"/>
      <c r="E72" s="147"/>
      <c r="F72" s="147"/>
      <c r="G72" s="147"/>
      <c r="H72" s="147"/>
      <c r="I72" s="14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8"/>
    </row>
    <row r="79" spans="4:9" ht="20.100000000000001" customHeight="1" x14ac:dyDescent="0.25">
      <c r="D79" s="148"/>
    </row>
    <row r="80" spans="4:9" ht="20.100000000000001" customHeight="1" x14ac:dyDescent="0.25">
      <c r="D80" s="148"/>
    </row>
    <row r="81" spans="4:4" ht="20.100000000000001" customHeight="1" x14ac:dyDescent="0.25">
      <c r="D81" s="148"/>
    </row>
    <row r="82" spans="4:4" ht="20.100000000000001" customHeight="1" x14ac:dyDescent="0.25">
      <c r="D82" s="14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dimension ref="A1:AC361"/>
  <sheetViews>
    <sheetView showGridLines="0" tabSelected="1" topLeftCell="A12" zoomScale="85" zoomScaleNormal="85" workbookViewId="0">
      <selection activeCell="J17" sqref="J17"/>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197</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148</v>
      </c>
      <c r="E6" s="48" t="s">
        <v>153</v>
      </c>
      <c r="F6" s="68" t="s">
        <v>198</v>
      </c>
    </row>
    <row r="7" spans="1:25" ht="20.100000000000001" customHeight="1" x14ac:dyDescent="0.25">
      <c r="A7" s="19" t="s">
        <v>67</v>
      </c>
      <c r="D7" s="8" t="s">
        <v>199</v>
      </c>
      <c r="E7" s="48" t="s">
        <v>154</v>
      </c>
      <c r="F7" s="68" t="s">
        <v>198</v>
      </c>
    </row>
    <row r="8" spans="1:25" ht="20.100000000000001" customHeight="1" x14ac:dyDescent="0.25">
      <c r="A8" s="16" t="str">
        <f>HYPERLINK("#'Input - Site'!A1", "Site")</f>
        <v>Site</v>
      </c>
      <c r="D8" s="8" t="s">
        <v>43</v>
      </c>
      <c r="E8" s="48" t="s">
        <v>155</v>
      </c>
      <c r="F8" s="68" t="s">
        <v>198</v>
      </c>
    </row>
    <row r="9" spans="1:25" ht="20.100000000000001" customHeight="1" x14ac:dyDescent="0.25">
      <c r="A9" s="43" t="str">
        <f>HYPERLINK("#'Input - Fertiliser'!A1", "Fertiliser")</f>
        <v>Fertiliser</v>
      </c>
      <c r="D9" s="8" t="s">
        <v>200</v>
      </c>
      <c r="E9" s="69">
        <v>100</v>
      </c>
      <c r="F9" s="68" t="s">
        <v>201</v>
      </c>
    </row>
    <row r="10" spans="1:25" ht="20.100000000000001" customHeight="1" x14ac:dyDescent="0.25">
      <c r="A10" s="16"/>
    </row>
    <row r="11" spans="1:25" ht="20.100000000000001" customHeight="1" x14ac:dyDescent="0.25">
      <c r="A11" s="21" t="s">
        <v>77</v>
      </c>
      <c r="D11" s="9" t="s">
        <v>202</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203</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204</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205</v>
      </c>
      <c r="E16" s="14"/>
      <c r="F16" s="14"/>
      <c r="G16" s="14"/>
      <c r="H16" s="14"/>
      <c r="I16" s="14"/>
      <c r="J16" s="14"/>
      <c r="K16" s="14"/>
      <c r="L16" s="14"/>
      <c r="M16" s="14"/>
    </row>
    <row r="17" spans="1:29" ht="36" customHeight="1" x14ac:dyDescent="0.25">
      <c r="A17" s="16" t="str">
        <f>HYPERLINK("#'5.5.1.1-2 Leaching and runoff'!A1", "5.5.1.1-2 Leaching and runoff")</f>
        <v>5.5.1.1-2 Leaching and runoff</v>
      </c>
      <c r="D17" s="75" t="s">
        <v>206</v>
      </c>
      <c r="E17" s="67" t="s">
        <v>427</v>
      </c>
      <c r="F17" s="67" t="s">
        <v>420</v>
      </c>
      <c r="G17" s="67" t="s">
        <v>421</v>
      </c>
      <c r="H17" s="67" t="s">
        <v>208</v>
      </c>
      <c r="I17" s="67" t="s">
        <v>209</v>
      </c>
      <c r="J17" s="67" t="s">
        <v>480</v>
      </c>
      <c r="K17" s="75" t="s">
        <v>177</v>
      </c>
      <c r="L17" s="75" t="s">
        <v>178</v>
      </c>
      <c r="M17" s="75" t="s">
        <v>179</v>
      </c>
      <c r="N17" s="75" t="s">
        <v>180</v>
      </c>
      <c r="O17" s="75" t="s">
        <v>181</v>
      </c>
      <c r="P17" s="75" t="s">
        <v>182</v>
      </c>
      <c r="Q17" s="75" t="s">
        <v>183</v>
      </c>
      <c r="R17" s="75" t="s">
        <v>184</v>
      </c>
      <c r="S17" s="75" t="s">
        <v>185</v>
      </c>
      <c r="T17" s="75" t="s">
        <v>186</v>
      </c>
      <c r="U17" s="75" t="s">
        <v>187</v>
      </c>
      <c r="V17" s="75" t="s">
        <v>188</v>
      </c>
      <c r="W17" s="75" t="s">
        <v>210</v>
      </c>
      <c r="X17" s="75" t="s">
        <v>175</v>
      </c>
      <c r="Y17" s="75" t="s">
        <v>176</v>
      </c>
      <c r="Z17" s="8"/>
    </row>
    <row r="18" spans="1:29" ht="36" customHeight="1" x14ac:dyDescent="0.25">
      <c r="D18" s="76" t="s">
        <v>211</v>
      </c>
      <c r="E18" s="77">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1.2150000000000001</v>
      </c>
      <c r="H18" s="77">
        <f>$E$9</f>
        <v>100</v>
      </c>
      <c r="I18" s="78">
        <f>(Table_Input_InorganicFertiliser_Brands[[#This Row],[Amount applied per hectare]]*Table_Input_InorganicFertiliser_Brands[[#This Row],[Density]])*Table_Input_InorganicFertiliser_Brands[[#This Row],[Application area (ha)]]</f>
        <v>12150.000000000002</v>
      </c>
      <c r="J18" s="69">
        <v>0.4</v>
      </c>
      <c r="K18" s="78" t="str" cm="1">
        <f t="array" ref="K18">Fertiliser_InputFunctions.Fertiliser_FertiliserProductLookup(Table_Input_InorganicFertiliser_Brands[[#This Row],[Product (select)]], Table_Input_InorganicFertiliser_Brands[[#Headers],[Ingredient 1]], FertiliserProducts[#Data], FertiliserProducts[Product name], FertiliserProducts[#Headers])</f>
        <v>Urea</v>
      </c>
      <c r="L18" s="78" cm="1">
        <f t="array" ref="L18">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M18" s="78" t="str" cm="1">
        <f t="array" ref="M18">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N18" s="78" cm="1">
        <f t="array" ref="N18">Fertiliser_InputFunctions.Fertiliser_FertiliserProductLookup(Table_Input_InorganicFertiliser_Brands[[#This Row],[Product (select)]], Table_Input_InorganicFertiliser_Brands[[#Headers],[Ingredient 2 percent]], FertiliserProducts[#Data], FertiliserProducts[Product name], FertiliserProducts[#Headers])</f>
        <v>0.1</v>
      </c>
      <c r="O18" s="78" t="str" cm="1">
        <f t="array" ref="O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P18" s="78" cm="1">
        <f t="array" ref="P18">Fertiliser_InputFunctions.Fertiliser_FertiliserProductLookup(Table_Input_InorganicFertiliser_Brands[[#This Row],[Product (select)]], Table_Input_InorganicFertiliser_Brands[[#Headers],[Ingredient 3 percent]], FertiliserProducts[#Data], FertiliserProducts[Product name], FertiliserProducts[#Headers])</f>
        <v>0.03</v>
      </c>
      <c r="Q18" s="78" t="str" cm="1">
        <f t="array" ref="Q18">Fertiliser_InputFunctions.Fertiliser_FertiliserProductLookup(Table_Input_InorganicFertiliser_Brands[[#This Row],[Product (select)]], Table_Input_InorganicFertiliser_Brands[[#Headers],[Ingredient 4]], FertiliserProducts[#Data], FertiliserProducts[Product name], FertiliserProducts[#Headers])</f>
        <v>Boron</v>
      </c>
      <c r="R18" s="78" cm="1">
        <f t="array" ref="R18">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S18" s="78" t="str" cm="1">
        <f t="array" ref="S18">Fertiliser_InputFunctions.Fertiliser_FertiliserProductLookup(Table_Input_InorganicFertiliser_Brands[[#This Row],[Product (select)]], Table_Input_InorganicFertiliser_Brands[[#Headers],[Ingredient 5]], FertiliserProducts[#Data], FertiliserProducts[Product name], FertiliserProducts[#Headers])</f>
        <v/>
      </c>
      <c r="T18" s="78" t="str" cm="1">
        <f t="array" ref="T18">Fertiliser_InputFunctions.Fertiliser_FertiliserProductLookup(Table_Input_InorganicFertiliser_Brands[[#This Row],[Product (select)]], Table_Input_InorganicFertiliser_Brands[[#Headers],[Ingredient 5 percent]], FertiliserProducts[#Data], FertiliserProducts[Product name], FertiliserProducts[#Headers])</f>
        <v/>
      </c>
      <c r="U18" s="78" t="str" cm="1">
        <f t="array" ref="U18">Fertiliser_InputFunctions.Fertiliser_FertiliserProductLookup(Table_Input_InorganicFertiliser_Brands[[#This Row],[Product (select)]], Table_Input_InorganicFertiliser_Brands[[#Headers],[Ingredient 6]], FertiliserProducts[#Data], FertiliserProducts[Product name], FertiliserProducts[#Headers])</f>
        <v/>
      </c>
      <c r="V18" s="78" t="str" cm="1">
        <f t="array" ref="V18">Fertiliser_InputFunctions.Fertiliser_FertiliserProductLookup(Table_Input_InorganicFertiliser_Brands[[#This Row],[Product (select)]], Table_Input_InorganicFertiliser_Brands[[#Headers],[Ingredient 6 percent]], FertiliserProducts[#Data], FertiliserProducts[Product name], FertiliserProducts[#Headers])</f>
        <v/>
      </c>
      <c r="W18"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X18" s="78" t="str">
        <f>_xlfn.XLOOKUP(Table_Input_InorganicFertiliser_Brands[[#This Row],[Product (select)]],FertiliserProducts[Product name],FertiliserProducts[Urea source])</f>
        <v/>
      </c>
      <c r="Y18" s="78" t="str">
        <f>_xlfn.XLOOKUP(Table_Input_InorganicFertiliser_Brands[[#This Row],[Product (select)]],FertiliserProducts[Product name],FertiliserProducts[Ammonia source])</f>
        <v/>
      </c>
      <c r="Z18" s="8"/>
    </row>
    <row r="19" spans="1:29" ht="36" customHeight="1" x14ac:dyDescent="0.25">
      <c r="A19" s="23" t="s">
        <v>78</v>
      </c>
      <c r="D19" s="76" t="s">
        <v>472</v>
      </c>
      <c r="E19" s="77">
        <v>200</v>
      </c>
      <c r="F19" s="50" t="str">
        <f>_xlfn.XLOOKUP(Table_Input_InorganicFertiliser_Brands[[#This Row],[Product (select)]],FertiliserProducts[Product name],FertiliserProducts[Unit])</f>
        <v>kg</v>
      </c>
      <c r="G19" s="50">
        <f>_xlfn.XLOOKUP(Table_Input_InorganicFertiliser_Brands[[#This Row],[Product (select)]],FertiliserProducts[Product name],FertiliserProducts[Density / gravity])</f>
        <v>1</v>
      </c>
      <c r="H19" s="77">
        <f>$E$9</f>
        <v>100</v>
      </c>
      <c r="I19" s="78">
        <f>(Table_Input_InorganicFertiliser_Brands[[#This Row],[Amount applied per hectare]]*Table_Input_InorganicFertiliser_Brands[[#This Row],[Density]])*Table_Input_InorganicFertiliser_Brands[[#This Row],[Application area (ha)]]</f>
        <v>20000</v>
      </c>
      <c r="J19" s="69"/>
      <c r="K19" s="78" t="str" cm="1">
        <f t="array" ref="K19">Fertiliser_InputFunctions.Fertiliser_FertiliserProductLookup(Table_Input_InorganicFertiliser_Brands[[#This Row],[Product (select)]], Table_Input_InorganicFertiliser_Brands[[#Headers],[Ingredient 1]], FertiliserProducts[#Data], FertiliserProducts[Product name], FertiliserProducts[#Headers])</f>
        <v>Urea</v>
      </c>
      <c r="L19" s="78" cm="1">
        <f t="array" ref="L19">Fertiliser_InputFunctions.Fertiliser_FertiliserProductLookup(Table_Input_InorganicFertiliser_Brands[[#This Row],[Product (select)]], Table_Input_InorganicFertiliser_Brands[[#Headers],[Ingredient 1 percent]], FertiliserProducts[#Data], FertiliserProducts[Product name], FertiliserProducts[#Headers])</f>
        <v>0.52173913000000005</v>
      </c>
      <c r="M19" s="78" t="str" cm="1">
        <f t="array" ref="M19">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N19" s="78" cm="1">
        <f t="array" ref="N19">Fertiliser_InputFunctions.Fertiliser_FertiliserProductLookup(Table_Input_InorganicFertiliser_Brands[[#This Row],[Product (select)]], Table_Input_InorganicFertiliser_Brands[[#Headers],[Ingredient 2 percent]], FertiliserProducts[#Data], FertiliserProducts[Product name], FertiliserProducts[#Headers])</f>
        <v>0.08</v>
      </c>
      <c r="O19" s="78" t="str" cm="1">
        <f t="array" ref="O19">Fertiliser_InputFunctions.Fertiliser_FertiliserProductLookup(Table_Input_InorganicFertiliser_Brands[[#This Row],[Product (select)]], Table_Input_InorganicFertiliser_Brands[[#Headers],[Ingredient 3]], FertiliserProducts[#Data], FertiliserProducts[Product name], FertiliserProducts[#Headers])</f>
        <v>Sulfur - Generic</v>
      </c>
      <c r="P19" s="78" cm="1">
        <f t="array" ref="P19">Fertiliser_InputFunctions.Fertiliser_FertiliserProductLookup(Table_Input_InorganicFertiliser_Brands[[#This Row],[Product (select)]], Table_Input_InorganicFertiliser_Brands[[#Headers],[Ingredient 3 percent]], FertiliserProducts[#Data], FertiliserProducts[Product name], FertiliserProducts[#Headers])</f>
        <v>5.2999999999999999E-2</v>
      </c>
      <c r="Q19" s="78" t="str" cm="1">
        <f t="array" ref="Q19">Fertiliser_InputFunctions.Fertiliser_FertiliserProductLookup(Table_Input_InorganicFertiliser_Brands[[#This Row],[Product (select)]], Table_Input_InorganicFertiliser_Brands[[#Headers],[Ingredient 4]], FertiliserProducts[#Data], FertiliserProducts[Product name], FertiliserProducts[#Headers])</f>
        <v>Phosphorus - Generic</v>
      </c>
      <c r="R19" s="78" cm="1">
        <f t="array" ref="R19">Fertiliser_InputFunctions.Fertiliser_FertiliserProductLookup(Table_Input_InorganicFertiliser_Brands[[#This Row],[Product (select)]], Table_Input_InorganicFertiliser_Brands[[#Headers],[Ingredient 4 percent]], FertiliserProducts[#Data], FertiliserProducts[Product name], FertiliserProducts[#Headers])</f>
        <v>5.1999999999999998E-2</v>
      </c>
      <c r="S19" s="78" t="str" cm="1">
        <f t="array" ref="S19">Fertiliser_InputFunctions.Fertiliser_FertiliserProductLookup(Table_Input_InorganicFertiliser_Brands[[#This Row],[Product (select)]], Table_Input_InorganicFertiliser_Brands[[#Headers],[Ingredient 5]], FertiliserProducts[#Data], FertiliserProducts[Product name], FertiliserProducts[#Headers])</f>
        <v>Magnesium</v>
      </c>
      <c r="T19" s="78" cm="1">
        <f t="array" ref="T19">Fertiliser_InputFunctions.Fertiliser_FertiliserProductLookup(Table_Input_InorganicFertiliser_Brands[[#This Row],[Product (select)]], Table_Input_InorganicFertiliser_Brands[[#Headers],[Ingredient 5 percent]], FertiliserProducts[#Data], FertiliserProducts[Product name], FertiliserProducts[#Headers])</f>
        <v>1.2999999999999999E-2</v>
      </c>
      <c r="U19" s="78" t="str" cm="1">
        <f t="array" ref="U19">Fertiliser_InputFunctions.Fertiliser_FertiliserProductLookup(Table_Input_InorganicFertiliser_Brands[[#This Row],[Product (select)]], Table_Input_InorganicFertiliser_Brands[[#Headers],[Ingredient 6]], FertiliserProducts[#Data], FertiliserProducts[Product name], FertiliserProducts[#Headers])</f>
        <v>Zinc</v>
      </c>
      <c r="V19" s="78" cm="1">
        <f t="array" ref="V19">Fertiliser_InputFunctions.Fertiliser_FertiliserProductLookup(Table_Input_InorganicFertiliser_Brands[[#This Row],[Product (select)]], Table_Input_InorganicFertiliser_Brands[[#Headers],[Ingredient 6 percent]], FertiliserProducts[#Data], FertiliserProducts[Product name], FertiliserProducts[#Headers])</f>
        <v>2E-3</v>
      </c>
      <c r="W19"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47.999999960000004</v>
      </c>
      <c r="X19" s="78" t="str">
        <f>_xlfn.XLOOKUP(Table_Input_InorganicFertiliser_Brands[[#This Row],[Product (select)]],FertiliserProducts[Product name],FertiliserProducts[Urea source])</f>
        <v/>
      </c>
      <c r="Y19" s="78" t="str">
        <f>_xlfn.XLOOKUP(Table_Input_InorganicFertiliser_Brands[[#This Row],[Product (select)]],FertiliserProducts[Product name],FertiliserProducts[Ammonia source])</f>
        <v/>
      </c>
      <c r="Z19" s="8"/>
    </row>
    <row r="20" spans="1:29" ht="36" customHeight="1" x14ac:dyDescent="0.25">
      <c r="A20" s="16" t="str">
        <f>HYPERLINK("#'Constants - Fertiliser'!A1", "Constants - Fertiliser")</f>
        <v>Constants - Fertiliser</v>
      </c>
      <c r="D20" s="76" t="s">
        <v>211</v>
      </c>
      <c r="E20" s="77">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1.2150000000000001</v>
      </c>
      <c r="H20" s="77">
        <f>$E$9</f>
        <v>100</v>
      </c>
      <c r="I20" s="78">
        <f>(Table_Input_InorganicFertiliser_Brands[[#This Row],[Amount applied per hectare]]*Table_Input_InorganicFertiliser_Brands[[#This Row],[Density]])*Table_Input_InorganicFertiliser_Brands[[#This Row],[Application area (ha)]]</f>
        <v>12150.000000000002</v>
      </c>
      <c r="J20" s="202"/>
      <c r="K20" s="78" t="str" cm="1">
        <f t="array" ref="K20">Fertiliser_InputFunctions.Fertiliser_FertiliserProductLookup(Table_Input_InorganicFertiliser_Brands[[#This Row],[Product (select)]], Table_Input_InorganicFertiliser_Brands[[#Headers],[Ingredient 1]], FertiliserProducts[#Data], FertiliserProducts[Product name], FertiliserProducts[#Headers])</f>
        <v>Urea</v>
      </c>
      <c r="L20" s="78" cm="1">
        <f t="array" ref="L20">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M20" s="78" t="str" cm="1">
        <f t="array" ref="M20">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N20" s="78" cm="1">
        <f t="array" ref="N20">Fertiliser_InputFunctions.Fertiliser_FertiliserProductLookup(Table_Input_InorganicFertiliser_Brands[[#This Row],[Product (select)]], Table_Input_InorganicFertiliser_Brands[[#Headers],[Ingredient 2 percent]], FertiliserProducts[#Data], FertiliserProducts[Product name], FertiliserProducts[#Headers])</f>
        <v>0.1</v>
      </c>
      <c r="O20" s="78" t="str" cm="1">
        <f t="array" ref="O20">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P20" s="78" cm="1">
        <f t="array" ref="P20">Fertiliser_InputFunctions.Fertiliser_FertiliserProductLookup(Table_Input_InorganicFertiliser_Brands[[#This Row],[Product (select)]], Table_Input_InorganicFertiliser_Brands[[#Headers],[Ingredient 3 percent]], FertiliserProducts[#Data], FertiliserProducts[Product name], FertiliserProducts[#Headers])</f>
        <v>0.03</v>
      </c>
      <c r="Q20" s="78" t="str" cm="1">
        <f t="array" ref="Q20">Fertiliser_InputFunctions.Fertiliser_FertiliserProductLookup(Table_Input_InorganicFertiliser_Brands[[#This Row],[Product (select)]], Table_Input_InorganicFertiliser_Brands[[#Headers],[Ingredient 4]], FertiliserProducts[#Data], FertiliserProducts[Product name], FertiliserProducts[#Headers])</f>
        <v>Boron</v>
      </c>
      <c r="R20" s="78" cm="1">
        <f t="array" ref="R20">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S20" s="78" t="str" cm="1">
        <f t="array" ref="S20">Fertiliser_InputFunctions.Fertiliser_FertiliserProductLookup(Table_Input_InorganicFertiliser_Brands[[#This Row],[Product (select)]], Table_Input_InorganicFertiliser_Brands[[#Headers],[Ingredient 5]], FertiliserProducts[#Data], FertiliserProducts[Product name], FertiliserProducts[#Headers])</f>
        <v/>
      </c>
      <c r="T20" s="78" t="str" cm="1">
        <f t="array" ref="T20">Fertiliser_InputFunctions.Fertiliser_FertiliserProductLookup(Table_Input_InorganicFertiliser_Brands[[#This Row],[Product (select)]], Table_Input_InorganicFertiliser_Brands[[#Headers],[Ingredient 5 percent]], FertiliserProducts[#Data], FertiliserProducts[Product name], FertiliserProducts[#Headers])</f>
        <v/>
      </c>
      <c r="U20" s="78" t="str" cm="1">
        <f t="array" ref="U20">Fertiliser_InputFunctions.Fertiliser_FertiliserProductLookup(Table_Input_InorganicFertiliser_Brands[[#This Row],[Product (select)]], Table_Input_InorganicFertiliser_Brands[[#Headers],[Ingredient 6]], FertiliserProducts[#Data], FertiliserProducts[Product name], FertiliserProducts[#Headers])</f>
        <v/>
      </c>
      <c r="V20" s="78" t="str" cm="1">
        <f t="array" ref="V20">Fertiliser_InputFunctions.Fertiliser_FertiliserProductLookup(Table_Input_InorganicFertiliser_Brands[[#This Row],[Product (select)]], Table_Input_InorganicFertiliser_Brands[[#Headers],[Ingredient 6 percent]], FertiliserProducts[#Data], FertiliserProducts[Product name], FertiliserProducts[#Headers])</f>
        <v/>
      </c>
      <c r="W20"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X20" s="78" t="str">
        <f>_xlfn.XLOOKUP(Table_Input_InorganicFertiliser_Brands[[#This Row],[Product (select)]],FertiliserProducts[Product name],FertiliserProducts[Urea source])</f>
        <v/>
      </c>
      <c r="Y20" s="78" t="str">
        <f>_xlfn.XLOOKUP(Table_Input_InorganicFertiliser_Brands[[#This Row],[Product (select)]],FertiliserProducts[Product name],FertiliserProducts[Ammonia source])</f>
        <v/>
      </c>
    </row>
    <row r="21" spans="1:29" ht="36" customHeight="1" x14ac:dyDescent="0.25">
      <c r="A21" s="16" t="str">
        <f>HYPERLINK("#'Constants - Common'!A1", "Constants - Common")</f>
        <v>Constants - Common</v>
      </c>
      <c r="D21" s="79"/>
      <c r="E21" s="80"/>
      <c r="F21" s="81"/>
      <c r="G21" s="81"/>
      <c r="H21" s="81"/>
      <c r="I21" s="81"/>
      <c r="J21" s="82"/>
      <c r="K21" s="82"/>
      <c r="L21" s="83"/>
      <c r="M21" s="83"/>
      <c r="N21" s="53"/>
      <c r="O21" s="53"/>
      <c r="P21" s="53"/>
      <c r="Q21" s="53"/>
      <c r="R21" s="53"/>
      <c r="S21" s="53"/>
      <c r="T21" s="53"/>
      <c r="U21" s="53"/>
      <c r="V21" s="53"/>
      <c r="W21" s="53"/>
      <c r="X21" s="53"/>
    </row>
    <row r="22" spans="1:29" ht="36" customHeight="1" x14ac:dyDescent="0.25">
      <c r="D22" s="84" t="s">
        <v>212</v>
      </c>
      <c r="E22" s="85"/>
      <c r="F22" s="85"/>
      <c r="G22" s="85"/>
      <c r="H22" s="85"/>
      <c r="I22" s="85"/>
      <c r="J22" s="85"/>
      <c r="K22" s="85"/>
      <c r="L22" s="85"/>
      <c r="M22" s="85"/>
      <c r="N22" s="53"/>
      <c r="O22" s="53"/>
      <c r="P22" s="53"/>
      <c r="Q22" s="53"/>
      <c r="R22" s="53"/>
      <c r="S22" s="53"/>
      <c r="T22" s="53"/>
      <c r="U22" s="53"/>
      <c r="V22" s="53"/>
      <c r="W22" s="53"/>
      <c r="X22" s="53"/>
    </row>
    <row r="23" spans="1:29" ht="36" customHeight="1" x14ac:dyDescent="0.25">
      <c r="A23" s="16"/>
      <c r="D23" s="67" t="s">
        <v>213</v>
      </c>
      <c r="E23" s="67" t="s">
        <v>207</v>
      </c>
      <c r="F23" s="67" t="s">
        <v>208</v>
      </c>
      <c r="G23" s="67" t="s">
        <v>209</v>
      </c>
      <c r="H23" s="67" t="s">
        <v>214</v>
      </c>
      <c r="I23" s="67" t="s">
        <v>178</v>
      </c>
      <c r="J23" s="67" t="s">
        <v>179</v>
      </c>
      <c r="K23" s="67" t="s">
        <v>180</v>
      </c>
      <c r="L23" s="67" t="s">
        <v>181</v>
      </c>
      <c r="M23" s="67" t="s">
        <v>182</v>
      </c>
      <c r="N23" s="67" t="s">
        <v>183</v>
      </c>
      <c r="O23" s="67" t="s">
        <v>184</v>
      </c>
      <c r="P23" s="67" t="s">
        <v>210</v>
      </c>
      <c r="Q23" s="75" t="s">
        <v>175</v>
      </c>
      <c r="R23" s="75" t="s">
        <v>176</v>
      </c>
      <c r="S23" s="75" t="s">
        <v>484</v>
      </c>
      <c r="T23" s="75" t="s">
        <v>429</v>
      </c>
      <c r="U23" s="75" t="s">
        <v>447</v>
      </c>
      <c r="V23" s="75" t="s">
        <v>485</v>
      </c>
      <c r="W23" s="53"/>
      <c r="X23" s="53"/>
      <c r="Y23" s="53"/>
      <c r="Z23" s="53"/>
      <c r="AA23" s="53"/>
      <c r="AB23" s="53"/>
      <c r="AC23" s="8"/>
    </row>
    <row r="24" spans="1:29" ht="36" customHeight="1" x14ac:dyDescent="0.25">
      <c r="D24" s="86" t="s">
        <v>215</v>
      </c>
      <c r="E24" s="67">
        <v>100</v>
      </c>
      <c r="F24" s="77">
        <f>$E$9</f>
        <v>100</v>
      </c>
      <c r="G24" s="78">
        <f>Table_Input_InorganicFertiliser_Custom[[#This Row],[Amount applied (kg / ha)]]*Table_Input_InorganicFertiliser_Custom[[#This Row],[Application area (ha)]]</f>
        <v>10000</v>
      </c>
      <c r="H24" s="87" t="s">
        <v>426</v>
      </c>
      <c r="I24" s="88">
        <v>0.45</v>
      </c>
      <c r="J24" s="87" t="s">
        <v>425</v>
      </c>
      <c r="K24" s="88">
        <v>0.3</v>
      </c>
      <c r="L24" s="87" t="s">
        <v>217</v>
      </c>
      <c r="M24" s="88">
        <v>0.1</v>
      </c>
      <c r="N24" s="89" t="s">
        <v>218</v>
      </c>
      <c r="O24" s="90">
        <v>0.1</v>
      </c>
      <c r="P24" s="78">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41.707499999999996</v>
      </c>
      <c r="Q24" s="48" t="s">
        <v>422</v>
      </c>
      <c r="R24" s="48" t="s">
        <v>464</v>
      </c>
      <c r="S24" s="69"/>
      <c r="T24" s="202"/>
      <c r="U24" s="202"/>
      <c r="V24" s="202"/>
      <c r="Z24" s="8"/>
      <c r="AA24" s="8"/>
      <c r="AB24" s="8"/>
      <c r="AC24" s="8"/>
    </row>
    <row r="25" spans="1:29" ht="36" customHeight="1" x14ac:dyDescent="0.25">
      <c r="D25" s="86"/>
      <c r="E25" s="67">
        <v>100</v>
      </c>
      <c r="F25" s="193">
        <f>$E$9</f>
        <v>100</v>
      </c>
      <c r="G25" s="78">
        <f>Table_Input_InorganicFertiliser_Custom[[#This Row],[Amount applied (kg / ha)]]*Table_Input_InorganicFertiliser_Custom[[#This Row],[Application area (ha)]]</f>
        <v>10000</v>
      </c>
      <c r="H25" s="87" t="s">
        <v>216</v>
      </c>
      <c r="I25" s="91">
        <v>0.9</v>
      </c>
      <c r="J25" s="87" t="s">
        <v>426</v>
      </c>
      <c r="K25" s="91">
        <v>0.1</v>
      </c>
      <c r="L25" s="87"/>
      <c r="M25" s="91"/>
      <c r="N25" s="89"/>
      <c r="O25" s="90"/>
      <c r="P25" s="78">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49.635000000000005</v>
      </c>
      <c r="Q25" s="76" t="s">
        <v>422</v>
      </c>
      <c r="R25" s="76" t="s">
        <v>422</v>
      </c>
      <c r="S25" s="69"/>
      <c r="T25" s="202"/>
      <c r="U25" s="202"/>
      <c r="V25" s="202"/>
      <c r="Z25" s="8"/>
      <c r="AA25" s="8"/>
      <c r="AB25" s="8"/>
      <c r="AC25" s="8"/>
    </row>
    <row r="26" spans="1:29" ht="36" customHeight="1" x14ac:dyDescent="0.25"/>
    <row r="27" spans="1:29" ht="20.100000000000001" customHeight="1" x14ac:dyDescent="0.25">
      <c r="D27" s="9" t="s">
        <v>219</v>
      </c>
      <c r="E27" s="7"/>
      <c r="F27" s="7"/>
      <c r="G27" s="7"/>
      <c r="H27" s="7"/>
      <c r="I27" s="7"/>
      <c r="J27" s="7"/>
      <c r="K27" s="14"/>
      <c r="L27" s="14"/>
      <c r="M27" s="14"/>
    </row>
    <row r="28" spans="1:29" ht="20.100000000000001" customHeight="1" x14ac:dyDescent="0.25">
      <c r="D28" s="14"/>
      <c r="E28" s="14"/>
      <c r="F28" s="14"/>
      <c r="G28" s="14"/>
      <c r="H28" s="14"/>
      <c r="I28" s="14"/>
      <c r="J28" s="14"/>
      <c r="K28" s="14"/>
      <c r="L28" s="14"/>
      <c r="M28" s="7"/>
    </row>
    <row r="29" spans="1:29" ht="20.100000000000001" customHeight="1" x14ac:dyDescent="0.25">
      <c r="A29" s="16"/>
      <c r="D29" s="40" t="s">
        <v>220</v>
      </c>
      <c r="E29" s="41"/>
      <c r="F29" s="42"/>
      <c r="G29" s="40"/>
      <c r="H29" s="42"/>
      <c r="I29" s="7"/>
      <c r="J29" s="7"/>
      <c r="K29" s="14"/>
      <c r="L29" s="14"/>
      <c r="M29" s="14"/>
    </row>
    <row r="30" spans="1:29" ht="20.100000000000001" customHeight="1" x14ac:dyDescent="0.25">
      <c r="A30" s="16"/>
      <c r="D30" s="92" t="s">
        <v>221</v>
      </c>
      <c r="E30" s="93"/>
      <c r="F30" s="94"/>
      <c r="G30" s="92"/>
      <c r="H30" s="94"/>
      <c r="I30" s="14"/>
      <c r="J30" s="14"/>
      <c r="K30" s="14"/>
      <c r="L30" s="14"/>
      <c r="M30" s="7"/>
    </row>
    <row r="31" spans="1:29" ht="20.100000000000001" customHeight="1" x14ac:dyDescent="0.25">
      <c r="A31" s="52"/>
      <c r="D31" s="44" t="s">
        <v>204</v>
      </c>
      <c r="E31" s="45"/>
      <c r="F31" s="45"/>
      <c r="G31" s="45"/>
      <c r="H31" s="46"/>
      <c r="I31" s="14"/>
      <c r="J31" s="14"/>
      <c r="K31" s="14"/>
      <c r="L31" s="14"/>
      <c r="M31" s="7"/>
    </row>
    <row r="32" spans="1:29" ht="20.100000000000001" customHeight="1" x14ac:dyDescent="0.25">
      <c r="A32" s="52"/>
      <c r="D32" s="57" t="str">
        <f>IF(MAX(Table_Input_Lime[Total]) &gt; 1, "There can not be more than 100% ingredients in a product. Check the table below.", "")</f>
        <v/>
      </c>
    </row>
    <row r="33" spans="1:25" ht="36" customHeight="1" x14ac:dyDescent="0.25">
      <c r="A33" s="16"/>
      <c r="D33" s="95" t="s">
        <v>222</v>
      </c>
      <c r="E33" s="95" t="s">
        <v>223</v>
      </c>
      <c r="F33" s="95" t="s">
        <v>208</v>
      </c>
      <c r="G33" s="95" t="s">
        <v>224</v>
      </c>
      <c r="H33" s="95" t="s">
        <v>225</v>
      </c>
      <c r="I33" s="95" t="s">
        <v>226</v>
      </c>
      <c r="J33" s="95" t="s">
        <v>227</v>
      </c>
      <c r="K33" s="95" t="s">
        <v>228</v>
      </c>
      <c r="L33" s="95" t="s">
        <v>229</v>
      </c>
    </row>
    <row r="34" spans="1:25" ht="36" customHeight="1" x14ac:dyDescent="0.25">
      <c r="D34" s="96" t="s">
        <v>230</v>
      </c>
      <c r="E34" s="77">
        <v>100</v>
      </c>
      <c r="F34" s="77">
        <f>$E$9</f>
        <v>100</v>
      </c>
      <c r="G34" s="78">
        <f>IFERROR(Table_Input_Lime[[#This Row],[Amount applied (t/hectare)]]*Table_Input_Lime[[#This Row],[Application area (ha)]], 0)</f>
        <v>10000</v>
      </c>
      <c r="H34" s="97">
        <v>0.4</v>
      </c>
      <c r="I34" s="97">
        <v>0.3</v>
      </c>
      <c r="J34" s="97">
        <v>0.25</v>
      </c>
      <c r="K34" s="97">
        <v>0.05</v>
      </c>
      <c r="L34" s="98">
        <f>SUM(Table_Input_Lime[[#This Row],[Percent Lime CaCO3]:[Percent Potash]])</f>
        <v>1</v>
      </c>
    </row>
    <row r="35" spans="1:25" ht="36" customHeight="1" x14ac:dyDescent="0.25">
      <c r="D35" s="96" t="s">
        <v>231</v>
      </c>
      <c r="E35" s="77">
        <v>100</v>
      </c>
      <c r="F35" s="77">
        <f>$E$9</f>
        <v>100</v>
      </c>
      <c r="G35" s="78">
        <f>IFERROR(Table_Input_Lime[[#This Row],[Amount applied (t/hectare)]]*Table_Input_Lime[[#This Row],[Application area (ha)]], 0)</f>
        <v>10000</v>
      </c>
      <c r="H35" s="97"/>
      <c r="I35" s="97">
        <v>1</v>
      </c>
      <c r="J35" s="97"/>
      <c r="K35" s="97"/>
      <c r="L35" s="98">
        <f>SUM(Table_Input_Lime[[#This Row],[Percent Lime CaCO3]:[Percent Potash]])</f>
        <v>1</v>
      </c>
    </row>
    <row r="36" spans="1:25" ht="36" customHeight="1" x14ac:dyDescent="0.25">
      <c r="D36" s="14"/>
      <c r="E36" s="14"/>
      <c r="F36" s="14"/>
      <c r="G36" s="14"/>
      <c r="H36" s="14"/>
      <c r="I36" s="14"/>
      <c r="J36" s="14"/>
      <c r="L36" s="7"/>
      <c r="M36" s="7"/>
    </row>
    <row r="37" spans="1:25" ht="20.100000000000001" customHeight="1" x14ac:dyDescent="0.25">
      <c r="D37" s="14"/>
      <c r="E37" s="14"/>
      <c r="F37" s="14"/>
      <c r="G37" s="14"/>
      <c r="H37" s="14"/>
      <c r="I37" s="14"/>
      <c r="J37" s="99"/>
      <c r="K37" s="7"/>
      <c r="L37" s="7"/>
      <c r="M37" s="7"/>
    </row>
    <row r="38" spans="1:25" ht="20.100000000000001" customHeight="1" x14ac:dyDescent="0.25">
      <c r="C38" s="53"/>
      <c r="D38" s="9" t="s">
        <v>232</v>
      </c>
      <c r="E38" s="7"/>
      <c r="F38" s="7"/>
      <c r="G38" s="7"/>
      <c r="H38" s="14"/>
      <c r="I38" s="14"/>
      <c r="J38" s="14"/>
      <c r="K38" s="14"/>
      <c r="L38" s="14"/>
      <c r="M38" s="14"/>
    </row>
    <row r="39" spans="1:25" ht="20.100000000000001" customHeight="1" x14ac:dyDescent="0.25">
      <c r="A39" s="16"/>
      <c r="C39" s="53"/>
      <c r="D39" s="14"/>
      <c r="E39" s="14"/>
      <c r="F39" s="14"/>
      <c r="G39" s="14"/>
      <c r="H39" s="14"/>
      <c r="I39" s="14"/>
      <c r="J39" s="14"/>
      <c r="K39" s="14"/>
      <c r="L39" s="14"/>
      <c r="M39" s="14"/>
    </row>
    <row r="40" spans="1:25" s="54" customFormat="1" ht="20.100000000000001" customHeight="1" x14ac:dyDescent="0.25">
      <c r="C40" s="8"/>
      <c r="D40" s="40" t="s">
        <v>220</v>
      </c>
      <c r="E40" s="41"/>
      <c r="F40" s="41"/>
      <c r="G40" s="41"/>
      <c r="H40" s="42"/>
      <c r="I40" s="14"/>
      <c r="J40" s="14"/>
      <c r="K40" s="14"/>
      <c r="L40" s="14"/>
      <c r="M40" s="14"/>
      <c r="N40" s="8"/>
      <c r="O40" s="8"/>
      <c r="P40" s="8"/>
      <c r="Q40" s="53"/>
      <c r="R40" s="53"/>
      <c r="S40" s="53"/>
      <c r="T40" s="8"/>
      <c r="U40" s="8"/>
      <c r="V40" s="8"/>
      <c r="W40" s="8"/>
      <c r="X40" s="8"/>
      <c r="Y40" s="8"/>
    </row>
    <row r="41" spans="1:25" s="54" customFormat="1" ht="20.100000000000001" customHeight="1" x14ac:dyDescent="0.25">
      <c r="A41" s="55"/>
      <c r="C41" s="8"/>
      <c r="D41" s="44" t="s">
        <v>204</v>
      </c>
      <c r="E41" s="45"/>
      <c r="F41" s="45"/>
      <c r="G41" s="45"/>
      <c r="H41" s="46"/>
      <c r="I41" s="14"/>
      <c r="J41" s="14"/>
      <c r="K41" s="14"/>
      <c r="L41" s="14"/>
      <c r="M41" s="14"/>
      <c r="N41" s="8"/>
      <c r="O41" s="53"/>
      <c r="P41" s="53"/>
      <c r="Q41" s="53"/>
      <c r="R41" s="53"/>
      <c r="S41" s="53"/>
      <c r="T41" s="8"/>
      <c r="U41" s="8"/>
      <c r="V41" s="8"/>
      <c r="W41" s="8"/>
      <c r="X41" s="8"/>
      <c r="Y41" s="8"/>
    </row>
    <row r="42" spans="1:25" ht="20.100000000000001" customHeight="1" x14ac:dyDescent="0.25">
      <c r="D42" s="14"/>
      <c r="E42" s="14"/>
      <c r="F42" s="14"/>
      <c r="G42" s="14"/>
      <c r="H42" s="14"/>
      <c r="I42" s="14"/>
      <c r="J42" s="14"/>
      <c r="K42" s="14"/>
      <c r="L42" s="14"/>
      <c r="M42" s="53"/>
      <c r="N42" s="53"/>
      <c r="O42" s="53"/>
      <c r="P42" s="53"/>
    </row>
    <row r="43" spans="1:25" ht="36" customHeight="1" x14ac:dyDescent="0.25">
      <c r="D43" s="95" t="s">
        <v>233</v>
      </c>
      <c r="E43" s="95" t="s">
        <v>234</v>
      </c>
      <c r="F43" s="95" t="s">
        <v>235</v>
      </c>
      <c r="G43" s="95" t="s">
        <v>236</v>
      </c>
      <c r="H43" s="95" t="s">
        <v>208</v>
      </c>
      <c r="I43" s="95" t="s">
        <v>237</v>
      </c>
      <c r="J43" s="95" t="s">
        <v>238</v>
      </c>
      <c r="K43" s="85"/>
      <c r="L43" s="85"/>
      <c r="M43" s="53"/>
      <c r="N43" s="53"/>
    </row>
    <row r="44" spans="1:25" ht="36" customHeight="1" x14ac:dyDescent="0.25">
      <c r="A44" s="56" t="str">
        <f>HYPERLINK("#A1", "▲ Back to top")</f>
        <v>▲ Back to top</v>
      </c>
      <c r="D44" s="76" t="s">
        <v>162</v>
      </c>
      <c r="E44" s="97">
        <v>0.3</v>
      </c>
      <c r="F44" s="77">
        <v>10</v>
      </c>
      <c r="G44" s="78">
        <f>Table_Input_OrganicFertiliser[[#This Row],[Amount applied (kg/hectare)]]*Table_Input_OrganicFertiliser[[#This Row],[Percentage of N in fertiliser]]</f>
        <v>3</v>
      </c>
      <c r="H44" s="77">
        <f>$E$9</f>
        <v>100</v>
      </c>
      <c r="I44" s="78">
        <f>Table_Input_OrganicFertiliser[[#This Row],[Amount applied (kg/hectare)]]*Table_Input_OrganicFertiliser[[#This Row],[Application area (ha)]]</f>
        <v>1000</v>
      </c>
      <c r="J44" s="78">
        <f>IFERROR(Table_Input_OrganicFertiliser[[#This Row],[Amount N applied (kg/hectare)]]*Table_Input_OrganicFertiliser[[#This Row],[Application area (ha)]], 0)</f>
        <v>300</v>
      </c>
      <c r="K44" s="85"/>
      <c r="L44" s="85"/>
    </row>
    <row r="45" spans="1:25" ht="36" customHeight="1" x14ac:dyDescent="0.25">
      <c r="D45" s="76" t="s">
        <v>156</v>
      </c>
      <c r="E45" s="97">
        <v>0.25</v>
      </c>
      <c r="F45" s="77">
        <v>10</v>
      </c>
      <c r="G45" s="78">
        <f>Table_Input_OrganicFertiliser[[#This Row],[Amount applied (kg/hectare)]]*Table_Input_OrganicFertiliser[[#This Row],[Percentage of N in fertiliser]]</f>
        <v>2.5</v>
      </c>
      <c r="H45" s="77">
        <f>$E$9</f>
        <v>100</v>
      </c>
      <c r="I45" s="78">
        <f>Table_Input_OrganicFertiliser[[#This Row],[Amount applied (kg/hectare)]]*Table_Input_OrganicFertiliser[[#This Row],[Application area (ha)]]</f>
        <v>1000</v>
      </c>
      <c r="J45" s="78">
        <f>IFERROR(Table_Input_OrganicFertiliser[[#This Row],[Amount N applied (kg/hectare)]]*Table_Input_OrganicFertiliser[[#This Row],[Application area (ha)]], 0)</f>
        <v>250</v>
      </c>
    </row>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row r="111" spans="13:13" ht="20.100000000000001" customHeight="1" x14ac:dyDescent="0.25">
      <c r="M111" s="7"/>
    </row>
    <row r="112" spans="13:13" ht="20.100000000000001" customHeight="1" x14ac:dyDescent="0.25">
      <c r="M112" s="7"/>
    </row>
    <row r="113" spans="13:13" ht="20.100000000000001" customHeight="1" x14ac:dyDescent="0.25">
      <c r="M113" s="7"/>
    </row>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c r="M132" s="7"/>
    </row>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68"/>
    </row>
    <row r="211" spans="12:12" x14ac:dyDescent="0.25">
      <c r="L211" s="68"/>
    </row>
    <row r="212" spans="12:12" x14ac:dyDescent="0.25">
      <c r="L212" s="68"/>
    </row>
    <row r="213" spans="12:12" x14ac:dyDescent="0.25">
      <c r="L213" s="68"/>
    </row>
    <row r="214" spans="12:12" x14ac:dyDescent="0.25">
      <c r="L214" s="68"/>
    </row>
    <row r="216" spans="12:12" x14ac:dyDescent="0.25">
      <c r="L216" s="68"/>
    </row>
    <row r="218" spans="12:12" x14ac:dyDescent="0.25">
      <c r="L218" s="68"/>
    </row>
    <row r="219" spans="12:12" x14ac:dyDescent="0.25">
      <c r="L219" s="68"/>
    </row>
    <row r="220" spans="12:12" x14ac:dyDescent="0.25">
      <c r="L220" s="68"/>
    </row>
    <row r="221" spans="12:12" x14ac:dyDescent="0.25">
      <c r="L221" s="68"/>
    </row>
    <row r="223" spans="12:12" x14ac:dyDescent="0.25">
      <c r="L223" s="68"/>
    </row>
    <row r="231" spans="12:12" x14ac:dyDescent="0.25">
      <c r="L231" s="68"/>
    </row>
    <row r="232" spans="12:12" x14ac:dyDescent="0.25">
      <c r="L232" s="68"/>
    </row>
    <row r="233" spans="12:12" x14ac:dyDescent="0.25">
      <c r="L233" s="68"/>
    </row>
    <row r="236" spans="12:12" x14ac:dyDescent="0.25">
      <c r="L236" s="68"/>
    </row>
    <row r="237" spans="12:12" x14ac:dyDescent="0.25">
      <c r="L237" s="68"/>
    </row>
    <row r="238" spans="12:12" x14ac:dyDescent="0.25">
      <c r="L238" s="68"/>
    </row>
    <row r="241" spans="11:12" x14ac:dyDescent="0.25">
      <c r="L241" s="68"/>
    </row>
    <row r="242" spans="11:12" x14ac:dyDescent="0.25">
      <c r="L242" s="68"/>
    </row>
    <row r="243" spans="11:12" x14ac:dyDescent="0.25">
      <c r="L243" s="68"/>
    </row>
    <row r="246" spans="11:12" x14ac:dyDescent="0.25">
      <c r="L246" s="68"/>
    </row>
    <row r="247" spans="11:12" x14ac:dyDescent="0.25">
      <c r="K247" s="68"/>
      <c r="L247" s="68"/>
    </row>
    <row r="248" spans="11:12" x14ac:dyDescent="0.25">
      <c r="L248" s="68"/>
    </row>
    <row r="252" spans="11:12" x14ac:dyDescent="0.25">
      <c r="K252" s="68"/>
    </row>
    <row r="255" spans="11:12" x14ac:dyDescent="0.25">
      <c r="L255" s="68"/>
    </row>
    <row r="256" spans="11:12" x14ac:dyDescent="0.25">
      <c r="L256" s="68"/>
    </row>
    <row r="257" spans="11:12" x14ac:dyDescent="0.25">
      <c r="K257" s="68"/>
      <c r="L257" s="68"/>
    </row>
    <row r="260" spans="11:12" x14ac:dyDescent="0.25">
      <c r="L260" s="68"/>
    </row>
    <row r="261" spans="11:12" x14ac:dyDescent="0.25">
      <c r="L261" s="68"/>
    </row>
    <row r="262" spans="11:12" x14ac:dyDescent="0.25">
      <c r="K262" s="68"/>
      <c r="L262" s="68"/>
    </row>
    <row r="263" spans="11:12" x14ac:dyDescent="0.25">
      <c r="K263" s="68"/>
    </row>
    <row r="264" spans="11:12" x14ac:dyDescent="0.25">
      <c r="K264" s="68"/>
    </row>
    <row r="265" spans="11:12" x14ac:dyDescent="0.25">
      <c r="K265" s="68"/>
      <c r="L265" s="68"/>
    </row>
    <row r="266" spans="11:12" x14ac:dyDescent="0.25">
      <c r="K266" s="68"/>
      <c r="L266" s="68"/>
    </row>
    <row r="267" spans="11:12" x14ac:dyDescent="0.25">
      <c r="L267" s="68"/>
    </row>
    <row r="268" spans="11:12" x14ac:dyDescent="0.25">
      <c r="K268" s="68"/>
    </row>
    <row r="270" spans="11:12" x14ac:dyDescent="0.25">
      <c r="K270" s="68"/>
      <c r="L270" s="68"/>
    </row>
    <row r="271" spans="11:12" x14ac:dyDescent="0.25">
      <c r="K271" s="68"/>
      <c r="L271" s="68"/>
    </row>
    <row r="272" spans="11:12" x14ac:dyDescent="0.25">
      <c r="K272" s="68"/>
      <c r="L272" s="68"/>
    </row>
    <row r="273" spans="11:11" x14ac:dyDescent="0.25">
      <c r="K273" s="68"/>
    </row>
    <row r="275" spans="11:11" x14ac:dyDescent="0.25">
      <c r="K275" s="68"/>
    </row>
    <row r="281" spans="11:11" x14ac:dyDescent="0.25">
      <c r="K281" s="68"/>
    </row>
    <row r="286" spans="11:11" x14ac:dyDescent="0.25">
      <c r="K286" s="68"/>
    </row>
    <row r="291" spans="11:11" x14ac:dyDescent="0.25">
      <c r="K291" s="68"/>
    </row>
    <row r="296" spans="11:11" x14ac:dyDescent="0.25">
      <c r="K296" s="68"/>
    </row>
    <row r="297" spans="11:11" x14ac:dyDescent="0.25">
      <c r="K297" s="68"/>
    </row>
    <row r="298" spans="11:11" x14ac:dyDescent="0.25">
      <c r="K298" s="68"/>
    </row>
    <row r="299" spans="11:11" x14ac:dyDescent="0.25">
      <c r="K299" s="68"/>
    </row>
    <row r="300" spans="11:11" x14ac:dyDescent="0.25">
      <c r="K300" s="68"/>
    </row>
    <row r="302" spans="11:11" x14ac:dyDescent="0.25">
      <c r="K302" s="68"/>
    </row>
    <row r="304" spans="11:11" x14ac:dyDescent="0.25">
      <c r="K304" s="68"/>
    </row>
    <row r="305" spans="11:11" x14ac:dyDescent="0.25">
      <c r="K305" s="68"/>
    </row>
    <row r="306" spans="11:11" x14ac:dyDescent="0.25">
      <c r="K306" s="68"/>
    </row>
    <row r="307" spans="11:11" x14ac:dyDescent="0.25">
      <c r="K307" s="68"/>
    </row>
    <row r="309" spans="11:11" x14ac:dyDescent="0.25">
      <c r="K309" s="68"/>
    </row>
    <row r="317" spans="11:11" x14ac:dyDescent="0.25">
      <c r="K317" s="68"/>
    </row>
    <row r="318" spans="11:11" x14ac:dyDescent="0.25">
      <c r="K318" s="68"/>
    </row>
    <row r="319" spans="11:11" x14ac:dyDescent="0.25">
      <c r="K319" s="68"/>
    </row>
    <row r="322" spans="11:11" x14ac:dyDescent="0.25">
      <c r="K322" s="68"/>
    </row>
    <row r="323" spans="11:11" x14ac:dyDescent="0.25">
      <c r="K323" s="68"/>
    </row>
    <row r="324" spans="11:11" x14ac:dyDescent="0.25">
      <c r="K324" s="68"/>
    </row>
    <row r="327" spans="11:11" x14ac:dyDescent="0.25">
      <c r="K327" s="68"/>
    </row>
    <row r="328" spans="11:11" x14ac:dyDescent="0.25">
      <c r="K328" s="68"/>
    </row>
    <row r="329" spans="11:11" x14ac:dyDescent="0.25">
      <c r="K329" s="68"/>
    </row>
    <row r="332" spans="11:11" x14ac:dyDescent="0.25">
      <c r="K332" s="68"/>
    </row>
    <row r="333" spans="11:11" x14ac:dyDescent="0.25">
      <c r="K333" s="68"/>
    </row>
    <row r="334" spans="11:11" x14ac:dyDescent="0.25">
      <c r="K334" s="68"/>
    </row>
    <row r="341" spans="11:11" x14ac:dyDescent="0.25">
      <c r="K341" s="68"/>
    </row>
    <row r="342" spans="11:11" x14ac:dyDescent="0.25">
      <c r="K342" s="68"/>
    </row>
    <row r="343" spans="11:11" x14ac:dyDescent="0.25">
      <c r="K343" s="68"/>
    </row>
    <row r="346" spans="11:11" x14ac:dyDescent="0.25">
      <c r="K346" s="68"/>
    </row>
    <row r="347" spans="11:11" x14ac:dyDescent="0.25">
      <c r="K347" s="68"/>
    </row>
    <row r="348" spans="11:11" x14ac:dyDescent="0.25">
      <c r="K348" s="68"/>
    </row>
    <row r="351" spans="11:11" x14ac:dyDescent="0.25">
      <c r="K351" s="68"/>
    </row>
    <row r="352" spans="11:11" x14ac:dyDescent="0.25">
      <c r="K352" s="68"/>
    </row>
    <row r="353" spans="4:11" x14ac:dyDescent="0.25">
      <c r="K353" s="68"/>
    </row>
    <row r="356" spans="4:11" x14ac:dyDescent="0.25">
      <c r="K356" s="68"/>
    </row>
    <row r="357" spans="4:11" x14ac:dyDescent="0.25">
      <c r="K357" s="68"/>
    </row>
    <row r="358" spans="4:11" x14ac:dyDescent="0.25">
      <c r="K358" s="68"/>
    </row>
    <row r="361" spans="4:11" x14ac:dyDescent="0.25">
      <c r="D361" s="57"/>
    </row>
  </sheetData>
  <phoneticPr fontId="63" type="noConversion"/>
  <conditionalFormatting sqref="F47">
    <cfRule type="cellIs" dxfId="61" priority="19" operator="lessThan">
      <formula>0</formula>
    </cfRule>
  </conditionalFormatting>
  <conditionalFormatting sqref="F126:F127">
    <cfRule type="cellIs" dxfId="60" priority="17" operator="lessThan">
      <formula>0</formula>
    </cfRule>
  </conditionalFormatting>
  <conditionalFormatting sqref="F138:F139">
    <cfRule type="cellIs" dxfId="59" priority="16" operator="lessThan">
      <formula>0</formula>
    </cfRule>
  </conditionalFormatting>
  <conditionalFormatting sqref="F150:F151">
    <cfRule type="cellIs" dxfId="58" priority="15" operator="lessThan">
      <formula>0</formula>
    </cfRule>
  </conditionalFormatting>
  <conditionalFormatting sqref="F162:F163">
    <cfRule type="cellIs" dxfId="57" priority="14" operator="lessThan">
      <formula>0</formula>
    </cfRule>
  </conditionalFormatting>
  <conditionalFormatting sqref="F250:F251">
    <cfRule type="cellIs" dxfId="56" priority="27" operator="lessThan">
      <formula>0</formula>
    </cfRule>
  </conditionalFormatting>
  <conditionalFormatting sqref="F255:F256">
    <cfRule type="cellIs" dxfId="55" priority="26" operator="lessThan">
      <formula>0</formula>
    </cfRule>
  </conditionalFormatting>
  <conditionalFormatting sqref="F260:F261">
    <cfRule type="cellIs" dxfId="54" priority="25" operator="lessThan">
      <formula>0</formula>
    </cfRule>
  </conditionalFormatting>
  <conditionalFormatting sqref="F284:F285">
    <cfRule type="cellIs" dxfId="53" priority="24" operator="lessThan">
      <formula>0</formula>
    </cfRule>
  </conditionalFormatting>
  <conditionalFormatting sqref="F289:F290">
    <cfRule type="cellIs" dxfId="52" priority="23" operator="lessThan">
      <formula>0</formula>
    </cfRule>
  </conditionalFormatting>
  <conditionalFormatting sqref="F294:F295">
    <cfRule type="cellIs" dxfId="51" priority="22" operator="lessThan">
      <formula>0</formula>
    </cfRule>
  </conditionalFormatting>
  <conditionalFormatting sqref="I31 I33:I37 I41:I42 H43:H45 O44 N45 I46 I48:I50 I52:I53 I204:J204 K209:L209 E210:G210 I210:J210 K247 J248 K252 J253 K257 J258 K262:K266 J263:J267 K268 J269 K270:K273 J271:J274 K275 J276 K281 J282 K286 J287 K291 J292 K296:K300 J297:J301 K302 J303 K304:K307 J305:J308 K309 J310">
    <cfRule type="cellIs" dxfId="50" priority="21" operator="lessThan">
      <formula>0</formula>
    </cfRule>
  </conditionalFormatting>
  <conditionalFormatting sqref="I57:I61">
    <cfRule type="cellIs" dxfId="49" priority="4" operator="lessThan">
      <formula>0</formula>
    </cfRule>
  </conditionalFormatting>
  <conditionalFormatting sqref="I65 M104 I124:J124 K184:L184 K188:L189 K192:L193 K198:L199 K202:L203">
    <cfRule type="cellIs" dxfId="48" priority="20" operator="lessThan">
      <formula>0</formula>
    </cfRule>
  </conditionalFormatting>
  <conditionalFormatting sqref="I76:I78">
    <cfRule type="cellIs" dxfId="47" priority="3" operator="lessThan">
      <formula>0</formula>
    </cfRule>
  </conditionalFormatting>
  <conditionalFormatting sqref="I82:I85">
    <cfRule type="cellIs" dxfId="46" priority="2" operator="lessThan">
      <formula>0</formula>
    </cfRule>
  </conditionalFormatting>
  <conditionalFormatting sqref="I89:I93">
    <cfRule type="cellIs" dxfId="45" priority="1" operator="lessThan">
      <formula>0</formula>
    </cfRule>
  </conditionalFormatting>
  <conditionalFormatting sqref="J152">
    <cfRule type="cellIs" dxfId="44" priority="18" operator="lessThan">
      <formula>0</formula>
    </cfRule>
  </conditionalFormatting>
  <conditionalFormatting sqref="L117:L120">
    <cfRule type="cellIs" dxfId="43" priority="8" operator="lessThan">
      <formula>0</formula>
    </cfRule>
  </conditionalFormatting>
  <conditionalFormatting sqref="L123">
    <cfRule type="cellIs" dxfId="42" priority="13" operator="lessThan">
      <formula>0</formula>
    </cfRule>
  </conditionalFormatting>
  <conditionalFormatting sqref="L129:L132">
    <cfRule type="cellIs" dxfId="41" priority="7" operator="lessThan">
      <formula>0</formula>
    </cfRule>
  </conditionalFormatting>
  <conditionalFormatting sqref="L135">
    <cfRule type="cellIs" dxfId="40" priority="12" operator="lessThan">
      <formula>0</formula>
    </cfRule>
  </conditionalFormatting>
  <conditionalFormatting sqref="L141:L144">
    <cfRule type="cellIs" dxfId="39" priority="6" operator="lessThan">
      <formula>0</formula>
    </cfRule>
  </conditionalFormatting>
  <conditionalFormatting sqref="L147">
    <cfRule type="cellIs" dxfId="38" priority="11" operator="lessThan">
      <formula>0</formula>
    </cfRule>
  </conditionalFormatting>
  <conditionalFormatting sqref="L153:L156">
    <cfRule type="cellIs" dxfId="37" priority="5" operator="lessThan">
      <formula>0</formula>
    </cfRule>
  </conditionalFormatting>
  <conditionalFormatting sqref="L159">
    <cfRule type="cellIs" dxfId="36" priority="10" operator="lessThan">
      <formula>0</formula>
    </cfRule>
  </conditionalFormatting>
  <conditionalFormatting sqref="L163:L164">
    <cfRule type="cellIs" dxfId="35" priority="9" operator="lessThan">
      <formula>0</formula>
    </cfRule>
  </conditionalFormatting>
  <conditionalFormatting sqref="L210:L214 L216 L218:L221 L223 J228:J230 J233:J235">
    <cfRule type="cellIs" dxfId="34" priority="28" operator="lessThan">
      <formula>0</formula>
    </cfRule>
  </conditionalFormatting>
  <dataValidations count="12">
    <dataValidation type="list" allowBlank="1" showInputMessage="1" showErrorMessage="1" sqref="D18:D20" xr:uid="{DFB1096D-C6F6-4F85-BE80-B4F0EFA04D5F}">
      <formula1>INDIRECT("FertiliserProducts[Product Name]")</formula1>
    </dataValidation>
    <dataValidation type="list" allowBlank="1" showInputMessage="1" showErrorMessage="1" sqref="D44:D45" xr:uid="{933F6C75-4F8D-4677-98CD-E5EE702A5D18}">
      <formula1>INDIRECT("Table_SourceData_OrganicFertiliserTypes[Organic fertiliser type]")</formula1>
    </dataValidation>
    <dataValidation type="list" allowBlank="1" showInputMessage="1" showErrorMessage="1" sqref="H24:H25 J24:J25 L24:L25 N24:N25"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4" xr:uid="{0C22F7DB-C841-4220-875C-77CE00E27B46}">
      <formula1>INDIRECT("Table_SourceData_Swine_CropProdSystems[Production system]")</formula1>
    </dataValidation>
    <dataValidation type="list" allowBlank="1" showInputMessage="1" showErrorMessage="1" sqref="E65" xr:uid="{1A26CE76-D0A3-489D-A86A-781AB458D170}">
      <formula1>INDIRECT("Table_SourceData_Swine_IrrigationMethods[Irrigation method]")</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4:R25" xr:uid="{BFE65A65-42AA-49AF-8F4F-A3B2D9836831}">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CD486-B501-4B7E-8D74-9BADE1C3766D}">
  <dimension ref="A1:FC133"/>
  <sheetViews>
    <sheetView showGridLines="0" zoomScaleNormal="100" workbookViewId="0">
      <selection activeCell="F26" sqref="F26"/>
    </sheetView>
  </sheetViews>
  <sheetFormatPr defaultColWidth="8" defaultRowHeight="15.75" x14ac:dyDescent="0.25"/>
  <cols>
    <col min="1" max="1" width="26.875" style="18" customWidth="1"/>
    <col min="2" max="2" width="4.125" style="4" customWidth="1"/>
    <col min="3" max="3" width="4.125" style="7" customWidth="1"/>
    <col min="4" max="4" width="44.375" style="7" customWidth="1"/>
    <col min="5" max="15" width="26.875" style="7" customWidth="1"/>
    <col min="16" max="16" width="4.125" style="7" customWidth="1"/>
    <col min="17" max="24" width="26.875" style="4" customWidth="1"/>
    <col min="25" max="25" width="25.125" style="4" customWidth="1"/>
    <col min="26" max="27" width="8" style="4"/>
    <col min="28" max="16384" width="8" style="7"/>
  </cols>
  <sheetData>
    <row r="1" spans="1:149" s="4" customFormat="1" ht="30" customHeight="1" x14ac:dyDescent="0.35">
      <c r="A1" s="150" t="e" vm="1">
        <v>#VALUE!</v>
      </c>
      <c r="C1" s="108" t="s">
        <v>368</v>
      </c>
    </row>
    <row r="2" spans="1:149" s="4" customFormat="1" ht="20.100000000000001" customHeight="1" x14ac:dyDescent="0.25">
      <c r="C2" s="2"/>
      <c r="D2" s="2"/>
      <c r="E2" s="2"/>
      <c r="F2" s="2"/>
      <c r="G2" s="2"/>
      <c r="H2" s="2"/>
      <c r="I2" s="2"/>
      <c r="J2" s="2"/>
    </row>
    <row r="3" spans="1:149" ht="20.100000000000001" customHeight="1" x14ac:dyDescent="0.25">
      <c r="A3" s="16" t="s">
        <v>302</v>
      </c>
      <c r="C3" s="39"/>
      <c r="D3" s="39"/>
      <c r="E3" s="39"/>
      <c r="F3" s="39"/>
      <c r="G3" s="39"/>
      <c r="H3" s="39"/>
      <c r="I3" s="39"/>
      <c r="J3" s="39"/>
      <c r="K3" s="39"/>
      <c r="L3" s="39"/>
      <c r="M3" s="39"/>
      <c r="N3" s="39"/>
      <c r="O3" s="39"/>
      <c r="P3" s="39"/>
      <c r="Q3" s="177"/>
      <c r="R3" s="177"/>
      <c r="S3" s="177"/>
      <c r="T3" s="177"/>
      <c r="U3" s="177"/>
      <c r="V3" s="177"/>
      <c r="W3" s="177"/>
      <c r="X3" s="177"/>
      <c r="Y3" s="177"/>
      <c r="Z3" s="177"/>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row>
    <row r="4" spans="1:149" ht="20.100000000000001" customHeight="1" x14ac:dyDescent="0.25">
      <c r="A4" s="16" t="str">
        <f>HYPERLINK("#'Results'!A1", "Results")</f>
        <v>Results</v>
      </c>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row>
    <row r="5" spans="1:149" ht="20.100000000000001" customHeight="1" x14ac:dyDescent="0.25">
      <c r="D5" s="9" t="s">
        <v>369</v>
      </c>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row>
    <row r="6" spans="1:149" ht="20.100000000000001" customHeight="1" x14ac:dyDescent="0.25">
      <c r="A6" s="19" t="s">
        <v>67</v>
      </c>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row>
    <row r="7" spans="1:149" ht="20.100000000000001" customHeight="1" x14ac:dyDescent="0.25">
      <c r="A7" s="16" t="str">
        <f>HYPERLINK("#'Input - Site'!A1", "Site")</f>
        <v>Site</v>
      </c>
      <c r="D7" s="178" t="s">
        <v>370</v>
      </c>
      <c r="E7" s="179"/>
      <c r="F7" s="70"/>
      <c r="G7" s="70"/>
      <c r="H7" s="70"/>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row>
    <row r="8" spans="1:149" ht="20.100000000000001" customHeight="1" x14ac:dyDescent="0.25">
      <c r="A8" s="16" t="str">
        <f>HYPERLINK("#'Input - Production'!A1", "Production and outputs")</f>
        <v>Production and outputs</v>
      </c>
      <c r="D8" s="67" t="s">
        <v>222</v>
      </c>
      <c r="E8" s="67" t="s">
        <v>371</v>
      </c>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row>
    <row r="9" spans="1:149" ht="20.100000000000001" customHeight="1" x14ac:dyDescent="0.25">
      <c r="A9" s="16" t="str">
        <f>HYPERLINK("#'Input - Herd - Dairy'!A1", "Herd - Dairy")</f>
        <v>Herd - Dairy</v>
      </c>
      <c r="D9" s="176" t="str">
        <f>'Calcs - Scope 3 OLD'!D140</f>
        <v>Mineral block</v>
      </c>
      <c r="E9" s="180">
        <v>10</v>
      </c>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row>
    <row r="10" spans="1:149" ht="20.100000000000001" customHeight="1" x14ac:dyDescent="0.25">
      <c r="A10" s="43" t="str">
        <f>HYPERLINK("#'Input - Feed - Dairy'!A1", "Purchased feed - Livestock")</f>
        <v>Purchased feed - Livestock</v>
      </c>
      <c r="D10" s="176" t="str">
        <f>'Calcs - Scope 3 OLD'!D141</f>
        <v>Weaner block</v>
      </c>
      <c r="E10" s="180">
        <v>20</v>
      </c>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row>
    <row r="11" spans="1:149" ht="20.100000000000001" customHeight="1" x14ac:dyDescent="0.25">
      <c r="A11" s="16" t="str">
        <f>HYPERLINK("#'Input - Herd - Feedlot'!A1", "Herd - Feedlot")</f>
        <v>Herd - Feedlot</v>
      </c>
      <c r="C11" s="181"/>
      <c r="D11" s="176" t="str">
        <f>'Calcs - Scope 3 OLD'!D142</f>
        <v>Dry season mix</v>
      </c>
      <c r="E11" s="180">
        <v>30</v>
      </c>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row>
    <row r="12" spans="1:149" ht="20.100000000000001" customHeight="1" x14ac:dyDescent="0.25">
      <c r="A12" s="16" t="str">
        <f>HYPERLINK("#'Input - Pasture'!A1", "Pasture")</f>
        <v>Pasture</v>
      </c>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row>
    <row r="13" spans="1:149" ht="20.100000000000001" customHeight="1" x14ac:dyDescent="0.25">
      <c r="A13" s="16" t="str">
        <f>HYPERLINK("#'Input - Grains'!A1", "Crop - Grains")</f>
        <v>Crop - Grains</v>
      </c>
      <c r="D13" s="178" t="s">
        <v>372</v>
      </c>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row>
    <row r="14" spans="1:149" ht="20.100000000000001" customHeight="1" x14ac:dyDescent="0.25">
      <c r="A14" s="16" t="str">
        <f>HYPERLINK("#'Input - Fert Lime Chem'!A1", "Fertiliser, Lime &amp; Chemicals")</f>
        <v>Fertiliser, Lime &amp; Chemicals</v>
      </c>
      <c r="D14" s="100" t="s">
        <v>354</v>
      </c>
      <c r="E14" s="116"/>
      <c r="F14" s="116"/>
      <c r="G14" s="101"/>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row>
    <row r="15" spans="1:149" ht="20.100000000000001" customHeight="1" x14ac:dyDescent="0.25">
      <c r="A15" s="16" t="str">
        <f>HYPERLINK("#'Input - Fuel &amp; Energy'!A1", "Electricity and fuel")</f>
        <v>Electricity and fuel</v>
      </c>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row>
    <row r="16" spans="1:149" ht="20.100000000000001" customHeight="1" x14ac:dyDescent="0.25">
      <c r="A16" s="52" t="s">
        <v>315</v>
      </c>
      <c r="D16" s="49" t="s">
        <v>373</v>
      </c>
      <c r="E16" s="49" t="s">
        <v>374</v>
      </c>
      <c r="F16" s="49" t="s">
        <v>214</v>
      </c>
      <c r="G16" s="49" t="s">
        <v>178</v>
      </c>
      <c r="H16" s="49" t="s">
        <v>375</v>
      </c>
      <c r="I16" s="49" t="s">
        <v>180</v>
      </c>
      <c r="J16" s="49" t="s">
        <v>376</v>
      </c>
      <c r="K16" s="49" t="s">
        <v>182</v>
      </c>
      <c r="L16" s="49" t="s">
        <v>377</v>
      </c>
      <c r="M16" s="49" t="s">
        <v>184</v>
      </c>
      <c r="N16" s="49" t="s">
        <v>378</v>
      </c>
      <c r="O16" s="49" t="s">
        <v>186</v>
      </c>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row>
    <row r="17" spans="1:150" ht="20.100000000000001" customHeight="1" x14ac:dyDescent="0.25">
      <c r="A17" s="52" t="s">
        <v>316</v>
      </c>
      <c r="D17" s="15"/>
      <c r="E17" s="182">
        <v>1200</v>
      </c>
      <c r="F17" s="48" t="s">
        <v>379</v>
      </c>
      <c r="G17" s="51">
        <v>0.35</v>
      </c>
      <c r="H17" s="48" t="s">
        <v>380</v>
      </c>
      <c r="I17" s="51">
        <v>0.22</v>
      </c>
      <c r="J17" s="48" t="s">
        <v>381</v>
      </c>
      <c r="K17" s="51">
        <v>0.12</v>
      </c>
      <c r="L17" s="48" t="s">
        <v>382</v>
      </c>
      <c r="M17" s="51">
        <v>0.05</v>
      </c>
      <c r="N17" s="48" t="s">
        <v>383</v>
      </c>
      <c r="O17" s="51">
        <v>0.02</v>
      </c>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row>
    <row r="18" spans="1:150" ht="20.100000000000001" customHeight="1" x14ac:dyDescent="0.25">
      <c r="A18" s="16" t="str">
        <f>HYPERLINK("#'Input - Other Farm Inputs'!A1", "Other farm inputs")</f>
        <v>Other farm inputs</v>
      </c>
      <c r="D18" s="15"/>
      <c r="E18" s="182">
        <v>3456</v>
      </c>
      <c r="F18" s="48" t="s">
        <v>387</v>
      </c>
      <c r="G18" s="51">
        <v>0.2</v>
      </c>
      <c r="H18" s="48" t="s">
        <v>384</v>
      </c>
      <c r="I18" s="51">
        <v>0.2</v>
      </c>
      <c r="J18" s="48"/>
      <c r="K18" s="51"/>
      <c r="L18" s="48"/>
      <c r="M18" s="51"/>
      <c r="N18" s="48"/>
      <c r="O18" s="51"/>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row>
    <row r="19" spans="1:150" ht="20.100000000000001" customHeight="1" x14ac:dyDescent="0.25">
      <c r="A19" s="16" t="str">
        <f>HYPERLINK("#'Input - Data quality'!A1", "Data quality")</f>
        <v>Data quality</v>
      </c>
      <c r="D19" s="15" t="s">
        <v>385</v>
      </c>
      <c r="E19" s="182">
        <v>300</v>
      </c>
      <c r="F19" s="48" t="s">
        <v>386</v>
      </c>
      <c r="G19" s="51">
        <v>1</v>
      </c>
      <c r="H19" s="48" t="s">
        <v>386</v>
      </c>
      <c r="I19" s="51">
        <v>0.2</v>
      </c>
      <c r="J19" s="48"/>
      <c r="K19" s="51"/>
      <c r="L19" s="48"/>
      <c r="M19" s="51"/>
      <c r="N19" s="48"/>
      <c r="O19" s="51"/>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row>
    <row r="20" spans="1:150" ht="20.100000000000001" customHeight="1" x14ac:dyDescent="0.25">
      <c r="A20" s="3"/>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row>
    <row r="21" spans="1:150" ht="20.100000000000001" customHeight="1" x14ac:dyDescent="0.25">
      <c r="A21" s="21" t="s">
        <v>77</v>
      </c>
      <c r="P21" s="181"/>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row>
    <row r="22" spans="1:150" ht="20.100000000000001" customHeight="1" x14ac:dyDescent="0.25">
      <c r="A22" s="52" t="s">
        <v>317</v>
      </c>
      <c r="J22" s="9"/>
      <c r="K22" s="9"/>
      <c r="L22" s="9"/>
      <c r="M22" s="9"/>
      <c r="N22" s="9"/>
      <c r="O22" s="9"/>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row>
    <row r="23" spans="1:150" ht="20.100000000000001" customHeight="1" x14ac:dyDescent="0.25">
      <c r="A23" s="52" t="s">
        <v>318</v>
      </c>
      <c r="D23" s="9" t="s">
        <v>393</v>
      </c>
      <c r="P23" s="18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row>
    <row r="24" spans="1:150" ht="20.100000000000001" customHeight="1" x14ac:dyDescent="0.25">
      <c r="A24" s="16" t="str">
        <f>HYPERLINK("#'Calcs - Fert Lime'!A1", "Fertiliser &amp; soil amendments")</f>
        <v>Fertiliser &amp; soil amendments</v>
      </c>
      <c r="D24" s="143" t="s">
        <v>388</v>
      </c>
      <c r="P24" s="18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row>
    <row r="25" spans="1:150" ht="20.100000000000001" customHeight="1" x14ac:dyDescent="0.25">
      <c r="A25" s="16" t="str">
        <f>HYPERLINK("#'Calcs - Residue mgmt - Crop'!A1", "Residue management - Crop")</f>
        <v>Residue management - Crop</v>
      </c>
      <c r="D25" s="185" t="s">
        <v>373</v>
      </c>
      <c r="E25" s="185" t="s">
        <v>374</v>
      </c>
      <c r="F25" s="185" t="s">
        <v>214</v>
      </c>
      <c r="G25" s="185" t="s">
        <v>178</v>
      </c>
      <c r="H25" s="185" t="s">
        <v>375</v>
      </c>
      <c r="I25" s="185" t="s">
        <v>180</v>
      </c>
      <c r="J25" s="185" t="s">
        <v>376</v>
      </c>
      <c r="K25" s="185" t="s">
        <v>182</v>
      </c>
      <c r="L25" s="185" t="s">
        <v>377</v>
      </c>
      <c r="M25" s="185" t="s">
        <v>184</v>
      </c>
      <c r="N25" s="185" t="s">
        <v>378</v>
      </c>
      <c r="O25" s="185" t="s">
        <v>186</v>
      </c>
      <c r="P25" s="18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row>
    <row r="26" spans="1:150" ht="20.100000000000001" customHeight="1" x14ac:dyDescent="0.25">
      <c r="A26" s="16" t="str">
        <f>HYPERLINK("#'Calcs - Residue mgmt - Pasture'!A1", "Residue management - Pasture")</f>
        <v>Residue management - Pasture</v>
      </c>
      <c r="D26" s="186"/>
      <c r="E26" s="187">
        <v>1200</v>
      </c>
      <c r="F26" s="48" t="s">
        <v>394</v>
      </c>
      <c r="G26" s="90">
        <v>0.35</v>
      </c>
      <c r="H26" s="48" t="s">
        <v>389</v>
      </c>
      <c r="I26" s="90">
        <v>0.22</v>
      </c>
      <c r="J26" s="48" t="s">
        <v>390</v>
      </c>
      <c r="K26" s="90">
        <v>0.12</v>
      </c>
      <c r="L26" s="48" t="s">
        <v>391</v>
      </c>
      <c r="M26" s="90">
        <v>0.05</v>
      </c>
      <c r="N26" s="48" t="s">
        <v>392</v>
      </c>
      <c r="O26" s="90">
        <v>0.02</v>
      </c>
      <c r="P26" s="18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row>
    <row r="27" spans="1:150" ht="20.100000000000001" customHeight="1" x14ac:dyDescent="0.25">
      <c r="A27" s="16" t="str">
        <f>HYPERLINK("#'Calcs - Field burning'!A1", "Field burning - Crop")</f>
        <v>Field burning - Crop</v>
      </c>
      <c r="D27" s="188"/>
      <c r="E27" s="187">
        <v>1200</v>
      </c>
      <c r="F27" s="48" t="s">
        <v>391</v>
      </c>
      <c r="G27" s="90">
        <v>1</v>
      </c>
      <c r="H27" s="48"/>
      <c r="I27" s="90"/>
      <c r="J27" s="48"/>
      <c r="K27" s="90"/>
      <c r="L27" s="48"/>
      <c r="M27" s="90"/>
      <c r="N27" s="48"/>
      <c r="O27" s="90"/>
      <c r="P27" s="18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row>
    <row r="28" spans="1:150" ht="20.100000000000001" customHeight="1" x14ac:dyDescent="0.25">
      <c r="A28" s="16" t="str">
        <f>HYPERLINK("#'Calcs - Fuel'!A1", "Fuel")</f>
        <v>Fuel</v>
      </c>
      <c r="P28" s="18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row>
    <row r="29" spans="1:150" ht="20.100000000000001" customHeight="1" x14ac:dyDescent="0.25">
      <c r="A29" s="16" t="str">
        <f>HYPERLINK("#'Calcs - Electricity'!A1", "Electricity")</f>
        <v>Electricity</v>
      </c>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row>
    <row r="30" spans="1:150" ht="20.100000000000001" customHeight="1" x14ac:dyDescent="0.25">
      <c r="A30" s="16" t="str">
        <f>HYPERLINK("#'Calcs - Refrigerants'!A1", "Refrigerants")</f>
        <v>Refrigerants</v>
      </c>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row>
    <row r="31" spans="1:150" ht="20.100000000000001" customHeight="1" x14ac:dyDescent="0.25">
      <c r="A31" s="52" t="s">
        <v>315</v>
      </c>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row>
    <row r="32" spans="1:150" ht="20.100000000000001" customHeight="1" x14ac:dyDescent="0.25">
      <c r="A32" s="52" t="s">
        <v>316</v>
      </c>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row>
    <row r="33" spans="1:150" ht="20.100000000000001" customHeight="1" x14ac:dyDescent="0.25">
      <c r="A33" s="16" t="str">
        <f>HYPERLINK("#'Calcs - Scope 3'!A1", "Purchased goods scope 3")</f>
        <v>Purchased goods scope 3</v>
      </c>
      <c r="C33" s="181"/>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row>
    <row r="34" spans="1:150" ht="20.100000000000001" customHeight="1" x14ac:dyDescent="0.25">
      <c r="A34" s="3"/>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row>
    <row r="35" spans="1:150" ht="20.100000000000001" customHeight="1" x14ac:dyDescent="0.25">
      <c r="A35" s="23" t="s">
        <v>78</v>
      </c>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row>
    <row r="36" spans="1:150" ht="20.100000000000001" customHeight="1" x14ac:dyDescent="0.25">
      <c r="A36" s="16" t="str">
        <f>HYPERLINK("#'Constants - Common'!A1", "Constants - Common")</f>
        <v>Constants - Common</v>
      </c>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row>
    <row r="37" spans="1:150" ht="20.100000000000001" customHeight="1" x14ac:dyDescent="0.25">
      <c r="A37" s="16" t="str">
        <f>HYPERLINK("#'Constants - Cropping'!A1", "Constants - Cropping")</f>
        <v>Constants - Cropping</v>
      </c>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row>
    <row r="38" spans="1:150" ht="20.100000000000001" customHeight="1" x14ac:dyDescent="0.25">
      <c r="A38" s="16" t="str">
        <f>HYPERLINK("#'Constants - Livestock'!A1", "Constants - Livestock")</f>
        <v>Constants - Livestock</v>
      </c>
      <c r="Q38" s="177"/>
      <c r="R38" s="177"/>
      <c r="S38" s="177"/>
      <c r="T38" s="177"/>
      <c r="U38" s="177"/>
      <c r="V38" s="177"/>
      <c r="W38" s="177"/>
      <c r="X38" s="177"/>
      <c r="Y38" s="177"/>
      <c r="Z38" s="177"/>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row>
    <row r="39" spans="1:150" ht="20.100000000000001" customHeight="1" x14ac:dyDescent="0.25">
      <c r="A39" s="16" t="str">
        <f>HYPERLINK("#'Constants - Dairy'!A1", "Constants - Dairy")</f>
        <v>Constants - Dairy</v>
      </c>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row>
    <row r="40" spans="1:150" ht="20.100000000000001" customHeight="1" x14ac:dyDescent="0.25">
      <c r="A40" s="52" t="s">
        <v>322</v>
      </c>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row>
    <row r="41" spans="1:150" ht="20.100000000000001" customHeight="1" x14ac:dyDescent="0.2">
      <c r="A41" s="167"/>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row>
    <row r="42" spans="1:150" ht="20.100000000000001" customHeight="1" x14ac:dyDescent="0.25">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row>
    <row r="43" spans="1:150" ht="20.100000000000001" customHeight="1" x14ac:dyDescent="0.25">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row>
    <row r="44" spans="1:150" ht="20.100000000000001" customHeight="1" x14ac:dyDescent="0.25">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row>
    <row r="45" spans="1:150" ht="20.100000000000001" customHeight="1" x14ac:dyDescent="0.25">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row>
    <row r="46" spans="1:150" ht="20.100000000000001" customHeight="1" x14ac:dyDescent="0.25">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row>
    <row r="47" spans="1:150" ht="20.100000000000001" customHeight="1" x14ac:dyDescent="0.25">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row>
    <row r="48" spans="1:150" ht="20.100000000000001" customHeight="1" x14ac:dyDescent="0.25">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row>
    <row r="49" spans="13:150" ht="20.100000000000001" customHeight="1" x14ac:dyDescent="0.25">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row>
    <row r="50" spans="13:150" ht="20.100000000000001" customHeight="1" x14ac:dyDescent="0.25">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row>
    <row r="51" spans="13:150" ht="20.100000000000001" customHeight="1" x14ac:dyDescent="0.25">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row>
    <row r="52" spans="13:150" ht="20.100000000000001" customHeight="1" x14ac:dyDescent="0.25">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row>
    <row r="53" spans="13:150" ht="20.100000000000001" customHeight="1" x14ac:dyDescent="0.25">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row>
    <row r="54" spans="13:150" ht="20.100000000000001" customHeight="1" x14ac:dyDescent="0.25">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row>
    <row r="55" spans="13:150" ht="20.100000000000001" customHeight="1" x14ac:dyDescent="0.25">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row>
    <row r="56" spans="13:150" ht="20.100000000000001" customHeight="1" x14ac:dyDescent="0.25">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row>
    <row r="57" spans="13:150" ht="20.100000000000001" customHeight="1" x14ac:dyDescent="0.25">
      <c r="M57" s="183"/>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row>
    <row r="58" spans="13:150" ht="20.100000000000001" customHeight="1" x14ac:dyDescent="0.25">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row>
    <row r="59" spans="13:150" ht="20.100000000000001" customHeight="1" x14ac:dyDescent="0.25">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row>
    <row r="60" spans="13:150" ht="20.100000000000001" customHeight="1" x14ac:dyDescent="0.25">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row>
    <row r="61" spans="13:150" ht="20.100000000000001" customHeight="1" x14ac:dyDescent="0.25">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row>
    <row r="62" spans="13:150" ht="20.100000000000001" customHeight="1" x14ac:dyDescent="0.25">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row>
    <row r="63" spans="13:150" ht="20.100000000000001" customHeight="1" x14ac:dyDescent="0.25">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row>
    <row r="64" spans="13:150" ht="20.100000000000001" customHeight="1" x14ac:dyDescent="0.25">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row>
    <row r="65" spans="18:159" ht="20.100000000000001" customHeight="1" x14ac:dyDescent="0.25">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row>
    <row r="66" spans="18:159" ht="20.100000000000001" customHeight="1" x14ac:dyDescent="0.25">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row>
    <row r="67" spans="18:159" ht="20.100000000000001" customHeight="1" x14ac:dyDescent="0.25">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row>
    <row r="68" spans="18:159" ht="20.100000000000001" customHeight="1" x14ac:dyDescent="0.25">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row>
    <row r="69" spans="18:159" ht="20.100000000000001" customHeight="1" x14ac:dyDescent="0.25">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row>
    <row r="70" spans="18:159" ht="20.100000000000001" customHeight="1" x14ac:dyDescent="0.25">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row>
    <row r="71" spans="18:159" ht="20.100000000000001" customHeight="1" x14ac:dyDescent="0.25">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row>
    <row r="72" spans="18:159" ht="20.100000000000001" customHeight="1" x14ac:dyDescent="0.25">
      <c r="AA72" s="177"/>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row>
    <row r="73" spans="18:159" ht="20.100000000000001" customHeight="1" x14ac:dyDescent="0.25">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row>
    <row r="74" spans="18:159" ht="20.100000000000001" customHeight="1" x14ac:dyDescent="0.25">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row>
    <row r="75" spans="18:159" ht="20.100000000000001" customHeight="1" x14ac:dyDescent="0.25">
      <c r="R75" s="177"/>
      <c r="S75" s="177"/>
      <c r="T75" s="177"/>
      <c r="U75" s="177"/>
      <c r="V75" s="177"/>
      <c r="W75" s="177"/>
      <c r="X75" s="177"/>
      <c r="Y75" s="177"/>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row>
    <row r="76" spans="18:159" ht="20.100000000000001" customHeight="1" x14ac:dyDescent="0.25">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row>
    <row r="77" spans="18:159" ht="20.100000000000001" customHeight="1" x14ac:dyDescent="0.25">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row>
    <row r="78" spans="18:159" ht="20.100000000000001" customHeight="1" x14ac:dyDescent="0.25">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row>
    <row r="79" spans="18:159" ht="20.100000000000001" customHeight="1" x14ac:dyDescent="0.25">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row>
    <row r="80" spans="18:159" ht="20.100000000000001" customHeight="1" x14ac:dyDescent="0.25">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row>
    <row r="81" spans="28:149" ht="20.100000000000001" customHeight="1" x14ac:dyDescent="0.25">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row>
    <row r="82" spans="28:149" ht="20.100000000000001" customHeight="1" x14ac:dyDescent="0.25">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row>
    <row r="83" spans="28:149" ht="20.100000000000001" customHeight="1" x14ac:dyDescent="0.25">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row>
    <row r="84" spans="28:149" ht="20.100000000000001" customHeight="1" x14ac:dyDescent="0.25">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row>
    <row r="85" spans="28:149" ht="20.100000000000001" customHeight="1" x14ac:dyDescent="0.25">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row>
    <row r="86" spans="28:149" ht="20.100000000000001" customHeight="1" x14ac:dyDescent="0.25">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row>
    <row r="87" spans="28:149" ht="20.100000000000001" customHeight="1" x14ac:dyDescent="0.25">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row>
    <row r="88" spans="28:149" ht="20.100000000000001" customHeight="1" x14ac:dyDescent="0.25">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row>
    <row r="89" spans="28:149" ht="20.100000000000001" customHeight="1" x14ac:dyDescent="0.25">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row>
    <row r="90" spans="28:149" ht="20.100000000000001" customHeight="1" x14ac:dyDescent="0.25">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row>
    <row r="91" spans="28:149" ht="20.100000000000001" customHeight="1" x14ac:dyDescent="0.25">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row>
    <row r="92" spans="28:149" ht="20.100000000000001" customHeight="1" x14ac:dyDescent="0.25">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row>
    <row r="93" spans="28:149" ht="20.100000000000001" customHeight="1" x14ac:dyDescent="0.25">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row>
    <row r="94" spans="28:149" ht="20.100000000000001" customHeight="1" x14ac:dyDescent="0.25">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row>
    <row r="95" spans="28:149" ht="20.100000000000001" customHeight="1" x14ac:dyDescent="0.25">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row>
    <row r="96" spans="28:149" ht="20.100000000000001" customHeight="1" x14ac:dyDescent="0.25">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row>
    <row r="97" spans="28:149" ht="20.100000000000001" customHeight="1" x14ac:dyDescent="0.25">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row>
    <row r="98" spans="28:149" ht="20.100000000000001" customHeight="1" x14ac:dyDescent="0.25">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row>
    <row r="99" spans="28:149" ht="20.100000000000001" customHeight="1" x14ac:dyDescent="0.25">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row>
    <row r="100" spans="28:149" ht="20.100000000000001" customHeight="1" x14ac:dyDescent="0.25">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row>
    <row r="101" spans="28:149" ht="20.100000000000001" customHeight="1" x14ac:dyDescent="0.25">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row>
    <row r="102" spans="28:149" ht="20.100000000000001" customHeight="1" x14ac:dyDescent="0.25">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row>
    <row r="103" spans="28:149" ht="20.100000000000001" customHeight="1" x14ac:dyDescent="0.25">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row>
    <row r="104" spans="28:149" ht="20.100000000000001" customHeight="1" x14ac:dyDescent="0.25">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row>
    <row r="105" spans="28:149" ht="20.100000000000001" customHeight="1" x14ac:dyDescent="0.25">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row>
    <row r="106" spans="28:149" ht="20.100000000000001" customHeight="1" x14ac:dyDescent="0.25">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row>
    <row r="107" spans="28:149" ht="20.100000000000001" customHeight="1" x14ac:dyDescent="0.25">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row>
    <row r="108" spans="28:149" ht="20.100000000000001" customHeight="1" x14ac:dyDescent="0.25">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row>
    <row r="109" spans="28:149" ht="20.100000000000001" customHeight="1" x14ac:dyDescent="0.25">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row>
    <row r="110" spans="28:149" ht="20.100000000000001" customHeight="1" x14ac:dyDescent="0.25">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row>
    <row r="111" spans="28:149" ht="20.100000000000001" customHeight="1" x14ac:dyDescent="0.25">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row>
    <row r="112" spans="28:149" ht="20.100000000000001" customHeight="1" x14ac:dyDescent="0.25">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row>
    <row r="113" spans="28:149" ht="20.100000000000001" customHeight="1" x14ac:dyDescent="0.25">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row>
    <row r="114" spans="28:149" ht="20.100000000000001" customHeight="1" x14ac:dyDescent="0.25">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row>
    <row r="115" spans="28:149" ht="20.100000000000001" customHeight="1" x14ac:dyDescent="0.25">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row>
    <row r="116" spans="28:149" ht="20.100000000000001" customHeight="1" x14ac:dyDescent="0.25">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row>
    <row r="117" spans="28:149" x14ac:dyDescent="0.25">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row>
    <row r="118" spans="28:149" x14ac:dyDescent="0.25">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row>
    <row r="119" spans="28:149" x14ac:dyDescent="0.25">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row>
    <row r="120" spans="28:149" x14ac:dyDescent="0.25">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row>
    <row r="121" spans="28:149" x14ac:dyDescent="0.25">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row>
    <row r="122" spans="28:149" x14ac:dyDescent="0.25">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row>
    <row r="123" spans="28:149" x14ac:dyDescent="0.25">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row>
    <row r="124" spans="28:149" x14ac:dyDescent="0.25">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row>
    <row r="125" spans="28:149" x14ac:dyDescent="0.25">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row>
    <row r="126" spans="28:149" x14ac:dyDescent="0.25">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row>
    <row r="127" spans="28:149" x14ac:dyDescent="0.25">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row>
    <row r="128" spans="28:149" x14ac:dyDescent="0.25">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row>
    <row r="129" spans="28:149" x14ac:dyDescent="0.25">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row>
    <row r="130" spans="28:149" x14ac:dyDescent="0.25">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row>
    <row r="131" spans="28:149" x14ac:dyDescent="0.25">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row>
    <row r="132" spans="28:149" x14ac:dyDescent="0.25">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row>
    <row r="133" spans="28:149" x14ac:dyDescent="0.25">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row>
  </sheetData>
  <dataValidations count="2">
    <dataValidation type="list" allowBlank="1" showInputMessage="1" showErrorMessage="1" sqref="F17:F19 H17:H19 J17:J19 L17:L19 N17:N19" xr:uid="{AD4035C5-A084-45C8-A8A0-BC37F25E0AE4}">
      <formula1>INDIRECT("Table_Scope3_AnimalFeed[Feed ingredient]")</formula1>
    </dataValidation>
    <dataValidation type="list" allowBlank="1" showInputMessage="1" showErrorMessage="1" sqref="F26:F27 H26:H27 J26:J27 L26:L27 N26:N27" xr:uid="{0AD8851A-09E8-483B-9827-926349C05F01}">
      <formula1>INDIRECT("Table_Scope3_AquacultureFeedBait[Feed / Bait ingredient]")</formula1>
    </dataValidation>
  </dataValidations>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dimension ref="A1:R73"/>
  <sheetViews>
    <sheetView showGridLines="0" topLeftCell="A12" workbookViewId="0">
      <selection activeCell="F51" sqref="F51"/>
    </sheetView>
  </sheetViews>
  <sheetFormatPr defaultRowHeight="15" x14ac:dyDescent="0.25"/>
  <cols>
    <col min="1" max="1" width="26.875" style="3" customWidth="1"/>
    <col min="2" max="2" width="4.125" style="3" customWidth="1"/>
    <col min="3" max="3" width="4.125" style="14" customWidth="1"/>
    <col min="4" max="10" width="26.875" style="14" customWidth="1"/>
    <col min="11" max="19" width="30.625" style="3" customWidth="1"/>
    <col min="20" max="16384" width="9" style="3"/>
  </cols>
  <sheetData>
    <row r="1" spans="1:10" ht="30" customHeight="1" x14ac:dyDescent="0.35">
      <c r="A1" s="150" t="e" vm="1">
        <v>#VALUE!</v>
      </c>
      <c r="C1" s="108" t="s">
        <v>353</v>
      </c>
      <c r="D1" s="4"/>
      <c r="E1" s="4"/>
      <c r="F1" s="4"/>
      <c r="G1" s="4"/>
      <c r="H1" s="4"/>
      <c r="I1" s="4"/>
      <c r="J1" s="4"/>
    </row>
    <row r="2" spans="1:10" ht="20.100000000000001" customHeight="1" x14ac:dyDescent="0.25">
      <c r="A2" s="4"/>
      <c r="C2" s="2"/>
      <c r="D2" s="2"/>
      <c r="E2" s="2"/>
      <c r="F2" s="2"/>
      <c r="G2" s="2"/>
      <c r="H2" s="2"/>
      <c r="I2" s="2"/>
      <c r="J2" s="2"/>
    </row>
    <row r="3" spans="1:10" ht="20.100000000000001" customHeight="1" x14ac:dyDescent="0.25">
      <c r="C3" s="39"/>
      <c r="D3" s="39"/>
      <c r="E3" s="39"/>
      <c r="F3" s="39"/>
      <c r="G3" s="39"/>
      <c r="H3" s="39"/>
      <c r="I3" s="39"/>
      <c r="J3" s="39"/>
    </row>
    <row r="4" spans="1:10" ht="20.100000000000001" customHeight="1" x14ac:dyDescent="0.25">
      <c r="C4" s="7"/>
      <c r="D4" s="7"/>
      <c r="E4" s="7"/>
      <c r="F4" s="7"/>
      <c r="G4" s="7"/>
      <c r="H4" s="7"/>
      <c r="I4" s="7"/>
      <c r="J4" s="7"/>
    </row>
    <row r="5" spans="1:10" ht="20.100000000000001" customHeight="1" x14ac:dyDescent="0.25">
      <c r="C5" s="8"/>
      <c r="G5" s="8"/>
      <c r="H5" s="8"/>
      <c r="I5" s="8"/>
      <c r="J5" s="8"/>
    </row>
    <row r="6" spans="1:10" ht="20.100000000000001" customHeight="1" x14ac:dyDescent="0.25">
      <c r="C6" s="8"/>
      <c r="D6" s="8" t="str">
        <f>'Calcs - Scope 3 OLD'!D243</f>
        <v>CO2 for carbonation</v>
      </c>
      <c r="E6" s="69">
        <v>100</v>
      </c>
      <c r="F6" s="68" t="str">
        <f>'Calcs - Scope 3 OLD'!F243</f>
        <v>t</v>
      </c>
      <c r="G6" s="8"/>
      <c r="H6" s="8"/>
      <c r="I6" s="8"/>
      <c r="J6" s="8"/>
    </row>
    <row r="7" spans="1:10" ht="20.100000000000001" customHeight="1" x14ac:dyDescent="0.25">
      <c r="C7" s="8"/>
      <c r="D7" s="8" t="str">
        <f>'Calcs - Scope 3 OLD'!D244</f>
        <v>Livestock antibiotics</v>
      </c>
      <c r="E7" s="69">
        <v>200</v>
      </c>
      <c r="F7" s="68" t="str">
        <f>'Calcs - Scope 3 OLD'!F244</f>
        <v>t</v>
      </c>
      <c r="G7" s="8"/>
      <c r="H7" s="8"/>
      <c r="I7" s="8"/>
      <c r="J7" s="8"/>
    </row>
    <row r="8" spans="1:10" ht="20.100000000000001" customHeight="1" x14ac:dyDescent="0.25">
      <c r="C8" s="8"/>
      <c r="D8" s="8" t="str">
        <f>'Calcs - Scope 3 OLD'!D245</f>
        <v>Nylon netting for horticulture</v>
      </c>
      <c r="E8" s="69">
        <v>300</v>
      </c>
      <c r="F8" s="68" t="str">
        <f>'Calcs - Scope 3 OLD'!F245</f>
        <v>t</v>
      </c>
      <c r="G8" s="8"/>
      <c r="H8" s="8"/>
      <c r="I8" s="8"/>
      <c r="J8" s="8"/>
    </row>
    <row r="9" spans="1:10" ht="20.100000000000001" customHeight="1" x14ac:dyDescent="0.25">
      <c r="C9" s="8"/>
      <c r="D9" s="8" t="str">
        <f>'Calcs - Scope 3 OLD'!D246</f>
        <v>Pallets - Wood</v>
      </c>
      <c r="E9" s="69">
        <v>400</v>
      </c>
      <c r="F9" s="68" t="str">
        <f>'Calcs - Scope 3 OLD'!F246</f>
        <v>t</v>
      </c>
      <c r="G9" s="8"/>
      <c r="H9" s="8"/>
      <c r="I9" s="8"/>
      <c r="J9" s="8"/>
    </row>
    <row r="10" spans="1:10" ht="20.100000000000001" customHeight="1" x14ac:dyDescent="0.25">
      <c r="C10" s="8"/>
      <c r="D10" s="8" t="str">
        <f>'Calcs - Scope 3 OLD'!D247</f>
        <v>Pallets - Plastic</v>
      </c>
      <c r="E10" s="69">
        <v>500</v>
      </c>
      <c r="F10" s="68" t="str">
        <f>'Calcs - Scope 3 OLD'!F247</f>
        <v>t</v>
      </c>
      <c r="G10" s="8"/>
      <c r="H10" s="8"/>
      <c r="I10" s="8"/>
      <c r="J10" s="8"/>
    </row>
    <row r="11" spans="1:10" ht="20.100000000000001" customHeight="1" x14ac:dyDescent="0.25">
      <c r="C11" s="8"/>
      <c r="D11" s="8" t="str">
        <f>'Calcs - Scope 3 OLD'!D248</f>
        <v>Livestock tags</v>
      </c>
      <c r="E11" s="69">
        <v>600</v>
      </c>
      <c r="F11" s="68" t="str">
        <f>'Calcs - Scope 3 OLD'!F248</f>
        <v>t</v>
      </c>
      <c r="G11" s="8"/>
      <c r="H11" s="8"/>
      <c r="I11" s="8"/>
      <c r="J11" s="8"/>
    </row>
    <row r="12" spans="1:10" ht="20.100000000000001" customHeight="1" x14ac:dyDescent="0.25">
      <c r="D12" s="14" t="s">
        <v>366</v>
      </c>
      <c r="E12" s="69">
        <v>700</v>
      </c>
      <c r="F12" s="14" t="str">
        <f>'Calcs - Scope 3 OLD'!F232</f>
        <v>t</v>
      </c>
    </row>
    <row r="13" spans="1:10" ht="20.100000000000001" customHeight="1" x14ac:dyDescent="0.25">
      <c r="D13" s="8" t="s">
        <v>367</v>
      </c>
      <c r="E13" s="69">
        <v>800</v>
      </c>
      <c r="F13" s="14" t="str">
        <f>'Calcs - Scope 3 OLD'!F233</f>
        <v>Seedling</v>
      </c>
      <c r="G13" s="8"/>
      <c r="H13" s="8"/>
      <c r="I13" s="8"/>
    </row>
    <row r="14" spans="1:10" ht="20.100000000000001" customHeight="1" x14ac:dyDescent="0.25">
      <c r="D14" s="8"/>
      <c r="E14" s="8"/>
      <c r="F14" s="8"/>
      <c r="G14" s="8"/>
      <c r="H14" s="8"/>
      <c r="I14" s="8"/>
    </row>
    <row r="15" spans="1:10" ht="20.100000000000001" customHeight="1" x14ac:dyDescent="0.25">
      <c r="C15" s="8"/>
      <c r="D15" s="8"/>
      <c r="E15" s="8"/>
      <c r="F15" s="8"/>
      <c r="G15" s="8"/>
      <c r="H15" s="8"/>
      <c r="I15" s="8"/>
      <c r="J15" s="8"/>
    </row>
    <row r="16" spans="1:10" ht="20.100000000000001" customHeight="1" x14ac:dyDescent="0.25">
      <c r="C16" s="8"/>
      <c r="D16" s="8"/>
      <c r="E16" s="8"/>
      <c r="F16" s="8"/>
      <c r="G16" s="8"/>
      <c r="H16" s="8"/>
      <c r="I16" s="8"/>
      <c r="J16" s="8"/>
    </row>
    <row r="17" spans="3:18" ht="20.100000000000001" customHeight="1" x14ac:dyDescent="0.25">
      <c r="D17" s="9" t="s">
        <v>395</v>
      </c>
      <c r="E17" s="7"/>
      <c r="F17" s="7"/>
      <c r="G17" s="7"/>
      <c r="H17" s="7"/>
      <c r="I17" s="7"/>
      <c r="J17" s="7"/>
      <c r="K17" s="7"/>
      <c r="L17" s="7"/>
      <c r="M17" s="7"/>
      <c r="N17" s="113"/>
      <c r="O17" s="113"/>
      <c r="P17" s="7"/>
      <c r="Q17" s="7"/>
    </row>
    <row r="18" spans="3:18" ht="20.100000000000001" customHeight="1" x14ac:dyDescent="0.25">
      <c r="D18" s="184"/>
      <c r="E18" s="184"/>
      <c r="F18" s="184"/>
      <c r="G18" s="184"/>
      <c r="H18" s="184"/>
      <c r="I18" s="184"/>
      <c r="J18" s="184"/>
      <c r="K18" s="184"/>
      <c r="L18" s="184"/>
      <c r="M18" s="184"/>
      <c r="N18" s="184"/>
      <c r="O18" s="184"/>
      <c r="P18" s="184"/>
      <c r="Q18" s="184"/>
    </row>
    <row r="19" spans="3:18" ht="20.100000000000001" customHeight="1" x14ac:dyDescent="0.25">
      <c r="D19" s="40" t="s">
        <v>396</v>
      </c>
      <c r="E19" s="41"/>
      <c r="F19" s="42"/>
      <c r="G19" s="189"/>
      <c r="H19" s="189"/>
      <c r="I19" s="189"/>
      <c r="J19" s="190"/>
      <c r="K19" s="191"/>
      <c r="L19" s="191"/>
      <c r="M19" s="191"/>
      <c r="N19" s="191"/>
      <c r="O19" s="191"/>
      <c r="P19" s="191"/>
      <c r="Q19" s="191"/>
    </row>
    <row r="20" spans="3:18" ht="20.100000000000001" customHeight="1" x14ac:dyDescent="0.25">
      <c r="D20" s="92" t="s">
        <v>397</v>
      </c>
      <c r="E20" s="93"/>
      <c r="F20" s="94"/>
      <c r="G20" s="7"/>
      <c r="H20" s="7" t="s">
        <v>417</v>
      </c>
      <c r="I20" s="7">
        <v>100</v>
      </c>
      <c r="J20" s="7"/>
      <c r="K20" s="7"/>
      <c r="L20" s="7"/>
      <c r="M20" s="7"/>
      <c r="N20" s="7"/>
      <c r="O20" s="7"/>
      <c r="P20" s="7"/>
      <c r="Q20" s="7"/>
    </row>
    <row r="21" spans="3:18" ht="20.100000000000001" customHeight="1" x14ac:dyDescent="0.25">
      <c r="D21" s="44" t="s">
        <v>398</v>
      </c>
      <c r="E21" s="45"/>
      <c r="F21" s="46"/>
      <c r="G21" s="7"/>
      <c r="H21" s="7"/>
      <c r="I21" s="7"/>
      <c r="J21" s="7"/>
      <c r="K21" s="7"/>
      <c r="L21" s="7"/>
      <c r="M21" s="7"/>
      <c r="N21" s="7"/>
      <c r="O21" s="7"/>
      <c r="P21" s="7"/>
      <c r="Q21" s="7"/>
    </row>
    <row r="22" spans="3:18" ht="20.100000000000001" customHeight="1" x14ac:dyDescent="0.25">
      <c r="D22" s="184"/>
      <c r="E22" s="184"/>
      <c r="F22" s="184"/>
      <c r="G22" s="184"/>
      <c r="H22" s="184"/>
      <c r="I22" s="184"/>
      <c r="J22" s="184"/>
      <c r="K22" s="184"/>
      <c r="L22" s="184"/>
      <c r="M22" s="184"/>
      <c r="N22" s="184"/>
      <c r="O22" s="184"/>
      <c r="P22" s="184"/>
      <c r="Q22" s="184"/>
    </row>
    <row r="23" spans="3:18" ht="20.100000000000001" customHeight="1" x14ac:dyDescent="0.25">
      <c r="C23" s="8"/>
      <c r="D23" s="192" t="s">
        <v>222</v>
      </c>
      <c r="E23" s="192" t="s">
        <v>399</v>
      </c>
      <c r="F23" s="192" t="s">
        <v>400</v>
      </c>
      <c r="G23" s="192" t="s">
        <v>208</v>
      </c>
      <c r="H23" s="192" t="s">
        <v>401</v>
      </c>
      <c r="I23" s="192" t="s">
        <v>402</v>
      </c>
      <c r="J23" s="192" t="s">
        <v>403</v>
      </c>
      <c r="K23" s="192" t="s">
        <v>404</v>
      </c>
      <c r="L23" s="192" t="s">
        <v>405</v>
      </c>
      <c r="M23" s="192" t="s">
        <v>406</v>
      </c>
      <c r="N23" s="192" t="s">
        <v>407</v>
      </c>
      <c r="O23" s="192" t="s">
        <v>408</v>
      </c>
      <c r="P23" s="192" t="s">
        <v>409</v>
      </c>
      <c r="Q23" s="192" t="s">
        <v>410</v>
      </c>
      <c r="R23" s="192" t="s">
        <v>478</v>
      </c>
    </row>
    <row r="24" spans="3:18" ht="20.100000000000001" customHeight="1" x14ac:dyDescent="0.25">
      <c r="C24" s="8"/>
      <c r="D24" s="175" t="s">
        <v>411</v>
      </c>
      <c r="E24" s="180">
        <v>10</v>
      </c>
      <c r="F24" s="48" t="s">
        <v>412</v>
      </c>
      <c r="G24" s="180">
        <f>I20</f>
        <v>100</v>
      </c>
      <c r="H24" s="50">
        <f>Table_Input_Agrochemicals[[#This Row],[Amount applied per ha]]*Table_Input_Agrochemicals[[#This Row],[Application area (ha)]]</f>
        <v>1000</v>
      </c>
      <c r="I24" s="48" t="s">
        <v>415</v>
      </c>
      <c r="J24" s="48" t="s">
        <v>416</v>
      </c>
      <c r="K24" s="180">
        <v>115</v>
      </c>
      <c r="L24" s="48" t="s">
        <v>415</v>
      </c>
      <c r="M24" s="48" t="s">
        <v>414</v>
      </c>
      <c r="N24" s="180">
        <v>135</v>
      </c>
      <c r="O24" s="48" t="s">
        <v>413</v>
      </c>
      <c r="P24" s="48" t="s">
        <v>414</v>
      </c>
      <c r="Q24" s="180">
        <v>200</v>
      </c>
      <c r="R24" s="69"/>
    </row>
    <row r="25" spans="3:18" ht="20.100000000000001" customHeight="1" x14ac:dyDescent="0.25">
      <c r="C25" s="8"/>
      <c r="D25" s="7"/>
      <c r="E25" s="7"/>
      <c r="F25" s="7"/>
      <c r="G25" s="7"/>
      <c r="H25" s="7"/>
      <c r="I25" s="7"/>
      <c r="J25" s="7"/>
      <c r="K25" s="7"/>
      <c r="L25" s="7"/>
      <c r="M25" s="7"/>
      <c r="N25" s="7"/>
      <c r="O25" s="7"/>
      <c r="P25" s="7"/>
      <c r="Q25" s="7"/>
    </row>
    <row r="26" spans="3:18" ht="20.100000000000001" customHeight="1" x14ac:dyDescent="0.25">
      <c r="C26" s="8"/>
      <c r="D26" s="100" t="s">
        <v>354</v>
      </c>
      <c r="E26" s="116"/>
      <c r="F26" s="116"/>
      <c r="G26" s="101"/>
      <c r="H26" s="8"/>
      <c r="I26" s="8"/>
      <c r="J26" s="8"/>
    </row>
    <row r="27" spans="3:18" ht="20.100000000000001" customHeight="1" x14ac:dyDescent="0.25">
      <c r="C27" s="8"/>
      <c r="H27" s="8"/>
      <c r="I27" s="8"/>
      <c r="J27" s="8"/>
    </row>
    <row r="28" spans="3:18" ht="20.100000000000001" customHeight="1" x14ac:dyDescent="0.25">
      <c r="C28" s="8"/>
      <c r="D28" s="47" t="s">
        <v>355</v>
      </c>
      <c r="E28" s="47" t="s">
        <v>356</v>
      </c>
      <c r="F28" s="47" t="s">
        <v>357</v>
      </c>
      <c r="G28" s="47" t="s">
        <v>358</v>
      </c>
      <c r="H28" s="47" t="s">
        <v>479</v>
      </c>
      <c r="I28" s="8"/>
      <c r="J28" s="8"/>
    </row>
    <row r="29" spans="3:18" ht="20.100000000000001" customHeight="1" x14ac:dyDescent="0.25">
      <c r="C29" s="8"/>
      <c r="D29" s="175" t="s">
        <v>359</v>
      </c>
      <c r="E29" s="48" t="s">
        <v>365</v>
      </c>
      <c r="F29" s="69">
        <v>100</v>
      </c>
      <c r="G29" s="50" t="str" cm="1">
        <f t="array" ref="G29">Common_InputFunctions.Utility_LookupValueInTable(Table_Input_Packaging[[#This Row],[Packaging component (select)]], Table_Scope3_Packaging[Packaging component],Table_Scope3_Packaging[Quantity Unit])</f>
        <v>kg</v>
      </c>
      <c r="H29" s="69"/>
      <c r="I29" s="8"/>
      <c r="J29" s="8"/>
    </row>
    <row r="30" spans="3:18" ht="20.100000000000001" customHeight="1" x14ac:dyDescent="0.25">
      <c r="C30" s="8"/>
      <c r="D30" s="175"/>
      <c r="E30" s="48" t="s">
        <v>365</v>
      </c>
      <c r="F30" s="69">
        <v>1000</v>
      </c>
      <c r="G30" s="50" t="str" cm="1">
        <f t="array" ref="G30">Common_InputFunctions.Utility_LookupValueInTable(Table_Input_Packaging[[#This Row],[Packaging component (select)]], Table_Scope3_Packaging[Packaging component],Table_Scope3_Packaging[Quantity Unit])</f>
        <v>kg</v>
      </c>
      <c r="H30" s="69"/>
      <c r="I30" s="8"/>
      <c r="J30" s="8"/>
    </row>
    <row r="31" spans="3:18" ht="20.100000000000001" customHeight="1" x14ac:dyDescent="0.25">
      <c r="C31" s="8"/>
      <c r="D31" s="175"/>
      <c r="E31" s="48" t="s">
        <v>360</v>
      </c>
      <c r="F31" s="69">
        <v>456</v>
      </c>
      <c r="G31" s="50" t="str" cm="1">
        <f t="array" ref="G31">Common_InputFunctions.Utility_LookupValueInTable(Table_Input_Packaging[[#This Row],[Packaging component (select)]], Table_Scope3_Packaging[Packaging component],Table_Scope3_Packaging[Quantity Unit])</f>
        <v>kg</v>
      </c>
      <c r="H31" s="69"/>
      <c r="I31" s="8"/>
      <c r="J31" s="8"/>
    </row>
    <row r="32" spans="3:18" ht="20.100000000000001" customHeight="1" x14ac:dyDescent="0.25">
      <c r="D32" s="175"/>
      <c r="E32" s="48" t="s">
        <v>361</v>
      </c>
      <c r="F32" s="69">
        <v>1234</v>
      </c>
      <c r="G32" s="50" t="str" cm="1">
        <f t="array" ref="G32">Common_InputFunctions.Utility_LookupValueInTable(Table_Input_Packaging[[#This Row],[Packaging component (select)]], Table_Scope3_Packaging[Packaging component],Table_Scope3_Packaging[Quantity Unit])</f>
        <v>kg</v>
      </c>
      <c r="H32" s="69"/>
    </row>
    <row r="33" spans="4:8" ht="20.100000000000001" customHeight="1" x14ac:dyDescent="0.25">
      <c r="D33" s="8"/>
      <c r="E33" s="8"/>
      <c r="F33" s="8"/>
      <c r="G33" s="8"/>
    </row>
    <row r="34" spans="4:8" ht="20.100000000000001" customHeight="1" x14ac:dyDescent="0.25">
      <c r="D34" s="8"/>
      <c r="E34" s="8"/>
      <c r="F34" s="8"/>
      <c r="G34" s="8"/>
    </row>
    <row r="35" spans="4:8" ht="20.100000000000001" customHeight="1" x14ac:dyDescent="0.25">
      <c r="D35" s="9" t="s">
        <v>362</v>
      </c>
      <c r="E35" s="8"/>
      <c r="F35" s="8"/>
      <c r="G35" s="8"/>
      <c r="H35" s="8"/>
    </row>
    <row r="36" spans="4:8" ht="20.100000000000001" customHeight="1" x14ac:dyDescent="0.25">
      <c r="H36" s="8"/>
    </row>
    <row r="37" spans="4:8" ht="20.100000000000001" customHeight="1" x14ac:dyDescent="0.25">
      <c r="D37" s="100" t="s">
        <v>354</v>
      </c>
      <c r="E37" s="116"/>
      <c r="F37" s="116"/>
      <c r="G37" s="101"/>
    </row>
    <row r="38" spans="4:8" ht="20.100000000000001" customHeight="1" x14ac:dyDescent="0.25">
      <c r="G38" s="8"/>
    </row>
    <row r="39" spans="4:8" ht="20.100000000000001" customHeight="1" x14ac:dyDescent="0.25">
      <c r="D39" s="47" t="s">
        <v>363</v>
      </c>
      <c r="E39" s="47" t="s">
        <v>459</v>
      </c>
      <c r="F39" s="47" t="s">
        <v>462</v>
      </c>
      <c r="G39" s="47" t="s">
        <v>478</v>
      </c>
    </row>
    <row r="40" spans="4:8" ht="20.100000000000001" customHeight="1" x14ac:dyDescent="0.25">
      <c r="D40" s="176"/>
      <c r="E40" s="48" t="s">
        <v>460</v>
      </c>
      <c r="F40" s="69">
        <v>100</v>
      </c>
      <c r="G40" s="69"/>
    </row>
    <row r="41" spans="4:8" ht="20.100000000000001" customHeight="1" x14ac:dyDescent="0.25">
      <c r="D41" s="207"/>
      <c r="E41" s="203" t="s">
        <v>460</v>
      </c>
      <c r="F41" s="204">
        <v>100</v>
      </c>
      <c r="G41" s="69"/>
    </row>
    <row r="42" spans="4:8" ht="20.100000000000001" customHeight="1" x14ac:dyDescent="0.25">
      <c r="D42" s="207"/>
      <c r="E42" s="203" t="s">
        <v>364</v>
      </c>
      <c r="F42" s="204">
        <v>100</v>
      </c>
      <c r="G42" s="69"/>
    </row>
    <row r="43" spans="4:8" ht="20.100000000000001" customHeight="1" x14ac:dyDescent="0.25">
      <c r="D43" s="207"/>
      <c r="E43" s="203" t="s">
        <v>364</v>
      </c>
      <c r="F43" s="204">
        <v>100</v>
      </c>
      <c r="G43" s="69"/>
    </row>
    <row r="44" spans="4:8" ht="20.100000000000001" customHeight="1" x14ac:dyDescent="0.25">
      <c r="D44" s="207"/>
      <c r="E44" s="203" t="s">
        <v>461</v>
      </c>
      <c r="F44" s="204">
        <v>100</v>
      </c>
      <c r="G44" s="69"/>
    </row>
    <row r="45" spans="4:8" ht="20.100000000000001" customHeight="1" x14ac:dyDescent="0.25">
      <c r="D45" s="207"/>
      <c r="E45" s="203" t="s">
        <v>461</v>
      </c>
      <c r="F45" s="204">
        <v>100</v>
      </c>
      <c r="G45" s="69"/>
    </row>
    <row r="46" spans="4:8" ht="20.100000000000001" customHeight="1" x14ac:dyDescent="0.25"/>
    <row r="47" spans="4:8" ht="20.100000000000001" customHeight="1" x14ac:dyDescent="0.25"/>
    <row r="48" spans="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sheetData>
  <dataValidations count="5">
    <dataValidation type="list" allowBlank="1" showInputMessage="1" showErrorMessage="1" sqref="E40:E45" xr:uid="{C432D3D7-90B5-49EB-9686-44E33AA46DF7}">
      <formula1>INDIRECT("Table_Scope3_CleaningChemicals[Product]")</formula1>
    </dataValidation>
    <dataValidation type="list" allowBlank="1" showInputMessage="1" showErrorMessage="1" sqref="E29:E32" xr:uid="{C1194F4C-B4BA-4C6C-9335-96226E3C874D}">
      <formula1>INDIRECT("Table_Scope3_Packaging[Packaging component]")</formula1>
    </dataValidation>
    <dataValidation type="list" allowBlank="1" showInputMessage="1" showErrorMessage="1" sqref="I24 L24 O24" xr:uid="{4EB7609B-9081-416E-B296-83CB5579804F}">
      <formula1>INDIRECT("Table_Scope3_Agrochemicals[Agrochemical type]")</formula1>
    </dataValidation>
    <dataValidation type="list" allowBlank="1" showInputMessage="1" showErrorMessage="1" sqref="J24 M24 P24" xr:uid="{8108ECDB-1F4C-43F2-85A5-19117852A987}">
      <formula1>"Grams / litre, Grams / kg, Percent of product"</formula1>
    </dataValidation>
    <dataValidation type="list" allowBlank="1" showInputMessage="1" showErrorMessage="1" sqref="F24" xr:uid="{3E384BB8-0CCC-45EA-83A2-5F436B025D10}">
      <formula1>"kg / hectare, litre / hectare"</formula1>
    </dataValidation>
  </dataValidations>
  <pageMargins left="0.7" right="0.7" top="0.75" bottom="0.75" header="0.3" footer="0.3"/>
  <pageSetup orientation="portrait"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BCF7-DDD5-4171-BB69-0003446FB5EC}">
  <dimension ref="A1:J350"/>
  <sheetViews>
    <sheetView showGridLines="0" zoomScale="85" zoomScaleNormal="85" workbookViewId="0">
      <selection activeCell="G12" sqref="G12"/>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8" customFormat="1" ht="30" customHeight="1" x14ac:dyDescent="0.35">
      <c r="A1" s="38" t="e" vm="1">
        <v>#VALUE!</v>
      </c>
      <c r="C1" s="38" t="s">
        <v>121</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122</v>
      </c>
      <c r="E5" s="7"/>
      <c r="F5" s="7"/>
      <c r="G5" s="7"/>
      <c r="H5" s="7"/>
    </row>
    <row r="6" spans="1:10" ht="20.100000000000001" customHeight="1" x14ac:dyDescent="0.25">
      <c r="A6" s="18"/>
      <c r="D6" s="14"/>
      <c r="E6" s="14"/>
      <c r="F6" s="14"/>
      <c r="G6" s="14"/>
      <c r="H6" s="14"/>
      <c r="I6" s="14"/>
    </row>
    <row r="7" spans="1:10" ht="20.100000000000001" customHeight="1" x14ac:dyDescent="0.25">
      <c r="A7" s="19" t="s">
        <v>67</v>
      </c>
      <c r="D7" s="40" t="s">
        <v>123</v>
      </c>
      <c r="E7" s="41"/>
      <c r="F7" s="41"/>
      <c r="G7" s="41"/>
      <c r="H7" s="42"/>
    </row>
    <row r="8" spans="1:10" ht="20.100000000000001" customHeight="1" x14ac:dyDescent="0.25">
      <c r="A8" s="43" t="str">
        <f>HYPERLINK("#'Input - Fuel'!A1", "Fuel")</f>
        <v>Fuel</v>
      </c>
      <c r="D8" s="44" t="s">
        <v>124</v>
      </c>
      <c r="E8" s="45"/>
      <c r="F8" s="45"/>
      <c r="G8" s="45"/>
      <c r="H8" s="46"/>
    </row>
    <row r="9" spans="1:10" ht="20.100000000000001" customHeight="1" x14ac:dyDescent="0.25">
      <c r="A9" s="16"/>
      <c r="D9" s="14"/>
      <c r="E9" s="14"/>
      <c r="F9" s="14"/>
      <c r="G9" s="14"/>
      <c r="H9" s="14"/>
      <c r="I9" s="14"/>
    </row>
    <row r="10" spans="1:10" ht="20.100000000000001" customHeight="1" x14ac:dyDescent="0.25">
      <c r="A10" s="21" t="s">
        <v>77</v>
      </c>
      <c r="D10" s="47" t="s">
        <v>125</v>
      </c>
      <c r="E10" s="47" t="s">
        <v>126</v>
      </c>
      <c r="F10" s="47" t="s">
        <v>127</v>
      </c>
      <c r="G10" s="47" t="s">
        <v>128</v>
      </c>
      <c r="H10" s="47" t="s">
        <v>129</v>
      </c>
      <c r="I10" s="47" t="s">
        <v>130</v>
      </c>
    </row>
    <row r="11" spans="1:10" ht="20.100000000000001" customHeight="1" x14ac:dyDescent="0.25">
      <c r="A11" s="16" t="str">
        <f>HYPERLINK("#'8.1.1.1-2 Transport fuel'!A1", "8.1.1.1-2 Transport fuel")</f>
        <v>8.1.1.1-2 Transport fuel</v>
      </c>
      <c r="D11" s="48" t="s">
        <v>93</v>
      </c>
      <c r="E11" s="48" t="s">
        <v>100</v>
      </c>
      <c r="F11" s="49">
        <v>1000</v>
      </c>
      <c r="G11" s="50" t="str" cm="1">
        <f t="array" ref="G11">Common_InputFunctions.Utility_LookupValueInTable(Table_Input_Fuel[[#This Row],[Fuel type (select)]],Table_FuelTypes_Units[Fuel type], Table_FuelTypes_Units[Unit])</f>
        <v>kL</v>
      </c>
      <c r="H11" s="51">
        <f>1</f>
        <v>1</v>
      </c>
      <c r="I11" s="50">
        <f>Table_Input_Fuel[[#This Row],[Amount purchased]]*Table_Input_Fuel[[#This Row],[Percent consumed]]*10^-3</f>
        <v>1</v>
      </c>
    </row>
    <row r="12" spans="1:10" ht="20.100000000000001" customHeight="1" x14ac:dyDescent="0.25">
      <c r="A12" s="16" t="str">
        <f>HYPERLINK("#'8.2.1.1-2 Stationary fuel'!A1", "8.2.1.1-2 Stationary fuel")</f>
        <v>8.2.1.1-2 Stationary fuel</v>
      </c>
      <c r="D12" s="48" t="s">
        <v>93</v>
      </c>
      <c r="E12" s="48" t="s">
        <v>100</v>
      </c>
      <c r="F12" s="49">
        <v>1000</v>
      </c>
      <c r="G12" s="50" t="str" cm="1">
        <f t="array" ref="G12">Common_InputFunctions.Utility_LookupValueInTable(Table_Input_Fuel[[#This Row],[Fuel type (select)]],Table_FuelTypes_Units[Fuel type], Table_FuelTypes_Units[Unit])</f>
        <v>kL</v>
      </c>
      <c r="H12" s="51">
        <f>1</f>
        <v>1</v>
      </c>
      <c r="I12" s="50">
        <f>Table_Input_Fuel[[#This Row],[Amount purchased]]*Table_Input_Fuel[[#This Row],[Percent consumed]]*10^-3</f>
        <v>1</v>
      </c>
    </row>
    <row r="13" spans="1:10" ht="20.100000000000001" customHeight="1" x14ac:dyDescent="0.25">
      <c r="A13" s="16" t="str">
        <f>HYPERLINK("#'8.X.1.1-2 General use fuel'!A1", "8.X.1.1-2 General use fuel")</f>
        <v>8.X.1.1-2 General use fuel</v>
      </c>
    </row>
    <row r="14" spans="1:10" ht="20.100000000000001" customHeight="1" x14ac:dyDescent="0.25">
      <c r="A14" s="16"/>
    </row>
    <row r="15" spans="1:10" ht="20.100000000000001" customHeight="1" x14ac:dyDescent="0.25">
      <c r="A15" s="23" t="s">
        <v>78</v>
      </c>
    </row>
    <row r="16" spans="1:10" ht="20.100000000000001" customHeight="1" x14ac:dyDescent="0.25">
      <c r="A16" s="16" t="str">
        <f>HYPERLINK("#'Constants - Fuel'!A1", "Constants - Fuel")</f>
        <v>Constants - Fuel</v>
      </c>
    </row>
    <row r="17" spans="1:1" ht="20.100000000000001" customHeight="1" x14ac:dyDescent="0.25">
      <c r="A17" s="16"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c r="A20" s="16"/>
    </row>
    <row r="21" spans="1:1" ht="20.100000000000001" customHeight="1" x14ac:dyDescent="0.25">
      <c r="A21" s="16"/>
    </row>
    <row r="22" spans="1:1" ht="20.100000000000001" customHeight="1" x14ac:dyDescent="0.25"/>
    <row r="23" spans="1:1" ht="20.100000000000001" customHeight="1" x14ac:dyDescent="0.25">
      <c r="A23" s="16"/>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6"/>
    </row>
    <row r="30" spans="1:1" ht="20.100000000000001" customHeight="1" x14ac:dyDescent="0.25">
      <c r="A30" s="16"/>
    </row>
    <row r="31" spans="1:1" ht="20.100000000000001" customHeight="1" x14ac:dyDescent="0.25">
      <c r="A31" s="52"/>
    </row>
    <row r="32" spans="1:1" ht="20.100000000000001" customHeight="1" x14ac:dyDescent="0.25">
      <c r="A32" s="52"/>
    </row>
    <row r="33" spans="1:10" ht="20.100000000000001" customHeight="1" x14ac:dyDescent="0.25">
      <c r="A33" s="16"/>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53"/>
      <c r="J38" s="53"/>
    </row>
    <row r="39" spans="1:10" ht="20.100000000000001" customHeight="1" x14ac:dyDescent="0.25">
      <c r="A39" s="16"/>
      <c r="C39" s="53"/>
      <c r="J39" s="53"/>
    </row>
    <row r="40" spans="1:10" s="54" customFormat="1" ht="20.100000000000001" customHeight="1" x14ac:dyDescent="0.25">
      <c r="C40" s="8"/>
      <c r="D40" s="8"/>
      <c r="E40" s="8"/>
      <c r="F40" s="8"/>
      <c r="G40" s="8"/>
      <c r="H40" s="8"/>
      <c r="I40" s="8"/>
      <c r="J40" s="8"/>
    </row>
    <row r="41" spans="1:10" s="54" customFormat="1" ht="20.100000000000001" customHeight="1" x14ac:dyDescent="0.25">
      <c r="A41" s="55"/>
      <c r="C41" s="8"/>
      <c r="D41" s="8"/>
      <c r="E41" s="8"/>
      <c r="F41" s="8"/>
      <c r="G41" s="8"/>
      <c r="H41" s="8"/>
      <c r="I41" s="8"/>
      <c r="J41" s="8"/>
    </row>
    <row r="42" spans="1:10" ht="20.100000000000001" customHeight="1" x14ac:dyDescent="0.25"/>
    <row r="43" spans="1:10" ht="20.100000000000001" customHeight="1" x14ac:dyDescent="0.25"/>
    <row r="44" spans="1:10" ht="20.100000000000001" customHeight="1" x14ac:dyDescent="0.25">
      <c r="A44" s="56"/>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0" spans="4:4" x14ac:dyDescent="0.25">
      <c r="D350" s="57"/>
    </row>
  </sheetData>
  <conditionalFormatting sqref="F36">
    <cfRule type="cellIs" dxfId="33" priority="9" operator="lessThan">
      <formula>0</formula>
    </cfRule>
  </conditionalFormatting>
  <conditionalFormatting sqref="F115:F116">
    <cfRule type="cellIs" dxfId="32" priority="8" operator="lessThan">
      <formula>0</formula>
    </cfRule>
  </conditionalFormatting>
  <conditionalFormatting sqref="F127:F128">
    <cfRule type="cellIs" dxfId="31" priority="7" operator="lessThan">
      <formula>0</formula>
    </cfRule>
  </conditionalFormatting>
  <conditionalFormatting sqref="F139:F140">
    <cfRule type="cellIs" dxfId="30" priority="6" operator="lessThan">
      <formula>0</formula>
    </cfRule>
  </conditionalFormatting>
  <conditionalFormatting sqref="F151:F152">
    <cfRule type="cellIs" dxfId="29" priority="5" operator="lessThan">
      <formula>0</formula>
    </cfRule>
  </conditionalFormatting>
  <conditionalFormatting sqref="F239:F240">
    <cfRule type="cellIs" dxfId="28" priority="17" operator="lessThan">
      <formula>0</formula>
    </cfRule>
  </conditionalFormatting>
  <conditionalFormatting sqref="F244:F245">
    <cfRule type="cellIs" dxfId="27" priority="16" operator="lessThan">
      <formula>0</formula>
    </cfRule>
  </conditionalFormatting>
  <conditionalFormatting sqref="F249:F250">
    <cfRule type="cellIs" dxfId="26" priority="15" operator="lessThan">
      <formula>0</formula>
    </cfRule>
  </conditionalFormatting>
  <conditionalFormatting sqref="F273:F274">
    <cfRule type="cellIs" dxfId="25" priority="14" operator="lessThan">
      <formula>0</formula>
    </cfRule>
  </conditionalFormatting>
  <conditionalFormatting sqref="F278:F279">
    <cfRule type="cellIs" dxfId="24" priority="13" operator="lessThan">
      <formula>0</formula>
    </cfRule>
  </conditionalFormatting>
  <conditionalFormatting sqref="F283:F284">
    <cfRule type="cellIs" dxfId="23" priority="12" operator="lessThan">
      <formula>0</formula>
    </cfRule>
  </conditionalFormatting>
  <conditionalFormatting sqref="I20 I22:I26 I30:I31 H32:H34 I35 I37:I39 I41:I42 I193 E199:G199 I199">
    <cfRule type="cellIs" dxfId="22" priority="11" operator="lessThan">
      <formula>0</formula>
    </cfRule>
  </conditionalFormatting>
  <conditionalFormatting sqref="I46:I50">
    <cfRule type="cellIs" dxfId="21" priority="4" operator="lessThan">
      <formula>0</formula>
    </cfRule>
  </conditionalFormatting>
  <conditionalFormatting sqref="I54 I113">
    <cfRule type="cellIs" dxfId="20" priority="10" operator="lessThan">
      <formula>0</formula>
    </cfRule>
  </conditionalFormatting>
  <conditionalFormatting sqref="I65:I67">
    <cfRule type="cellIs" dxfId="19" priority="3" operator="lessThan">
      <formula>0</formula>
    </cfRule>
  </conditionalFormatting>
  <conditionalFormatting sqref="I71:I74">
    <cfRule type="cellIs" dxfId="18" priority="2" operator="lessThan">
      <formula>0</formula>
    </cfRule>
  </conditionalFormatting>
  <conditionalFormatting sqref="I78:I82">
    <cfRule type="cellIs" dxfId="17" priority="1" operator="lessThan">
      <formula>0</formula>
    </cfRule>
  </conditionalFormatting>
  <dataValidations count="9">
    <dataValidation type="list" allowBlank="1" showInputMessage="1" showErrorMessage="1" sqref="D11:D12" xr:uid="{AB05C837-AE8B-4535-9828-0C4A841DBABE}">
      <formula1>INDIRECT("Table_FuelTypesPerUse[#Headers]")</formula1>
    </dataValidation>
    <dataValidation type="list" allowBlank="1" showInputMessage="1" showErrorMessage="1" sqref="D33:D34" xr:uid="{E61046C4-2597-462B-8601-A71BA10ADC4B}">
      <formula1>INDIRECT("Table_SourceData_OrganicFertiliserTypes[Organic fertiliser type]")</formula1>
    </dataValidation>
    <dataValidation type="list" allowBlank="1" showInputMessage="1" showErrorMessage="1" sqref="H13:H14" xr:uid="{CB064B41-B1CB-47F8-811A-5923DE4D14B4}">
      <formula1>INDIRECT("Table_Fertiliser_ChemicalCompounds[Fertiliser type f]")</formula1>
    </dataValidation>
    <dataValidation type="list" allowBlank="1" showInputMessage="1" showErrorMessage="1" sqref="E53" xr:uid="{0EF9A726-27B5-435D-9717-19BF8055C1BD}">
      <formula1>INDIRECT("Table_SourceData_Swine_CropProdSystems[Production system]")</formula1>
    </dataValidation>
    <dataValidation type="list" allowBlank="1" showInputMessage="1" showErrorMessage="1" sqref="E54" xr:uid="{98AF71EF-A6CF-4E35-BE64-B07AAB53937E}">
      <formula1>INDIRECT("Table_SourceData_Swine_IrrigationMethods[Irrigation method]")</formula1>
    </dataValidation>
    <dataValidation type="list" allowBlank="1" showInputMessage="1" showErrorMessage="1" sqref="E238 E243 E248 E282 E277 E272 E150 E138 E114 E126" xr:uid="{300F7878-07F3-4F04-BED9-4696EEC1A88D}">
      <formula1>"Yes, No"</formula1>
    </dataValidation>
    <dataValidation type="list" allowBlank="1" showInputMessage="1" showErrorMessage="1" sqref="E214" xr:uid="{B6A52EB3-2524-4DF6-B092-A157B0196195}">
      <formula1>INDIRECT("Table_SourceData_Dairy_ProductionSystemTemplates[Area]")</formula1>
    </dataValidation>
    <dataValidation type="list" allowBlank="1" showInputMessage="1" showErrorMessage="1" sqref="D266" xr:uid="{7B99DD2A-31EE-40A0-B38A-69AC69E22FD9}">
      <formula1>INDIRECT("Table_SourceData_PoultryMMSStage1[MMS]")</formula1>
    </dataValidation>
    <dataValidation type="list" allowBlank="1" showInputMessage="1" showErrorMessage="1" sqref="E11:E12" xr:uid="{0445C2B7-1C90-4304-96FE-3C15DC2D16F4}">
      <formula1>_xlfn.TRIMRANGE(INDIRECT("Table_FuelTypesPerUse["&amp;D11&amp;"]"))</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dimension ref="A1:L365"/>
  <sheetViews>
    <sheetView showGridLines="0" topLeftCell="A15" zoomScaleNormal="100" workbookViewId="0">
      <selection activeCell="G27" sqref="G27"/>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248</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249</v>
      </c>
    </row>
    <row r="6" spans="1:10" ht="20.100000000000001" customHeight="1" x14ac:dyDescent="0.25">
      <c r="A6" s="18"/>
    </row>
    <row r="7" spans="1:10" ht="20.100000000000001" customHeight="1" x14ac:dyDescent="0.25">
      <c r="A7" s="19" t="s">
        <v>67</v>
      </c>
      <c r="D7" s="74" t="s">
        <v>250</v>
      </c>
    </row>
    <row r="8" spans="1:10" ht="20.100000000000001" customHeight="1" x14ac:dyDescent="0.25">
      <c r="A8" s="43" t="str">
        <f>HYPERLINK("#'Input - Electricity'!A1", "Electricity")</f>
        <v>Electricity</v>
      </c>
    </row>
    <row r="9" spans="1:10" ht="20.100000000000001" customHeight="1" x14ac:dyDescent="0.25">
      <c r="A9" s="16"/>
      <c r="D9" s="100" t="s">
        <v>251</v>
      </c>
      <c r="E9" s="101"/>
      <c r="F9" s="14"/>
    </row>
    <row r="10" spans="1:10" ht="20.100000000000001" customHeight="1" x14ac:dyDescent="0.25">
      <c r="A10" s="21" t="s">
        <v>77</v>
      </c>
      <c r="D10" s="14"/>
      <c r="E10" s="14"/>
      <c r="F10" s="14"/>
    </row>
    <row r="11" spans="1:10" ht="20.100000000000001" customHeight="1" x14ac:dyDescent="0.25">
      <c r="A11" s="16" t="str">
        <f>HYPERLINK("#'14.1.1-2 Purchased electricity'!A1", "14.1.1-2 Purchased electricity")</f>
        <v>14.1.1-2 Purchased electricity</v>
      </c>
      <c r="D11" s="8" t="s">
        <v>252</v>
      </c>
      <c r="E11" s="102">
        <v>500</v>
      </c>
      <c r="F11" s="68" t="s">
        <v>253</v>
      </c>
    </row>
    <row r="12" spans="1:10" ht="20.100000000000001" customHeight="1" x14ac:dyDescent="0.25">
      <c r="A12" s="16"/>
      <c r="D12" s="8" t="s">
        <v>254</v>
      </c>
      <c r="E12" s="50" t="str">
        <f>IF('Input - Site'!E21="Western Australia", 'Input - Site'!E22, 'Input - Site'!E21)</f>
        <v>ACT</v>
      </c>
      <c r="F12" s="14"/>
    </row>
    <row r="13" spans="1:10" ht="20.100000000000001" customHeight="1" x14ac:dyDescent="0.25">
      <c r="A13" s="23" t="s">
        <v>78</v>
      </c>
      <c r="D13" s="8" t="s">
        <v>255</v>
      </c>
      <c r="E13" s="48" t="s">
        <v>419</v>
      </c>
      <c r="F13" s="68" t="s">
        <v>198</v>
      </c>
    </row>
    <row r="14" spans="1:10" ht="20.100000000000001" customHeight="1" x14ac:dyDescent="0.25">
      <c r="A14" s="16" t="str">
        <f>HYPERLINK("#'Constants - Electricity'!A1", "Constants - Electricity")</f>
        <v>Constants - Electricity</v>
      </c>
    </row>
    <row r="15" spans="1:10" ht="20.100000000000001" customHeight="1" x14ac:dyDescent="0.25">
      <c r="A15" s="16" t="str">
        <f>HYPERLINK("#'Constants - Common'!A1", "Constants - Common")</f>
        <v>Constants - Common</v>
      </c>
    </row>
    <row r="16" spans="1:10" ht="20.100000000000001" customHeight="1" x14ac:dyDescent="0.25">
      <c r="C16" s="103"/>
      <c r="D16" s="103"/>
      <c r="E16" s="103"/>
      <c r="F16" s="103"/>
      <c r="G16" s="103"/>
      <c r="H16" s="103"/>
      <c r="I16" s="103"/>
      <c r="J16" s="103"/>
    </row>
    <row r="17" spans="1:11" ht="20.100000000000001" customHeight="1" x14ac:dyDescent="0.25">
      <c r="D17" s="9" t="s">
        <v>256</v>
      </c>
    </row>
    <row r="18" spans="1:11" ht="20.100000000000001" customHeight="1" x14ac:dyDescent="0.25">
      <c r="E18" s="57" t="str">
        <f>IF(E12="ACT", "", "ALERT: Your farm is not in the ACT, so the JRPP is not applicable")</f>
        <v/>
      </c>
    </row>
    <row r="19" spans="1:11" ht="20.100000000000001" customHeight="1" x14ac:dyDescent="0.25">
      <c r="D19" s="8" t="s">
        <v>257</v>
      </c>
      <c r="E19" s="102">
        <v>30000</v>
      </c>
      <c r="F19" s="68" t="s">
        <v>253</v>
      </c>
    </row>
    <row r="20" spans="1:11" ht="20.100000000000001" customHeight="1" x14ac:dyDescent="0.25">
      <c r="A20" s="16"/>
      <c r="D20" s="8" t="s">
        <v>258</v>
      </c>
      <c r="E20" s="90">
        <v>0.1</v>
      </c>
      <c r="F20" s="68" t="s">
        <v>259</v>
      </c>
    </row>
    <row r="21" spans="1:11" ht="20.100000000000001" customHeight="1" x14ac:dyDescent="0.25">
      <c r="A21" s="16"/>
      <c r="D21" s="8" t="s">
        <v>260</v>
      </c>
      <c r="E21" s="90">
        <v>0.1</v>
      </c>
      <c r="F21" s="68" t="s">
        <v>259</v>
      </c>
    </row>
    <row r="22" spans="1:11" ht="20.100000000000001" customHeight="1" x14ac:dyDescent="0.25"/>
    <row r="23" spans="1:11" ht="20.100000000000001" customHeight="1" x14ac:dyDescent="0.25">
      <c r="A23" s="16"/>
      <c r="D23" s="8" t="s">
        <v>261</v>
      </c>
      <c r="E23" s="102">
        <v>10000</v>
      </c>
      <c r="F23" s="68" t="s">
        <v>253</v>
      </c>
    </row>
    <row r="24" spans="1:11" ht="20.100000000000001" customHeight="1" x14ac:dyDescent="0.25"/>
    <row r="25" spans="1:11" ht="20.100000000000001" customHeight="1" x14ac:dyDescent="0.25">
      <c r="D25" s="8" t="s">
        <v>262</v>
      </c>
      <c r="E25" s="104" t="str">
        <f>TEXT('Input - Site'!$E$12, "dd mmm yyyy")</f>
        <v>01 Jan 2024</v>
      </c>
    </row>
    <row r="26" spans="1:11" ht="20.100000000000001" customHeight="1" x14ac:dyDescent="0.25">
      <c r="D26" s="8" t="s">
        <v>263</v>
      </c>
      <c r="E26" s="104" t="str">
        <f>TEXT('Input - Site'!$E$13, "dd mmm yyyy")</f>
        <v>31 Dec 2024</v>
      </c>
    </row>
    <row r="27" spans="1:11" ht="20.100000000000001" customHeight="1" x14ac:dyDescent="0.25"/>
    <row r="28" spans="1:11" ht="20.100000000000001" customHeight="1" x14ac:dyDescent="0.25">
      <c r="D28" s="74" t="s">
        <v>264</v>
      </c>
    </row>
    <row r="29" spans="1:11" ht="20.100000000000001" customHeight="1" x14ac:dyDescent="0.25">
      <c r="A29" s="16"/>
      <c r="K29" s="54"/>
    </row>
    <row r="30" spans="1:11" ht="20.100000000000001" customHeight="1" x14ac:dyDescent="0.25">
      <c r="A30" s="16"/>
      <c r="D30" s="100" t="s">
        <v>123</v>
      </c>
      <c r="E30" s="101"/>
      <c r="K30" s="54"/>
    </row>
    <row r="31" spans="1:11" ht="20.100000000000001" customHeight="1" x14ac:dyDescent="0.25">
      <c r="A31" s="52"/>
      <c r="K31" s="54"/>
    </row>
    <row r="32" spans="1:11" ht="20.100000000000001" customHeight="1" x14ac:dyDescent="0.25">
      <c r="A32" s="52"/>
      <c r="D32" s="47" t="s">
        <v>265</v>
      </c>
      <c r="E32" s="47" t="s">
        <v>266</v>
      </c>
      <c r="F32" s="47" t="s">
        <v>267</v>
      </c>
      <c r="G32" s="47" t="s">
        <v>268</v>
      </c>
      <c r="H32" s="47" t="s">
        <v>269</v>
      </c>
      <c r="I32" s="47" t="s">
        <v>270</v>
      </c>
      <c r="K32" s="54"/>
    </row>
    <row r="33" spans="1:12" ht="20.100000000000001" customHeight="1" x14ac:dyDescent="0.25">
      <c r="A33" s="16"/>
      <c r="D33" s="10" t="s">
        <v>271</v>
      </c>
      <c r="E33" s="48" t="s">
        <v>272</v>
      </c>
      <c r="F33" s="105">
        <v>44185</v>
      </c>
      <c r="G33" s="10">
        <v>12</v>
      </c>
      <c r="H33" s="50">
        <f>Table_Input_RECSurrendered[[#This Row],[Number of certificates]]</f>
        <v>12</v>
      </c>
      <c r="I33" s="50" t="str">
        <f>IF(DATEDIF(Table_Input_RECSurrendered[[#This Row],[Generation date]],DATEVALUE($E$26),"M")&gt;36,"Ineligible - older than 36 months","Elegible")</f>
        <v>Ineligible - older than 36 months</v>
      </c>
      <c r="K33" s="54"/>
    </row>
    <row r="34" spans="1:12" ht="20.100000000000001" customHeight="1" x14ac:dyDescent="0.25">
      <c r="D34" s="10"/>
      <c r="E34" s="48" t="s">
        <v>273</v>
      </c>
      <c r="F34" s="105">
        <v>44575</v>
      </c>
      <c r="G34" s="10">
        <v>5</v>
      </c>
      <c r="H34" s="50">
        <f>Table_Input_RECSurrendered[[#This Row],[Number of certificates]]</f>
        <v>5</v>
      </c>
      <c r="I34" s="50" t="str">
        <f>IF(DATEDIF(Table_Input_RECSurrendered[[#This Row],[Generation date]],DATEVALUE($E$26),"M")&gt;36,"Ineligible - older than 36 months","Elegible")</f>
        <v>Elegible</v>
      </c>
      <c r="K34" s="54"/>
    </row>
    <row r="35" spans="1:12" ht="20.100000000000001" customHeight="1" x14ac:dyDescent="0.25">
      <c r="D35" s="10"/>
      <c r="E35" s="48" t="s">
        <v>272</v>
      </c>
      <c r="F35" s="105">
        <v>45438</v>
      </c>
      <c r="G35" s="10">
        <v>5</v>
      </c>
      <c r="H35" s="50">
        <f>Table_Input_RECSurrendered[[#This Row],[Number of certificates]]</f>
        <v>5</v>
      </c>
      <c r="I35" s="50" t="str">
        <f>IF(DATEDIF(Table_Input_RECSurrendered[[#This Row],[Generation date]],DATEVALUE($E$26),"M")&gt;36,"Ineligible - older than 36 months","Elegible")</f>
        <v>Elegible</v>
      </c>
    </row>
    <row r="36" spans="1:12" ht="20.100000000000001" customHeight="1" x14ac:dyDescent="0.25">
      <c r="L36" s="54"/>
    </row>
    <row r="37" spans="1:12" ht="20.100000000000001" customHeight="1" x14ac:dyDescent="0.25">
      <c r="D37" s="8" t="s">
        <v>274</v>
      </c>
      <c r="E37" s="50">
        <f>SUMIF(Table_Input_RECSurrendered[Elegibility], "Elegible", Table_Input_RECSurrendered[MWh])</f>
        <v>10</v>
      </c>
      <c r="F37" s="68" t="s">
        <v>269</v>
      </c>
      <c r="L37" s="54"/>
    </row>
    <row r="38" spans="1:12" ht="20.100000000000001" customHeight="1" x14ac:dyDescent="0.25">
      <c r="C38" s="53"/>
    </row>
    <row r="39" spans="1:12" ht="20.100000000000001" customHeight="1" x14ac:dyDescent="0.25">
      <c r="A39" s="16"/>
      <c r="C39" s="53"/>
      <c r="D39" s="74" t="s">
        <v>275</v>
      </c>
      <c r="J39" s="53"/>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47" t="s">
        <v>265</v>
      </c>
      <c r="E41" s="47" t="s">
        <v>143</v>
      </c>
      <c r="F41" s="47" t="s">
        <v>267</v>
      </c>
      <c r="G41" s="47" t="s">
        <v>268</v>
      </c>
      <c r="H41" s="47" t="s">
        <v>269</v>
      </c>
      <c r="I41" s="47" t="s">
        <v>270</v>
      </c>
      <c r="J41" s="8"/>
      <c r="L41" s="54" t="s">
        <v>276</v>
      </c>
    </row>
    <row r="42" spans="1:12" ht="20.100000000000001" customHeight="1" x14ac:dyDescent="0.25">
      <c r="D42" s="10" t="s">
        <v>277</v>
      </c>
      <c r="E42" s="106" t="str">
        <f>"Issued for generated electricity"</f>
        <v>Issued for generated electricity</v>
      </c>
      <c r="F42" s="105">
        <v>44697</v>
      </c>
      <c r="G42" s="10">
        <v>10</v>
      </c>
      <c r="H42" s="50">
        <f>Table_Input_RECConsumedByEntity[[#This Row],[Number of certificates]]</f>
        <v>10</v>
      </c>
      <c r="I42" s="50" t="str">
        <f>IF(AND(Table_Input_RECConsumedByEntity[[#This Row],[Generation date]]&gt;=DATEVALUE($E$25), Table_Input_RECConsumedByEntity[[#This Row],[Generation date]]&lt;= DATEVALUE($E$26)), "Elegible", "Ineligible - outside reporting year")</f>
        <v>Ineligible - outside reporting year</v>
      </c>
    </row>
    <row r="43" spans="1:12" ht="20.100000000000001" customHeight="1" x14ac:dyDescent="0.25">
      <c r="D43" s="10"/>
      <c r="E43" s="106" t="str">
        <f>"Issued for generated electricity"</f>
        <v>Issued for generated electricity</v>
      </c>
      <c r="F43" s="105">
        <v>45483</v>
      </c>
      <c r="G43" s="10">
        <v>4</v>
      </c>
      <c r="H43" s="50">
        <f>Table_Input_RECConsumedByEntity[[#This Row],[Number of certificates]]</f>
        <v>4</v>
      </c>
      <c r="I43" s="50" t="str">
        <f>IF(AND(Table_Input_RECConsumedByEntity[[#This Row],[Generation date]]&gt;=DATEVALUE($E$25), Table_Input_RECConsumedByEntity[[#This Row],[Generation date]]&lt;= DATEVALUE($E$26)), "Elegible", "Ineligible - outside reporting year")</f>
        <v>Elegible</v>
      </c>
    </row>
    <row r="44" spans="1:12" ht="20.100000000000001" customHeight="1" x14ac:dyDescent="0.25">
      <c r="A44" s="56"/>
      <c r="D44" s="10"/>
      <c r="E44" s="106" t="str">
        <f>"Issued for generated electricity"</f>
        <v>Issued for generated electricity</v>
      </c>
      <c r="F44" s="105">
        <v>45607</v>
      </c>
      <c r="G44" s="10">
        <v>7</v>
      </c>
      <c r="H44" s="50">
        <f>Table_Input_RECConsumedByEntity[[#This Row],[Number of certificates]]</f>
        <v>7</v>
      </c>
      <c r="I44" s="50" t="str">
        <f>IF(AND(Table_Input_RECConsumedByEntity[[#This Row],[Generation date]]&gt;=DATEVALUE($E$25), Table_Input_RECConsumedByEntity[[#This Row],[Generation date]]&lt;= DATEVALUE($E$26)), "Elegible", "Ineligible - outside reporting year")</f>
        <v>Elegible</v>
      </c>
    </row>
    <row r="45" spans="1:12" ht="20.100000000000001" customHeight="1" x14ac:dyDescent="0.25"/>
    <row r="46" spans="1:12" ht="20.100000000000001" customHeight="1" x14ac:dyDescent="0.25">
      <c r="D46" s="8" t="s">
        <v>278</v>
      </c>
      <c r="E46" s="50">
        <f>SUMIF(Table_Input_RECConsumedByEntity[Elegibility], "Elegible", Table_Input_RECConsumedByEntity[Number of certificates])</f>
        <v>11</v>
      </c>
      <c r="F46" s="68" t="s">
        <v>269</v>
      </c>
    </row>
    <row r="47" spans="1:12" ht="20.100000000000001" customHeight="1" x14ac:dyDescent="0.25"/>
    <row r="48" spans="1:12" ht="20.100000000000001" customHeight="1" x14ac:dyDescent="0.25"/>
    <row r="49" spans="4:4" ht="20.100000000000001" customHeight="1" x14ac:dyDescent="0.25"/>
    <row r="50" spans="4:4" ht="20.100000000000001" customHeight="1" x14ac:dyDescent="0.25"/>
    <row r="51" spans="4:4" ht="20.100000000000001" customHeight="1" x14ac:dyDescent="0.25"/>
    <row r="52" spans="4:4" ht="20.100000000000001" customHeight="1" x14ac:dyDescent="0.25"/>
    <row r="53" spans="4:4" ht="20.100000000000001" customHeight="1" x14ac:dyDescent="0.25">
      <c r="D53" s="107"/>
    </row>
    <row r="54" spans="4:4" ht="20.100000000000001" customHeight="1" x14ac:dyDescent="0.25"/>
    <row r="55" spans="4:4" ht="20.100000000000001" customHeight="1" x14ac:dyDescent="0.25">
      <c r="D55" s="107"/>
    </row>
    <row r="56" spans="4:4" ht="20.100000000000001" customHeight="1" x14ac:dyDescent="0.25">
      <c r="D56" s="107"/>
    </row>
    <row r="57" spans="4:4" ht="20.100000000000001" customHeight="1" x14ac:dyDescent="0.25"/>
    <row r="58" spans="4:4" ht="20.100000000000001" customHeight="1" x14ac:dyDescent="0.25"/>
    <row r="59" spans="4:4" ht="20.100000000000001" customHeight="1" x14ac:dyDescent="0.25"/>
    <row r="60" spans="4:4" ht="20.100000000000001" customHeight="1" x14ac:dyDescent="0.25"/>
    <row r="61" spans="4:4" ht="20.100000000000001" customHeight="1" x14ac:dyDescent="0.25"/>
    <row r="62" spans="4:4" ht="20.100000000000001" customHeight="1" x14ac:dyDescent="0.25"/>
    <row r="63" spans="4:4" ht="20.100000000000001" customHeight="1" x14ac:dyDescent="0.25"/>
    <row r="64" spans="4: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1 I45:I46 H47:H49 I48 I50:I52 I54:I55 I206 I212 E214:G214">
    <cfRule type="cellIs" dxfId="1" priority="11" operator="lessThan">
      <formula>0</formula>
    </cfRule>
  </conditionalFormatting>
  <conditionalFormatting sqref="J35 I36 J37 I39 F51">
    <cfRule type="cellIs" dxfId="0" priority="9" operator="lessThan">
      <formula>0</formula>
    </cfRule>
  </conditionalFormatting>
  <dataValidations count="6">
    <dataValidation type="list" allowBlank="1" showInputMessage="1" showErrorMessage="1" sqref="E33:E35" xr:uid="{FBACCABC-AF99-44FB-9146-6F32E67A5303}">
      <formula1>"Purchased certificate, Issued for generated electricity"</formula1>
    </dataValidation>
    <dataValidation type="list" allowBlank="1" showInputMessage="1" showErrorMessage="1" sqref="E13"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871B-344C-4776-8BEE-F3723A4575A9}">
  <dimension ref="C1:L60"/>
  <sheetViews>
    <sheetView showGridLines="0" workbookViewId="0">
      <selection activeCell="K8" sqref="K8"/>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 min="13" max="14" width="30.625" customWidth="1"/>
  </cols>
  <sheetData>
    <row r="1" spans="3:12" ht="30" customHeight="1" x14ac:dyDescent="0.35">
      <c r="C1" s="38"/>
      <c r="D1" s="38"/>
      <c r="E1" s="38"/>
      <c r="F1" s="38"/>
      <c r="G1" s="38"/>
      <c r="H1" s="38"/>
      <c r="I1" s="38"/>
      <c r="J1" s="38"/>
      <c r="K1" s="38"/>
      <c r="L1" s="38"/>
    </row>
    <row r="2" spans="3:12" ht="20.100000000000001" customHeight="1" x14ac:dyDescent="0.25">
      <c r="C2" s="39"/>
      <c r="D2" s="39"/>
      <c r="E2" s="39"/>
      <c r="F2" s="39"/>
      <c r="G2" s="39"/>
      <c r="H2" s="39"/>
      <c r="I2" s="39"/>
      <c r="J2" s="39"/>
      <c r="K2" s="39"/>
      <c r="L2" s="39"/>
    </row>
    <row r="3" spans="3:12" ht="20.100000000000001" customHeight="1" x14ac:dyDescent="0.25"/>
    <row r="4" spans="3:12" ht="20.100000000000001" customHeight="1" x14ac:dyDescent="0.25"/>
    <row r="5" spans="3:12" ht="20.100000000000001" customHeight="1" x14ac:dyDescent="0.25"/>
    <row r="6" spans="3:12" ht="20.100000000000001" customHeight="1" x14ac:dyDescent="0.25"/>
    <row r="7" spans="3:12" ht="20.100000000000001" customHeight="1" x14ac:dyDescent="0.25">
      <c r="D7" s="201" t="s">
        <v>475</v>
      </c>
      <c r="E7" s="201" t="s">
        <v>431</v>
      </c>
      <c r="F7" s="201" t="s">
        <v>432</v>
      </c>
      <c r="G7" s="201" t="s">
        <v>436</v>
      </c>
      <c r="H7" s="201" t="s">
        <v>433</v>
      </c>
      <c r="I7" s="201" t="s">
        <v>430</v>
      </c>
      <c r="J7" s="201" t="s">
        <v>434</v>
      </c>
      <c r="K7" s="201" t="s">
        <v>477</v>
      </c>
    </row>
    <row r="8" spans="3:12" ht="20.100000000000001" customHeight="1" x14ac:dyDescent="0.25">
      <c r="D8" s="86" t="s">
        <v>476</v>
      </c>
      <c r="E8" s="48" t="s">
        <v>451</v>
      </c>
      <c r="F8" s="48" t="s">
        <v>451</v>
      </c>
      <c r="G8" s="48" t="s">
        <v>444</v>
      </c>
      <c r="H8" s="69">
        <v>100</v>
      </c>
      <c r="I8" s="69">
        <v>250</v>
      </c>
      <c r="J8" s="50">
        <f>Table_Input_LivestockPurchases[[#This Row],[Quantity (head)]]*Table_Input_LivestockPurchases[[#This Row],[Average liveweight (kg/head)]]</f>
        <v>25000</v>
      </c>
      <c r="K8" s="69"/>
    </row>
    <row r="9" spans="3:12" ht="20.100000000000001" customHeight="1" x14ac:dyDescent="0.25">
      <c r="D9" s="86"/>
      <c r="E9" s="203" t="s">
        <v>435</v>
      </c>
      <c r="F9" s="203" t="s">
        <v>443</v>
      </c>
      <c r="G9" s="203" t="s">
        <v>445</v>
      </c>
      <c r="H9" s="69">
        <v>100</v>
      </c>
      <c r="I9" s="69">
        <v>250</v>
      </c>
      <c r="J9" s="205">
        <f>Table_Input_LivestockPurchases[[#This Row],[Quantity (head)]]*Table_Input_LivestockPurchases[[#This Row],[Average liveweight (kg/head)]]</f>
        <v>25000</v>
      </c>
      <c r="K9" s="69"/>
    </row>
    <row r="10" spans="3:12" ht="20.100000000000001" customHeight="1" x14ac:dyDescent="0.25">
      <c r="D10" s="86"/>
      <c r="E10" s="203" t="s">
        <v>450</v>
      </c>
      <c r="F10" s="203" t="s">
        <v>458</v>
      </c>
      <c r="G10" s="203" t="s">
        <v>455</v>
      </c>
      <c r="H10" s="69">
        <v>100</v>
      </c>
      <c r="I10" s="69">
        <v>250</v>
      </c>
      <c r="J10" s="205">
        <f>Table_Input_LivestockPurchases[[#This Row],[Quantity (head)]]*Table_Input_LivestockPurchases[[#This Row],[Average liveweight (kg/head)]]</f>
        <v>25000</v>
      </c>
      <c r="K10" s="69"/>
    </row>
    <row r="11" spans="3:12" ht="20.100000000000001" customHeight="1" x14ac:dyDescent="0.25">
      <c r="D11" s="86"/>
      <c r="E11" s="203" t="s">
        <v>452</v>
      </c>
      <c r="F11" s="203" t="s">
        <v>452</v>
      </c>
      <c r="G11" s="203" t="s">
        <v>444</v>
      </c>
      <c r="H11" s="69">
        <v>100</v>
      </c>
      <c r="I11" s="69">
        <v>250</v>
      </c>
      <c r="J11" s="205">
        <f>Table_Input_LivestockPurchases[[#This Row],[Quantity (head)]]*Table_Input_LivestockPurchases[[#This Row],[Average liveweight (kg/head)]]</f>
        <v>25000</v>
      </c>
      <c r="K11" s="69"/>
      <c r="L11" s="213"/>
    </row>
    <row r="12" spans="3:12" ht="20.100000000000001" customHeight="1" x14ac:dyDescent="0.25">
      <c r="D12" s="86"/>
      <c r="E12" s="203" t="s">
        <v>453</v>
      </c>
      <c r="F12" s="203" t="s">
        <v>454</v>
      </c>
      <c r="G12" s="203" t="s">
        <v>444</v>
      </c>
      <c r="H12" s="69">
        <v>100</v>
      </c>
      <c r="I12" s="69">
        <v>250</v>
      </c>
      <c r="J12" s="205">
        <f>Table_Input_LivestockPurchases[[#This Row],[Quantity (head)]]*Table_Input_LivestockPurchases[[#This Row],[Average liveweight (kg/head)]]</f>
        <v>25000</v>
      </c>
      <c r="K12" s="69"/>
      <c r="L12" s="213"/>
    </row>
    <row r="13" spans="3:12" ht="20.100000000000001" customHeight="1" x14ac:dyDescent="0.25">
      <c r="D13" s="86"/>
      <c r="E13" s="203" t="s">
        <v>453</v>
      </c>
      <c r="F13" s="203" t="s">
        <v>456</v>
      </c>
      <c r="G13" s="203" t="s">
        <v>457</v>
      </c>
      <c r="H13" s="69">
        <v>100</v>
      </c>
      <c r="I13" s="69">
        <v>250</v>
      </c>
      <c r="J13" s="205">
        <f>Table_Input_LivestockPurchases[[#This Row],[Quantity (head)]]*Table_Input_LivestockPurchases[[#This Row],[Average liveweight (kg/head)]]</f>
        <v>25000</v>
      </c>
      <c r="K13" s="69"/>
      <c r="L13" s="213"/>
    </row>
    <row r="14" spans="3:12" ht="20.100000000000001" customHeight="1" x14ac:dyDescent="0.25"/>
    <row r="15" spans="3:12" ht="20.100000000000001" customHeight="1" x14ac:dyDescent="0.25"/>
    <row r="16" spans="3:12"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sheetData>
  <dataValidations count="3">
    <dataValidation type="list" allowBlank="1" showInputMessage="1" showErrorMessage="1" sqref="E8:E13" xr:uid="{6CCA3DD5-7553-433B-A61D-B1416ABD99D7}">
      <formula1>INDIRECT(_xlfn.UNIQUE("Table_Scope3_Livestock[Category]"))</formula1>
    </dataValidation>
    <dataValidation type="list" allowBlank="1" showInputMessage="1" showErrorMessage="1" sqref="G8:G13" xr:uid="{B7FC47C0-9DBB-402B-AB78-565B6B988EE8}">
      <formula1>INDIRECT(TRIM("Table_SourceData_LivestockProduct_" &amp; SUBSTITUTE(E8, " ", "") &amp; "[Source region]"))</formula1>
    </dataValidation>
    <dataValidation type="list" allowBlank="1" showInputMessage="1" showErrorMessage="1" sqref="F8:F13" xr:uid="{D038D161-4CB4-4F66-9EA9-1B3DFD795E64}">
      <formula1>INDIRECT(TRIM("Table_SourceData_LivestockProduct_" &amp; SUBSTITUTE(E8, " ", "") &amp; "[Product]"))</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1BD5-A401-4793-9FB4-FD8FB3165AFB}">
  <dimension ref="A1:U252"/>
  <sheetViews>
    <sheetView showGridLines="0" zoomScale="70" zoomScaleNormal="70" workbookViewId="0">
      <selection activeCell="G13" sqref="G13"/>
    </sheetView>
  </sheetViews>
  <sheetFormatPr defaultRowHeight="15" x14ac:dyDescent="0.25"/>
  <cols>
    <col min="1" max="1" width="26.875" style="3" customWidth="1"/>
    <col min="2" max="3" width="4.125" style="3" customWidth="1"/>
    <col min="4" max="4" width="37.75" style="3" customWidth="1"/>
    <col min="5" max="5" width="33" style="3" customWidth="1"/>
    <col min="6" max="6" width="26.875" style="3" customWidth="1"/>
    <col min="7" max="8" width="27.25" style="3" customWidth="1"/>
    <col min="9" max="9" width="26.875" style="3" customWidth="1"/>
    <col min="10" max="10" width="37.875" style="3" customWidth="1"/>
    <col min="11" max="11" width="38.375" style="3" customWidth="1"/>
    <col min="12" max="12" width="50.125" style="3" customWidth="1"/>
    <col min="13" max="13" width="52.5" style="3" customWidth="1"/>
    <col min="14" max="14" width="53" style="3" customWidth="1"/>
    <col min="15" max="15" width="50.125" style="3" customWidth="1"/>
    <col min="16" max="16" width="26.875" style="3" customWidth="1"/>
    <col min="17" max="17" width="4.125" style="3" customWidth="1"/>
    <col min="18" max="18" width="26.875" style="3" customWidth="1"/>
    <col min="19" max="16384" width="9" style="3"/>
  </cols>
  <sheetData>
    <row r="1" spans="1:21" ht="30" customHeight="1" x14ac:dyDescent="0.35">
      <c r="A1" s="150" t="e" vm="1">
        <v>#VALUE!</v>
      </c>
      <c r="C1" s="1" t="s">
        <v>301</v>
      </c>
    </row>
    <row r="2" spans="1:21" ht="20.100000000000001" customHeight="1" x14ac:dyDescent="0.25">
      <c r="A2" s="4"/>
    </row>
    <row r="3" spans="1:21" ht="20.100000000000001" customHeight="1" x14ac:dyDescent="0.25">
      <c r="A3" s="16" t="s">
        <v>302</v>
      </c>
      <c r="C3" s="5"/>
      <c r="D3" s="5"/>
      <c r="E3" s="5"/>
      <c r="F3" s="5"/>
      <c r="G3" s="5"/>
      <c r="H3" s="5"/>
      <c r="I3" s="5"/>
      <c r="J3" s="5"/>
      <c r="K3" s="5"/>
      <c r="L3" s="5"/>
      <c r="M3" s="5"/>
      <c r="N3" s="5"/>
      <c r="O3" s="5"/>
      <c r="P3" s="5"/>
      <c r="Q3" s="5"/>
    </row>
    <row r="4" spans="1:21" ht="20.100000000000001" customHeight="1" x14ac:dyDescent="0.25">
      <c r="A4" s="16" t="str">
        <f>HYPERLINK("#'Results'!A1", "Results")</f>
        <v>Results</v>
      </c>
      <c r="C4" s="14"/>
      <c r="D4" s="14"/>
      <c r="E4" s="14"/>
      <c r="F4" s="14"/>
      <c r="G4" s="14"/>
      <c r="H4" s="14"/>
      <c r="I4" s="14"/>
      <c r="J4" s="14"/>
      <c r="K4" s="14"/>
      <c r="L4" s="14"/>
      <c r="M4" s="14"/>
      <c r="N4" s="14"/>
      <c r="O4" s="14"/>
      <c r="P4" s="14"/>
      <c r="Q4" s="14"/>
    </row>
    <row r="5" spans="1:21" ht="20.100000000000001" customHeight="1" x14ac:dyDescent="0.25">
      <c r="A5" s="18"/>
      <c r="C5" s="14"/>
      <c r="D5" s="9" t="str" cm="1">
        <f t="array" ref="D5">Scope3_SourceData.Scope3_InorganicFertilisers_Title()</f>
        <v>Inorganic fertiliser chemical compound scope 3</v>
      </c>
      <c r="E5" s="14"/>
      <c r="F5" s="14"/>
      <c r="G5" s="14"/>
      <c r="H5" s="14"/>
      <c r="I5" s="14"/>
      <c r="J5" s="14"/>
      <c r="K5" s="14"/>
      <c r="L5" s="14"/>
      <c r="M5" s="14"/>
      <c r="N5" s="14"/>
      <c r="O5" s="14"/>
      <c r="P5" s="14"/>
      <c r="Q5" s="14"/>
    </row>
    <row r="6" spans="1:21" ht="20.100000000000001" customHeight="1" x14ac:dyDescent="0.25">
      <c r="A6" s="19" t="s">
        <v>67</v>
      </c>
      <c r="C6" s="14"/>
      <c r="D6" s="11" t="str" cm="1">
        <f t="array" ref="D6">Scope3_SourceData.Scope3_InorganicFertilisers_Source()</f>
        <v>Lifecycles. (2026). Greenhouse Gas Emission Intensities for Material Inputs to Australian Agriculture, Fisheries and Forestry. Version 48. doi 10.5281/zenodo.19656580</v>
      </c>
      <c r="E6" s="14"/>
      <c r="F6" s="14"/>
      <c r="G6" s="14"/>
      <c r="H6" s="14"/>
      <c r="I6" s="14"/>
      <c r="J6" s="14"/>
      <c r="K6" s="14"/>
      <c r="L6" s="14"/>
      <c r="M6" s="14"/>
      <c r="N6" s="14"/>
      <c r="O6" s="14"/>
      <c r="P6" s="14"/>
      <c r="Q6" s="14"/>
    </row>
    <row r="7" spans="1:21" ht="20.100000000000001" customHeight="1" x14ac:dyDescent="0.25">
      <c r="A7" s="16" t="str">
        <f>HYPERLINK("#'Input - Site'!A1", "Site")</f>
        <v>Site</v>
      </c>
      <c r="C7" s="14"/>
      <c r="D7" s="14"/>
      <c r="E7" s="14"/>
      <c r="F7" s="14"/>
      <c r="G7" s="14"/>
      <c r="H7" s="14"/>
      <c r="I7" s="14"/>
      <c r="J7" s="14"/>
      <c r="K7" s="14"/>
      <c r="L7" s="14"/>
      <c r="M7" s="14"/>
      <c r="N7" s="14"/>
      <c r="O7" s="14"/>
      <c r="P7" s="14"/>
      <c r="Q7" s="14"/>
    </row>
    <row r="8" spans="1:21" ht="20.100000000000001" customHeight="1" x14ac:dyDescent="0.25">
      <c r="A8" s="16" t="str">
        <f>HYPERLINK("#'Input - Production'!A1", "Production and outputs")</f>
        <v>Production and outputs</v>
      </c>
      <c r="C8" s="14"/>
      <c r="D8" s="151" t="s">
        <v>423</v>
      </c>
      <c r="E8" s="151" t="s">
        <v>222</v>
      </c>
      <c r="F8" s="151" t="s">
        <v>424</v>
      </c>
      <c r="G8" s="151" t="s">
        <v>303</v>
      </c>
      <c r="H8" s="151" t="s">
        <v>175</v>
      </c>
      <c r="I8" s="151" t="s">
        <v>176</v>
      </c>
      <c r="J8" s="151" t="s">
        <v>304</v>
      </c>
      <c r="K8" s="151" t="s">
        <v>305</v>
      </c>
      <c r="L8" s="151" t="s">
        <v>306</v>
      </c>
      <c r="M8" s="152" t="s">
        <v>428</v>
      </c>
      <c r="N8" s="151" t="s">
        <v>308</v>
      </c>
      <c r="O8" s="151" t="s">
        <v>323</v>
      </c>
      <c r="P8" s="151" t="s">
        <v>309</v>
      </c>
      <c r="Q8" s="152" t="s">
        <v>310</v>
      </c>
      <c r="R8" s="152" t="s">
        <v>311</v>
      </c>
      <c r="S8" s="152" t="s">
        <v>312</v>
      </c>
      <c r="T8" s="151" t="s">
        <v>313</v>
      </c>
      <c r="U8" s="14"/>
    </row>
    <row r="9" spans="1:21" ht="20.100000000000001" customHeight="1" x14ac:dyDescent="0.25">
      <c r="A9" s="16" t="str">
        <f>HYPERLINK("#'Input - Herd - Dairy'!A1", "Herd - Dairy")</f>
        <v>Herd - Dairy</v>
      </c>
      <c r="C9" s="14"/>
      <c r="D9" s="3" t="str" cm="1">
        <f t="array" ref="D9">Common_InputFunctions.Utility_DisplayArrayInTable(Scope3_SourceData.Scope3_InorganicFertilisers_Data(), Table_Scope3_InorganicFertiliser_Old[[#Headers],[Category]], 0, 2)</f>
        <v>Inorganic fertilisers</v>
      </c>
      <c r="E9" s="3" t="str" cm="1">
        <f t="array" ref="E9">Common_InputFunctions.Utility_DisplayArrayInTable(Scope3_SourceData.Scope3_InorganicFertilisers_Data(), Table_Scope3_InorganicFertiliser_Old[[#Headers],[Category]], 0, 2)</f>
        <v>Ammonia, AU market mix</v>
      </c>
      <c r="F9" s="3" t="str" cm="1">
        <f t="array" ref="F9">Common_InputFunctions.Utility_DisplayArrayInTable(Scope3_SourceData.Scope3_InorganicFertilisers_Data(), Table_Scope3_InorganicFertiliser_Old[[#Headers],[Category]], 0, 2)</f>
        <v>Global</v>
      </c>
      <c r="G9" s="3" t="str">
        <f>'Constants - Fertiliser'!$D$37</f>
        <v>Ammonia</v>
      </c>
      <c r="I9" s="3" t="str">
        <f>'Constants - Fertiliser'!$V$20</f>
        <v>Global</v>
      </c>
      <c r="J9" s="3" cm="1">
        <f t="array" ref="J9">Fertiliser_InputFunctions.Fertiliser_TotalChemicalCompoundtAppliedBySourceAllIngredients(Table_Scope3_InorganicFertiliser_Old[[#This Row],[Chemical compound]],Table_Scope3_InorganicFertiliser_Old[[#This Row],[Ammonia source]],(Table_Input_InorganicFertiliser_Brands[Amount applied per hectare]*Table_Input_InorganicFertiliser_Brands[Density]),Table_Input_InorganicFertiliser_Brands[Ingredient 1],Table_Input_InorganicFertiliser_Brands[Ingredient 1 percent],Table_Input_InorganicFertiliser_Brands[Ammonia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Fertiliser_InputFunctions.Fertiliser_TotalChemicalCompoundtAppliedBySourceAllIngredients(Table_Scope3_InorganicFertiliser_Old[[#This Row],[Chemical compound]],Table_Scope3_InorganicFertiliser_Old[[#This Row],[Ammonia source]],Table_Input_InorganicFertiliser_Custom[Amount applied (kg / ha)],Table_Input_InorganicFertiliser_Custom[Ingredient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45</v>
      </c>
      <c r="K9" s="3" t="str" cm="1">
        <f t="array" ref="K9">Common_InputFunctions.Utility_DisplayArrayInTable(Scope3_SourceData.Scope3_InorganicFertilisers_Data(), Table_Scope3_InorganicFertiliser_Old[[#Headers],[Category]], 0, -2)</f>
        <v>kg</v>
      </c>
      <c r="L9" s="3" cm="1">
        <f t="array" ref="L9">Common_InputFunctions.Utility_DisplayArrayInTable(Scope3_SourceData.Scope3_InorganicFertilisers_Data(), Table_Scope3_InorganicFertiliser_Old[[#Headers],[Category]], 0, -2)</f>
        <v>2.3199999999999998</v>
      </c>
      <c r="M9" s="153"/>
      <c r="N9" s="3" t="str">
        <f>"kg CO2e / " &amp; Table_Scope3_InorganicFertiliser_Old[[#This Row],[Quantity Unit]]</f>
        <v>kg CO2e / kg</v>
      </c>
      <c r="O9" s="3">
        <f>Table_Scope3_InorganicFertiliser_Old[[#This Row],[Quantity]]*Table_Scope3_InorganicFertiliser_Old[[#This Row],[AusLCI Emissions intensity]]</f>
        <v>104.39999999999999</v>
      </c>
      <c r="P9"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104.39999999999999</v>
      </c>
      <c r="Q9" s="154"/>
      <c r="R9" s="48" t="s">
        <v>314</v>
      </c>
      <c r="S9" s="154"/>
      <c r="T9" s="155" cm="1">
        <f t="array" ref="T9">Common_InputFunctions.Utility_LookupValueInTableNumber(Table_Scope3_InorganicFertiliser_Old[[#This Row],[Custom emissions intensity source type (Select)]],#REF!,#REF!)</f>
        <v>0</v>
      </c>
      <c r="U9" s="14"/>
    </row>
    <row r="10" spans="1:21" ht="20.100000000000001" customHeight="1" x14ac:dyDescent="0.25">
      <c r="A10" s="16" t="str">
        <f>HYPERLINK("#'Input - Feed - Dairy'!A1", "Purchased feed - Livestock")</f>
        <v>Purchased feed - Livestock</v>
      </c>
      <c r="C10" s="14"/>
      <c r="D10" s="3" t="str" cm="1">
        <f t="array" ref="D10">Common_InputFunctions.Utility_DisplayArrayInTable(Scope3_SourceData.Scope3_InorganicFertilisers_Data(), Table_Scope3_InorganicFertiliser_Old[[#Headers],[Category]], 0, 2)</f>
        <v>Inorganic fertilisers</v>
      </c>
      <c r="E10" s="3" t="str" cm="1">
        <f t="array" ref="E10">Common_InputFunctions.Utility_DisplayArrayInTable(Scope3_SourceData.Scope3_InorganicFertilisers_Data(), Table_Scope3_InorganicFertiliser_Old[[#Headers],[Category]], 0, 2)</f>
        <v>Ammonia, Canada</v>
      </c>
      <c r="F10" s="3" t="str" cm="1">
        <f t="array" ref="F10">Common_InputFunctions.Utility_DisplayArrayInTable(Scope3_SourceData.Scope3_InorganicFertilisers_Data(), Table_Scope3_InorganicFertiliser_Old[[#Headers],[Category]], 0, 2)</f>
        <v>Canada</v>
      </c>
      <c r="G10" s="3" t="str">
        <f>'Constants - Fertiliser'!$D$37</f>
        <v>Ammonia</v>
      </c>
      <c r="I10" s="3" t="str">
        <f>'Constants - Fertiliser'!$V$21</f>
        <v>Canada</v>
      </c>
      <c r="J10" s="3" cm="1">
        <f t="array" ref="J10">Fertiliser_InputFunctions.Fertiliser_TotalChemicalCompoundtAppliedBySourceAllIngredients(Table_Scope3_InorganicFertiliser_Old[[#This Row],[Chemical compound]],Table_Scope3_InorganicFertiliser_Old[[#This Row],[Ammonia source]],(Table_Input_InorganicFertiliser_Brands[Amount applied per hectare]*Table_Input_InorganicFertiliser_Brands[Density]),Table_Input_InorganicFertiliser_Brands[Ingredient 1],Table_Input_InorganicFertiliser_Brands[Ingredient 1 percent],Table_Input_InorganicFertiliser_Brands[Ammonia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Fertiliser_InputFunctions.Fertiliser_TotalChemicalCompoundtAppliedBySourceAllIngredients(Table_Scope3_InorganicFertiliser_Old[[#This Row],[Chemical compound]],Table_Scope3_InorganicFertiliser_Old[[#This Row],[Ammonia source]],Table_Input_InorganicFertiliser_Custom[Amount applied (kg / ha)],Table_Input_InorganicFertiliser_Custom[Ingredient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v>
      </c>
      <c r="K10" s="3" t="str" cm="1">
        <f t="array" ref="K10">Common_InputFunctions.Utility_DisplayArrayInTable(Scope3_SourceData.Scope3_InorganicFertilisers_Data(), Table_Scope3_InorganicFertiliser_Old[[#Headers],[Category]], 0, -2)</f>
        <v>kg</v>
      </c>
      <c r="L10" s="3" cm="1">
        <f t="array" ref="L10">Common_InputFunctions.Utility_DisplayArrayInTable(Scope3_SourceData.Scope3_InorganicFertilisers_Data(), Table_Scope3_InorganicFertiliser_Old[[#Headers],[Category]], 0, -2)</f>
        <v>2.12</v>
      </c>
      <c r="M10" s="153"/>
      <c r="N10" s="3" t="str">
        <f>"kg CO2e / " &amp; Table_Scope3_InorganicFertiliser_Old[[#This Row],[Quantity Unit]]</f>
        <v>kg CO2e / kg</v>
      </c>
      <c r="O10" s="3">
        <f>Table_Scope3_InorganicFertiliser_Old[[#This Row],[Quantity]]*Table_Scope3_InorganicFertiliser_Old[[#This Row],[AusLCI Emissions intensity]]</f>
        <v>21.200000000000003</v>
      </c>
      <c r="P10"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21.200000000000003</v>
      </c>
      <c r="Q10" s="154"/>
      <c r="R10" s="156"/>
      <c r="S10" s="154"/>
      <c r="T10" s="157" cm="1">
        <f t="array" ref="T10">Common_InputFunctions.Utility_LookupValueInTableNumber(Table_Scope3_InorganicFertiliser_Old[[#This Row],[Custom emissions intensity source type (Select)]],#REF!,#REF!)</f>
        <v>0</v>
      </c>
      <c r="U10" s="14"/>
    </row>
    <row r="11" spans="1:21" ht="20.100000000000001" customHeight="1" x14ac:dyDescent="0.25">
      <c r="A11" s="16" t="str">
        <f>HYPERLINK("#'Input - Herd - Feedlot'!A1", "Herd - Feedlot")</f>
        <v>Herd - Feedlot</v>
      </c>
      <c r="C11" s="14"/>
      <c r="D11" s="3" t="str" cm="1">
        <f t="array" ref="D11">Common_InputFunctions.Utility_DisplayArrayInTable(Scope3_SourceData.Scope3_InorganicFertilisers_Data(), Table_Scope3_InorganicFertiliser_Old[[#Headers],[Category]], 0, 2)</f>
        <v>Inorganic fertilisers</v>
      </c>
      <c r="E11" s="3" t="str" cm="1">
        <f t="array" ref="E11">Common_InputFunctions.Utility_DisplayArrayInTable(Scope3_SourceData.Scope3_InorganicFertilisers_Data(), Table_Scope3_InorganicFertiliser_Old[[#Headers],[Category]], 0, 2)</f>
        <v>Ammonia, China</v>
      </c>
      <c r="F11" s="3" t="str" cm="1">
        <f t="array" ref="F11">Common_InputFunctions.Utility_DisplayArrayInTable(Scope3_SourceData.Scope3_InorganicFertilisers_Data(), Table_Scope3_InorganicFertiliser_Old[[#Headers],[Category]], 0, 2)</f>
        <v>China</v>
      </c>
      <c r="G11" s="3" t="str">
        <f>'Constants - Fertiliser'!$D$37</f>
        <v>Ammonia</v>
      </c>
      <c r="I11" s="3" t="str">
        <f>'Constants - Fertiliser'!$V$22</f>
        <v>China</v>
      </c>
      <c r="J11" s="3" cm="1">
        <f t="array" ref="J11">Fertiliser_InputFunctions.Fertiliser_TotalChemicalCompoundtAppliedBySourceAllIngredients(Table_Scope3_InorganicFertiliser_Old[[#This Row],[Chemical compound]],Table_Scope3_InorganicFertiliser_Old[[#This Row],[Ammonia source]],(Table_Input_InorganicFertiliser_Brands[Amount applied per hectare]*Table_Input_InorganicFertiliser_Brands[Density]),Table_Input_InorganicFertiliser_Brands[Ingredient 1],Table_Input_InorganicFertiliser_Brands[Ingredient 1 percent],Table_Input_InorganicFertiliser_Brands[Ammonia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Fertiliser_InputFunctions.Fertiliser_TotalChemicalCompoundtAppliedBySourceAllIngredients(Table_Scope3_InorganicFertiliser_Old[[#This Row],[Chemical compound]],Table_Scope3_InorganicFertiliser_Old[[#This Row],[Ammonia source]],Table_Input_InorganicFertiliser_Custom[Amount applied (kg / ha)],Table_Input_InorganicFertiliser_Custom[Ingredient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1" s="3" t="str" cm="1">
        <f t="array" ref="K11">Common_InputFunctions.Utility_DisplayArrayInTable(Scope3_SourceData.Scope3_InorganicFertilisers_Data(), Table_Scope3_InorganicFertiliser_Old[[#Headers],[Category]], 0, -2)</f>
        <v>kg</v>
      </c>
      <c r="L11" s="3" cm="1">
        <f t="array" ref="L11">Common_InputFunctions.Utility_DisplayArrayInTable(Scope3_SourceData.Scope3_InorganicFertilisers_Data(), Table_Scope3_InorganicFertiliser_Old[[#Headers],[Category]], 0, -2)</f>
        <v>4.17</v>
      </c>
      <c r="M11" s="153"/>
      <c r="N11" s="3" t="str">
        <f>"kg CO2e / " &amp; Table_Scope3_InorganicFertiliser_Old[[#This Row],[Quantity Unit]]</f>
        <v>kg CO2e / kg</v>
      </c>
      <c r="O11" s="3">
        <f>Table_Scope3_InorganicFertiliser_Old[[#This Row],[Quantity]]*Table_Scope3_InorganicFertiliser_Old[[#This Row],[AusLCI Emissions intensity]]</f>
        <v>0</v>
      </c>
      <c r="P11"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0</v>
      </c>
      <c r="Q11" s="154"/>
      <c r="R11" s="156"/>
      <c r="S11" s="154"/>
      <c r="T11" s="157" cm="1">
        <f t="array" ref="T11">Common_InputFunctions.Utility_LookupValueInTableNumber(Table_Scope3_InorganicFertiliser_Old[[#This Row],[Custom emissions intensity source type (Select)]],#REF!,#REF!)</f>
        <v>0</v>
      </c>
      <c r="U11" s="14"/>
    </row>
    <row r="12" spans="1:21" ht="20.100000000000001" customHeight="1" x14ac:dyDescent="0.25">
      <c r="A12" s="16" t="str">
        <f>HYPERLINK("#'Input - Pasture'!A1", "Pasture")</f>
        <v>Pasture</v>
      </c>
      <c r="C12" s="14"/>
      <c r="D12" s="3" t="str" cm="1">
        <f t="array" ref="D12">Common_InputFunctions.Utility_DisplayArrayInTable(Scope3_SourceData.Scope3_InorganicFertilisers_Data(), Table_Scope3_InorganicFertiliser_Old[[#Headers],[Category]], 0, 2)</f>
        <v>Inorganic fertilisers</v>
      </c>
      <c r="E12" s="3" t="str" cm="1">
        <f t="array" ref="E12">Common_InputFunctions.Utility_DisplayArrayInTable(Scope3_SourceData.Scope3_InorganicFertilisers_Data(), Table_Scope3_InorganicFertiliser_Old[[#Headers],[Category]], 0, 2)</f>
        <v>Ammonia, Yemen</v>
      </c>
      <c r="F12" s="3" t="str" cm="1">
        <f t="array" ref="F12">Common_InputFunctions.Utility_DisplayArrayInTable(Scope3_SourceData.Scope3_InorganicFertilisers_Data(), Table_Scope3_InorganicFertiliser_Old[[#Headers],[Category]], 0, 2)</f>
        <v>Yemen</v>
      </c>
      <c r="G12" s="3" t="str">
        <f>'Constants - Fertiliser'!$D$37</f>
        <v>Ammonia</v>
      </c>
      <c r="I12" s="3" t="str">
        <f>'Constants - Fertiliser'!$V$23</f>
        <v>Yemen</v>
      </c>
      <c r="J12" s="3" cm="1">
        <f t="array" ref="J12">Fertiliser_InputFunctions.Fertiliser_TotalChemicalCompoundtAppliedBySourceAllIngredients(Table_Scope3_InorganicFertiliser_Old[[#This Row],[Chemical compound]],Table_Scope3_InorganicFertiliser_Old[[#This Row],[Ammonia source]],(Table_Input_InorganicFertiliser_Brands[Amount applied per hectare]*Table_Input_InorganicFertiliser_Brands[Density]),Table_Input_InorganicFertiliser_Brands[Ingredient 1],Table_Input_InorganicFertiliser_Brands[Ingredient 1 percent],Table_Input_InorganicFertiliser_Brands[Ammonia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Fertiliser_InputFunctions.Fertiliser_TotalChemicalCompoundtAppliedBySourceAllIngredients(Table_Scope3_InorganicFertiliser_Old[[#This Row],[Chemical compound]],Table_Scope3_InorganicFertiliser_Old[[#This Row],[Ammonia source]],Table_Input_InorganicFertiliser_Custom[Amount applied (kg / ha)],Table_Input_InorganicFertiliser_Custom[Ingredient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2" s="3" t="str" cm="1">
        <f t="array" ref="K12">Common_InputFunctions.Utility_DisplayArrayInTable(Scope3_SourceData.Scope3_InorganicFertilisers_Data(), Table_Scope3_InorganicFertiliser_Old[[#Headers],[Category]], 0, -2)</f>
        <v>kg</v>
      </c>
      <c r="L12" s="3" cm="1">
        <f t="array" ref="L12">Common_InputFunctions.Utility_DisplayArrayInTable(Scope3_SourceData.Scope3_InorganicFertilisers_Data(), Table_Scope3_InorganicFertiliser_Old[[#Headers],[Category]], 0, -2)</f>
        <v>2.2599999999999998</v>
      </c>
      <c r="M12" s="153"/>
      <c r="N12" s="3" t="str">
        <f>"kg CO2e / " &amp; Table_Scope3_InorganicFertiliser_Old[[#This Row],[Quantity Unit]]</f>
        <v>kg CO2e / kg</v>
      </c>
      <c r="O12" s="3">
        <f>Table_Scope3_InorganicFertiliser_Old[[#This Row],[Quantity]]*Table_Scope3_InorganicFertiliser_Old[[#This Row],[AusLCI Emissions intensity]]</f>
        <v>0</v>
      </c>
      <c r="P12"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0</v>
      </c>
      <c r="Q12" s="154"/>
      <c r="R12" s="156"/>
      <c r="S12" s="154"/>
      <c r="T12" s="157" cm="1">
        <f t="array" ref="T12">Common_InputFunctions.Utility_LookupValueInTableNumber(Table_Scope3_InorganicFertiliser_Old[[#This Row],[Custom emissions intensity source type (Select)]],#REF!,#REF!)</f>
        <v>0</v>
      </c>
      <c r="U12" s="14"/>
    </row>
    <row r="13" spans="1:21" ht="20.100000000000001" customHeight="1" x14ac:dyDescent="0.25">
      <c r="A13" s="16" t="str">
        <f>HYPERLINK("#'Input - Grains'!A1", "Crop - Grains")</f>
        <v>Crop - Grains</v>
      </c>
      <c r="C13" s="14"/>
      <c r="D13" s="3" t="str" cm="1">
        <f t="array" ref="D13">Common_InputFunctions.Utility_DisplayArrayInTable(Scope3_SourceData.Scope3_InorganicFertilisers_Data(), Table_Scope3_InorganicFertiliser_Old[[#Headers],[Category]], 0, 2)</f>
        <v>Inorganic fertilisers</v>
      </c>
      <c r="E13" s="3" t="str" cm="1">
        <f t="array" ref="E13">Common_InputFunctions.Utility_DisplayArrayInTable(Scope3_SourceData.Scope3_InorganicFertilisers_Data(), Table_Scope3_InorganicFertiliser_Old[[#Headers],[Category]], 0, 2)</f>
        <v>Ammonium nitrate, AU market mix</v>
      </c>
      <c r="F13" s="3" t="str" cm="1">
        <f t="array" ref="F13">Common_InputFunctions.Utility_DisplayArrayInTable(Scope3_SourceData.Scope3_InorganicFertilisers_Data(), Table_Scope3_InorganicFertiliser_Old[[#Headers],[Category]], 0, 2)</f>
        <v>Global</v>
      </c>
      <c r="G13" s="3" t="str">
        <f>'Constants - Fertiliser'!$D$25</f>
        <v>Ammonium nitrate (AN)</v>
      </c>
      <c r="J13" s="3" cm="1">
        <f t="array" ref="J13">Fertiliser_InputFunctions.Fertiliser_TotalChemicalCompoundAppliedAllIngredients($G13,Table_Input_InorganicFertiliser_Brands[Total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3" s="3" t="str" cm="1">
        <f t="array" ref="K13">Common_InputFunctions.Utility_DisplayArrayInTable(Scope3_SourceData.Scope3_InorganicFertilisers_Data(), Table_Scope3_InorganicFertiliser_Old[[#Headers],[Category]], 0, -2)</f>
        <v>kg</v>
      </c>
      <c r="L13" s="3" cm="1">
        <f t="array" ref="L13">Common_InputFunctions.Utility_DisplayArrayInTable(Scope3_SourceData.Scope3_InorganicFertilisers_Data(), Table_Scope3_InorganicFertiliser_Old[[#Headers],[Category]], 0, -2)</f>
        <v>2.21</v>
      </c>
      <c r="M13" s="153"/>
      <c r="N13" s="3" t="str">
        <f>"kg CO2e / " &amp; Table_Scope3_InorganicFertiliser_Old[[#This Row],[Quantity Unit]]</f>
        <v>kg CO2e / kg</v>
      </c>
      <c r="O13" s="3">
        <f>Table_Scope3_InorganicFertiliser_Old[[#This Row],[Quantity]]*Table_Scope3_InorganicFertiliser_Old[[#This Row],[AusLCI Emissions intensity]]</f>
        <v>0</v>
      </c>
      <c r="P13"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0</v>
      </c>
      <c r="Q13" s="154"/>
      <c r="R13" s="156"/>
      <c r="S13" s="154"/>
      <c r="T13" s="157" cm="1">
        <f t="array" ref="T13">Common_InputFunctions.Utility_LookupValueInTableNumber(Table_Scope3_InorganicFertiliser_Old[[#This Row],[Custom emissions intensity source type (Select)]],#REF!,#REF!)</f>
        <v>0</v>
      </c>
      <c r="U13" s="14"/>
    </row>
    <row r="14" spans="1:21" ht="20.100000000000001" customHeight="1" x14ac:dyDescent="0.25">
      <c r="A14" s="16" t="str">
        <f>HYPERLINK("#'Input - Fert Lime Chem'!A1", "Fertiliser, Lime &amp; Chemicals")</f>
        <v>Fertiliser, Lime &amp; Chemicals</v>
      </c>
      <c r="C14" s="14"/>
      <c r="D14" s="3" t="str" cm="1">
        <f t="array" ref="D14">Common_InputFunctions.Utility_DisplayArrayInTable(Scope3_SourceData.Scope3_InorganicFertilisers_Data(), Table_Scope3_InorganicFertiliser_Old[[#Headers],[Category]], 0, 2)</f>
        <v>Inorganic fertilisers</v>
      </c>
      <c r="E14" s="3" t="str" cm="1">
        <f t="array" ref="E14">Common_InputFunctions.Utility_DisplayArrayInTable(Scope3_SourceData.Scope3_InorganicFertilisers_Data(), Table_Scope3_InorganicFertiliser_Old[[#Headers],[Category]], 0, 2)</f>
        <v>Calcium ammonium nitrate, AU market mix</v>
      </c>
      <c r="F14" s="3" t="str" cm="1">
        <f t="array" ref="F14">Common_InputFunctions.Utility_DisplayArrayInTable(Scope3_SourceData.Scope3_InorganicFertilisers_Data(), Table_Scope3_InorganicFertiliser_Old[[#Headers],[Category]], 0, 2)</f>
        <v>Global</v>
      </c>
      <c r="G14" s="3" t="str">
        <f>'Constants - Fertiliser'!$D$26</f>
        <v>Calcium ammonium nitrate (CAN)</v>
      </c>
      <c r="J14" s="3" cm="1">
        <f t="array" ref="J14">Fertiliser_InputFunctions.Fertiliser_TotalChemicalCompoundAppliedAllIngredients($G14,Table_Input_InorganicFertiliser_Brands[Total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4" s="3" t="str" cm="1">
        <f t="array" ref="K14">Common_InputFunctions.Utility_DisplayArrayInTable(Scope3_SourceData.Scope3_InorganicFertilisers_Data(), Table_Scope3_InorganicFertiliser_Old[[#Headers],[Category]], 0, -2)</f>
        <v>kg</v>
      </c>
      <c r="L14" s="3" cm="1">
        <f t="array" ref="L14">Common_InputFunctions.Utility_DisplayArrayInTable(Scope3_SourceData.Scope3_InorganicFertilisers_Data(), Table_Scope3_InorganicFertiliser_Old[[#Headers],[Category]], 0, -2)</f>
        <v>1.1499999999999999</v>
      </c>
      <c r="M14" s="153"/>
      <c r="N14" s="3" t="str">
        <f>"kg CO2e / " &amp; Table_Scope3_InorganicFertiliser_Old[[#This Row],[Quantity Unit]]</f>
        <v>kg CO2e / kg</v>
      </c>
      <c r="O14" s="3">
        <f>Table_Scope3_InorganicFertiliser_Old[[#This Row],[Quantity]]*Table_Scope3_InorganicFertiliser_Old[[#This Row],[AusLCI Emissions intensity]]</f>
        <v>0</v>
      </c>
      <c r="P14"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0</v>
      </c>
      <c r="Q14" s="154"/>
      <c r="R14" s="156"/>
      <c r="S14" s="154"/>
      <c r="T14" s="157" cm="1">
        <f t="array" ref="T14">Common_InputFunctions.Utility_LookupValueInTableNumber(Table_Scope3_InorganicFertiliser_Old[[#This Row],[Custom emissions intensity source type (Select)]],#REF!,#REF!)</f>
        <v>0</v>
      </c>
      <c r="U14" s="14"/>
    </row>
    <row r="15" spans="1:21" ht="20.100000000000001" customHeight="1" x14ac:dyDescent="0.25">
      <c r="A15" s="16" t="str">
        <f>HYPERLINK("#'Input - Fuel &amp; Energy'!A1", "Electricity and fuel")</f>
        <v>Electricity and fuel</v>
      </c>
      <c r="C15" s="14"/>
      <c r="D15" s="3" t="str" cm="1">
        <f t="array" ref="D15">Common_InputFunctions.Utility_DisplayArrayInTable(Scope3_SourceData.Scope3_InorganicFertilisers_Data(), Table_Scope3_InorganicFertiliser_Old[[#Headers],[Category]], 0, 2)</f>
        <v>Inorganic fertilisers</v>
      </c>
      <c r="E15" s="3" t="str" cm="1">
        <f t="array" ref="E15">Common_InputFunctions.Utility_DisplayArrayInTable(Scope3_SourceData.Scope3_InorganicFertilisers_Data(), Table_Scope3_InorganicFertiliser_Old[[#Headers],[Category]], 0, 2)</f>
        <v>Calcium nitrate</v>
      </c>
      <c r="F15" s="3" t="str" cm="1">
        <f t="array" ref="F15">Common_InputFunctions.Utility_DisplayArrayInTable(Scope3_SourceData.Scope3_InorganicFertilisers_Data(), Table_Scope3_InorganicFertiliser_Old[[#Headers],[Category]], 0, 2)</f>
        <v>Global</v>
      </c>
      <c r="G15" s="3" t="str">
        <f>'Constants - Fertiliser'!$D$38</f>
        <v>Calcium nitrate</v>
      </c>
      <c r="J15" s="3" cm="1">
        <f t="array" ref="J15">Fertiliser_InputFunctions.Fertiliser_TotalChemicalCompoundAppliedAllIngredients($G15,Table_Input_InorganicFertiliser_Brands[Total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3000</v>
      </c>
      <c r="K15" s="3" t="str" cm="1">
        <f t="array" ref="K15">Common_InputFunctions.Utility_DisplayArrayInTable(Scope3_SourceData.Scope3_InorganicFertilisers_Data(), Table_Scope3_InorganicFertiliser_Old[[#Headers],[Category]], 0, -2)</f>
        <v>kg</v>
      </c>
      <c r="L15" s="3" cm="1">
        <f t="array" ref="L15">Common_InputFunctions.Utility_DisplayArrayInTable(Scope3_SourceData.Scope3_InorganicFertilisers_Data(), Table_Scope3_InorganicFertiliser_Old[[#Headers],[Category]], 0, -2)</f>
        <v>0.75</v>
      </c>
      <c r="M15" s="153"/>
      <c r="N15" s="3" t="str">
        <f>"kg CO2e / " &amp; Table_Scope3_InorganicFertiliser_Old[[#This Row],[Quantity Unit]]</f>
        <v>kg CO2e / kg</v>
      </c>
      <c r="O15" s="3">
        <f>Table_Scope3_InorganicFertiliser_Old[[#This Row],[Quantity]]*Table_Scope3_InorganicFertiliser_Old[[#This Row],[AusLCI Emissions intensity]]</f>
        <v>2250</v>
      </c>
      <c r="P15"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2250</v>
      </c>
      <c r="Q15" s="154"/>
      <c r="R15" s="156"/>
      <c r="S15" s="154"/>
      <c r="T15" s="157" cm="1">
        <f t="array" ref="T15">Common_InputFunctions.Utility_LookupValueInTableNumber(Table_Scope3_InorganicFertiliser_Old[[#This Row],[Custom emissions intensity source type (Select)]],#REF!,#REF!)</f>
        <v>0</v>
      </c>
      <c r="U15" s="14"/>
    </row>
    <row r="16" spans="1:21" ht="20.100000000000001" customHeight="1" x14ac:dyDescent="0.25">
      <c r="A16" s="52" t="s">
        <v>315</v>
      </c>
      <c r="C16" s="14"/>
      <c r="D16" s="3" t="str" cm="1">
        <f t="array" ref="D16">Common_InputFunctions.Utility_DisplayArrayInTable(Scope3_SourceData.Scope3_InorganicFertilisers_Data(), Table_Scope3_InorganicFertiliser_Old[[#Headers],[Category]], 0, 2)</f>
        <v>Inorganic fertilisers</v>
      </c>
      <c r="E16" s="3" t="str" cm="1">
        <f t="array" ref="E16">Common_InputFunctions.Utility_DisplayArrayInTable(Scope3_SourceData.Scope3_InorganicFertilisers_Data(), Table_Scope3_InorganicFertiliser_Old[[#Headers],[Category]], 0, 2)</f>
        <v>Diammonium phosphate, AU market mix</v>
      </c>
      <c r="F16" s="3" t="str" cm="1">
        <f t="array" ref="F16">Common_InputFunctions.Utility_DisplayArrayInTable(Scope3_SourceData.Scope3_InorganicFertilisers_Data(), Table_Scope3_InorganicFertiliser_Old[[#Headers],[Category]], 0, 2)</f>
        <v>Global</v>
      </c>
      <c r="G16" s="3" t="str">
        <f>'Constants - Fertiliser'!$D$21</f>
        <v>Diammonium phosphate (DAP)</v>
      </c>
      <c r="J16" s="3" cm="1">
        <f t="array" ref="J16">Fertiliser_InputFunctions.Fertiliser_TotalChemicalCompoundAppliedAllIngredients($G16,Table_Input_InorganicFertiliser_Brands[Total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6" s="3" t="str" cm="1">
        <f t="array" ref="K16">Common_InputFunctions.Utility_DisplayArrayInTable(Scope3_SourceData.Scope3_InorganicFertilisers_Data(), Table_Scope3_InorganicFertiliser_Old[[#Headers],[Category]], 0, -2)</f>
        <v>kg</v>
      </c>
      <c r="L16" s="3" cm="1">
        <f t="array" ref="L16">Common_InputFunctions.Utility_DisplayArrayInTable(Scope3_SourceData.Scope3_InorganicFertilisers_Data(), Table_Scope3_InorganicFertiliser_Old[[#Headers],[Category]], 0, -2)</f>
        <v>1.34</v>
      </c>
      <c r="M16" s="153"/>
      <c r="N16" s="3" t="str">
        <f>"kg CO2e / " &amp; Table_Scope3_InorganicFertiliser_Old[[#This Row],[Quantity Unit]]</f>
        <v>kg CO2e / kg</v>
      </c>
      <c r="O16" s="3">
        <f>Table_Scope3_InorganicFertiliser_Old[[#This Row],[Quantity]]*Table_Scope3_InorganicFertiliser_Old[[#This Row],[AusLCI Emissions intensity]]</f>
        <v>0</v>
      </c>
      <c r="P16"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0</v>
      </c>
      <c r="Q16" s="154"/>
      <c r="R16" s="156"/>
      <c r="S16" s="154"/>
      <c r="T16" s="157" cm="1">
        <f t="array" ref="T16">Common_InputFunctions.Utility_LookupValueInTableNumber(Table_Scope3_InorganicFertiliser_Old[[#This Row],[Custom emissions intensity source type (Select)]],#REF!,#REF!)</f>
        <v>0</v>
      </c>
      <c r="U16" s="14"/>
    </row>
    <row r="17" spans="1:21" ht="20.100000000000001" customHeight="1" x14ac:dyDescent="0.25">
      <c r="A17" s="52" t="s">
        <v>316</v>
      </c>
      <c r="C17" s="14"/>
      <c r="D17" s="3" t="str" cm="1">
        <f t="array" ref="D17">Common_InputFunctions.Utility_DisplayArrayInTable(Scope3_SourceData.Scope3_InorganicFertilisers_Data(), Table_Scope3_InorganicFertiliser_Old[[#Headers],[Category]], 0, 2)</f>
        <v>Inorganic fertilisers</v>
      </c>
      <c r="E17" s="3" t="str" cm="1">
        <f t="array" ref="E17">Common_InputFunctions.Utility_DisplayArrayInTable(Scope3_SourceData.Scope3_InorganicFertilisers_Data(), Table_Scope3_InorganicFertiliser_Old[[#Headers],[Category]], 0, 2)</f>
        <v>Double superphosphate, AU market mix</v>
      </c>
      <c r="F17" s="3" t="str" cm="1">
        <f t="array" ref="F17">Common_InputFunctions.Utility_DisplayArrayInTable(Scope3_SourceData.Scope3_InorganicFertilisers_Data(), Table_Scope3_InorganicFertiliser_Old[[#Headers],[Category]], 0, 2)</f>
        <v>Global</v>
      </c>
      <c r="G17" s="3" t="str">
        <f>'Constants - Fertiliser'!$D$35</f>
        <v>Double superphosphate</v>
      </c>
      <c r="J17" s="3" cm="1">
        <f t="array" ref="J17">Fertiliser_InputFunctions.Fertiliser_TotalChemicalCompoundAppliedAllIngredients($G17,Table_Input_InorganicFertiliser_Brands[Total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7" s="3" t="str" cm="1">
        <f t="array" ref="K17">Common_InputFunctions.Utility_DisplayArrayInTable(Scope3_SourceData.Scope3_InorganicFertilisers_Data(), Table_Scope3_InorganicFertiliser_Old[[#Headers],[Category]], 0, -2)</f>
        <v>kg</v>
      </c>
      <c r="L17" s="3" cm="1">
        <f t="array" ref="L17">Common_InputFunctions.Utility_DisplayArrayInTable(Scope3_SourceData.Scope3_InorganicFertilisers_Data(), Table_Scope3_InorganicFertiliser_Old[[#Headers],[Category]], 0, -2)</f>
        <v>0.39200000000000002</v>
      </c>
      <c r="M17" s="153"/>
      <c r="N17" s="3" t="str">
        <f>"kg CO2e / " &amp; Table_Scope3_InorganicFertiliser_Old[[#This Row],[Quantity Unit]]</f>
        <v>kg CO2e / kg</v>
      </c>
      <c r="O17" s="3">
        <f>Table_Scope3_InorganicFertiliser_Old[[#This Row],[Quantity]]*Table_Scope3_InorganicFertiliser_Old[[#This Row],[AusLCI Emissions intensity]]</f>
        <v>0</v>
      </c>
      <c r="P17"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0</v>
      </c>
      <c r="Q17" s="154"/>
      <c r="R17" s="156"/>
      <c r="S17" s="154"/>
      <c r="T17" s="157" cm="1">
        <f t="array" ref="T17">Common_InputFunctions.Utility_LookupValueInTableNumber(Table_Scope3_InorganicFertiliser_Old[[#This Row],[Custom emissions intensity source type (Select)]],#REF!,#REF!)</f>
        <v>0</v>
      </c>
      <c r="U17" s="14"/>
    </row>
    <row r="18" spans="1:21" ht="20.100000000000001" customHeight="1" x14ac:dyDescent="0.25">
      <c r="A18" s="16" t="str">
        <f>HYPERLINK("#'Input - Other Farm Inputs'!A1", "Other farm inputs")</f>
        <v>Other farm inputs</v>
      </c>
      <c r="C18" s="14"/>
      <c r="D18" s="3" t="str" cm="1">
        <f t="array" ref="D18">Common_InputFunctions.Utility_DisplayArrayInTable(Scope3_SourceData.Scope3_InorganicFertilisers_Data(), Table_Scope3_InorganicFertiliser_Old[[#Headers],[Category]], 0, 2)</f>
        <v>Inorganic fertilisers</v>
      </c>
      <c r="E18" s="3" t="str" cm="1">
        <f t="array" ref="E18">Common_InputFunctions.Utility_DisplayArrayInTable(Scope3_SourceData.Scope3_InorganicFertilisers_Data(), Table_Scope3_InorganicFertiliser_Old[[#Headers],[Category]], 0, 2)</f>
        <v>Monoammonium phosphate, AU market mix</v>
      </c>
      <c r="F18" s="3" t="str" cm="1">
        <f t="array" ref="F18">Common_InputFunctions.Utility_DisplayArrayInTable(Scope3_SourceData.Scope3_InorganicFertilisers_Data(), Table_Scope3_InorganicFertiliser_Old[[#Headers],[Category]], 0, 2)</f>
        <v>Global</v>
      </c>
      <c r="G18" s="3" t="str">
        <f>'Constants - Fertiliser'!$D$20</f>
        <v>Monoammonium phosphate (MAP)</v>
      </c>
      <c r="J18" s="3" cm="1">
        <f t="array" ref="J18">Fertiliser_InputFunctions.Fertiliser_TotalChemicalCompoundAppliedAllIngredients($G18,Table_Input_InorganicFertiliser_Brands[Total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8" s="3" t="str" cm="1">
        <f t="array" ref="K18">Common_InputFunctions.Utility_DisplayArrayInTable(Scope3_SourceData.Scope3_InorganicFertilisers_Data(), Table_Scope3_InorganicFertiliser_Old[[#Headers],[Category]], 0, -2)</f>
        <v>kg</v>
      </c>
      <c r="L18" s="3" cm="1">
        <f t="array" ref="L18">Common_InputFunctions.Utility_DisplayArrayInTable(Scope3_SourceData.Scope3_InorganicFertilisers_Data(), Table_Scope3_InorganicFertiliser_Old[[#Headers],[Category]], 0, -2)</f>
        <v>0.82699999999999996</v>
      </c>
      <c r="M18" s="153"/>
      <c r="N18" s="3" t="str">
        <f>"kg CO2e / " &amp; Table_Scope3_InorganicFertiliser_Old[[#This Row],[Quantity Unit]]</f>
        <v>kg CO2e / kg</v>
      </c>
      <c r="O18" s="3">
        <f>Table_Scope3_InorganicFertiliser_Old[[#This Row],[Quantity]]*Table_Scope3_InorganicFertiliser_Old[[#This Row],[AusLCI Emissions intensity]]</f>
        <v>0</v>
      </c>
      <c r="P18"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0</v>
      </c>
      <c r="Q18" s="154"/>
      <c r="R18" s="156"/>
      <c r="S18" s="154"/>
      <c r="T18" s="157" cm="1">
        <f t="array" ref="T18">Common_InputFunctions.Utility_LookupValueInTableNumber(Table_Scope3_InorganicFertiliser_Old[[#This Row],[Custom emissions intensity source type (Select)]],#REF!,#REF!)</f>
        <v>0</v>
      </c>
      <c r="U18" s="14"/>
    </row>
    <row r="19" spans="1:21" ht="20.100000000000001" customHeight="1" x14ac:dyDescent="0.25">
      <c r="A19" s="16" t="str">
        <f>HYPERLINK("#'Input - Data quality'!A1", "Data quality")</f>
        <v>Data quality</v>
      </c>
      <c r="C19" s="14"/>
      <c r="D19" s="3" t="str" cm="1">
        <f t="array" ref="D19">Common_InputFunctions.Utility_DisplayArrayInTable(Scope3_SourceData.Scope3_InorganicFertilisers_Data(), Table_Scope3_InorganicFertiliser_Old[[#Headers],[Category]], 0, 2)</f>
        <v>Inorganic fertilisers</v>
      </c>
      <c r="E19" s="3" t="str" cm="1">
        <f t="array" ref="E19">Common_InputFunctions.Utility_DisplayArrayInTable(Scope3_SourceData.Scope3_InorganicFertilisers_Data(), Table_Scope3_InorganicFertiliser_Old[[#Headers],[Category]], 0, 2)</f>
        <v>Muriate of potash, AU market mix</v>
      </c>
      <c r="F19" s="3" t="str" cm="1">
        <f t="array" ref="F19">Common_InputFunctions.Utility_DisplayArrayInTable(Scope3_SourceData.Scope3_InorganicFertilisers_Data(), Table_Scope3_InorganicFertiliser_Old[[#Headers],[Category]], 0, 2)</f>
        <v>Global</v>
      </c>
      <c r="G19" s="3" t="str">
        <f>'Constants - Fertiliser'!$D$34</f>
        <v>Muriate of potash (MOP)</v>
      </c>
      <c r="J19" s="3" cm="1">
        <f t="array" ref="J19">Fertiliser_InputFunctions.Fertiliser_TotalChemicalCompoundAppliedAllIngredients($G19,Table_Input_InorganicFertiliser_Brands[Total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9" s="3" t="str" cm="1">
        <f t="array" ref="K19">Common_InputFunctions.Utility_DisplayArrayInTable(Scope3_SourceData.Scope3_InorganicFertilisers_Data(), Table_Scope3_InorganicFertiliser_Old[[#Headers],[Category]], 0, -2)</f>
        <v>kg</v>
      </c>
      <c r="L19" s="3" cm="1">
        <f t="array" ref="L19">Common_InputFunctions.Utility_DisplayArrayInTable(Scope3_SourceData.Scope3_InorganicFertilisers_Data(), Table_Scope3_InorganicFertiliser_Old[[#Headers],[Category]], 0, -2)</f>
        <v>0.54900000000000004</v>
      </c>
      <c r="M19" s="153"/>
      <c r="N19" s="3" t="str">
        <f>"kg CO2e / " &amp; Table_Scope3_InorganicFertiliser_Old[[#This Row],[Quantity Unit]]</f>
        <v>kg CO2e / kg</v>
      </c>
      <c r="O19" s="3">
        <f>Table_Scope3_InorganicFertiliser_Old[[#This Row],[Quantity]]*Table_Scope3_InorganicFertiliser_Old[[#This Row],[AusLCI Emissions intensity]]</f>
        <v>0</v>
      </c>
      <c r="P19"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0</v>
      </c>
      <c r="Q19" s="154"/>
      <c r="R19" s="156"/>
      <c r="S19" s="154"/>
      <c r="T19" s="157" cm="1">
        <f t="array" ref="T19">Common_InputFunctions.Utility_LookupValueInTableNumber(Table_Scope3_InorganicFertiliser_Old[[#This Row],[Custom emissions intensity source type (Select)]],#REF!,#REF!)</f>
        <v>0</v>
      </c>
      <c r="U19" s="14"/>
    </row>
    <row r="20" spans="1:21" ht="20.100000000000001" customHeight="1" x14ac:dyDescent="0.25">
      <c r="C20" s="14"/>
      <c r="D20" s="3" t="str" cm="1">
        <f t="array" ref="D20">Common_InputFunctions.Utility_DisplayArrayInTable(Scope3_SourceData.Scope3_InorganicFertilisers_Data(), Table_Scope3_InorganicFertiliser_Old[[#Headers],[Category]], 0, 2)</f>
        <v>Inorganic fertilisers</v>
      </c>
      <c r="E20" s="3" t="str" cm="1">
        <f t="array" ref="E20">Common_InputFunctions.Utility_DisplayArrayInTable(Scope3_SourceData.Scope3_InorganicFertilisers_Data(), Table_Scope3_InorganicFertiliser_Old[[#Headers],[Category]], 0, 2)</f>
        <v>Nitrogen from ammonia, AU market mix</v>
      </c>
      <c r="F20" s="3" t="str" cm="1">
        <f t="array" ref="F20">Common_InputFunctions.Utility_DisplayArrayInTable(Scope3_SourceData.Scope3_InorganicFertilisers_Data(), Table_Scope3_InorganicFertiliser_Old[[#Headers],[Category]], 0, 2)</f>
        <v>Global</v>
      </c>
      <c r="G20" s="3" t="str">
        <f>'Constants - Fertiliser'!$D$27</f>
        <v>Nitrogen - Ammoniacal</v>
      </c>
      <c r="J20" s="3" cm="1">
        <f t="array" ref="J20">Fertiliser_InputFunctions.Fertiliser_TotalChemicalCompoundAppliedAllIngredients($G20,Table_Input_InorganicFertiliser_Brands[Total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0" s="3" t="str" cm="1">
        <f t="array" ref="K20">Common_InputFunctions.Utility_DisplayArrayInTable(Scope3_SourceData.Scope3_InorganicFertilisers_Data(), Table_Scope3_InorganicFertiliser_Old[[#Headers],[Category]], 0, -2)</f>
        <v>kg N</v>
      </c>
      <c r="L20" s="3" cm="1">
        <f t="array" ref="L20">Common_InputFunctions.Utility_DisplayArrayInTable(Scope3_SourceData.Scope3_InorganicFertilisers_Data(), Table_Scope3_InorganicFertiliser_Old[[#Headers],[Category]], 0, -2)</f>
        <v>2.83</v>
      </c>
      <c r="M20" s="153"/>
      <c r="N20" s="3" t="str">
        <f>"kg CO2e / " &amp; Table_Scope3_InorganicFertiliser_Old[[#This Row],[Quantity Unit]]</f>
        <v>kg CO2e / kg N</v>
      </c>
      <c r="O20" s="3">
        <f>Table_Scope3_InorganicFertiliser_Old[[#This Row],[Quantity]]*Table_Scope3_InorganicFertiliser_Old[[#This Row],[AusLCI Emissions intensity]]</f>
        <v>0</v>
      </c>
      <c r="P20"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0</v>
      </c>
      <c r="Q20" s="154"/>
      <c r="R20" s="156"/>
      <c r="S20" s="154"/>
      <c r="T20" s="157" cm="1">
        <f t="array" ref="T20">Common_InputFunctions.Utility_LookupValueInTableNumber(Table_Scope3_InorganicFertiliser_Old[[#This Row],[Custom emissions intensity source type (Select)]],#REF!,#REF!)</f>
        <v>0</v>
      </c>
      <c r="U20" s="14"/>
    </row>
    <row r="21" spans="1:21" ht="20.100000000000001" customHeight="1" x14ac:dyDescent="0.25">
      <c r="A21" s="21" t="s">
        <v>77</v>
      </c>
      <c r="C21" s="14"/>
      <c r="D21" s="3" t="str" cm="1">
        <f t="array" ref="D21">Common_InputFunctions.Utility_DisplayArrayInTable(Scope3_SourceData.Scope3_InorganicFertilisers_Data(), Table_Scope3_InorganicFertiliser_Old[[#Headers],[Category]], 0, 2)</f>
        <v>Inorganic fertilisers</v>
      </c>
      <c r="E21" s="3" t="str" cm="1">
        <f t="array" ref="E21">Common_InputFunctions.Utility_DisplayArrayInTable(Scope3_SourceData.Scope3_InorganicFertilisers_Data(), Table_Scope3_InorganicFertiliser_Old[[#Headers],[Category]], 0, 2)</f>
        <v>Nitrogen from fertilizer, AU market mix</v>
      </c>
      <c r="F21" s="3" t="str" cm="1">
        <f t="array" ref="F21">Common_InputFunctions.Utility_DisplayArrayInTable(Scope3_SourceData.Scope3_InorganicFertilisers_Data(), Table_Scope3_InorganicFertiliser_Old[[#Headers],[Category]], 0, 2)</f>
        <v>Global</v>
      </c>
      <c r="G21" s="3" t="str">
        <f>'Constants - Fertiliser'!$D$29</f>
        <v>Nitrogen - Generic</v>
      </c>
      <c r="J21" s="3" cm="1">
        <f t="array" ref="J21">Fertiliser_InputFunctions.Fertiliser_TotalChemicalCompoundAppliedAllIngredients($G21,Table_Input_InorganicFertiliser_Brands[Total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729.00000000000011</v>
      </c>
      <c r="K21" s="3" t="str" cm="1">
        <f t="array" ref="K21">Common_InputFunctions.Utility_DisplayArrayInTable(Scope3_SourceData.Scope3_InorganicFertilisers_Data(), Table_Scope3_InorganicFertiliser_Old[[#Headers],[Category]], 0, -2)</f>
        <v>kg N</v>
      </c>
      <c r="L21" s="3" cm="1">
        <f t="array" ref="L21">Common_InputFunctions.Utility_DisplayArrayInTable(Scope3_SourceData.Scope3_InorganicFertilisers_Data(), Table_Scope3_InorganicFertiliser_Old[[#Headers],[Category]], 0, -2)</f>
        <v>4.2</v>
      </c>
      <c r="M21" s="153">
        <v>4</v>
      </c>
      <c r="N21" s="3" t="str">
        <f>"kg CO2e / " &amp; Table_Scope3_InorganicFertiliser_Old[[#This Row],[Quantity Unit]]</f>
        <v>kg CO2e / kg N</v>
      </c>
      <c r="O21" s="3">
        <f>Table_Scope3_InorganicFertiliser_Old[[#This Row],[Quantity]]*Table_Scope3_InorganicFertiliser_Old[[#This Row],[AusLCI Emissions intensity]]</f>
        <v>3061.8000000000006</v>
      </c>
      <c r="P21"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2916.0000000000005</v>
      </c>
      <c r="Q21" s="154"/>
      <c r="R21" s="156"/>
      <c r="S21" s="154"/>
      <c r="T21" s="157" cm="1">
        <f t="array" ref="T21">Common_InputFunctions.Utility_LookupValueInTableNumber(Table_Scope3_InorganicFertiliser_Old[[#This Row],[Custom emissions intensity source type (Select)]],#REF!,#REF!)</f>
        <v>0</v>
      </c>
      <c r="U21" s="14"/>
    </row>
    <row r="22" spans="1:21" ht="20.100000000000001" customHeight="1" x14ac:dyDescent="0.25">
      <c r="A22" s="52" t="s">
        <v>317</v>
      </c>
      <c r="C22" s="14"/>
      <c r="D22" s="3" t="str" cm="1">
        <f t="array" ref="D22">Common_InputFunctions.Utility_DisplayArrayInTable(Scope3_SourceData.Scope3_InorganicFertilisers_Data(), Table_Scope3_InorganicFertiliser_Old[[#Headers],[Category]], 0, 2)</f>
        <v>Inorganic fertilisers</v>
      </c>
      <c r="E22" s="3" t="str" cm="1">
        <f t="array" ref="E22">Common_InputFunctions.Utility_DisplayArrayInTable(Scope3_SourceData.Scope3_InorganicFertilisers_Data(), Table_Scope3_InorganicFertiliser_Old[[#Headers],[Category]], 0, 2)</f>
        <v>Nitrogen from nitrate fertilizer, AU market mix</v>
      </c>
      <c r="F22" s="3" t="str" cm="1">
        <f t="array" ref="F22">Common_InputFunctions.Utility_DisplayArrayInTable(Scope3_SourceData.Scope3_InorganicFertilisers_Data(), Table_Scope3_InorganicFertiliser_Old[[#Headers],[Category]], 0, 2)</f>
        <v>Global</v>
      </c>
      <c r="G22" s="3" t="str">
        <f>'Constants - Fertiliser'!$D$28</f>
        <v>Nitrogen - Nitrate</v>
      </c>
      <c r="J22" s="3" cm="1">
        <f t="array" ref="J22">Fertiliser_InputFunctions.Fertiliser_TotalChemicalCompoundAppliedAllIngredients($G22,Table_Input_InorganicFertiliser_Brands[Total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2" s="3" t="str" cm="1">
        <f t="array" ref="K22">Common_InputFunctions.Utility_DisplayArrayInTable(Scope3_SourceData.Scope3_InorganicFertilisers_Data(), Table_Scope3_InorganicFertiliser_Old[[#Headers],[Category]], 0, -2)</f>
        <v>kg N</v>
      </c>
      <c r="L22" s="3" cm="1">
        <f t="array" ref="L22">Common_InputFunctions.Utility_DisplayArrayInTable(Scope3_SourceData.Scope3_InorganicFertilisers_Data(), Table_Scope3_InorganicFertiliser_Old[[#Headers],[Category]], 0, -2)</f>
        <v>5.47</v>
      </c>
      <c r="M22" s="153"/>
      <c r="N22" s="3" t="str">
        <f>"kg CO2e / " &amp; Table_Scope3_InorganicFertiliser_Old[[#This Row],[Quantity Unit]]</f>
        <v>kg CO2e / kg N</v>
      </c>
      <c r="O22" s="3">
        <f>Table_Scope3_InorganicFertiliser_Old[[#This Row],[Quantity]]*Table_Scope3_InorganicFertiliser_Old[[#This Row],[AusLCI Emissions intensity]]</f>
        <v>0</v>
      </c>
      <c r="P22"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0</v>
      </c>
      <c r="Q22" s="154"/>
      <c r="R22" s="156"/>
      <c r="S22" s="154"/>
      <c r="T22" s="157" cm="1">
        <f t="array" ref="T22">Common_InputFunctions.Utility_LookupValueInTableNumber(Table_Scope3_InorganicFertiliser_Old[[#This Row],[Custom emissions intensity source type (Select)]],#REF!,#REF!)</f>
        <v>0</v>
      </c>
      <c r="U22" s="14"/>
    </row>
    <row r="23" spans="1:21" ht="20.100000000000001" customHeight="1" x14ac:dyDescent="0.25">
      <c r="A23" s="52" t="s">
        <v>318</v>
      </c>
      <c r="C23" s="14"/>
      <c r="D23" s="3" t="str" cm="1">
        <f t="array" ref="D23">Common_InputFunctions.Utility_DisplayArrayInTable(Scope3_SourceData.Scope3_InorganicFertilisers_Data(), Table_Scope3_InorganicFertiliser_Old[[#Headers],[Category]], 0, 2)</f>
        <v>Inorganic fertilisers</v>
      </c>
      <c r="E23" s="3" t="str" cm="1">
        <f t="array" ref="E23">Common_InputFunctions.Utility_DisplayArrayInTable(Scope3_SourceData.Scope3_InorganicFertilisers_Data(), Table_Scope3_InorganicFertiliser_Old[[#Headers],[Category]], 0, 2)</f>
        <v>Phosphorus from fertilizer, AU market mix</v>
      </c>
      <c r="F23" s="3" t="str" cm="1">
        <f t="array" ref="F23">Common_InputFunctions.Utility_DisplayArrayInTable(Scope3_SourceData.Scope3_InorganicFertilisers_Data(), Table_Scope3_InorganicFertiliser_Old[[#Headers],[Category]], 0, 2)</f>
        <v>Global</v>
      </c>
      <c r="G23" s="3" t="str">
        <f>'Constants - Fertiliser'!$D$30</f>
        <v>Phosphorus - Generic</v>
      </c>
      <c r="J23" s="3" cm="1">
        <f t="array" ref="J23">Fertiliser_InputFunctions.Fertiliser_TotalChemicalCompoundAppliedAllIngredients($G23,Table_Input_InorganicFertiliser_Brands[Total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1040</v>
      </c>
      <c r="K23" s="3" t="str" cm="1">
        <f t="array" ref="K23">Common_InputFunctions.Utility_DisplayArrayInTable(Scope3_SourceData.Scope3_InorganicFertilisers_Data(), Table_Scope3_InorganicFertiliser_Old[[#Headers],[Category]], 0, -2)</f>
        <v>kg P</v>
      </c>
      <c r="L23" s="3" cm="1">
        <f t="array" ref="L23">Common_InputFunctions.Utility_DisplayArrayInTable(Scope3_SourceData.Scope3_InorganicFertilisers_Data(), Table_Scope3_InorganicFertiliser_Old[[#Headers],[Category]], 0, -2)</f>
        <v>3.96</v>
      </c>
      <c r="M23" s="153"/>
      <c r="N23" s="3" t="str">
        <f>"kg CO2e / " &amp; Table_Scope3_InorganicFertiliser_Old[[#This Row],[Quantity Unit]]</f>
        <v>kg CO2e / kg P</v>
      </c>
      <c r="O23" s="3">
        <f>Table_Scope3_InorganicFertiliser_Old[[#This Row],[Quantity]]*Table_Scope3_InorganicFertiliser_Old[[#This Row],[AusLCI Emissions intensity]]</f>
        <v>4118.3999999999996</v>
      </c>
      <c r="P23"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4118.3999999999996</v>
      </c>
      <c r="Q23" s="154"/>
      <c r="R23" s="156"/>
      <c r="S23" s="154"/>
      <c r="T23" s="157" cm="1">
        <f t="array" ref="T23">Common_InputFunctions.Utility_LookupValueInTableNumber(Table_Scope3_InorganicFertiliser_Old[[#This Row],[Custom emissions intensity source type (Select)]],#REF!,#REF!)</f>
        <v>0</v>
      </c>
      <c r="U23" s="14"/>
    </row>
    <row r="24" spans="1:21" ht="20.100000000000001" customHeight="1" x14ac:dyDescent="0.25">
      <c r="A24" s="16" t="str">
        <f>HYPERLINK("#'Calcs - Fert Lime'!A1", "Fertiliser &amp; soil amendments")</f>
        <v>Fertiliser &amp; soil amendments</v>
      </c>
      <c r="C24" s="14"/>
      <c r="D24" s="3" t="str" cm="1">
        <f t="array" ref="D24">Common_InputFunctions.Utility_DisplayArrayInTable(Scope3_SourceData.Scope3_InorganicFertilisers_Data(), Table_Scope3_InorganicFertiliser_Old[[#Headers],[Category]], 0, 2)</f>
        <v>Inorganic fertilisers</v>
      </c>
      <c r="E24" s="3" t="str" cm="1">
        <f t="array" ref="E24">Common_InputFunctions.Utility_DisplayArrayInTable(Scope3_SourceData.Scope3_InorganicFertilisers_Data(), Table_Scope3_InorganicFertiliser_Old[[#Headers],[Category]], 0, 2)</f>
        <v>Potassium from fertilizer, AU market mix</v>
      </c>
      <c r="F24" s="3" t="str" cm="1">
        <f t="array" ref="F24">Common_InputFunctions.Utility_DisplayArrayInTable(Scope3_SourceData.Scope3_InorganicFertilisers_Data(), Table_Scope3_InorganicFertiliser_Old[[#Headers],[Category]], 0, 2)</f>
        <v>Global</v>
      </c>
      <c r="G24" s="3" t="str">
        <f>'Constants - Fertiliser'!$D$31</f>
        <v>Potassium - Generic</v>
      </c>
      <c r="J24" s="3" cm="1">
        <f t="array" ref="J24">Fertiliser_InputFunctions.Fertiliser_TotalChemicalCompoundAppliedAllIngredients($G24,Table_Input_InorganicFertiliser_Brands[Total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5030</v>
      </c>
      <c r="K24" s="3" t="str" cm="1">
        <f t="array" ref="K24">Common_InputFunctions.Utility_DisplayArrayInTable(Scope3_SourceData.Scope3_InorganicFertilisers_Data(), Table_Scope3_InorganicFertiliser_Old[[#Headers],[Category]], 0, -2)</f>
        <v>kg K</v>
      </c>
      <c r="L24" s="3" cm="1">
        <f t="array" ref="L24">Common_InputFunctions.Utility_DisplayArrayInTable(Scope3_SourceData.Scope3_InorganicFertilisers_Data(), Table_Scope3_InorganicFertiliser_Old[[#Headers],[Category]], 0, -2)</f>
        <v>0.90900000000000003</v>
      </c>
      <c r="M24" s="153"/>
      <c r="N24" s="3" t="str">
        <f>"kg CO2e / " &amp; Table_Scope3_InorganicFertiliser_Old[[#This Row],[Quantity Unit]]</f>
        <v>kg CO2e / kg K</v>
      </c>
      <c r="O24" s="3">
        <f>Table_Scope3_InorganicFertiliser_Old[[#This Row],[Quantity]]*Table_Scope3_InorganicFertiliser_Old[[#This Row],[AusLCI Emissions intensity]]</f>
        <v>4572.2700000000004</v>
      </c>
      <c r="P24"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4572.2700000000004</v>
      </c>
      <c r="Q24" s="154"/>
      <c r="R24" s="156"/>
      <c r="S24" s="154"/>
      <c r="T24" s="157" cm="1">
        <f t="array" ref="T24">Common_InputFunctions.Utility_LookupValueInTableNumber(Table_Scope3_InorganicFertiliser_Old[[#This Row],[Custom emissions intensity source type (Select)]],#REF!,#REF!)</f>
        <v>0</v>
      </c>
      <c r="U24" s="14"/>
    </row>
    <row r="25" spans="1:21" ht="20.100000000000001" customHeight="1" x14ac:dyDescent="0.25">
      <c r="A25" s="16" t="str">
        <f>HYPERLINK("#'Calcs - Residue mgmt - Crop'!A1", "Residue management - Crop")</f>
        <v>Residue management - Crop</v>
      </c>
      <c r="C25" s="14"/>
      <c r="D25" s="3" t="str" cm="1">
        <f t="array" ref="D25">Common_InputFunctions.Utility_DisplayArrayInTable(Scope3_SourceData.Scope3_InorganicFertilisers_Data(), Table_Scope3_InorganicFertiliser_Old[[#Headers],[Category]], 0, 2)</f>
        <v>Inorganic fertilisers</v>
      </c>
      <c r="E25" s="3" t="str" cm="1">
        <f t="array" ref="E25">Common_InputFunctions.Utility_DisplayArrayInTable(Scope3_SourceData.Scope3_InorganicFertilisers_Data(), Table_Scope3_InorganicFertiliser_Old[[#Headers],[Category]], 0, 2)</f>
        <v>Single superphosphate, AU market mix</v>
      </c>
      <c r="F25" s="3" t="str" cm="1">
        <f t="array" ref="F25">Common_InputFunctions.Utility_DisplayArrayInTable(Scope3_SourceData.Scope3_InorganicFertilisers_Data(), Table_Scope3_InorganicFertiliser_Old[[#Headers],[Category]], 0, 2)</f>
        <v>Global</v>
      </c>
      <c r="G25" s="3" t="str">
        <f>'Constants - Fertiliser'!$D$36</f>
        <v>Single superphosphate (SSP)</v>
      </c>
      <c r="J25" s="3" cm="1">
        <f t="array" ref="J25">Fertiliser_InputFunctions.Fertiliser_TotalChemicalCompoundAppliedAllIngredients($G25,Table_Input_InorganicFertiliser_Brands[Total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5" s="3" t="str" cm="1">
        <f t="array" ref="K25">Common_InputFunctions.Utility_DisplayArrayInTable(Scope3_SourceData.Scope3_InorganicFertilisers_Data(), Table_Scope3_InorganicFertiliser_Old[[#Headers],[Category]], 0, -2)</f>
        <v>kg</v>
      </c>
      <c r="L25" s="3" cm="1">
        <f t="array" ref="L25">Common_InputFunctions.Utility_DisplayArrayInTable(Scope3_SourceData.Scope3_InorganicFertilisers_Data(), Table_Scope3_InorganicFertiliser_Old[[#Headers],[Category]], 0, -2)</f>
        <v>0.22700000000000001</v>
      </c>
      <c r="M25" s="153"/>
      <c r="N25" s="3" t="str">
        <f>"kg CO2e / " &amp; Table_Scope3_InorganicFertiliser_Old[[#This Row],[Quantity Unit]]</f>
        <v>kg CO2e / kg</v>
      </c>
      <c r="O25" s="3">
        <f>Table_Scope3_InorganicFertiliser_Old[[#This Row],[Quantity]]*Table_Scope3_InorganicFertiliser_Old[[#This Row],[AusLCI Emissions intensity]]</f>
        <v>0</v>
      </c>
      <c r="P25"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0</v>
      </c>
      <c r="Q25" s="154"/>
      <c r="R25" s="156"/>
      <c r="S25" s="154"/>
      <c r="T25" s="157" cm="1">
        <f t="array" ref="T25">Common_InputFunctions.Utility_LookupValueInTableNumber(Table_Scope3_InorganicFertiliser_Old[[#This Row],[Custom emissions intensity source type (Select)]],#REF!,#REF!)</f>
        <v>0</v>
      </c>
      <c r="U25" s="14"/>
    </row>
    <row r="26" spans="1:21" ht="20.100000000000001" customHeight="1" x14ac:dyDescent="0.25">
      <c r="A26" s="16" t="str">
        <f>HYPERLINK("#'Calcs - Residue mgmt - Pasture'!A1", "Residue management - Pasture")</f>
        <v>Residue management - Pasture</v>
      </c>
      <c r="C26" s="14"/>
      <c r="D26" s="3" t="str" cm="1">
        <f t="array" ref="D26">Common_InputFunctions.Utility_DisplayArrayInTable(Scope3_SourceData.Scope3_InorganicFertilisers_Data(), Table_Scope3_InorganicFertiliser_Old[[#Headers],[Category]], 0, 2)</f>
        <v>Inorganic fertilisers</v>
      </c>
      <c r="E26" s="3" t="str" cm="1">
        <f t="array" ref="E26">Common_InputFunctions.Utility_DisplayArrayInTable(Scope3_SourceData.Scope3_InorganicFertilisers_Data(), Table_Scope3_InorganicFertiliser_Old[[#Headers],[Category]], 0, 2)</f>
        <v>Sulfur from fertilizer, AU market mix</v>
      </c>
      <c r="F26" s="3" t="str" cm="1">
        <f t="array" ref="F26">Common_InputFunctions.Utility_DisplayArrayInTable(Scope3_SourceData.Scope3_InorganicFertilisers_Data(), Table_Scope3_InorganicFertiliser_Old[[#Headers],[Category]], 0, 2)</f>
        <v>Global</v>
      </c>
      <c r="G26" s="3" t="str">
        <f>'Constants - Fertiliser'!$D$32</f>
        <v>Sulfur - Generic</v>
      </c>
      <c r="J26" s="3" cm="1">
        <f t="array" ref="J26">Fertiliser_InputFunctions.Fertiliser_TotalChemicalCompoundAppliedAllIngredients($G26,Table_Input_InorganicFertiliser_Brands[Total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2060</v>
      </c>
      <c r="K26" s="3" t="str" cm="1">
        <f t="array" ref="K26">Common_InputFunctions.Utility_DisplayArrayInTable(Scope3_SourceData.Scope3_InorganicFertilisers_Data(), Table_Scope3_InorganicFertiliser_Old[[#Headers],[Category]], 0, -2)</f>
        <v>kg S</v>
      </c>
      <c r="L26" s="3" cm="1">
        <f t="array" ref="L26">Common_InputFunctions.Utility_DisplayArrayInTable(Scope3_SourceData.Scope3_InorganicFertilisers_Data(), Table_Scope3_InorganicFertiliser_Old[[#Headers],[Category]], 0, -2)</f>
        <v>2.5</v>
      </c>
      <c r="M26" s="153"/>
      <c r="N26" s="3" t="str">
        <f>"kg CO2e / " &amp; Table_Scope3_InorganicFertiliser_Old[[#This Row],[Quantity Unit]]</f>
        <v>kg CO2e / kg S</v>
      </c>
      <c r="O26" s="3">
        <f>Table_Scope3_InorganicFertiliser_Old[[#This Row],[Quantity]]*Table_Scope3_InorganicFertiliser_Old[[#This Row],[AusLCI Emissions intensity]]</f>
        <v>5150</v>
      </c>
      <c r="P26"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5150</v>
      </c>
      <c r="Q26" s="154"/>
      <c r="R26" s="156"/>
      <c r="S26" s="154"/>
      <c r="T26" s="157" cm="1">
        <f t="array" ref="T26">Common_InputFunctions.Utility_LookupValueInTableNumber(Table_Scope3_InorganicFertiliser_Old[[#This Row],[Custom emissions intensity source type (Select)]],#REF!,#REF!)</f>
        <v>0</v>
      </c>
      <c r="U26" s="14"/>
    </row>
    <row r="27" spans="1:21" ht="20.100000000000001" customHeight="1" x14ac:dyDescent="0.25">
      <c r="A27" s="16" t="str">
        <f>HYPERLINK("#'Calcs - Field burning'!A1", "Field burning - Crop")</f>
        <v>Field burning - Crop</v>
      </c>
      <c r="C27" s="14"/>
      <c r="D27" s="3" t="str" cm="1">
        <f t="array" ref="D27">Common_InputFunctions.Utility_DisplayArrayInTable(Scope3_SourceData.Scope3_InorganicFertilisers_Data(), Table_Scope3_InorganicFertiliser_Old[[#Headers],[Category]], 0, 2)</f>
        <v>Inorganic fertilisers</v>
      </c>
      <c r="E27" s="3" t="str" cm="1">
        <f t="array" ref="E27">Common_InputFunctions.Utility_DisplayArrayInTable(Scope3_SourceData.Scope3_InorganicFertilisers_Data(), Table_Scope3_InorganicFertiliser_Old[[#Headers],[Category]], 0, 2)</f>
        <v>Ammonium sulphate, AU market mix</v>
      </c>
      <c r="F27" s="3" t="str" cm="1">
        <f t="array" ref="F27">Common_InputFunctions.Utility_DisplayArrayInTable(Scope3_SourceData.Scope3_InorganicFertilisers_Data(), Table_Scope3_InorganicFertiliser_Old[[#Headers],[Category]], 0, 2)</f>
        <v>Global</v>
      </c>
      <c r="G27" s="3" t="str">
        <f>'Constants - Fertiliser'!$D$23</f>
        <v>Sulphate of ammonia (SOA)</v>
      </c>
      <c r="J27" s="3" cm="1">
        <f t="array" ref="J27">Fertiliser_InputFunctions.Fertiliser_TotalChemicalCompoundAppliedAllIngredients($G27,Table_Input_InorganicFertiliser_Brands[Total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7" s="3" t="str" cm="1">
        <f t="array" ref="K27">Common_InputFunctions.Utility_DisplayArrayInTable(Scope3_SourceData.Scope3_InorganicFertilisers_Data(), Table_Scope3_InorganicFertiliser_Old[[#Headers],[Category]], 0, -2)</f>
        <v>kg</v>
      </c>
      <c r="L27" s="3" cm="1">
        <f t="array" ref="L27">Common_InputFunctions.Utility_DisplayArrayInTable(Scope3_SourceData.Scope3_InorganicFertilisers_Data(), Table_Scope3_InorganicFertiliser_Old[[#Headers],[Category]], 0, -2)</f>
        <v>0.86499999999999999</v>
      </c>
      <c r="M27" s="153"/>
      <c r="N27" s="3" t="str">
        <f>"kg CO2e / " &amp; Table_Scope3_InorganicFertiliser_Old[[#This Row],[Quantity Unit]]</f>
        <v>kg CO2e / kg</v>
      </c>
      <c r="O27" s="3">
        <f>Table_Scope3_InorganicFertiliser_Old[[#This Row],[Quantity]]*Table_Scope3_InorganicFertiliser_Old[[#This Row],[AusLCI Emissions intensity]]</f>
        <v>0</v>
      </c>
      <c r="P27"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0</v>
      </c>
      <c r="Q27" s="154"/>
      <c r="R27" s="156"/>
      <c r="S27" s="154"/>
      <c r="T27" s="157" cm="1">
        <f t="array" ref="T27">Common_InputFunctions.Utility_LookupValueInTableNumber(Table_Scope3_InorganicFertiliser_Old[[#This Row],[Custom emissions intensity source type (Select)]],#REF!,#REF!)</f>
        <v>0</v>
      </c>
      <c r="U27" s="14"/>
    </row>
    <row r="28" spans="1:21" ht="20.100000000000001" customHeight="1" x14ac:dyDescent="0.25">
      <c r="A28" s="16" t="str">
        <f>HYPERLINK("#'Calcs - Fuel'!A1", "Fuel")</f>
        <v>Fuel</v>
      </c>
      <c r="C28" s="14"/>
      <c r="D28" s="3" t="str" cm="1">
        <f t="array" ref="D28">Common_InputFunctions.Utility_DisplayArrayInTable(Scope3_SourceData.Scope3_InorganicFertilisers_Data(), Table_Scope3_InorganicFertiliser_Old[[#Headers],[Category]], 0, 2)</f>
        <v>Inorganic fertilisers</v>
      </c>
      <c r="E28" s="3" t="str" cm="1">
        <f t="array" ref="E28">Common_InputFunctions.Utility_DisplayArrayInTable(Scope3_SourceData.Scope3_InorganicFertilisers_Data(), Table_Scope3_InorganicFertiliser_Old[[#Headers],[Category]], 0, 2)</f>
        <v>Urea ammonium nitrate, AU market mix</v>
      </c>
      <c r="F28" s="3" t="str" cm="1">
        <f t="array" ref="F28">Common_InputFunctions.Utility_DisplayArrayInTable(Scope3_SourceData.Scope3_InorganicFertilisers_Data(), Table_Scope3_InorganicFertiliser_Old[[#Headers],[Category]], 0, 2)</f>
        <v>Global</v>
      </c>
      <c r="G28" s="3" t="str">
        <f>'Constants - Fertiliser'!$D$24</f>
        <v>Urea-ammonium nitrate (UAN)</v>
      </c>
      <c r="J28" s="3" cm="1">
        <f t="array" ref="J28">Fertiliser_InputFunctions.Fertiliser_TotalChemicalCompoundAppliedAllIngredients($G28,Table_Input_InorganicFertiliser_Brands[Total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8" s="3" t="str" cm="1">
        <f t="array" ref="K28">Common_InputFunctions.Utility_DisplayArrayInTable(Scope3_SourceData.Scope3_InorganicFertilisers_Data(), Table_Scope3_InorganicFertiliser_Old[[#Headers],[Category]], 0, -2)</f>
        <v>kg</v>
      </c>
      <c r="L28" s="3" cm="1">
        <f t="array" ref="L28">Common_InputFunctions.Utility_DisplayArrayInTable(Scope3_SourceData.Scope3_InorganicFertilisers_Data(), Table_Scope3_InorganicFertiliser_Old[[#Headers],[Category]], 0, -2)</f>
        <v>1.75</v>
      </c>
      <c r="M28" s="153"/>
      <c r="N28" s="3" t="str">
        <f>"kg CO2e / " &amp; Table_Scope3_InorganicFertiliser_Old[[#This Row],[Quantity Unit]]</f>
        <v>kg CO2e / kg</v>
      </c>
      <c r="O28" s="3">
        <f>Table_Scope3_InorganicFertiliser_Old[[#This Row],[Quantity]]*Table_Scope3_InorganicFertiliser_Old[[#This Row],[AusLCI Emissions intensity]]</f>
        <v>0</v>
      </c>
      <c r="P28"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0</v>
      </c>
      <c r="Q28" s="154"/>
      <c r="R28" s="156"/>
      <c r="S28" s="154"/>
      <c r="T28" s="157" cm="1">
        <f t="array" ref="T28">Common_InputFunctions.Utility_LookupValueInTableNumber(Table_Scope3_InorganicFertiliser_Old[[#This Row],[Custom emissions intensity source type (Select)]],#REF!,#REF!)</f>
        <v>0</v>
      </c>
      <c r="U28" s="14"/>
    </row>
    <row r="29" spans="1:21" ht="20.100000000000001" customHeight="1" x14ac:dyDescent="0.25">
      <c r="A29" s="16" t="str">
        <f>HYPERLINK("#'Calcs - Electricity'!A1", "Electricity")</f>
        <v>Electricity</v>
      </c>
      <c r="C29" s="14"/>
      <c r="D29" s="3" t="str" cm="1">
        <f t="array" ref="D29">Common_InputFunctions.Utility_DisplayArrayInTable(Scope3_SourceData.Scope3_InorganicFertilisers_Data(), Table_Scope3_InorganicFertiliser_Old[[#Headers],[Category]], 0, 2)</f>
        <v>Inorganic fertilisers</v>
      </c>
      <c r="E29" s="3" t="str" cm="1">
        <f t="array" ref="E29">Common_InputFunctions.Utility_DisplayArrayInTable(Scope3_SourceData.Scope3_InorganicFertilisers_Data(), Table_Scope3_InorganicFertiliser_Old[[#Headers],[Category]], 0, 2)</f>
        <v>Urea, AU market mix</v>
      </c>
      <c r="F29" s="3" t="str" cm="1">
        <f t="array" ref="F29">Common_InputFunctions.Utility_DisplayArrayInTable(Scope3_SourceData.Scope3_InorganicFertilisers_Data(), Table_Scope3_InorganicFertiliser_Old[[#Headers],[Category]], 0, 2)</f>
        <v>Global</v>
      </c>
      <c r="G29" s="3" t="str">
        <f>'Constants - Fertiliser'!$D$22</f>
        <v>Urea</v>
      </c>
      <c r="H29" s="3" t="str">
        <f>'Constants - Fertiliser'!$V$20</f>
        <v>Global</v>
      </c>
      <c r="J29" s="3" cm="1">
        <f t="array" ref="J29">Fertiliser_InputFunctions.Fertiliser_TotalChemicalCompoundtAppliedBySourceAllIngredients(Table_Scope3_InorganicFertiliser_Old[[#This Row],[Chemical compound]],Table_Scope3_InorganicFertiliser_Old[[#This Row],[Urea source]],(Table_Input_InorganicFertiliser_Brands[Amount applied per hectare]*Table_Input_InorganicFertiliser_Brands[Density]),Table_Input_InorganicFertiliser_Brands[Ingredient 1],Table_Input_InorganicFertiliser_Brands[Ingredient 1 percent],Table_Input_InorganicFertiliser_Brands[Urea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Fertiliser_InputFunctions.Fertiliser_TotalChemicalCompoundtAppliedBySourceAllIngredients(Table_Scope3_InorganicFertiliser_Old[[#This Row],[Chemical compound]],Table_Scope3_InorganicFertiliser_Old[[#This Row],[Urea source]],Table_Input_InorganicFertiliser_Custom[Amount applied (kg / ha)],Table_Input_InorganicFertiliser_Custom[Ingredient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151.89130428200002</v>
      </c>
      <c r="K29" s="3" t="str" cm="1">
        <f t="array" ref="K29">Common_InputFunctions.Utility_DisplayArrayInTable(Scope3_SourceData.Scope3_InorganicFertilisers_Data(), Table_Scope3_InorganicFertiliser_Old[[#Headers],[Category]], 0, -2)</f>
        <v>kg</v>
      </c>
      <c r="L29" s="3" cm="1">
        <f t="array" ref="L29">Common_InputFunctions.Utility_DisplayArrayInTable(Scope3_SourceData.Scope3_InorganicFertilisers_Data(), Table_Scope3_InorganicFertiliser_Old[[#Headers],[Category]], 0, -2)</f>
        <v>0.96799999999999997</v>
      </c>
      <c r="M29" s="153"/>
      <c r="N29" s="3" t="str">
        <f>"kg CO2e / " &amp; Table_Scope3_InorganicFertiliser_Old[[#This Row],[Quantity Unit]]</f>
        <v>kg CO2e / kg</v>
      </c>
      <c r="O29" s="3">
        <f>Table_Scope3_InorganicFertiliser_Old[[#This Row],[Quantity]]*Table_Scope3_InorganicFertiliser_Old[[#This Row],[AusLCI Emissions intensity]]</f>
        <v>147.03078254497601</v>
      </c>
      <c r="P29"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147.03078254497601</v>
      </c>
      <c r="Q29" s="154"/>
      <c r="R29" s="156"/>
      <c r="S29" s="154"/>
      <c r="T29" s="157" cm="1">
        <f t="array" ref="T29">Common_InputFunctions.Utility_LookupValueInTableNumber(Table_Scope3_InorganicFertiliser_Old[[#This Row],[Custom emissions intensity source type (Select)]],#REF!,#REF!)</f>
        <v>0</v>
      </c>
      <c r="U29" s="14"/>
    </row>
    <row r="30" spans="1:21" ht="20.100000000000001" customHeight="1" x14ac:dyDescent="0.25">
      <c r="A30" s="16" t="str">
        <f>HYPERLINK("#'Calcs - Refrigerants'!A1", "Refrigerants")</f>
        <v>Refrigerants</v>
      </c>
      <c r="C30" s="14"/>
      <c r="D30" s="3" t="str" cm="1">
        <f t="array" ref="D30">Common_InputFunctions.Utility_DisplayArrayInTable(Scope3_SourceData.Scope3_InorganicFertilisers_Data(), Table_Scope3_InorganicFertiliser_Old[[#Headers],[Category]], 0, 2)</f>
        <v>Inorganic fertilisers</v>
      </c>
      <c r="E30" s="3" t="str" cm="1">
        <f t="array" ref="E30">Common_InputFunctions.Utility_DisplayArrayInTable(Scope3_SourceData.Scope3_InorganicFertilisers_Data(), Table_Scope3_InorganicFertiliser_Old[[#Headers],[Category]], 0, 2)</f>
        <v>Urea, Canada</v>
      </c>
      <c r="F30" s="3" t="str" cm="1">
        <f t="array" ref="F30">Common_InputFunctions.Utility_DisplayArrayInTable(Scope3_SourceData.Scope3_InorganicFertilisers_Data(), Table_Scope3_InorganicFertiliser_Old[[#Headers],[Category]], 0, 2)</f>
        <v>Canada</v>
      </c>
      <c r="G30" s="3" t="str">
        <f>'Constants - Fertiliser'!$D$22</f>
        <v>Urea</v>
      </c>
      <c r="H30" s="3" t="str">
        <f>'Constants - Fertiliser'!$V$21</f>
        <v>Canada</v>
      </c>
      <c r="J30" s="3" cm="1">
        <f t="array" ref="J30">Fertiliser_InputFunctions.Fertiliser_TotalChemicalCompoundtAppliedBySourceAllIngredients(Table_Scope3_InorganicFertiliser_Old[[#This Row],[Chemical compound]],Table_Scope3_InorganicFertiliser_Old[[#This Row],[Urea source]],(Table_Input_InorganicFertiliser_Brands[Amount applied per hectare]*Table_Input_InorganicFertiliser_Brands[Density]),Table_Input_InorganicFertiliser_Brands[Ingredient 1],Table_Input_InorganicFertiliser_Brands[Ingredient 1 percent],Table_Input_InorganicFertiliser_Brands[Urea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Fertiliser_InputFunctions.Fertiliser_TotalChemicalCompoundtAppliedBySourceAllIngredients(Table_Scope3_InorganicFertiliser_Old[[#This Row],[Chemical compound]],Table_Scope3_InorganicFertiliser_Old[[#This Row],[Urea source]],Table_Input_InorganicFertiliser_Custom[Amount applied (kg / ha)],Table_Input_InorganicFertiliser_Custom[Ingredient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90</v>
      </c>
      <c r="K30" s="3" t="str" cm="1">
        <f t="array" ref="K30">Common_InputFunctions.Utility_DisplayArrayInTable(Scope3_SourceData.Scope3_InorganicFertilisers_Data(), Table_Scope3_InorganicFertiliser_Old[[#Headers],[Category]], 0, -2)</f>
        <v>kg</v>
      </c>
      <c r="L30" s="3" cm="1">
        <f t="array" ref="L30">Common_InputFunctions.Utility_DisplayArrayInTable(Scope3_SourceData.Scope3_InorganicFertilisers_Data(), Table_Scope3_InorganicFertiliser_Old[[#Headers],[Category]], 0, -2)</f>
        <v>0.82299999999999995</v>
      </c>
      <c r="M30" s="153"/>
      <c r="N30" s="3" t="str">
        <f>"kg CO2e / " &amp; Table_Scope3_InorganicFertiliser_Old[[#This Row],[Quantity Unit]]</f>
        <v>kg CO2e / kg</v>
      </c>
      <c r="O30" s="3">
        <f>Table_Scope3_InorganicFertiliser_Old[[#This Row],[Quantity]]*Table_Scope3_InorganicFertiliser_Old[[#This Row],[AusLCI Emissions intensity]]</f>
        <v>74.069999999999993</v>
      </c>
      <c r="P30"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74.069999999999993</v>
      </c>
      <c r="Q30" s="154"/>
      <c r="R30" s="156"/>
      <c r="S30" s="154"/>
      <c r="T30" s="157" cm="1">
        <f t="array" ref="T30">Common_InputFunctions.Utility_LookupValueInTableNumber(Table_Scope3_InorganicFertiliser_Old[[#This Row],[Custom emissions intensity source type (Select)]],#REF!,#REF!)</f>
        <v>0</v>
      </c>
      <c r="U30" s="14"/>
    </row>
    <row r="31" spans="1:21" ht="20.100000000000001" customHeight="1" x14ac:dyDescent="0.25">
      <c r="A31" s="52" t="s">
        <v>315</v>
      </c>
      <c r="C31" s="14"/>
      <c r="D31" s="3" t="str" cm="1">
        <f t="array" ref="D31">Common_InputFunctions.Utility_DisplayArrayInTable(Scope3_SourceData.Scope3_InorganicFertilisers_Data(), Table_Scope3_InorganicFertiliser_Old[[#Headers],[Category]], 0, 2)</f>
        <v>Inorganic fertilisers</v>
      </c>
      <c r="E31" s="3" t="str" cm="1">
        <f t="array" ref="E31">Common_InputFunctions.Utility_DisplayArrayInTable(Scope3_SourceData.Scope3_InorganicFertilisers_Data(), Table_Scope3_InorganicFertiliser_Old[[#Headers],[Category]], 0, 2)</f>
        <v>Urea, China</v>
      </c>
      <c r="F31" s="3" t="str" cm="1">
        <f t="array" ref="F31">Common_InputFunctions.Utility_DisplayArrayInTable(Scope3_SourceData.Scope3_InorganicFertilisers_Data(), Table_Scope3_InorganicFertiliser_Old[[#Headers],[Category]], 0, 2)</f>
        <v>China</v>
      </c>
      <c r="G31" s="3" t="str">
        <f>'Constants - Fertiliser'!$D$22</f>
        <v>Urea</v>
      </c>
      <c r="H31" s="3" t="str">
        <f>'Constants - Fertiliser'!$V$22</f>
        <v>China</v>
      </c>
      <c r="J31" s="3" cm="1">
        <f t="array" ref="J31">Fertiliser_InputFunctions.Fertiliser_TotalChemicalCompoundtAppliedBySourceAllIngredients(Table_Scope3_InorganicFertiliser_Old[[#This Row],[Chemical compound]],Table_Scope3_InorganicFertiliser_Old[[#This Row],[Urea source]],(Table_Input_InorganicFertiliser_Brands[Amount applied per hectare]*Table_Input_InorganicFertiliser_Brands[Density]),Table_Input_InorganicFertiliser_Brands[Ingredient 1],Table_Input_InorganicFertiliser_Brands[Ingredient 1 percent],Table_Input_InorganicFertiliser_Brands[Urea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Fertiliser_InputFunctions.Fertiliser_TotalChemicalCompoundtAppliedBySourceAllIngredients(Table_Scope3_InorganicFertiliser_Old[[#This Row],[Chemical compound]],Table_Scope3_InorganicFertiliser_Old[[#This Row],[Urea source]],Table_Input_InorganicFertiliser_Custom[Amount applied (kg / ha)],Table_Input_InorganicFertiliser_Custom[Ingredient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31" s="3" t="str" cm="1">
        <f t="array" ref="K31">Common_InputFunctions.Utility_DisplayArrayInTable(Scope3_SourceData.Scope3_InorganicFertilisers_Data(), Table_Scope3_InorganicFertiliser_Old[[#Headers],[Category]], 0, -2)</f>
        <v>kg</v>
      </c>
      <c r="L31" s="3" cm="1">
        <f t="array" ref="L31">Common_InputFunctions.Utility_DisplayArrayInTable(Scope3_SourceData.Scope3_InorganicFertilisers_Data(), Table_Scope3_InorganicFertiliser_Old[[#Headers],[Category]], 0, -2)</f>
        <v>2.09</v>
      </c>
      <c r="M31" s="153"/>
      <c r="N31" s="3" t="str">
        <f>"kg CO2e / " &amp; Table_Scope3_InorganicFertiliser_Old[[#This Row],[Quantity Unit]]</f>
        <v>kg CO2e / kg</v>
      </c>
      <c r="O31" s="3">
        <f>Table_Scope3_InorganicFertiliser_Old[[#This Row],[Quantity]]*Table_Scope3_InorganicFertiliser_Old[[#This Row],[AusLCI Emissions intensity]]</f>
        <v>0</v>
      </c>
      <c r="P31"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0</v>
      </c>
      <c r="Q31" s="154"/>
      <c r="R31" s="156"/>
      <c r="S31" s="154"/>
      <c r="T31" s="157" cm="1">
        <f t="array" ref="T31">Common_InputFunctions.Utility_LookupValueInTableNumber(Table_Scope3_InorganicFertiliser_Old[[#This Row],[Custom emissions intensity source type (Select)]],#REF!,#REF!)</f>
        <v>0</v>
      </c>
      <c r="U31" s="14"/>
    </row>
    <row r="32" spans="1:21" ht="20.100000000000001" customHeight="1" x14ac:dyDescent="0.25">
      <c r="A32" s="52" t="s">
        <v>316</v>
      </c>
      <c r="C32" s="14"/>
      <c r="D32" s="3" t="str" cm="1">
        <f t="array" ref="D32">Common_InputFunctions.Utility_DisplayArrayInTable(Scope3_SourceData.Scope3_InorganicFertilisers_Data(), Table_Scope3_InorganicFertiliser_Old[[#Headers],[Category]], 0, 2)</f>
        <v>Inorganic fertilisers</v>
      </c>
      <c r="E32" s="3" t="str" cm="1">
        <f t="array" ref="E32">Common_InputFunctions.Utility_DisplayArrayInTable(Scope3_SourceData.Scope3_InorganicFertilisers_Data(), Table_Scope3_InorganicFertiliser_Old[[#Headers],[Category]], 0, 2)</f>
        <v>Urea, Yemen</v>
      </c>
      <c r="F32" s="3" t="str" cm="1">
        <f t="array" ref="F32">Common_InputFunctions.Utility_DisplayArrayInTable(Scope3_SourceData.Scope3_InorganicFertilisers_Data(), Table_Scope3_InorganicFertiliser_Old[[#Headers],[Category]], 0, 2)</f>
        <v>Yemen</v>
      </c>
      <c r="G32" s="3" t="str">
        <f>'Constants - Fertiliser'!$D$22</f>
        <v>Urea</v>
      </c>
      <c r="H32" s="3" t="str">
        <f>'Constants - Fertiliser'!$V$23</f>
        <v>Yemen</v>
      </c>
      <c r="J32" s="3" cm="1">
        <f t="array" ref="J32">Fertiliser_InputFunctions.Fertiliser_TotalChemicalCompoundtAppliedBySourceAllIngredients(Table_Scope3_InorganicFertiliser_Old[[#This Row],[Chemical compound]],Table_Scope3_InorganicFertiliser_Old[[#This Row],[Urea source]],(Table_Input_InorganicFertiliser_Brands[Amount applied per hectare]*Table_Input_InorganicFertiliser_Brands[Density]),Table_Input_InorganicFertiliser_Brands[Ingredient 1],Table_Input_InorganicFertiliser_Brands[Ingredient 1 percent],Table_Input_InorganicFertiliser_Brands[Urea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Fertiliser_InputFunctions.Fertiliser_TotalChemicalCompoundtAppliedBySourceAllIngredients(Table_Scope3_InorganicFertiliser_Old[[#This Row],[Chemical compound]],Table_Scope3_InorganicFertiliser_Old[[#This Row],[Urea source]],Table_Input_InorganicFertiliser_Custom[Amount applied (kg / ha)],Table_Input_InorganicFertiliser_Custom[Ingredient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32" s="3" t="str" cm="1">
        <f t="array" ref="K32">Common_InputFunctions.Utility_DisplayArrayInTable(Scope3_SourceData.Scope3_InorganicFertilisers_Data(), Table_Scope3_InorganicFertiliser_Old[[#Headers],[Category]], 0, -2)</f>
        <v>kg</v>
      </c>
      <c r="L32" s="3" cm="1">
        <f t="array" ref="L32">Common_InputFunctions.Utility_DisplayArrayInTable(Scope3_SourceData.Scope3_InorganicFertilisers_Data(), Table_Scope3_InorganicFertiliser_Old[[#Headers],[Category]], 0, -2)</f>
        <v>0.96299999999999997</v>
      </c>
      <c r="M32" s="153"/>
      <c r="N32" s="3" t="str">
        <f>"kg CO2e / " &amp; Table_Scope3_InorganicFertiliser_Old[[#This Row],[Quantity Unit]]</f>
        <v>kg CO2e / kg</v>
      </c>
      <c r="O32" s="3">
        <f>Table_Scope3_InorganicFertiliser_Old[[#This Row],[Quantity]]*Table_Scope3_InorganicFertiliser_Old[[#This Row],[AusLCI Emissions intensity]]</f>
        <v>0</v>
      </c>
      <c r="P32"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0</v>
      </c>
      <c r="Q32" s="154"/>
      <c r="R32" s="156"/>
      <c r="S32" s="154"/>
      <c r="T32" s="157" cm="1">
        <f t="array" ref="T32">Common_InputFunctions.Utility_LookupValueInTableNumber(Table_Scope3_InorganicFertiliser_Old[[#This Row],[Custom emissions intensity source type (Select)]],#REF!,#REF!)</f>
        <v>0</v>
      </c>
      <c r="U32" s="14"/>
    </row>
    <row r="33" spans="1:21" ht="20.100000000000001" customHeight="1" x14ac:dyDescent="0.25">
      <c r="A33" s="158" t="str">
        <f>HYPERLINK("#'Calcs - Scope 3'!A1", "Purchased goods scope 3")</f>
        <v>Purchased goods scope 3</v>
      </c>
      <c r="C33" s="14"/>
      <c r="D33" s="3" t="str" cm="1">
        <f t="array" ref="D33">Common_InputFunctions.Utility_DisplayArrayInTable(Scope3_SourceData.Scope3_InorganicFertilisers_Data(), Table_Scope3_InorganicFertiliser_Old[[#Headers],[Category]], 0, 2)</f>
        <v>Inorganic fertilisers</v>
      </c>
      <c r="E33" s="3" t="str" cm="1">
        <f t="array" ref="E33">Common_InputFunctions.Utility_DisplayArrayInTable(Scope3_SourceData.Scope3_InorganicFertilisers_Data(), Table_Scope3_InorganicFertiliser_Old[[#Headers],[Category]], 0, 2)</f>
        <v>Zinc from fertilizer</v>
      </c>
      <c r="F33" s="3" t="str" cm="1">
        <f t="array" ref="F33">Common_InputFunctions.Utility_DisplayArrayInTable(Scope3_SourceData.Scope3_InorganicFertilisers_Data(), Table_Scope3_InorganicFertiliser_Old[[#Headers],[Category]], 0, 2)</f>
        <v>Global</v>
      </c>
      <c r="G33" s="3" t="str">
        <f>'Constants - Fertiliser'!$D$33</f>
        <v>Zinc - Generic</v>
      </c>
      <c r="J33" s="3" cm="1">
        <f t="array" ref="J33">Fertiliser_InputFunctions.Fertiliser_TotalChemicalCompoundAppliedAllIngredients($G33,Table_Input_InorganicFertiliser_Brands[Total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33" s="3" t="str" cm="1">
        <f t="array" ref="K33">Common_InputFunctions.Utility_DisplayArrayInTable(Scope3_SourceData.Scope3_InorganicFertilisers_Data(), Table_Scope3_InorganicFertiliser_Old[[#Headers],[Category]], 0, -2)</f>
        <v>kg Zn</v>
      </c>
      <c r="L33" s="3" cm="1">
        <f t="array" ref="L33">Common_InputFunctions.Utility_DisplayArrayInTable(Scope3_SourceData.Scope3_InorganicFertilisers_Data(), Table_Scope3_InorganicFertiliser_Old[[#Headers],[Category]], 0, -2)</f>
        <v>4.82</v>
      </c>
      <c r="M33" s="153"/>
      <c r="N33" s="3" t="str">
        <f>"kg CO2e / " &amp; Table_Scope3_InorganicFertiliser_Old[[#This Row],[Quantity Unit]]</f>
        <v>kg CO2e / kg Zn</v>
      </c>
      <c r="O33" s="3">
        <f>Table_Scope3_InorganicFertiliser_Old[[#This Row],[Quantity]]*Table_Scope3_InorganicFertiliser_Old[[#This Row],[AusLCI Emissions intensity]]</f>
        <v>0</v>
      </c>
      <c r="P33" s="3">
        <f>Table_Scope3_InorganicFertiliser_Old[[#This Row],[Quantity]]*IF(Table_Scope3_InorganicFertiliser_Old[[#This Row],[Custom emissions intensity (Method 2)]], Table_Scope3_InorganicFertiliser_Old[[#This Row],[Custom emissions intensity (Method 2)]], Table_Scope3_InorganicFertiliser_Old[[#This Row],[AusLCI Emissions intensity]])</f>
        <v>0</v>
      </c>
      <c r="Q33" s="154"/>
      <c r="R33" s="156"/>
      <c r="S33" s="154"/>
      <c r="T33" s="157" cm="1">
        <f t="array" ref="T33">Common_InputFunctions.Utility_LookupValueInTableNumber(Table_Scope3_InorganicFertiliser_Old[[#This Row],[Custom emissions intensity source type (Select)]],#REF!,#REF!)</f>
        <v>0</v>
      </c>
      <c r="U33" s="14"/>
    </row>
    <row r="34" spans="1:21" ht="20.100000000000001" customHeight="1" x14ac:dyDescent="0.25">
      <c r="C34" s="14"/>
      <c r="D34" s="14"/>
      <c r="E34" s="14"/>
      <c r="F34" s="14"/>
      <c r="G34" s="14"/>
      <c r="H34" s="159"/>
      <c r="I34" s="160"/>
      <c r="J34" s="14"/>
      <c r="K34" s="14"/>
      <c r="L34" s="14"/>
      <c r="M34" s="14"/>
      <c r="N34" s="14"/>
      <c r="O34" s="14"/>
      <c r="P34" s="14"/>
      <c r="Q34" s="14"/>
    </row>
    <row r="35" spans="1:21" ht="20.100000000000001" customHeight="1" x14ac:dyDescent="0.35">
      <c r="A35" s="23" t="s">
        <v>78</v>
      </c>
      <c r="C35" s="14"/>
      <c r="D35" s="161" t="s">
        <v>319</v>
      </c>
      <c r="E35" s="162"/>
      <c r="F35" s="163"/>
      <c r="G35" s="161">
        <f>SUM(Table_Scope3_InorganicFertiliser_Old[Scope 3 emissions exc. custom (t CO2-e)])</f>
        <v>19499.170782544974</v>
      </c>
      <c r="H35" s="164" t="s">
        <v>320</v>
      </c>
      <c r="I35" s="14"/>
      <c r="J35" s="14"/>
      <c r="K35" s="14"/>
      <c r="L35" s="14"/>
      <c r="M35" s="14"/>
      <c r="N35" s="14"/>
      <c r="O35" s="14"/>
      <c r="P35" s="14"/>
      <c r="Q35" s="14"/>
    </row>
    <row r="36" spans="1:21" ht="20.100000000000001" customHeight="1" x14ac:dyDescent="0.25">
      <c r="A36" s="16" t="str">
        <f>HYPERLINK("#'Constants - Common'!A1", "Constants - Common")</f>
        <v>Constants - Common</v>
      </c>
      <c r="C36" s="14"/>
      <c r="D36" s="165" t="s">
        <v>321</v>
      </c>
      <c r="E36" s="166"/>
      <c r="F36" s="166"/>
      <c r="G36" s="165">
        <f>SUM(Table_Scope3_InorganicFertiliser_Old[Scope 3 emissions inc. custom (t CO2-e)2])</f>
        <v>19353.370782544975</v>
      </c>
      <c r="H36" s="164" t="s">
        <v>320</v>
      </c>
      <c r="I36" s="14"/>
      <c r="J36" s="14"/>
      <c r="K36" s="14"/>
      <c r="L36" s="14"/>
      <c r="M36" s="14"/>
      <c r="N36" s="14"/>
      <c r="O36" s="14"/>
      <c r="P36" s="14"/>
      <c r="Q36" s="14"/>
    </row>
    <row r="37" spans="1:21" ht="20.100000000000001" customHeight="1" x14ac:dyDescent="0.25">
      <c r="A37" s="16" t="str">
        <f>HYPERLINK("#'Constants - Cropping'!A1", "Constants - Cropping")</f>
        <v>Constants - Cropping</v>
      </c>
      <c r="C37" s="14"/>
      <c r="D37" s="14"/>
      <c r="E37" s="14"/>
      <c r="F37" s="14"/>
      <c r="G37" s="14"/>
      <c r="H37" s="14"/>
      <c r="I37" s="14"/>
      <c r="J37" s="14"/>
      <c r="K37" s="14"/>
      <c r="L37" s="14"/>
      <c r="M37" s="14"/>
      <c r="N37" s="14"/>
      <c r="O37" s="14"/>
      <c r="P37" s="14"/>
      <c r="Q37" s="14"/>
    </row>
    <row r="38" spans="1:21" ht="20.100000000000001" customHeight="1" x14ac:dyDescent="0.25">
      <c r="A38" s="16" t="str">
        <f>HYPERLINK("#'Constants - Livestock'!A1", "Constants - Livestock")</f>
        <v>Constants - Livestock</v>
      </c>
      <c r="C38" s="14"/>
      <c r="D38" s="14"/>
      <c r="E38" s="14"/>
      <c r="F38" s="14"/>
      <c r="G38" s="14"/>
      <c r="H38" s="14"/>
      <c r="I38" s="14"/>
      <c r="J38" s="14"/>
      <c r="K38" s="14"/>
      <c r="L38" s="14"/>
      <c r="M38" s="14"/>
      <c r="N38" s="14"/>
      <c r="O38" s="14"/>
      <c r="P38" s="14"/>
      <c r="Q38" s="14"/>
    </row>
    <row r="39" spans="1:21" ht="20.100000000000001" customHeight="1" x14ac:dyDescent="0.25">
      <c r="A39" s="16" t="str">
        <f>HYPERLINK("#'Constants - Dairy'!A1", "Constants - Dairy")</f>
        <v>Constants - Dairy</v>
      </c>
      <c r="C39" s="14"/>
      <c r="D39" s="9" t="str" cm="1">
        <f t="array" ref="D39">Scope3_SourceData.Scope3_OrganicFertilisers_Title()</f>
        <v>Organic fertiliser scope 3</v>
      </c>
      <c r="E39" s="14"/>
      <c r="F39" s="14"/>
      <c r="G39" s="14"/>
      <c r="H39" s="14"/>
      <c r="I39" s="14"/>
      <c r="J39" s="14"/>
      <c r="K39" s="14"/>
      <c r="L39" s="14"/>
      <c r="M39" s="14"/>
      <c r="N39" s="14"/>
      <c r="O39" s="14"/>
      <c r="P39" s="14"/>
      <c r="Q39" s="14"/>
    </row>
    <row r="40" spans="1:21" ht="20.100000000000001" customHeight="1" x14ac:dyDescent="0.25">
      <c r="A40" s="52" t="s">
        <v>322</v>
      </c>
      <c r="C40" s="14"/>
      <c r="D40" s="11" t="str" cm="1">
        <f t="array" ref="D40">Scope3_SourceData.Scope3_OrganicFertilisers_Source()</f>
        <v>Lifecycles. (2026). Greenhouse Gas Emission Intensities for Material Inputs to Australian Agriculture, Fisheries and Forestry. Version 48. doi 10.5281/zenodo.19656580</v>
      </c>
      <c r="E40" s="14"/>
      <c r="F40" s="14"/>
      <c r="G40" s="14"/>
      <c r="H40" s="14"/>
      <c r="I40" s="14"/>
      <c r="J40" s="14"/>
      <c r="K40" s="14"/>
      <c r="L40" s="14"/>
      <c r="M40" s="14"/>
      <c r="N40" s="14"/>
      <c r="O40" s="14"/>
      <c r="P40" s="14"/>
      <c r="Q40" s="14"/>
    </row>
    <row r="41" spans="1:21" ht="20.100000000000001" customHeight="1" x14ac:dyDescent="0.25">
      <c r="A41" s="167"/>
      <c r="C41" s="14"/>
      <c r="D41" s="14"/>
      <c r="E41" s="14"/>
      <c r="F41" s="14"/>
      <c r="G41" s="14"/>
      <c r="H41" s="14"/>
      <c r="I41" s="14"/>
      <c r="J41" s="14"/>
      <c r="K41" s="14"/>
      <c r="L41" s="14"/>
      <c r="M41" s="14"/>
      <c r="N41" s="14"/>
      <c r="O41" s="14"/>
      <c r="P41" s="14"/>
      <c r="Q41" s="14"/>
    </row>
    <row r="42" spans="1:21" ht="20.100000000000001" customHeight="1" x14ac:dyDescent="0.25">
      <c r="C42" s="14"/>
      <c r="D42" s="168" t="s">
        <v>149</v>
      </c>
      <c r="E42" s="168" t="s">
        <v>143</v>
      </c>
      <c r="F42" s="168" t="s">
        <v>304</v>
      </c>
      <c r="G42" s="168" t="s">
        <v>305</v>
      </c>
      <c r="H42" s="168" t="s">
        <v>306</v>
      </c>
      <c r="I42" s="169" t="s">
        <v>307</v>
      </c>
      <c r="J42" s="168" t="s">
        <v>308</v>
      </c>
      <c r="K42" s="168" t="s">
        <v>323</v>
      </c>
      <c r="L42" s="168" t="s">
        <v>309</v>
      </c>
      <c r="M42" s="169" t="s">
        <v>310</v>
      </c>
      <c r="N42" s="169" t="s">
        <v>311</v>
      </c>
      <c r="O42" s="169" t="s">
        <v>312</v>
      </c>
      <c r="P42" s="168" t="s">
        <v>313</v>
      </c>
      <c r="Q42" s="14"/>
    </row>
    <row r="43" spans="1:21" ht="20.100000000000001" customHeight="1" x14ac:dyDescent="0.25">
      <c r="C43" s="14"/>
      <c r="D43" s="14" t="str" cm="1">
        <f t="array" ref="D43">Common_InputFunctions.Utility_DisplayArrayInTable(Scope3_SourceData.Scope3_OrganicFertilisers_Data(), Table_Scope3_OrganicFertiliser[[#Headers],[Organic fertiliser type]], 0, 2)</f>
        <v>Dairy Manure</v>
      </c>
      <c r="E43" s="14" t="str" cm="1">
        <f t="array" ref="E43">Common_InputFunctions.Utility_DisplayArrayInTable(Scope3_SourceData.Scope3_OrganicFertilisers_Data(), Table_Scope3_OrganicFertiliser[[#Headers],[Organic fertiliser type]], 0, 2)</f>
        <v>Primary MMS</v>
      </c>
      <c r="F43" s="14"/>
      <c r="G43" s="14" t="str" cm="1">
        <f t="array" ref="G43">Common_InputFunctions.Utility_DisplayArrayInTable(Scope3_SourceData.Scope3_OrganicFertilisers_Data(), Table_Scope3_OrganicFertiliser[[#Headers],[Organic fertiliser type]], 0, 1)</f>
        <v>t</v>
      </c>
      <c r="H43" s="14" cm="1">
        <f t="array" ref="H43">Common_InputFunctions.Utility_DisplayArrayInTable(Scope3_SourceData.Scope3_OrganicFertilisers_Data(), Table_Scope3_OrganicFertiliser[[#Headers],[Organic fertiliser type]], 0, 1)</f>
        <v>20101</v>
      </c>
      <c r="I43" s="154">
        <v>100</v>
      </c>
      <c r="J43" s="14" t="str" cm="1">
        <f t="array" ref="J43">Common_InputFunctions.Utility_DisplayArrayInTable(Scope3_SourceData.Scope3_OrganicFertilisers_Data(), Table_Scope3_OrganicFertiliser[[#Headers],[Organic fertiliser type]], 0, 1)</f>
        <v>t CO2-e / t</v>
      </c>
      <c r="K43" s="14">
        <f>Table_Scope3_OrganicFertiliser[[#This Row],[Quantity]]*Table_Scope3_OrganicFertiliser[[#This Row],[AusLCI Emissions intensity]]</f>
        <v>0</v>
      </c>
      <c r="L43" s="14">
        <f>Table_Scope3_OrganicFertiliser[[#This Row],[Quantity]]*IF(Table_Scope3_OrganicFertiliser[[#This Row],[Custom emissions intensity]], Table_Scope3_OrganicFertiliser[[#This Row],[Custom emissions intensity]], Table_Scope3_OrganicFertiliser[[#This Row],[AusLCI Emissions intensity]])</f>
        <v>0</v>
      </c>
      <c r="M43" s="154"/>
      <c r="N43" s="48"/>
      <c r="O43" s="154"/>
      <c r="P43" s="155" cm="1">
        <f t="array" ref="P43">Common_InputFunctions.Utility_LookupValueInTableNumber(Table_Scope3_OrganicFertiliser[[#This Row],[Custom emissions intensity source type (Select)]],#REF!,#REF!)</f>
        <v>0</v>
      </c>
      <c r="Q43" s="14"/>
    </row>
    <row r="44" spans="1:21" ht="20.100000000000001" customHeight="1" x14ac:dyDescent="0.25">
      <c r="C44" s="14"/>
      <c r="D44" s="14" t="str" cm="1">
        <f t="array" ref="D44">Common_InputFunctions.Utility_DisplayArrayInTable(Scope3_SourceData.Scope3_OrganicFertilisers_Data(), Table_Scope3_OrganicFertiliser[[#Headers],[Organic fertiliser type]], 0, 2)</f>
        <v>Dairy Manure</v>
      </c>
      <c r="E44" s="14" t="str" cm="1">
        <f t="array" ref="E44">Common_InputFunctions.Utility_DisplayArrayInTable(Scope3_SourceData.Scope3_OrganicFertilisers_Data(), Table_Scope3_OrganicFertiliser[[#Headers],[Organic fertiliser type]], 0, 2)</f>
        <v>Secondary MMS</v>
      </c>
      <c r="F44" s="14"/>
      <c r="G44" s="14" t="str" cm="1">
        <f t="array" ref="G44">Common_InputFunctions.Utility_DisplayArrayInTable(Scope3_SourceData.Scope3_OrganicFertilisers_Data(), Table_Scope3_OrganicFertiliser[[#Headers],[Organic fertiliser type]], 0, 1)</f>
        <v>t</v>
      </c>
      <c r="H44" s="14" cm="1">
        <f t="array" ref="H44">Common_InputFunctions.Utility_DisplayArrayInTable(Scope3_SourceData.Scope3_OrganicFertilisers_Data(), Table_Scope3_OrganicFertiliser[[#Headers],[Organic fertiliser type]], 0, 1)</f>
        <v>20102</v>
      </c>
      <c r="I44" s="154"/>
      <c r="J44" s="14" t="str" cm="1">
        <f t="array" ref="J44">Common_InputFunctions.Utility_DisplayArrayInTable(Scope3_SourceData.Scope3_OrganicFertilisers_Data(), Table_Scope3_OrganicFertiliser[[#Headers],[Organic fertiliser type]], 0, 1)</f>
        <v>t CO2-e / t</v>
      </c>
      <c r="K44" s="14">
        <f>Table_Scope3_OrganicFertiliser[[#This Row],[Quantity]]*Table_Scope3_OrganicFertiliser[[#This Row],[AusLCI Emissions intensity]]</f>
        <v>0</v>
      </c>
      <c r="L44" s="14">
        <f>Table_Scope3_OrganicFertiliser[[#This Row],[Quantity]]*IF(Table_Scope3_OrganicFertiliser[[#This Row],[Custom emissions intensity]], Table_Scope3_OrganicFertiliser[[#This Row],[Custom emissions intensity]], Table_Scope3_OrganicFertiliser[[#This Row],[AusLCI Emissions intensity]])</f>
        <v>0</v>
      </c>
      <c r="M44" s="154"/>
      <c r="N44" s="48"/>
      <c r="O44" s="154"/>
      <c r="P44" s="157" cm="1">
        <f t="array" ref="P44">Common_InputFunctions.Utility_LookupValueInTableNumber(Table_Scope3_OrganicFertiliser[[#This Row],[Custom emissions intensity source type (Select)]],#REF!,#REF!)</f>
        <v>0</v>
      </c>
      <c r="Q44" s="14"/>
    </row>
    <row r="45" spans="1:21" ht="20.100000000000001" customHeight="1" x14ac:dyDescent="0.25">
      <c r="C45" s="14"/>
      <c r="D45" s="14" t="str" cm="1">
        <f t="array" ref="D45">Common_InputFunctions.Utility_DisplayArrayInTable(Scope3_SourceData.Scope3_OrganicFertilisers_Data(), Table_Scope3_OrganicFertiliser[[#Headers],[Organic fertiliser type]], 0, 2)</f>
        <v>Pork Manure</v>
      </c>
      <c r="E45" s="14" t="str" cm="1">
        <f t="array" ref="E45">Common_InputFunctions.Utility_DisplayArrayInTable(Scope3_SourceData.Scope3_OrganicFertilisers_Data(), Table_Scope3_OrganicFertiliser[[#Headers],[Organic fertiliser type]], 0, 2)</f>
        <v>Primary MMS</v>
      </c>
      <c r="F45" s="14"/>
      <c r="G45" s="14" t="str" cm="1">
        <f t="array" ref="G45">Common_InputFunctions.Utility_DisplayArrayInTable(Scope3_SourceData.Scope3_OrganicFertilisers_Data(), Table_Scope3_OrganicFertiliser[[#Headers],[Organic fertiliser type]], 0, 1)</f>
        <v>t</v>
      </c>
      <c r="H45" s="14" cm="1">
        <f t="array" ref="H45">Common_InputFunctions.Utility_DisplayArrayInTable(Scope3_SourceData.Scope3_OrganicFertilisers_Data(), Table_Scope3_OrganicFertiliser[[#Headers],[Organic fertiliser type]], 0, 1)</f>
        <v>20201</v>
      </c>
      <c r="I45" s="154"/>
      <c r="J45" s="14" t="str" cm="1">
        <f t="array" ref="J45">Common_InputFunctions.Utility_DisplayArrayInTable(Scope3_SourceData.Scope3_OrganicFertilisers_Data(), Table_Scope3_OrganicFertiliser[[#Headers],[Organic fertiliser type]], 0, 1)</f>
        <v>t CO2-e / t</v>
      </c>
      <c r="K45" s="14">
        <f>Table_Scope3_OrganicFertiliser[[#This Row],[Quantity]]*Table_Scope3_OrganicFertiliser[[#This Row],[AusLCI Emissions intensity]]</f>
        <v>0</v>
      </c>
      <c r="L45" s="14">
        <f>Table_Scope3_OrganicFertiliser[[#This Row],[Quantity]]*IF(Table_Scope3_OrganicFertiliser[[#This Row],[Custom emissions intensity]], Table_Scope3_OrganicFertiliser[[#This Row],[Custom emissions intensity]], Table_Scope3_OrganicFertiliser[[#This Row],[AusLCI Emissions intensity]])</f>
        <v>0</v>
      </c>
      <c r="M45" s="154"/>
      <c r="N45" s="48"/>
      <c r="O45" s="154"/>
      <c r="P45" s="157" cm="1">
        <f t="array" ref="P45">Common_InputFunctions.Utility_LookupValueInTableNumber(Table_Scope3_OrganicFertiliser[[#This Row],[Custom emissions intensity source type (Select)]],#REF!,#REF!)</f>
        <v>0</v>
      </c>
      <c r="Q45" s="14"/>
    </row>
    <row r="46" spans="1:21" ht="20.100000000000001" customHeight="1" x14ac:dyDescent="0.25">
      <c r="C46" s="14"/>
      <c r="D46" s="14" t="str" cm="1">
        <f t="array" ref="D46">Common_InputFunctions.Utility_DisplayArrayInTable(Scope3_SourceData.Scope3_OrganicFertilisers_Data(), Table_Scope3_OrganicFertiliser[[#Headers],[Organic fertiliser type]], 0, 2)</f>
        <v>Pork Manure</v>
      </c>
      <c r="E46" s="14" t="str" cm="1">
        <f t="array" ref="E46">Common_InputFunctions.Utility_DisplayArrayInTable(Scope3_SourceData.Scope3_OrganicFertilisers_Data(), Table_Scope3_OrganicFertiliser[[#Headers],[Organic fertiliser type]], 0, 2)</f>
        <v>Secondary MMS</v>
      </c>
      <c r="F46" s="14"/>
      <c r="G46" s="14" t="str" cm="1">
        <f t="array" ref="G46">Common_InputFunctions.Utility_DisplayArrayInTable(Scope3_SourceData.Scope3_OrganicFertilisers_Data(), Table_Scope3_OrganicFertiliser[[#Headers],[Organic fertiliser type]], 0, 1)</f>
        <v>t</v>
      </c>
      <c r="H46" s="14" cm="1">
        <f t="array" ref="H46">Common_InputFunctions.Utility_DisplayArrayInTable(Scope3_SourceData.Scope3_OrganicFertilisers_Data(), Table_Scope3_OrganicFertiliser[[#Headers],[Organic fertiliser type]], 0, 1)</f>
        <v>20202</v>
      </c>
      <c r="I46" s="154"/>
      <c r="J46" s="14" t="str" cm="1">
        <f t="array" ref="J46">Common_InputFunctions.Utility_DisplayArrayInTable(Scope3_SourceData.Scope3_OrganicFertilisers_Data(), Table_Scope3_OrganicFertiliser[[#Headers],[Organic fertiliser type]], 0, 1)</f>
        <v>t CO2-e / t</v>
      </c>
      <c r="K46" s="14">
        <f>Table_Scope3_OrganicFertiliser[[#This Row],[Quantity]]*Table_Scope3_OrganicFertiliser[[#This Row],[AusLCI Emissions intensity]]</f>
        <v>0</v>
      </c>
      <c r="L46" s="14">
        <f>Table_Scope3_OrganicFertiliser[[#This Row],[Quantity]]*IF(Table_Scope3_OrganicFertiliser[[#This Row],[Custom emissions intensity]], Table_Scope3_OrganicFertiliser[[#This Row],[Custom emissions intensity]], Table_Scope3_OrganicFertiliser[[#This Row],[AusLCI Emissions intensity]])</f>
        <v>0</v>
      </c>
      <c r="M46" s="154"/>
      <c r="N46" s="48"/>
      <c r="O46" s="154"/>
      <c r="P46" s="157" cm="1">
        <f t="array" ref="P46">Common_InputFunctions.Utility_LookupValueInTableNumber(Table_Scope3_OrganicFertiliser[[#This Row],[Custom emissions intensity source type (Select)]],#REF!,#REF!)</f>
        <v>0</v>
      </c>
      <c r="Q46" s="14"/>
    </row>
    <row r="47" spans="1:21" ht="20.100000000000001" customHeight="1" x14ac:dyDescent="0.25">
      <c r="C47" s="14"/>
      <c r="D47" s="14" t="str" cm="1">
        <f t="array" ref="D47">Common_InputFunctions.Utility_DisplayArrayInTable(Scope3_SourceData.Scope3_OrganicFertilisers_Data(), Table_Scope3_OrganicFertiliser[[#Headers],[Organic fertiliser type]], 0, 2)</f>
        <v>Feedlot Manure</v>
      </c>
      <c r="E47" s="14" t="str" cm="1">
        <f t="array" ref="E47">Common_InputFunctions.Utility_DisplayArrayInTable(Scope3_SourceData.Scope3_OrganicFertilisers_Data(), Table_Scope3_OrganicFertiliser[[#Headers],[Organic fertiliser type]], 0, 2)</f>
        <v>Primary MMS</v>
      </c>
      <c r="F47" s="14"/>
      <c r="G47" s="14" t="str" cm="1">
        <f t="array" ref="G47">Common_InputFunctions.Utility_DisplayArrayInTable(Scope3_SourceData.Scope3_OrganicFertilisers_Data(), Table_Scope3_OrganicFertiliser[[#Headers],[Organic fertiliser type]], 0, 1)</f>
        <v>t</v>
      </c>
      <c r="H47" s="14" cm="1">
        <f t="array" ref="H47">Common_InputFunctions.Utility_DisplayArrayInTable(Scope3_SourceData.Scope3_OrganicFertilisers_Data(), Table_Scope3_OrganicFertiliser[[#Headers],[Organic fertiliser type]], 0, 1)</f>
        <v>20301</v>
      </c>
      <c r="I47" s="154"/>
      <c r="J47" s="14" t="str" cm="1">
        <f t="array" ref="J47">Common_InputFunctions.Utility_DisplayArrayInTable(Scope3_SourceData.Scope3_OrganicFertilisers_Data(), Table_Scope3_OrganicFertiliser[[#Headers],[Organic fertiliser type]], 0, 1)</f>
        <v>t CO2-e / t</v>
      </c>
      <c r="K47" s="14">
        <f>Table_Scope3_OrganicFertiliser[[#This Row],[Quantity]]*Table_Scope3_OrganicFertiliser[[#This Row],[AusLCI Emissions intensity]]</f>
        <v>0</v>
      </c>
      <c r="L47" s="14">
        <f>Table_Scope3_OrganicFertiliser[[#This Row],[Quantity]]*IF(Table_Scope3_OrganicFertiliser[[#This Row],[Custom emissions intensity]], Table_Scope3_OrganicFertiliser[[#This Row],[Custom emissions intensity]], Table_Scope3_OrganicFertiliser[[#This Row],[AusLCI Emissions intensity]])</f>
        <v>0</v>
      </c>
      <c r="M47" s="154"/>
      <c r="N47" s="48"/>
      <c r="O47" s="154"/>
      <c r="P47" s="157" cm="1">
        <f t="array" ref="P47">Common_InputFunctions.Utility_LookupValueInTableNumber(Table_Scope3_OrganicFertiliser[[#This Row],[Custom emissions intensity source type (Select)]],#REF!,#REF!)</f>
        <v>0</v>
      </c>
      <c r="Q47" s="14"/>
    </row>
    <row r="48" spans="1:21" ht="20.100000000000001" customHeight="1" x14ac:dyDescent="0.25">
      <c r="C48" s="14"/>
      <c r="D48" s="14" t="str" cm="1">
        <f t="array" ref="D48">Common_InputFunctions.Utility_DisplayArrayInTable(Scope3_SourceData.Scope3_OrganicFertilisers_Data(), Table_Scope3_OrganicFertiliser[[#Headers],[Organic fertiliser type]], 0, 2)</f>
        <v>Feedlot Manure</v>
      </c>
      <c r="E48" s="14" t="str" cm="1">
        <f t="array" ref="E48">Common_InputFunctions.Utility_DisplayArrayInTable(Scope3_SourceData.Scope3_OrganicFertilisers_Data(), Table_Scope3_OrganicFertiliser[[#Headers],[Organic fertiliser type]], 0, 2)</f>
        <v>Secondary MMS</v>
      </c>
      <c r="F48" s="14"/>
      <c r="G48" s="14" t="str" cm="1">
        <f t="array" ref="G48">Common_InputFunctions.Utility_DisplayArrayInTable(Scope3_SourceData.Scope3_OrganicFertilisers_Data(), Table_Scope3_OrganicFertiliser[[#Headers],[Organic fertiliser type]], 0, 1)</f>
        <v>t</v>
      </c>
      <c r="H48" s="14" cm="1">
        <f t="array" ref="H48">Common_InputFunctions.Utility_DisplayArrayInTable(Scope3_SourceData.Scope3_OrganicFertilisers_Data(), Table_Scope3_OrganicFertiliser[[#Headers],[Organic fertiliser type]], 0, 1)</f>
        <v>20302</v>
      </c>
      <c r="I48" s="154"/>
      <c r="J48" s="14" t="str" cm="1">
        <f t="array" ref="J48">Common_InputFunctions.Utility_DisplayArrayInTable(Scope3_SourceData.Scope3_OrganicFertilisers_Data(), Table_Scope3_OrganicFertiliser[[#Headers],[Organic fertiliser type]], 0, 1)</f>
        <v>t CO2-e / t</v>
      </c>
      <c r="K48" s="14">
        <f>Table_Scope3_OrganicFertiliser[[#This Row],[Quantity]]*Table_Scope3_OrganicFertiliser[[#This Row],[AusLCI Emissions intensity]]</f>
        <v>0</v>
      </c>
      <c r="L48" s="14">
        <f>Table_Scope3_OrganicFertiliser[[#This Row],[Quantity]]*IF(Table_Scope3_OrganicFertiliser[[#This Row],[Custom emissions intensity]], Table_Scope3_OrganicFertiliser[[#This Row],[Custom emissions intensity]], Table_Scope3_OrganicFertiliser[[#This Row],[AusLCI Emissions intensity]])</f>
        <v>0</v>
      </c>
      <c r="M48" s="154"/>
      <c r="N48" s="48"/>
      <c r="O48" s="154"/>
      <c r="P48" s="157" cm="1">
        <f t="array" ref="P48">Common_InputFunctions.Utility_LookupValueInTableNumber(Table_Scope3_OrganicFertiliser[[#This Row],[Custom emissions intensity source type (Select)]],#REF!,#REF!)</f>
        <v>0</v>
      </c>
      <c r="Q48" s="14"/>
    </row>
    <row r="49" spans="3:18" ht="20.100000000000001" customHeight="1" x14ac:dyDescent="0.25">
      <c r="C49" s="14"/>
      <c r="D49" s="14" t="str" cm="1">
        <f t="array" ref="D49">Common_InputFunctions.Utility_DisplayArrayInTable(Scope3_SourceData.Scope3_OrganicFertilisers_Data(), Table_Scope3_OrganicFertiliser[[#Headers],[Organic fertiliser type]], 0, 2)</f>
        <v>Feedlot Manure</v>
      </c>
      <c r="E49" s="14" t="str" cm="1">
        <f t="array" ref="E49">Common_InputFunctions.Utility_DisplayArrayInTable(Scope3_SourceData.Scope3_OrganicFertilisers_Data(), Table_Scope3_OrganicFertiliser[[#Headers],[Organic fertiliser type]], 0, 2)</f>
        <v>Tertiary MMS</v>
      </c>
      <c r="F49" s="14"/>
      <c r="G49" s="14" t="str" cm="1">
        <f t="array" ref="G49">Common_InputFunctions.Utility_DisplayArrayInTable(Scope3_SourceData.Scope3_OrganicFertilisers_Data(), Table_Scope3_OrganicFertiliser[[#Headers],[Organic fertiliser type]], 0, 1)</f>
        <v>t</v>
      </c>
      <c r="H49" s="14" cm="1">
        <f t="array" ref="H49">Common_InputFunctions.Utility_DisplayArrayInTable(Scope3_SourceData.Scope3_OrganicFertilisers_Data(), Table_Scope3_OrganicFertiliser[[#Headers],[Organic fertiliser type]], 0, 1)</f>
        <v>20303</v>
      </c>
      <c r="I49" s="154"/>
      <c r="J49" s="14" t="str" cm="1">
        <f t="array" ref="J49">Common_InputFunctions.Utility_DisplayArrayInTable(Scope3_SourceData.Scope3_OrganicFertilisers_Data(), Table_Scope3_OrganicFertiliser[[#Headers],[Organic fertiliser type]], 0, 1)</f>
        <v>t CO2-e / t</v>
      </c>
      <c r="K49" s="14">
        <f>Table_Scope3_OrganicFertiliser[[#This Row],[Quantity]]*Table_Scope3_OrganicFertiliser[[#This Row],[AusLCI Emissions intensity]]</f>
        <v>0</v>
      </c>
      <c r="L49" s="14">
        <f>Table_Scope3_OrganicFertiliser[[#This Row],[Quantity]]*IF(Table_Scope3_OrganicFertiliser[[#This Row],[Custom emissions intensity]], Table_Scope3_OrganicFertiliser[[#This Row],[Custom emissions intensity]], Table_Scope3_OrganicFertiliser[[#This Row],[AusLCI Emissions intensity]])</f>
        <v>0</v>
      </c>
      <c r="M49" s="154"/>
      <c r="N49" s="48"/>
      <c r="O49" s="154"/>
      <c r="P49" s="157" cm="1">
        <f t="array" ref="P49">Common_InputFunctions.Utility_LookupValueInTableNumber(Table_Scope3_OrganicFertiliser[[#This Row],[Custom emissions intensity source type (Select)]],#REF!,#REF!)</f>
        <v>0</v>
      </c>
      <c r="Q49" s="14"/>
    </row>
    <row r="50" spans="3:18" ht="20.100000000000001" customHeight="1" x14ac:dyDescent="0.25">
      <c r="C50" s="14"/>
      <c r="D50" s="14" t="str" cm="1">
        <f t="array" ref="D50">Common_InputFunctions.Utility_DisplayArrayInTable(Scope3_SourceData.Scope3_OrganicFertilisers_Data(), Table_Scope3_OrganicFertiliser[[#Headers],[Organic fertiliser type]], 0, 2)</f>
        <v>Poultry Manure</v>
      </c>
      <c r="E50" s="14" t="str" cm="1">
        <f t="array" ref="E50">Common_InputFunctions.Utility_DisplayArrayInTable(Scope3_SourceData.Scope3_OrganicFertilisers_Data(), Table_Scope3_OrganicFertiliser[[#Headers],[Organic fertiliser type]], 0, 2)</f>
        <v>Primary MMS</v>
      </c>
      <c r="F50" s="14"/>
      <c r="G50" s="14" t="str" cm="1">
        <f t="array" ref="G50">Common_InputFunctions.Utility_DisplayArrayInTable(Scope3_SourceData.Scope3_OrganicFertilisers_Data(), Table_Scope3_OrganicFertiliser[[#Headers],[Organic fertiliser type]], 0, 1)</f>
        <v>t</v>
      </c>
      <c r="H50" s="14" cm="1">
        <f t="array" ref="H50">Common_InputFunctions.Utility_DisplayArrayInTable(Scope3_SourceData.Scope3_OrganicFertilisers_Data(), Table_Scope3_OrganicFertiliser[[#Headers],[Organic fertiliser type]], 0, 1)</f>
        <v>20401</v>
      </c>
      <c r="I50" s="154"/>
      <c r="J50" s="14" t="str" cm="1">
        <f t="array" ref="J50">Common_InputFunctions.Utility_DisplayArrayInTable(Scope3_SourceData.Scope3_OrganicFertilisers_Data(), Table_Scope3_OrganicFertiliser[[#Headers],[Organic fertiliser type]], 0, 1)</f>
        <v>t CO2-e / t</v>
      </c>
      <c r="K50" s="14">
        <f>Table_Scope3_OrganicFertiliser[[#This Row],[Quantity]]*Table_Scope3_OrganicFertiliser[[#This Row],[AusLCI Emissions intensity]]</f>
        <v>0</v>
      </c>
      <c r="L50" s="14">
        <f>Table_Scope3_OrganicFertiliser[[#This Row],[Quantity]]*IF(Table_Scope3_OrganicFertiliser[[#This Row],[Custom emissions intensity]], Table_Scope3_OrganicFertiliser[[#This Row],[Custom emissions intensity]], Table_Scope3_OrganicFertiliser[[#This Row],[AusLCI Emissions intensity]])</f>
        <v>0</v>
      </c>
      <c r="M50" s="154"/>
      <c r="N50" s="48"/>
      <c r="O50" s="154"/>
      <c r="P50" s="157" cm="1">
        <f t="array" ref="P50">Common_InputFunctions.Utility_LookupValueInTableNumber(Table_Scope3_OrganicFertiliser[[#This Row],[Custom emissions intensity source type (Select)]],#REF!,#REF!)</f>
        <v>0</v>
      </c>
      <c r="Q50" s="14"/>
    </row>
    <row r="51" spans="3:18" ht="20.100000000000001" customHeight="1" x14ac:dyDescent="0.25">
      <c r="C51" s="14"/>
      <c r="D51" s="14" t="str" cm="1">
        <f t="array" ref="D51">Common_InputFunctions.Utility_DisplayArrayInTable(Scope3_SourceData.Scope3_OrganicFertilisers_Data(), Table_Scope3_OrganicFertiliser[[#Headers],[Organic fertiliser type]], 0, 2)</f>
        <v>Poultry Manure</v>
      </c>
      <c r="E51" s="14" t="str" cm="1">
        <f t="array" ref="E51">Common_InputFunctions.Utility_DisplayArrayInTable(Scope3_SourceData.Scope3_OrganicFertilisers_Data(), Table_Scope3_OrganicFertiliser[[#Headers],[Organic fertiliser type]], 0, 2)</f>
        <v>Secondary MMS</v>
      </c>
      <c r="F51" s="14"/>
      <c r="G51" s="14" t="str" cm="1">
        <f t="array" ref="G51">Common_InputFunctions.Utility_DisplayArrayInTable(Scope3_SourceData.Scope3_OrganicFertilisers_Data(), Table_Scope3_OrganicFertiliser[[#Headers],[Organic fertiliser type]], 0, 1)</f>
        <v>t</v>
      </c>
      <c r="H51" s="14" cm="1">
        <f t="array" ref="H51">Common_InputFunctions.Utility_DisplayArrayInTable(Scope3_SourceData.Scope3_OrganicFertilisers_Data(), Table_Scope3_OrganicFertiliser[[#Headers],[Organic fertiliser type]], 0, 1)</f>
        <v>20402</v>
      </c>
      <c r="I51" s="154"/>
      <c r="J51" s="14" t="str" cm="1">
        <f t="array" ref="J51">Common_InputFunctions.Utility_DisplayArrayInTable(Scope3_SourceData.Scope3_OrganicFertilisers_Data(), Table_Scope3_OrganicFertiliser[[#Headers],[Organic fertiliser type]], 0, 1)</f>
        <v>t CO2-e / t</v>
      </c>
      <c r="K51" s="14">
        <f>Table_Scope3_OrganicFertiliser[[#This Row],[Quantity]]*Table_Scope3_OrganicFertiliser[[#This Row],[AusLCI Emissions intensity]]</f>
        <v>0</v>
      </c>
      <c r="L51" s="14">
        <f>Table_Scope3_OrganicFertiliser[[#This Row],[Quantity]]*IF(Table_Scope3_OrganicFertiliser[[#This Row],[Custom emissions intensity]], Table_Scope3_OrganicFertiliser[[#This Row],[Custom emissions intensity]], Table_Scope3_OrganicFertiliser[[#This Row],[AusLCI Emissions intensity]])</f>
        <v>0</v>
      </c>
      <c r="M51" s="154"/>
      <c r="N51" s="48"/>
      <c r="O51" s="154"/>
      <c r="P51" s="157" cm="1">
        <f t="array" ref="P51">Common_InputFunctions.Utility_LookupValueInTableNumber(Table_Scope3_OrganicFertiliser[[#This Row],[Custom emissions intensity source type (Select)]],#REF!,#REF!)</f>
        <v>0</v>
      </c>
      <c r="Q51" s="14"/>
    </row>
    <row r="52" spans="3:18" ht="20.100000000000001" customHeight="1" x14ac:dyDescent="0.25">
      <c r="C52" s="14"/>
      <c r="D52" s="14" t="str" cm="1">
        <f t="array" ref="D52">Common_InputFunctions.Utility_DisplayArrayInTable(Scope3_SourceData.Scope3_OrganicFertilisers_Data(), Table_Scope3_OrganicFertiliser[[#Headers],[Organic fertiliser type]], 0, 2)</f>
        <v>Other</v>
      </c>
      <c r="E52" s="14" t="str" cm="1">
        <f t="array" ref="E52">Common_InputFunctions.Utility_DisplayArrayInTable(Scope3_SourceData.Scope3_OrganicFertilisers_Data(), Table_Scope3_OrganicFertiliser[[#Headers],[Organic fertiliser type]], 0, 2)</f>
        <v>Location not specified</v>
      </c>
      <c r="F52" s="14"/>
      <c r="G52" s="14" t="str" cm="1">
        <f t="array" ref="G52">Common_InputFunctions.Utility_DisplayArrayInTable(Scope3_SourceData.Scope3_OrganicFertilisers_Data(), Table_Scope3_OrganicFertiliser[[#Headers],[Organic fertiliser type]], 0, 1)</f>
        <v>t</v>
      </c>
      <c r="H52" s="14" cm="1">
        <f t="array" ref="H52">Common_InputFunctions.Utility_DisplayArrayInTable(Scope3_SourceData.Scope3_OrganicFertilisers_Data(), Table_Scope3_OrganicFertiliser[[#Headers],[Organic fertiliser type]], 0, 1)</f>
        <v>20501</v>
      </c>
      <c r="I52" s="154"/>
      <c r="J52" s="14" t="str" cm="1">
        <f t="array" ref="J52">Common_InputFunctions.Utility_DisplayArrayInTable(Scope3_SourceData.Scope3_OrganicFertilisers_Data(), Table_Scope3_OrganicFertiliser[[#Headers],[Organic fertiliser type]], 0, 1)</f>
        <v>t CO2-e / t</v>
      </c>
      <c r="K52" s="14">
        <f>Table_Scope3_OrganicFertiliser[[#This Row],[Quantity]]*Table_Scope3_OrganicFertiliser[[#This Row],[AusLCI Emissions intensity]]</f>
        <v>0</v>
      </c>
      <c r="L52" s="14">
        <f>Table_Scope3_OrganicFertiliser[[#This Row],[Quantity]]*IF(Table_Scope3_OrganicFertiliser[[#This Row],[Custom emissions intensity]], Table_Scope3_OrganicFertiliser[[#This Row],[Custom emissions intensity]], Table_Scope3_OrganicFertiliser[[#This Row],[AusLCI Emissions intensity]])</f>
        <v>0</v>
      </c>
      <c r="M52" s="154"/>
      <c r="N52" s="48"/>
      <c r="O52" s="154"/>
      <c r="P52" s="157" cm="1">
        <f t="array" ref="P52">Common_InputFunctions.Utility_LookupValueInTableNumber(Table_Scope3_OrganicFertiliser[[#This Row],[Custom emissions intensity source type (Select)]],#REF!,#REF!)</f>
        <v>0</v>
      </c>
      <c r="Q52" s="14"/>
    </row>
    <row r="53" spans="3:18" ht="20.100000000000001" customHeight="1" x14ac:dyDescent="0.25">
      <c r="C53" s="14"/>
      <c r="D53" s="14"/>
      <c r="E53" s="14"/>
      <c r="F53" s="14"/>
      <c r="G53" s="14"/>
      <c r="H53" s="14"/>
      <c r="I53" s="14"/>
      <c r="J53" s="14"/>
      <c r="K53" s="14"/>
      <c r="L53" s="14"/>
      <c r="M53" s="14"/>
      <c r="N53" s="14"/>
      <c r="O53" s="14"/>
      <c r="P53" s="14"/>
      <c r="Q53" s="14"/>
    </row>
    <row r="54" spans="3:18" ht="20.100000000000001" customHeight="1" x14ac:dyDescent="0.35">
      <c r="C54" s="14"/>
      <c r="D54" s="161" t="s">
        <v>324</v>
      </c>
      <c r="E54" s="162"/>
      <c r="F54" s="163"/>
      <c r="G54" s="161">
        <f>SUM(Table_Scope3_OrganicFertiliser[Scope 3 emissions exc. custom (t CO2-e)])</f>
        <v>0</v>
      </c>
      <c r="H54" s="164" t="s">
        <v>320</v>
      </c>
      <c r="I54" s="14"/>
      <c r="J54" s="14"/>
      <c r="K54" s="14"/>
      <c r="L54" s="14"/>
      <c r="M54" s="14"/>
      <c r="N54" s="14"/>
      <c r="O54" s="14"/>
      <c r="P54" s="14"/>
      <c r="Q54" s="14"/>
    </row>
    <row r="55" spans="3:18" ht="20.100000000000001" customHeight="1" x14ac:dyDescent="0.25">
      <c r="C55" s="14"/>
      <c r="D55" s="165" t="s">
        <v>325</v>
      </c>
      <c r="E55" s="166"/>
      <c r="F55" s="166"/>
      <c r="G55" s="165">
        <f>SUM(Table_Scope3_OrganicFertiliser[Scope 3 emissions inc. custom (t CO2-e)2])</f>
        <v>0</v>
      </c>
      <c r="H55" s="164" t="s">
        <v>320</v>
      </c>
      <c r="I55" s="14"/>
      <c r="J55" s="14"/>
      <c r="K55" s="14"/>
      <c r="L55" s="14"/>
      <c r="M55" s="14"/>
      <c r="N55" s="14"/>
      <c r="O55" s="14"/>
      <c r="P55" s="14"/>
      <c r="Q55" s="14"/>
    </row>
    <row r="56" spans="3:18" ht="20.100000000000001" customHeight="1" x14ac:dyDescent="0.25">
      <c r="C56" s="14"/>
      <c r="D56" s="170"/>
      <c r="E56" s="171"/>
      <c r="F56" s="171"/>
      <c r="G56" s="170"/>
      <c r="H56" s="13"/>
      <c r="I56" s="14"/>
      <c r="J56" s="14"/>
      <c r="K56" s="14"/>
      <c r="L56" s="14"/>
      <c r="M56" s="14"/>
      <c r="N56" s="14"/>
      <c r="O56" s="14"/>
      <c r="P56" s="14"/>
      <c r="Q56" s="14"/>
    </row>
    <row r="57" spans="3:18" ht="20.100000000000001" customHeight="1" x14ac:dyDescent="0.25">
      <c r="C57" s="14"/>
      <c r="D57" s="14"/>
      <c r="E57" s="14"/>
      <c r="F57" s="14"/>
      <c r="G57" s="14"/>
      <c r="H57" s="14"/>
      <c r="I57" s="14"/>
      <c r="J57" s="14"/>
      <c r="K57" s="14"/>
      <c r="L57" s="14"/>
      <c r="M57" s="14"/>
      <c r="N57" s="14"/>
      <c r="O57" s="14"/>
      <c r="P57" s="14"/>
      <c r="Q57" s="14"/>
    </row>
    <row r="58" spans="3:18" ht="20.100000000000001" customHeight="1" x14ac:dyDescent="0.25">
      <c r="C58" s="14"/>
      <c r="D58" s="9" t="str" cm="1">
        <f t="array" ref="D58">Scope3_SourceData.Scope3_Livestock_Title()</f>
        <v>Livestock scope 3</v>
      </c>
      <c r="E58" s="14"/>
      <c r="F58" s="14"/>
      <c r="G58" s="14"/>
      <c r="H58" s="14"/>
      <c r="I58" s="14"/>
      <c r="J58" s="14"/>
      <c r="K58" s="14"/>
      <c r="L58" s="14"/>
      <c r="M58" s="14"/>
      <c r="N58" s="14"/>
      <c r="O58" s="14"/>
      <c r="P58" s="14"/>
      <c r="Q58" s="14"/>
    </row>
    <row r="59" spans="3:18" ht="20.100000000000001" customHeight="1" x14ac:dyDescent="0.25">
      <c r="C59" s="14"/>
      <c r="D59" s="11" t="str" cm="1">
        <f t="array" ref="D59">Scope3_SourceData.Scope3_Livestock_Source()</f>
        <v>Lifecycles. (2026). Greenhouse Gas Emission Intensities for Material Inputs to Australian Agriculture, Fisheries and Forestry. Version 48. doi 10.5281/zenodo.19656580</v>
      </c>
      <c r="E59" s="14"/>
      <c r="F59" s="14"/>
      <c r="G59" s="14"/>
      <c r="H59" s="14"/>
      <c r="I59" s="14"/>
      <c r="J59" s="14"/>
      <c r="K59" s="14"/>
      <c r="L59" s="14"/>
      <c r="M59" s="14"/>
      <c r="N59" s="14"/>
      <c r="O59" s="14"/>
      <c r="P59" s="14"/>
      <c r="Q59" s="14"/>
    </row>
    <row r="60" spans="3:18" ht="20.100000000000001" customHeight="1" x14ac:dyDescent="0.25">
      <c r="C60" s="14"/>
      <c r="D60" s="14"/>
      <c r="E60" s="14"/>
      <c r="F60" s="14"/>
      <c r="G60" s="14"/>
      <c r="H60" s="14"/>
      <c r="I60" s="14"/>
      <c r="J60" s="14"/>
      <c r="K60" s="14"/>
      <c r="L60" s="14"/>
      <c r="M60" s="14"/>
      <c r="N60" s="14"/>
      <c r="O60" s="14"/>
      <c r="P60" s="14"/>
      <c r="Q60" s="14"/>
    </row>
    <row r="61" spans="3:18" ht="20.100000000000001" customHeight="1" x14ac:dyDescent="0.25">
      <c r="C61" s="14"/>
      <c r="D61" s="60" t="s">
        <v>423</v>
      </c>
      <c r="E61" s="60" t="s">
        <v>222</v>
      </c>
      <c r="F61" s="60" t="s">
        <v>424</v>
      </c>
      <c r="G61" s="60" t="s">
        <v>304</v>
      </c>
      <c r="H61" s="168" t="s">
        <v>358</v>
      </c>
      <c r="I61" s="168" t="s">
        <v>306</v>
      </c>
      <c r="J61" s="169" t="s">
        <v>307</v>
      </c>
      <c r="K61" s="168" t="s">
        <v>308</v>
      </c>
      <c r="L61" s="168" t="s">
        <v>323</v>
      </c>
      <c r="M61" s="168" t="s">
        <v>309</v>
      </c>
      <c r="N61" s="169" t="s">
        <v>310</v>
      </c>
      <c r="O61" s="169" t="s">
        <v>311</v>
      </c>
      <c r="P61" s="169" t="s">
        <v>312</v>
      </c>
      <c r="Q61" s="168" t="s">
        <v>313</v>
      </c>
      <c r="R61" s="14"/>
    </row>
    <row r="62" spans="3:18" ht="20.100000000000001" customHeight="1" x14ac:dyDescent="0.25">
      <c r="C62" s="14"/>
      <c r="D62" s="14" t="str" cm="1">
        <f t="array" ref="D62">Common_InputFunctions.Utility_DisplayArrayInTable(Scope3_SourceData.Scope3_Livestock_Data(), Table_Scope3_Livestock[[#Headers],[Category]], 0, 2)</f>
        <v>Beef cattle</v>
      </c>
      <c r="E62" s="14" t="str" cm="1">
        <f t="array" ref="E62">Common_InputFunctions.Utility_DisplayArrayInTable(Scope3_SourceData.Scope3_Livestock_Data(), Table_Scope3_Livestock[[#Headers],[Category]], 0, 2)</f>
        <v>Cattle, for manufacturing beef</v>
      </c>
      <c r="F62" s="14" t="str" cm="1">
        <f t="array" ref="F62">Common_InputFunctions.Utility_DisplayArrayInTable(Scope3_SourceData.Scope3_Livestock_Data(), Table_Scope3_Livestock[[#Headers],[Category]], 0, 2)</f>
        <v>Australia</v>
      </c>
      <c r="G62" s="14" cm="1">
        <f t="array" ref="G62">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62" s="14" t="str" cm="1">
        <f t="array" ref="H62">Common_InputFunctions.Utility_DisplayArrayInTable(Scope3_SourceData.Scope3_Livestock_Data(), Table_Scope3_Livestock[[#Headers],[Category]], 0, 1)</f>
        <v>kg liveweight</v>
      </c>
      <c r="I62" s="14" cm="1">
        <f t="array" ref="I62">Common_InputFunctions.Utility_DisplayArrayInTable(Scope3_SourceData.Scope3_Livestock_Data(), Table_Scope3_Livestock[[#Headers],[Category]], 0, 1)</f>
        <v>11</v>
      </c>
      <c r="J62" s="173">
        <v>100</v>
      </c>
      <c r="K62" s="14" t="str">
        <f>"kg CO2e / " &amp;Table_Scope3_Livestock[[#This Row],[Quantity unit]]</f>
        <v>kg CO2e / kg liveweight</v>
      </c>
      <c r="L62" s="14">
        <f>Table_Scope3_Livestock[[#This Row],[Quantity]]*Table_Scope3_Livestock[[#This Row],[AusLCI Emissions intensity]]</f>
        <v>0</v>
      </c>
      <c r="M62" s="155">
        <f>Table_Scope3_Livestock[[#This Row],[Quantity]]*IF(Table_Scope3_Livestock[[#This Row],[Custom emissions intensity]], Table_Scope3_Livestock[[#This Row],[Custom emissions intensity]], Table_Scope3_Livestock[[#This Row],[AusLCI Emissions intensity]])</f>
        <v>0</v>
      </c>
      <c r="N62" s="173"/>
      <c r="O62" s="48"/>
      <c r="P62" s="173"/>
      <c r="Q62" s="155" cm="1">
        <f t="array" ref="Q62">Common_InputFunctions.Utility_LookupValueInTableNumber(Table_Scope3_Livestock[[#This Row],[Custom emissions intensity source type (Select)]],#REF!,#REF!)</f>
        <v>0</v>
      </c>
      <c r="R62" s="14"/>
    </row>
    <row r="63" spans="3:18" ht="20.100000000000001" customHeight="1" x14ac:dyDescent="0.25">
      <c r="C63" s="14"/>
      <c r="D63" s="14" t="str" cm="1">
        <f t="array" ref="D63">Common_InputFunctions.Utility_DisplayArrayInTable(Scope3_SourceData.Scope3_Livestock_Data(), Table_Scope3_Livestock[[#Headers],[Category]], 0, 2)</f>
        <v>Beef cattle</v>
      </c>
      <c r="E63" s="14" t="str" cm="1">
        <f t="array" ref="E63">Common_InputFunctions.Utility_DisplayArrayInTable(Scope3_SourceData.Scope3_Livestock_Data(), Table_Scope3_Livestock[[#Headers],[Category]], 0, 2)</f>
        <v>Cattle, for manufacturing beef</v>
      </c>
      <c r="F63" s="14" t="str" cm="1">
        <f t="array" ref="F63">Common_InputFunctions.Utility_DisplayArrayInTable(Scope3_SourceData.Scope3_Livestock_Data(), Table_Scope3_Livestock[[#Headers],[Category]], 0, 2)</f>
        <v>NSW</v>
      </c>
      <c r="G63" s="14" cm="1">
        <f t="array" ref="G63">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25000</v>
      </c>
      <c r="H63" s="14" t="str" cm="1">
        <f t="array" ref="H63">Common_InputFunctions.Utility_DisplayArrayInTable(Scope3_SourceData.Scope3_Livestock_Data(), Table_Scope3_Livestock[[#Headers],[Category]], 0, 1)</f>
        <v>kg liveweight</v>
      </c>
      <c r="I63" s="14" cm="1">
        <f t="array" ref="I63">Common_InputFunctions.Utility_DisplayArrayInTable(Scope3_SourceData.Scope3_Livestock_Data(), Table_Scope3_Livestock[[#Headers],[Category]], 0, 1)</f>
        <v>8.2100000000000009</v>
      </c>
      <c r="J63" s="173">
        <v>8</v>
      </c>
      <c r="K63" s="14" t="str">
        <f>"kg CO2e / " &amp;Table_Scope3_Livestock[[#This Row],[Quantity unit]]</f>
        <v>kg CO2e / kg liveweight</v>
      </c>
      <c r="L63" s="14">
        <f>Table_Scope3_Livestock[[#This Row],[Quantity]]*Table_Scope3_Livestock[[#This Row],[AusLCI Emissions intensity]]</f>
        <v>205250.00000000003</v>
      </c>
      <c r="M63" s="155">
        <f>Table_Scope3_Livestock[[#This Row],[Quantity]]*IF(Table_Scope3_Livestock[[#This Row],[Custom emissions intensity]], Table_Scope3_Livestock[[#This Row],[Custom emissions intensity]], Table_Scope3_Livestock[[#This Row],[AusLCI Emissions intensity]])</f>
        <v>200000</v>
      </c>
      <c r="N63" s="173"/>
      <c r="O63" s="174"/>
      <c r="P63" s="173"/>
      <c r="Q63" s="155" cm="1">
        <f t="array" ref="Q63">Common_InputFunctions.Utility_LookupValueInTableNumber(Table_Scope3_Livestock[[#This Row],[Custom emissions intensity source type (Select)]],#REF!,#REF!)</f>
        <v>0</v>
      </c>
      <c r="R63" s="14"/>
    </row>
    <row r="64" spans="3:18" ht="20.100000000000001" customHeight="1" x14ac:dyDescent="0.25">
      <c r="C64" s="14"/>
      <c r="D64" s="14" t="str" cm="1">
        <f t="array" ref="D64">Common_InputFunctions.Utility_DisplayArrayInTable(Scope3_SourceData.Scope3_Livestock_Data(), Table_Scope3_Livestock[[#Headers],[Category]], 0, 2)</f>
        <v>Beef cattle</v>
      </c>
      <c r="E64" s="14" t="str" cm="1">
        <f t="array" ref="E64">Common_InputFunctions.Utility_DisplayArrayInTable(Scope3_SourceData.Scope3_Livestock_Data(), Table_Scope3_Livestock[[#Headers],[Category]], 0, 2)</f>
        <v>Cattle, for manufacturing beef</v>
      </c>
      <c r="F64" s="14" t="str" cm="1">
        <f t="array" ref="F64">Common_InputFunctions.Utility_DisplayArrayInTable(Scope3_SourceData.Scope3_Livestock_Data(), Table_Scope3_Livestock[[#Headers],[Category]], 0, 2)</f>
        <v>NT</v>
      </c>
      <c r="G64" s="14" cm="1">
        <f t="array" ref="G64">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64" s="14" t="str" cm="1">
        <f t="array" ref="H64">Common_InputFunctions.Utility_DisplayArrayInTable(Scope3_SourceData.Scope3_Livestock_Data(), Table_Scope3_Livestock[[#Headers],[Category]], 0, 1)</f>
        <v>kg liveweight</v>
      </c>
      <c r="I64" s="14" cm="1">
        <f t="array" ref="I64">Common_InputFunctions.Utility_DisplayArrayInTable(Scope3_SourceData.Scope3_Livestock_Data(), Table_Scope3_Livestock[[#Headers],[Category]], 0, 1)</f>
        <v>12.2</v>
      </c>
      <c r="J64" s="173"/>
      <c r="K64" s="14" t="str">
        <f>"kg CO2e / " &amp;Table_Scope3_Livestock[[#This Row],[Quantity unit]]</f>
        <v>kg CO2e / kg liveweight</v>
      </c>
      <c r="L64" s="14">
        <f>Table_Scope3_Livestock[[#This Row],[Quantity]]*Table_Scope3_Livestock[[#This Row],[AusLCI Emissions intensity]]</f>
        <v>0</v>
      </c>
      <c r="M64" s="155">
        <f>Table_Scope3_Livestock[[#This Row],[Quantity]]*IF(Table_Scope3_Livestock[[#This Row],[Custom emissions intensity]], Table_Scope3_Livestock[[#This Row],[Custom emissions intensity]], Table_Scope3_Livestock[[#This Row],[AusLCI Emissions intensity]])</f>
        <v>0</v>
      </c>
      <c r="N64" s="173"/>
      <c r="O64" s="174"/>
      <c r="P64" s="173"/>
      <c r="Q64" s="155" cm="1">
        <f t="array" ref="Q64">Common_InputFunctions.Utility_LookupValueInTableNumber(Table_Scope3_Livestock[[#This Row],[Custom emissions intensity source type (Select)]],#REF!,#REF!)</f>
        <v>0</v>
      </c>
      <c r="R64" s="14"/>
    </row>
    <row r="65" spans="3:18" ht="20.100000000000001" customHeight="1" x14ac:dyDescent="0.25">
      <c r="C65" s="14"/>
      <c r="D65" s="14" t="str" cm="1">
        <f t="array" ref="D65">Common_InputFunctions.Utility_DisplayArrayInTable(Scope3_SourceData.Scope3_Livestock_Data(), Table_Scope3_Livestock[[#Headers],[Category]], 0, 2)</f>
        <v>Beef cattle</v>
      </c>
      <c r="E65" s="14" t="str" cm="1">
        <f t="array" ref="E65">Common_InputFunctions.Utility_DisplayArrayInTable(Scope3_SourceData.Scope3_Livestock_Data(), Table_Scope3_Livestock[[#Headers],[Category]], 0, 2)</f>
        <v>Cattle, for manufacturing beef</v>
      </c>
      <c r="F65" s="14" t="str" cm="1">
        <f t="array" ref="F65">Common_InputFunctions.Utility_DisplayArrayInTable(Scope3_SourceData.Scope3_Livestock_Data(), Table_Scope3_Livestock[[#Headers],[Category]], 0, 2)</f>
        <v>QLD</v>
      </c>
      <c r="G65" s="14" cm="1">
        <f t="array" ref="G65">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65" s="14" t="str" cm="1">
        <f t="array" ref="H65">Common_InputFunctions.Utility_DisplayArrayInTable(Scope3_SourceData.Scope3_Livestock_Data(), Table_Scope3_Livestock[[#Headers],[Category]], 0, 1)</f>
        <v>kg liveweight</v>
      </c>
      <c r="I65" s="14" cm="1">
        <f t="array" ref="I65">Common_InputFunctions.Utility_DisplayArrayInTable(Scope3_SourceData.Scope3_Livestock_Data(), Table_Scope3_Livestock[[#Headers],[Category]], 0, 1)</f>
        <v>10.9</v>
      </c>
      <c r="J65" s="173"/>
      <c r="K65" s="14" t="str">
        <f>"kg CO2e / " &amp;Table_Scope3_Livestock[[#This Row],[Quantity unit]]</f>
        <v>kg CO2e / kg liveweight</v>
      </c>
      <c r="L65" s="14">
        <f>Table_Scope3_Livestock[[#This Row],[Quantity]]*Table_Scope3_Livestock[[#This Row],[AusLCI Emissions intensity]]</f>
        <v>0</v>
      </c>
      <c r="M65" s="155">
        <f>Table_Scope3_Livestock[[#This Row],[Quantity]]*IF(Table_Scope3_Livestock[[#This Row],[Custom emissions intensity]], Table_Scope3_Livestock[[#This Row],[Custom emissions intensity]], Table_Scope3_Livestock[[#This Row],[AusLCI Emissions intensity]])</f>
        <v>0</v>
      </c>
      <c r="N65" s="173"/>
      <c r="O65" s="174"/>
      <c r="P65" s="173"/>
      <c r="Q65" s="155" cm="1">
        <f t="array" ref="Q65">Common_InputFunctions.Utility_LookupValueInTableNumber(Table_Scope3_Livestock[[#This Row],[Custom emissions intensity source type (Select)]],#REF!,#REF!)</f>
        <v>0</v>
      </c>
      <c r="R65" s="14"/>
    </row>
    <row r="66" spans="3:18" ht="20.100000000000001" customHeight="1" x14ac:dyDescent="0.25">
      <c r="C66" s="14"/>
      <c r="D66" s="14" t="str" cm="1">
        <f t="array" ref="D66">Common_InputFunctions.Utility_DisplayArrayInTable(Scope3_SourceData.Scope3_Livestock_Data(), Table_Scope3_Livestock[[#Headers],[Category]], 0, 2)</f>
        <v>Beef cattle</v>
      </c>
      <c r="E66" s="14" t="str" cm="1">
        <f t="array" ref="E66">Common_InputFunctions.Utility_DisplayArrayInTable(Scope3_SourceData.Scope3_Livestock_Data(), Table_Scope3_Livestock[[#Headers],[Category]], 0, 2)</f>
        <v>Cattle, for manufacturing beef</v>
      </c>
      <c r="F66" s="14" t="str" cm="1">
        <f t="array" ref="F66">Common_InputFunctions.Utility_DisplayArrayInTable(Scope3_SourceData.Scope3_Livestock_Data(), Table_Scope3_Livestock[[#Headers],[Category]], 0, 2)</f>
        <v>SA</v>
      </c>
      <c r="G66" s="14" cm="1">
        <f t="array" ref="G66">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66" s="14" t="str" cm="1">
        <f t="array" ref="H66">Common_InputFunctions.Utility_DisplayArrayInTable(Scope3_SourceData.Scope3_Livestock_Data(), Table_Scope3_Livestock[[#Headers],[Category]], 0, 1)</f>
        <v>kg liveweight</v>
      </c>
      <c r="I66" s="14" cm="1">
        <f t="array" ref="I66">Common_InputFunctions.Utility_DisplayArrayInTable(Scope3_SourceData.Scope3_Livestock_Data(), Table_Scope3_Livestock[[#Headers],[Category]], 0, 1)</f>
        <v>7.63</v>
      </c>
      <c r="J66" s="173"/>
      <c r="K66" s="14" t="str">
        <f>"kg CO2e / " &amp;Table_Scope3_Livestock[[#This Row],[Quantity unit]]</f>
        <v>kg CO2e / kg liveweight</v>
      </c>
      <c r="L66" s="14">
        <f>Table_Scope3_Livestock[[#This Row],[Quantity]]*Table_Scope3_Livestock[[#This Row],[AusLCI Emissions intensity]]</f>
        <v>0</v>
      </c>
      <c r="M66" s="155">
        <f>Table_Scope3_Livestock[[#This Row],[Quantity]]*IF(Table_Scope3_Livestock[[#This Row],[Custom emissions intensity]], Table_Scope3_Livestock[[#This Row],[Custom emissions intensity]], Table_Scope3_Livestock[[#This Row],[AusLCI Emissions intensity]])</f>
        <v>0</v>
      </c>
      <c r="N66" s="173"/>
      <c r="O66" s="174"/>
      <c r="P66" s="173"/>
      <c r="Q66" s="155" cm="1">
        <f t="array" ref="Q66">Common_InputFunctions.Utility_LookupValueInTableNumber(Table_Scope3_Livestock[[#This Row],[Custom emissions intensity source type (Select)]],#REF!,#REF!)</f>
        <v>0</v>
      </c>
      <c r="R66" s="14"/>
    </row>
    <row r="67" spans="3:18" ht="20.100000000000001" customHeight="1" x14ac:dyDescent="0.25">
      <c r="C67" s="14"/>
      <c r="D67" s="14" t="str" cm="1">
        <f t="array" ref="D67">Common_InputFunctions.Utility_DisplayArrayInTable(Scope3_SourceData.Scope3_Livestock_Data(), Table_Scope3_Livestock[[#Headers],[Category]], 0, 2)</f>
        <v>Beef cattle</v>
      </c>
      <c r="E67" s="14" t="str" cm="1">
        <f t="array" ref="E67">Common_InputFunctions.Utility_DisplayArrayInTable(Scope3_SourceData.Scope3_Livestock_Data(), Table_Scope3_Livestock[[#Headers],[Category]], 0, 2)</f>
        <v>Cattle, for manufacturing beef</v>
      </c>
      <c r="F67" s="14" t="str" cm="1">
        <f t="array" ref="F67">Common_InputFunctions.Utility_DisplayArrayInTable(Scope3_SourceData.Scope3_Livestock_Data(), Table_Scope3_Livestock[[#Headers],[Category]], 0, 2)</f>
        <v>TAS</v>
      </c>
      <c r="G67" s="14" cm="1">
        <f t="array" ref="G67">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67" s="14" t="str" cm="1">
        <f t="array" ref="H67">Common_InputFunctions.Utility_DisplayArrayInTable(Scope3_SourceData.Scope3_Livestock_Data(), Table_Scope3_Livestock[[#Headers],[Category]], 0, 1)</f>
        <v>kg liveweight</v>
      </c>
      <c r="I67" s="14" cm="1">
        <f t="array" ref="I67">Common_InputFunctions.Utility_DisplayArrayInTable(Scope3_SourceData.Scope3_Livestock_Data(), Table_Scope3_Livestock[[#Headers],[Category]], 0, 1)</f>
        <v>8.75</v>
      </c>
      <c r="J67" s="173"/>
      <c r="K67" s="14" t="str">
        <f>"kg CO2e / " &amp;Table_Scope3_Livestock[[#This Row],[Quantity unit]]</f>
        <v>kg CO2e / kg liveweight</v>
      </c>
      <c r="L67" s="14">
        <f>Table_Scope3_Livestock[[#This Row],[Quantity]]*Table_Scope3_Livestock[[#This Row],[AusLCI Emissions intensity]]</f>
        <v>0</v>
      </c>
      <c r="M67" s="155">
        <f>Table_Scope3_Livestock[[#This Row],[Quantity]]*IF(Table_Scope3_Livestock[[#This Row],[Custom emissions intensity]], Table_Scope3_Livestock[[#This Row],[Custom emissions intensity]], Table_Scope3_Livestock[[#This Row],[AusLCI Emissions intensity]])</f>
        <v>0</v>
      </c>
      <c r="N67" s="173"/>
      <c r="O67" s="174"/>
      <c r="P67" s="173"/>
      <c r="Q67" s="155" cm="1">
        <f t="array" ref="Q67">Common_InputFunctions.Utility_LookupValueInTableNumber(Table_Scope3_Livestock[[#This Row],[Custom emissions intensity source type (Select)]],#REF!,#REF!)</f>
        <v>0</v>
      </c>
      <c r="R67" s="14"/>
    </row>
    <row r="68" spans="3:18" ht="20.100000000000001" customHeight="1" x14ac:dyDescent="0.25">
      <c r="C68" s="14"/>
      <c r="D68" s="14" t="str" cm="1">
        <f t="array" ref="D68">Common_InputFunctions.Utility_DisplayArrayInTable(Scope3_SourceData.Scope3_Livestock_Data(), Table_Scope3_Livestock[[#Headers],[Category]], 0, 2)</f>
        <v>Beef cattle</v>
      </c>
      <c r="E68" s="14" t="str" cm="1">
        <f t="array" ref="E68">Common_InputFunctions.Utility_DisplayArrayInTable(Scope3_SourceData.Scope3_Livestock_Data(), Table_Scope3_Livestock[[#Headers],[Category]], 0, 2)</f>
        <v>Cattle, for manufacturing beef</v>
      </c>
      <c r="F68" s="14" t="str" cm="1">
        <f t="array" ref="F68">Common_InputFunctions.Utility_DisplayArrayInTable(Scope3_SourceData.Scope3_Livestock_Data(), Table_Scope3_Livestock[[#Headers],[Category]], 0, 2)</f>
        <v>VIC</v>
      </c>
      <c r="G68" s="14" cm="1">
        <f t="array" ref="G68">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68" s="14" t="str" cm="1">
        <f t="array" ref="H68">Common_InputFunctions.Utility_DisplayArrayInTable(Scope3_SourceData.Scope3_Livestock_Data(), Table_Scope3_Livestock[[#Headers],[Category]], 0, 1)</f>
        <v>kg liveweight</v>
      </c>
      <c r="I68" s="14" cm="1">
        <f t="array" ref="I68">Common_InputFunctions.Utility_DisplayArrayInTable(Scope3_SourceData.Scope3_Livestock_Data(), Table_Scope3_Livestock[[#Headers],[Category]], 0, 1)</f>
        <v>8.17</v>
      </c>
      <c r="J68" s="173"/>
      <c r="K68" s="14" t="str">
        <f>"kg CO2e / " &amp;Table_Scope3_Livestock[[#This Row],[Quantity unit]]</f>
        <v>kg CO2e / kg liveweight</v>
      </c>
      <c r="L68" s="14">
        <f>Table_Scope3_Livestock[[#This Row],[Quantity]]*Table_Scope3_Livestock[[#This Row],[AusLCI Emissions intensity]]</f>
        <v>0</v>
      </c>
      <c r="M68" s="155">
        <f>Table_Scope3_Livestock[[#This Row],[Quantity]]*IF(Table_Scope3_Livestock[[#This Row],[Custom emissions intensity]], Table_Scope3_Livestock[[#This Row],[Custom emissions intensity]], Table_Scope3_Livestock[[#This Row],[AusLCI Emissions intensity]])</f>
        <v>0</v>
      </c>
      <c r="N68" s="173"/>
      <c r="O68" s="174"/>
      <c r="P68" s="173"/>
      <c r="Q68" s="155" cm="1">
        <f t="array" ref="Q68">Common_InputFunctions.Utility_LookupValueInTableNumber(Table_Scope3_Livestock[[#This Row],[Custom emissions intensity source type (Select)]],#REF!,#REF!)</f>
        <v>0</v>
      </c>
      <c r="R68" s="14"/>
    </row>
    <row r="69" spans="3:18" ht="20.100000000000001" customHeight="1" x14ac:dyDescent="0.25">
      <c r="C69" s="14"/>
      <c r="D69" s="195" t="str" cm="1">
        <f t="array" ref="D69">Common_InputFunctions.Utility_DisplayArrayInTable(Scope3_SourceData.Scope3_Livestock_Data(), Table_Scope3_Livestock[[#Headers],[Category]], 0, 2)</f>
        <v>Beef cattle</v>
      </c>
      <c r="E69" s="195" t="str" cm="1">
        <f t="array" ref="E69">Common_InputFunctions.Utility_DisplayArrayInTable(Scope3_SourceData.Scope3_Livestock_Data(), Table_Scope3_Livestock[[#Headers],[Category]], 0, 2)</f>
        <v>Cattle, for manufacturing beef</v>
      </c>
      <c r="F69" s="14" t="str" cm="1">
        <f t="array" ref="F69">Common_InputFunctions.Utility_DisplayArrayInTable(Scope3_SourceData.Scope3_Livestock_Data(), Table_Scope3_Livestock[[#Headers],[Category]], 0, 2)</f>
        <v>WA</v>
      </c>
      <c r="G69" s="14" cm="1">
        <f t="array" ref="G69">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69" s="14" t="str" cm="1">
        <f t="array" ref="H69">Common_InputFunctions.Utility_DisplayArrayInTable(Scope3_SourceData.Scope3_Livestock_Data(), Table_Scope3_Livestock[[#Headers],[Category]], 0, 1)</f>
        <v>kg liveweight</v>
      </c>
      <c r="I69" s="14" cm="1">
        <f t="array" ref="I69">Common_InputFunctions.Utility_DisplayArrayInTable(Scope3_SourceData.Scope3_Livestock_Data(), Table_Scope3_Livestock[[#Headers],[Category]], 0, 1)</f>
        <v>13.1</v>
      </c>
      <c r="J69" s="173"/>
      <c r="K69" s="14" t="str">
        <f>"kg CO2e / " &amp;Table_Scope3_Livestock[[#This Row],[Quantity unit]]</f>
        <v>kg CO2e / kg liveweight</v>
      </c>
      <c r="L69" s="14">
        <f>Table_Scope3_Livestock[[#This Row],[Quantity]]*Table_Scope3_Livestock[[#This Row],[AusLCI Emissions intensity]]</f>
        <v>0</v>
      </c>
      <c r="M69" s="155">
        <f>Table_Scope3_Livestock[[#This Row],[Quantity]]*IF(Table_Scope3_Livestock[[#This Row],[Custom emissions intensity]], Table_Scope3_Livestock[[#This Row],[Custom emissions intensity]], Table_Scope3_Livestock[[#This Row],[AusLCI Emissions intensity]])</f>
        <v>0</v>
      </c>
      <c r="N69" s="173"/>
      <c r="O69" s="196"/>
      <c r="P69" s="173"/>
      <c r="Q69" s="155" cm="1">
        <f t="array" ref="Q69">Common_InputFunctions.Utility_LookupValueInTableNumber(Table_Scope3_Livestock[[#This Row],[Custom emissions intensity source type (Select)]],#REF!,#REF!)</f>
        <v>0</v>
      </c>
      <c r="R69" s="14"/>
    </row>
    <row r="70" spans="3:18" ht="20.100000000000001" customHeight="1" x14ac:dyDescent="0.25">
      <c r="C70" s="14"/>
      <c r="D70" s="195" t="str" cm="1">
        <f t="array" ref="D70">Common_InputFunctions.Utility_DisplayArrayInTable(Scope3_SourceData.Scope3_Livestock_Data(), Table_Scope3_Livestock[[#Headers],[Category]], 0, 2)</f>
        <v>Beef cattle</v>
      </c>
      <c r="E70" s="195" t="str" cm="1">
        <f t="array" ref="E70">Common_InputFunctions.Utility_DisplayArrayInTable(Scope3_SourceData.Scope3_Livestock_Data(), Table_Scope3_Livestock[[#Headers],[Category]], 0, 2)</f>
        <v>Cattle, for prime beef</v>
      </c>
      <c r="F70" s="14" t="str" cm="1">
        <f t="array" ref="F70">Common_InputFunctions.Utility_DisplayArrayInTable(Scope3_SourceData.Scope3_Livestock_Data(), Table_Scope3_Livestock[[#Headers],[Category]], 0, 2)</f>
        <v>Australia</v>
      </c>
      <c r="G70" s="14" cm="1">
        <f t="array" ref="G70">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0" s="14" t="str" cm="1">
        <f t="array" ref="H70">Common_InputFunctions.Utility_DisplayArrayInTable(Scope3_SourceData.Scope3_Livestock_Data(), Table_Scope3_Livestock[[#Headers],[Category]], 0, 1)</f>
        <v>kg liveweight</v>
      </c>
      <c r="I70" s="14" cm="1">
        <f t="array" ref="I70">Common_InputFunctions.Utility_DisplayArrayInTable(Scope3_SourceData.Scope3_Livestock_Data(), Table_Scope3_Livestock[[#Headers],[Category]], 0, 1)</f>
        <v>14.5</v>
      </c>
      <c r="J70" s="173"/>
      <c r="K70" s="14" t="str">
        <f>"kg CO2e / " &amp;Table_Scope3_Livestock[[#This Row],[Quantity unit]]</f>
        <v>kg CO2e / kg liveweight</v>
      </c>
      <c r="L70" s="14">
        <f>Table_Scope3_Livestock[[#This Row],[Quantity]]*Table_Scope3_Livestock[[#This Row],[AusLCI Emissions intensity]]</f>
        <v>0</v>
      </c>
      <c r="M70" s="155">
        <f>Table_Scope3_Livestock[[#This Row],[Quantity]]*IF(Table_Scope3_Livestock[[#This Row],[Custom emissions intensity]], Table_Scope3_Livestock[[#This Row],[Custom emissions intensity]], Table_Scope3_Livestock[[#This Row],[AusLCI Emissions intensity]])</f>
        <v>0</v>
      </c>
      <c r="N70" s="173"/>
      <c r="O70" s="196"/>
      <c r="P70" s="173"/>
      <c r="Q70" s="155" cm="1">
        <f t="array" ref="Q70">Common_InputFunctions.Utility_LookupValueInTableNumber(Table_Scope3_Livestock[[#This Row],[Custom emissions intensity source type (Select)]],#REF!,#REF!)</f>
        <v>0</v>
      </c>
      <c r="R70" s="14"/>
    </row>
    <row r="71" spans="3:18" ht="20.100000000000001" customHeight="1" x14ac:dyDescent="0.25">
      <c r="C71" s="14"/>
      <c r="D71" s="195" t="str" cm="1">
        <f t="array" ref="D71">Common_InputFunctions.Utility_DisplayArrayInTable(Scope3_SourceData.Scope3_Livestock_Data(), Table_Scope3_Livestock[[#Headers],[Category]], 0, 2)</f>
        <v>Beef cattle</v>
      </c>
      <c r="E71" s="195" t="str" cm="1">
        <f t="array" ref="E71">Common_InputFunctions.Utility_DisplayArrayInTable(Scope3_SourceData.Scope3_Livestock_Data(), Table_Scope3_Livestock[[#Headers],[Category]], 0, 2)</f>
        <v>Cattle, for prime beef</v>
      </c>
      <c r="F71" s="14" t="str" cm="1">
        <f t="array" ref="F71">Common_InputFunctions.Utility_DisplayArrayInTable(Scope3_SourceData.Scope3_Livestock_Data(), Table_Scope3_Livestock[[#Headers],[Category]], 0, 2)</f>
        <v>NSW</v>
      </c>
      <c r="G71" s="14" cm="1">
        <f t="array" ref="G71">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1" s="14" t="str" cm="1">
        <f t="array" ref="H71">Common_InputFunctions.Utility_DisplayArrayInTable(Scope3_SourceData.Scope3_Livestock_Data(), Table_Scope3_Livestock[[#Headers],[Category]], 0, 1)</f>
        <v>kg liveweight</v>
      </c>
      <c r="I71" s="14" cm="1">
        <f t="array" ref="I71">Common_InputFunctions.Utility_DisplayArrayInTable(Scope3_SourceData.Scope3_Livestock_Data(), Table_Scope3_Livestock[[#Headers],[Category]], 0, 1)</f>
        <v>11.3</v>
      </c>
      <c r="J71" s="173"/>
      <c r="K71" s="14" t="str">
        <f>"kg CO2e / " &amp;Table_Scope3_Livestock[[#This Row],[Quantity unit]]</f>
        <v>kg CO2e / kg liveweight</v>
      </c>
      <c r="L71" s="14">
        <f>Table_Scope3_Livestock[[#This Row],[Quantity]]*Table_Scope3_Livestock[[#This Row],[AusLCI Emissions intensity]]</f>
        <v>0</v>
      </c>
      <c r="M71" s="155">
        <f>Table_Scope3_Livestock[[#This Row],[Quantity]]*IF(Table_Scope3_Livestock[[#This Row],[Custom emissions intensity]], Table_Scope3_Livestock[[#This Row],[Custom emissions intensity]], Table_Scope3_Livestock[[#This Row],[AusLCI Emissions intensity]])</f>
        <v>0</v>
      </c>
      <c r="N71" s="173"/>
      <c r="O71" s="196"/>
      <c r="P71" s="173"/>
      <c r="Q71" s="155" cm="1">
        <f t="array" ref="Q71">Common_InputFunctions.Utility_LookupValueInTableNumber(Table_Scope3_Livestock[[#This Row],[Custom emissions intensity source type (Select)]],#REF!,#REF!)</f>
        <v>0</v>
      </c>
      <c r="R71" s="14"/>
    </row>
    <row r="72" spans="3:18" ht="20.100000000000001" customHeight="1" x14ac:dyDescent="0.25">
      <c r="C72" s="14"/>
      <c r="D72" s="197" t="str" cm="1">
        <f t="array" ref="D72">Common_InputFunctions.Utility_DisplayArrayInTable(Scope3_SourceData.Scope3_Livestock_Data(), Table_Scope3_Livestock[[#Headers],[Category]], 0, 2)</f>
        <v>Beef cattle</v>
      </c>
      <c r="E72" s="197" t="str" cm="1">
        <f t="array" ref="E72">Common_InputFunctions.Utility_DisplayArrayInTable(Scope3_SourceData.Scope3_Livestock_Data(), Table_Scope3_Livestock[[#Headers],[Category]], 0, 2)</f>
        <v>Cattle, for prime beef</v>
      </c>
      <c r="F72" s="14" t="str" cm="1">
        <f t="array" ref="F72">Common_InputFunctions.Utility_DisplayArrayInTable(Scope3_SourceData.Scope3_Livestock_Data(), Table_Scope3_Livestock[[#Headers],[Category]], 0, 2)</f>
        <v>NT</v>
      </c>
      <c r="G72" s="14" cm="1">
        <f t="array" ref="G72">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2" s="14" t="str" cm="1">
        <f t="array" ref="H72">Common_InputFunctions.Utility_DisplayArrayInTable(Scope3_SourceData.Scope3_Livestock_Data(), Table_Scope3_Livestock[[#Headers],[Category]], 0, 1)</f>
        <v>kg liveweight</v>
      </c>
      <c r="I72" s="14" cm="1">
        <f t="array" ref="I72">Common_InputFunctions.Utility_DisplayArrayInTable(Scope3_SourceData.Scope3_Livestock_Data(), Table_Scope3_Livestock[[#Headers],[Category]], 0, 1)</f>
        <v>18.899999999999999</v>
      </c>
      <c r="J72" s="198"/>
      <c r="K72" s="14" t="str">
        <f>"kg CO2e / " &amp;Table_Scope3_Livestock[[#This Row],[Quantity unit]]</f>
        <v>kg CO2e / kg liveweight</v>
      </c>
      <c r="L72" s="14">
        <f>Table_Scope3_Livestock[[#This Row],[Quantity]]*Table_Scope3_Livestock[[#This Row],[AusLCI Emissions intensity]]</f>
        <v>0</v>
      </c>
      <c r="M72" s="155">
        <f>Table_Scope3_Livestock[[#This Row],[Quantity]]*IF(Table_Scope3_Livestock[[#This Row],[Custom emissions intensity]], Table_Scope3_Livestock[[#This Row],[Custom emissions intensity]], Table_Scope3_Livestock[[#This Row],[AusLCI Emissions intensity]])</f>
        <v>0</v>
      </c>
      <c r="N72" s="198"/>
      <c r="O72" s="200"/>
      <c r="P72" s="198"/>
      <c r="Q72" s="199" cm="1">
        <f t="array" ref="Q72">Common_InputFunctions.Utility_LookupValueInTableNumber(Table_Scope3_Livestock[[#This Row],[Custom emissions intensity source type (Select)]],#REF!,#REF!)</f>
        <v>0</v>
      </c>
      <c r="R72" s="14"/>
    </row>
    <row r="73" spans="3:18" ht="20.100000000000001" customHeight="1" x14ac:dyDescent="0.25">
      <c r="D73" s="197" t="str" cm="1">
        <f t="array" ref="D73">Common_InputFunctions.Utility_DisplayArrayInTable(Scope3_SourceData.Scope3_Livestock_Data(), Table_Scope3_Livestock[[#Headers],[Category]], 0, 2)</f>
        <v>Beef cattle</v>
      </c>
      <c r="E73" s="197" t="str" cm="1">
        <f t="array" ref="E73">Common_InputFunctions.Utility_DisplayArrayInTable(Scope3_SourceData.Scope3_Livestock_Data(), Table_Scope3_Livestock[[#Headers],[Category]], 0, 2)</f>
        <v>Cattle, for prime beef</v>
      </c>
      <c r="F73" s="14" t="str" cm="1">
        <f t="array" ref="F73">Common_InputFunctions.Utility_DisplayArrayInTable(Scope3_SourceData.Scope3_Livestock_Data(), Table_Scope3_Livestock[[#Headers],[Category]], 0, 2)</f>
        <v>QLD</v>
      </c>
      <c r="G73" s="14" cm="1">
        <f t="array" ref="G73">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3" s="14" t="str" cm="1">
        <f t="array" ref="H73">Common_InputFunctions.Utility_DisplayArrayInTable(Scope3_SourceData.Scope3_Livestock_Data(), Table_Scope3_Livestock[[#Headers],[Category]], 0, 1)</f>
        <v>kg liveweight</v>
      </c>
      <c r="I73" s="14" cm="1">
        <f t="array" ref="I73">Common_InputFunctions.Utility_DisplayArrayInTable(Scope3_SourceData.Scope3_Livestock_Data(), Table_Scope3_Livestock[[#Headers],[Category]], 0, 1)</f>
        <v>13.9</v>
      </c>
      <c r="J73" s="198"/>
      <c r="K73" s="14" t="str">
        <f>"kg CO2e / " &amp;Table_Scope3_Livestock[[#This Row],[Quantity unit]]</f>
        <v>kg CO2e / kg liveweight</v>
      </c>
      <c r="L73" s="14">
        <f>Table_Scope3_Livestock[[#This Row],[Quantity]]*Table_Scope3_Livestock[[#This Row],[AusLCI Emissions intensity]]</f>
        <v>0</v>
      </c>
      <c r="M73" s="155">
        <f>Table_Scope3_Livestock[[#This Row],[Quantity]]*IF(Table_Scope3_Livestock[[#This Row],[Custom emissions intensity]], Table_Scope3_Livestock[[#This Row],[Custom emissions intensity]], Table_Scope3_Livestock[[#This Row],[AusLCI Emissions intensity]])</f>
        <v>0</v>
      </c>
      <c r="N73" s="198"/>
      <c r="O73" s="200"/>
      <c r="P73" s="198"/>
      <c r="Q73" s="199" cm="1">
        <f t="array" ref="Q73">Common_InputFunctions.Utility_LookupValueInTableNumber(Table_Scope3_Livestock[[#This Row],[Custom emissions intensity source type (Select)]],#REF!,#REF!)</f>
        <v>0</v>
      </c>
    </row>
    <row r="74" spans="3:18" ht="20.100000000000001" customHeight="1" x14ac:dyDescent="0.25">
      <c r="D74" s="197" t="str" cm="1">
        <f t="array" ref="D74">Common_InputFunctions.Utility_DisplayArrayInTable(Scope3_SourceData.Scope3_Livestock_Data(), Table_Scope3_Livestock[[#Headers],[Category]], 0, 2)</f>
        <v>Beef cattle</v>
      </c>
      <c r="E74" s="197" t="str" cm="1">
        <f t="array" ref="E74">Common_InputFunctions.Utility_DisplayArrayInTable(Scope3_SourceData.Scope3_Livestock_Data(), Table_Scope3_Livestock[[#Headers],[Category]], 0, 2)</f>
        <v>Cattle, for prime beef</v>
      </c>
      <c r="F74" s="14" t="str" cm="1">
        <f t="array" ref="F74">Common_InputFunctions.Utility_DisplayArrayInTable(Scope3_SourceData.Scope3_Livestock_Data(), Table_Scope3_Livestock[[#Headers],[Category]], 0, 2)</f>
        <v>SA</v>
      </c>
      <c r="G74" s="14" cm="1">
        <f t="array" ref="G74">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4" s="14" t="str" cm="1">
        <f t="array" ref="H74">Common_InputFunctions.Utility_DisplayArrayInTable(Scope3_SourceData.Scope3_Livestock_Data(), Table_Scope3_Livestock[[#Headers],[Category]], 0, 1)</f>
        <v>kg liveweight</v>
      </c>
      <c r="I74" s="14" cm="1">
        <f t="array" ref="I74">Common_InputFunctions.Utility_DisplayArrayInTable(Scope3_SourceData.Scope3_Livestock_Data(), Table_Scope3_Livestock[[#Headers],[Category]], 0, 1)</f>
        <v>12.3</v>
      </c>
      <c r="J74" s="198"/>
      <c r="K74" s="14" t="str">
        <f>"kg CO2e / " &amp;Table_Scope3_Livestock[[#This Row],[Quantity unit]]</f>
        <v>kg CO2e / kg liveweight</v>
      </c>
      <c r="L74" s="14">
        <f>Table_Scope3_Livestock[[#This Row],[Quantity]]*Table_Scope3_Livestock[[#This Row],[AusLCI Emissions intensity]]</f>
        <v>0</v>
      </c>
      <c r="M74" s="155">
        <f>Table_Scope3_Livestock[[#This Row],[Quantity]]*IF(Table_Scope3_Livestock[[#This Row],[Custom emissions intensity]], Table_Scope3_Livestock[[#This Row],[Custom emissions intensity]], Table_Scope3_Livestock[[#This Row],[AusLCI Emissions intensity]])</f>
        <v>0</v>
      </c>
      <c r="N74" s="198"/>
      <c r="O74" s="200"/>
      <c r="P74" s="198"/>
      <c r="Q74" s="199" cm="1">
        <f t="array" ref="Q74">Common_InputFunctions.Utility_LookupValueInTableNumber(Table_Scope3_Livestock[[#This Row],[Custom emissions intensity source type (Select)]],#REF!,#REF!)</f>
        <v>0</v>
      </c>
    </row>
    <row r="75" spans="3:18" ht="20.100000000000001" customHeight="1" x14ac:dyDescent="0.25">
      <c r="D75" s="197" t="str" cm="1">
        <f t="array" ref="D75">Common_InputFunctions.Utility_DisplayArrayInTable(Scope3_SourceData.Scope3_Livestock_Data(), Table_Scope3_Livestock[[#Headers],[Category]], 0, 2)</f>
        <v>Beef cattle</v>
      </c>
      <c r="E75" s="197" t="str" cm="1">
        <f t="array" ref="E75">Common_InputFunctions.Utility_DisplayArrayInTable(Scope3_SourceData.Scope3_Livestock_Data(), Table_Scope3_Livestock[[#Headers],[Category]], 0, 2)</f>
        <v>Cattle, for prime beef</v>
      </c>
      <c r="F75" s="14" t="str" cm="1">
        <f t="array" ref="F75">Common_InputFunctions.Utility_DisplayArrayInTable(Scope3_SourceData.Scope3_Livestock_Data(), Table_Scope3_Livestock[[#Headers],[Category]], 0, 2)</f>
        <v>TAS</v>
      </c>
      <c r="G75" s="14" cm="1">
        <f t="array" ref="G75">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5" s="14" t="str" cm="1">
        <f t="array" ref="H75">Common_InputFunctions.Utility_DisplayArrayInTable(Scope3_SourceData.Scope3_Livestock_Data(), Table_Scope3_Livestock[[#Headers],[Category]], 0, 1)</f>
        <v>kg liveweight</v>
      </c>
      <c r="I75" s="14" cm="1">
        <f t="array" ref="I75">Common_InputFunctions.Utility_DisplayArrayInTable(Scope3_SourceData.Scope3_Livestock_Data(), Table_Scope3_Livestock[[#Headers],[Category]], 0, 1)</f>
        <v>11.5</v>
      </c>
      <c r="J75" s="198"/>
      <c r="K75" s="14" t="str">
        <f>"kg CO2e / " &amp;Table_Scope3_Livestock[[#This Row],[Quantity unit]]</f>
        <v>kg CO2e / kg liveweight</v>
      </c>
      <c r="L75" s="14">
        <f>Table_Scope3_Livestock[[#This Row],[Quantity]]*Table_Scope3_Livestock[[#This Row],[AusLCI Emissions intensity]]</f>
        <v>0</v>
      </c>
      <c r="M75" s="155">
        <f>Table_Scope3_Livestock[[#This Row],[Quantity]]*IF(Table_Scope3_Livestock[[#This Row],[Custom emissions intensity]], Table_Scope3_Livestock[[#This Row],[Custom emissions intensity]], Table_Scope3_Livestock[[#This Row],[AusLCI Emissions intensity]])</f>
        <v>0</v>
      </c>
      <c r="N75" s="198"/>
      <c r="O75" s="200"/>
      <c r="P75" s="198"/>
      <c r="Q75" s="199" cm="1">
        <f t="array" ref="Q75">Common_InputFunctions.Utility_LookupValueInTableNumber(Table_Scope3_Livestock[[#This Row],[Custom emissions intensity source type (Select)]],#REF!,#REF!)</f>
        <v>0</v>
      </c>
    </row>
    <row r="76" spans="3:18" ht="20.100000000000001" customHeight="1" x14ac:dyDescent="0.25">
      <c r="D76" s="197" t="str" cm="1">
        <f t="array" ref="D76">Common_InputFunctions.Utility_DisplayArrayInTable(Scope3_SourceData.Scope3_Livestock_Data(), Table_Scope3_Livestock[[#Headers],[Category]], 0, 2)</f>
        <v>Beef cattle</v>
      </c>
      <c r="E76" s="197" t="str" cm="1">
        <f t="array" ref="E76">Common_InputFunctions.Utility_DisplayArrayInTable(Scope3_SourceData.Scope3_Livestock_Data(), Table_Scope3_Livestock[[#Headers],[Category]], 0, 2)</f>
        <v>Cattle, for prime beef</v>
      </c>
      <c r="F76" s="14" t="str" cm="1">
        <f t="array" ref="F76">Common_InputFunctions.Utility_DisplayArrayInTable(Scope3_SourceData.Scope3_Livestock_Data(), Table_Scope3_Livestock[[#Headers],[Category]], 0, 2)</f>
        <v>VIC</v>
      </c>
      <c r="G76" s="14" cm="1">
        <f t="array" ref="G76">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6" s="14" t="str" cm="1">
        <f t="array" ref="H76">Common_InputFunctions.Utility_DisplayArrayInTable(Scope3_SourceData.Scope3_Livestock_Data(), Table_Scope3_Livestock[[#Headers],[Category]], 0, 1)</f>
        <v>kg liveweight</v>
      </c>
      <c r="I76" s="14" cm="1">
        <f t="array" ref="I76">Common_InputFunctions.Utility_DisplayArrayInTable(Scope3_SourceData.Scope3_Livestock_Data(), Table_Scope3_Livestock[[#Headers],[Category]], 0, 1)</f>
        <v>11.5</v>
      </c>
      <c r="J76" s="198"/>
      <c r="K76" s="14" t="str">
        <f>"kg CO2e / " &amp;Table_Scope3_Livestock[[#This Row],[Quantity unit]]</f>
        <v>kg CO2e / kg liveweight</v>
      </c>
      <c r="L76" s="14">
        <f>Table_Scope3_Livestock[[#This Row],[Quantity]]*Table_Scope3_Livestock[[#This Row],[AusLCI Emissions intensity]]</f>
        <v>0</v>
      </c>
      <c r="M76" s="155">
        <f>Table_Scope3_Livestock[[#This Row],[Quantity]]*IF(Table_Scope3_Livestock[[#This Row],[Custom emissions intensity]], Table_Scope3_Livestock[[#This Row],[Custom emissions intensity]], Table_Scope3_Livestock[[#This Row],[AusLCI Emissions intensity]])</f>
        <v>0</v>
      </c>
      <c r="N76" s="198"/>
      <c r="O76" s="200"/>
      <c r="P76" s="198"/>
      <c r="Q76" s="199" cm="1">
        <f t="array" ref="Q76">Common_InputFunctions.Utility_LookupValueInTableNumber(Table_Scope3_Livestock[[#This Row],[Custom emissions intensity source type (Select)]],#REF!,#REF!)</f>
        <v>0</v>
      </c>
    </row>
    <row r="77" spans="3:18" ht="20.100000000000001" customHeight="1" x14ac:dyDescent="0.25">
      <c r="D77" s="197" t="str" cm="1">
        <f t="array" ref="D77">Common_InputFunctions.Utility_DisplayArrayInTable(Scope3_SourceData.Scope3_Livestock_Data(), Table_Scope3_Livestock[[#Headers],[Category]], 0, 2)</f>
        <v>Beef cattle</v>
      </c>
      <c r="E77" s="197" t="str" cm="1">
        <f t="array" ref="E77">Common_InputFunctions.Utility_DisplayArrayInTable(Scope3_SourceData.Scope3_Livestock_Data(), Table_Scope3_Livestock[[#Headers],[Category]], 0, 2)</f>
        <v>Cattle, for prime beef</v>
      </c>
      <c r="F77" s="14" t="str" cm="1">
        <f t="array" ref="F77">Common_InputFunctions.Utility_DisplayArrayInTable(Scope3_SourceData.Scope3_Livestock_Data(), Table_Scope3_Livestock[[#Headers],[Category]], 0, 2)</f>
        <v>WA</v>
      </c>
      <c r="G77" s="14" cm="1">
        <f t="array" ref="G77">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7" s="14" t="str" cm="1">
        <f t="array" ref="H77">Common_InputFunctions.Utility_DisplayArrayInTable(Scope3_SourceData.Scope3_Livestock_Data(), Table_Scope3_Livestock[[#Headers],[Category]], 0, 1)</f>
        <v>kg liveweight</v>
      </c>
      <c r="I77" s="14" cm="1">
        <f t="array" ref="I77">Common_InputFunctions.Utility_DisplayArrayInTable(Scope3_SourceData.Scope3_Livestock_Data(), Table_Scope3_Livestock[[#Headers],[Category]], 0, 1)</f>
        <v>20.8</v>
      </c>
      <c r="J77" s="198"/>
      <c r="K77" s="14" t="str">
        <f>"kg CO2e / " &amp;Table_Scope3_Livestock[[#This Row],[Quantity unit]]</f>
        <v>kg CO2e / kg liveweight</v>
      </c>
      <c r="L77" s="14">
        <f>Table_Scope3_Livestock[[#This Row],[Quantity]]*Table_Scope3_Livestock[[#This Row],[AusLCI Emissions intensity]]</f>
        <v>0</v>
      </c>
      <c r="M77" s="155">
        <f>Table_Scope3_Livestock[[#This Row],[Quantity]]*IF(Table_Scope3_Livestock[[#This Row],[Custom emissions intensity]], Table_Scope3_Livestock[[#This Row],[Custom emissions intensity]], Table_Scope3_Livestock[[#This Row],[AusLCI Emissions intensity]])</f>
        <v>0</v>
      </c>
      <c r="N77" s="198"/>
      <c r="O77" s="200"/>
      <c r="P77" s="198"/>
      <c r="Q77" s="199" cm="1">
        <f t="array" ref="Q77">Common_InputFunctions.Utility_LookupValueInTableNumber(Table_Scope3_Livestock[[#This Row],[Custom emissions intensity source type (Select)]],#REF!,#REF!)</f>
        <v>0</v>
      </c>
    </row>
    <row r="78" spans="3:18" ht="20.100000000000001" customHeight="1" x14ac:dyDescent="0.25">
      <c r="D78" s="197" t="str" cm="1">
        <f t="array" ref="D78">Common_InputFunctions.Utility_DisplayArrayInTable(Scope3_SourceData.Scope3_Livestock_Data(), Table_Scope3_Livestock[[#Headers],[Category]], 0, 2)</f>
        <v>Beef cattle</v>
      </c>
      <c r="E78" s="197" t="str" cm="1">
        <f t="array" ref="E78">Common_InputFunctions.Utility_DisplayArrayInTable(Scope3_SourceData.Scope3_Livestock_Data(), Table_Scope3_Livestock[[#Headers],[Category]], 0, 2)</f>
        <v>Cattle, weaners</v>
      </c>
      <c r="F78" s="14" t="str" cm="1">
        <f t="array" ref="F78">Common_InputFunctions.Utility_DisplayArrayInTable(Scope3_SourceData.Scope3_Livestock_Data(), Table_Scope3_Livestock[[#Headers],[Category]], 0, 2)</f>
        <v>Australia</v>
      </c>
      <c r="G78" s="14" cm="1">
        <f t="array" ref="G78">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8" s="14" t="str" cm="1">
        <f t="array" ref="H78">Common_InputFunctions.Utility_DisplayArrayInTable(Scope3_SourceData.Scope3_Livestock_Data(), Table_Scope3_Livestock[[#Headers],[Category]], 0, 1)</f>
        <v>kg liveweight</v>
      </c>
      <c r="I78" s="14" cm="1">
        <f t="array" ref="I78">Common_InputFunctions.Utility_DisplayArrayInTable(Scope3_SourceData.Scope3_Livestock_Data(), Table_Scope3_Livestock[[#Headers],[Category]], 0, 1)</f>
        <v>15.5</v>
      </c>
      <c r="J78" s="198"/>
      <c r="K78" s="14" t="str">
        <f>"kg CO2e / " &amp;Table_Scope3_Livestock[[#This Row],[Quantity unit]]</f>
        <v>kg CO2e / kg liveweight</v>
      </c>
      <c r="L78" s="14">
        <f>Table_Scope3_Livestock[[#This Row],[Quantity]]*Table_Scope3_Livestock[[#This Row],[AusLCI Emissions intensity]]</f>
        <v>0</v>
      </c>
      <c r="M78" s="155">
        <f>Table_Scope3_Livestock[[#This Row],[Quantity]]*IF(Table_Scope3_Livestock[[#This Row],[Custom emissions intensity]], Table_Scope3_Livestock[[#This Row],[Custom emissions intensity]], Table_Scope3_Livestock[[#This Row],[AusLCI Emissions intensity]])</f>
        <v>0</v>
      </c>
      <c r="N78" s="198"/>
      <c r="O78" s="200"/>
      <c r="P78" s="198"/>
      <c r="Q78" s="199" cm="1">
        <f t="array" ref="Q78">Common_InputFunctions.Utility_LookupValueInTableNumber(Table_Scope3_Livestock[[#This Row],[Custom emissions intensity source type (Select)]],#REF!,#REF!)</f>
        <v>0</v>
      </c>
    </row>
    <row r="79" spans="3:18" ht="20.100000000000001" customHeight="1" x14ac:dyDescent="0.25">
      <c r="D79" s="197" t="str" cm="1">
        <f t="array" ref="D79">Common_InputFunctions.Utility_DisplayArrayInTable(Scope3_SourceData.Scope3_Livestock_Data(), Table_Scope3_Livestock[[#Headers],[Category]], 0, 2)</f>
        <v>Beef cattle</v>
      </c>
      <c r="E79" s="197" t="str" cm="1">
        <f t="array" ref="E79">Common_InputFunctions.Utility_DisplayArrayInTable(Scope3_SourceData.Scope3_Livestock_Data(), Table_Scope3_Livestock[[#Headers],[Category]], 0, 2)</f>
        <v>Cattle, weaners</v>
      </c>
      <c r="F79" s="14" t="str" cm="1">
        <f t="array" ref="F79">Common_InputFunctions.Utility_DisplayArrayInTable(Scope3_SourceData.Scope3_Livestock_Data(), Table_Scope3_Livestock[[#Headers],[Category]], 0, 2)</f>
        <v>NSW</v>
      </c>
      <c r="G79" s="14" cm="1">
        <f t="array" ref="G79">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9" s="14" t="str" cm="1">
        <f t="array" ref="H79">Common_InputFunctions.Utility_DisplayArrayInTable(Scope3_SourceData.Scope3_Livestock_Data(), Table_Scope3_Livestock[[#Headers],[Category]], 0, 1)</f>
        <v>kg liveweight</v>
      </c>
      <c r="I79" s="14" cm="1">
        <f t="array" ref="I79">Common_InputFunctions.Utility_DisplayArrayInTable(Scope3_SourceData.Scope3_Livestock_Data(), Table_Scope3_Livestock[[#Headers],[Category]], 0, 1)</f>
        <v>12.7</v>
      </c>
      <c r="J79" s="198"/>
      <c r="K79" s="14" t="str">
        <f>"kg CO2e / " &amp;Table_Scope3_Livestock[[#This Row],[Quantity unit]]</f>
        <v>kg CO2e / kg liveweight</v>
      </c>
      <c r="L79" s="14">
        <f>Table_Scope3_Livestock[[#This Row],[Quantity]]*Table_Scope3_Livestock[[#This Row],[AusLCI Emissions intensity]]</f>
        <v>0</v>
      </c>
      <c r="M79" s="155">
        <f>Table_Scope3_Livestock[[#This Row],[Quantity]]*IF(Table_Scope3_Livestock[[#This Row],[Custom emissions intensity]], Table_Scope3_Livestock[[#This Row],[Custom emissions intensity]], Table_Scope3_Livestock[[#This Row],[AusLCI Emissions intensity]])</f>
        <v>0</v>
      </c>
      <c r="N79" s="198"/>
      <c r="O79" s="200"/>
      <c r="P79" s="198"/>
      <c r="Q79" s="199" cm="1">
        <f t="array" ref="Q79">Common_InputFunctions.Utility_LookupValueInTableNumber(Table_Scope3_Livestock[[#This Row],[Custom emissions intensity source type (Select)]],#REF!,#REF!)</f>
        <v>0</v>
      </c>
    </row>
    <row r="80" spans="3:18" ht="20.100000000000001" customHeight="1" x14ac:dyDescent="0.25">
      <c r="D80" s="197" t="str" cm="1">
        <f t="array" ref="D80">Common_InputFunctions.Utility_DisplayArrayInTable(Scope3_SourceData.Scope3_Livestock_Data(), Table_Scope3_Livestock[[#Headers],[Category]], 0, 2)</f>
        <v>Beef cattle</v>
      </c>
      <c r="E80" s="197" t="str" cm="1">
        <f t="array" ref="E80">Common_InputFunctions.Utility_DisplayArrayInTable(Scope3_SourceData.Scope3_Livestock_Data(), Table_Scope3_Livestock[[#Headers],[Category]], 0, 2)</f>
        <v>Cattle, weaners</v>
      </c>
      <c r="F80" s="14" t="str" cm="1">
        <f t="array" ref="F80">Common_InputFunctions.Utility_DisplayArrayInTable(Scope3_SourceData.Scope3_Livestock_Data(), Table_Scope3_Livestock[[#Headers],[Category]], 0, 2)</f>
        <v>NT</v>
      </c>
      <c r="G80" s="14" cm="1">
        <f t="array" ref="G80">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80" s="14" t="str" cm="1">
        <f t="array" ref="H80">Common_InputFunctions.Utility_DisplayArrayInTable(Scope3_SourceData.Scope3_Livestock_Data(), Table_Scope3_Livestock[[#Headers],[Category]], 0, 1)</f>
        <v>kg liveweight</v>
      </c>
      <c r="I80" s="14" cm="1">
        <f t="array" ref="I80">Common_InputFunctions.Utility_DisplayArrayInTable(Scope3_SourceData.Scope3_Livestock_Data(), Table_Scope3_Livestock[[#Headers],[Category]], 0, 1)</f>
        <v>19.100000000000001</v>
      </c>
      <c r="J80" s="198"/>
      <c r="K80" s="14" t="str">
        <f>"kg CO2e / " &amp;Table_Scope3_Livestock[[#This Row],[Quantity unit]]</f>
        <v>kg CO2e / kg liveweight</v>
      </c>
      <c r="L80" s="14">
        <f>Table_Scope3_Livestock[[#This Row],[Quantity]]*Table_Scope3_Livestock[[#This Row],[AusLCI Emissions intensity]]</f>
        <v>0</v>
      </c>
      <c r="M80" s="155">
        <f>Table_Scope3_Livestock[[#This Row],[Quantity]]*IF(Table_Scope3_Livestock[[#This Row],[Custom emissions intensity]], Table_Scope3_Livestock[[#This Row],[Custom emissions intensity]], Table_Scope3_Livestock[[#This Row],[AusLCI Emissions intensity]])</f>
        <v>0</v>
      </c>
      <c r="N80" s="198"/>
      <c r="O80" s="200"/>
      <c r="P80" s="198"/>
      <c r="Q80" s="199" cm="1">
        <f t="array" ref="Q80">Common_InputFunctions.Utility_LookupValueInTableNumber(Table_Scope3_Livestock[[#This Row],[Custom emissions intensity source type (Select)]],#REF!,#REF!)</f>
        <v>0</v>
      </c>
    </row>
    <row r="81" spans="4:17" ht="20.100000000000001" customHeight="1" x14ac:dyDescent="0.25">
      <c r="D81" s="197" t="str" cm="1">
        <f t="array" ref="D81">Common_InputFunctions.Utility_DisplayArrayInTable(Scope3_SourceData.Scope3_Livestock_Data(), Table_Scope3_Livestock[[#Headers],[Category]], 0, 2)</f>
        <v>Beef cattle</v>
      </c>
      <c r="E81" s="197" t="str" cm="1">
        <f t="array" ref="E81">Common_InputFunctions.Utility_DisplayArrayInTable(Scope3_SourceData.Scope3_Livestock_Data(), Table_Scope3_Livestock[[#Headers],[Category]], 0, 2)</f>
        <v>Cattle, weaners</v>
      </c>
      <c r="F81" s="14" t="str" cm="1">
        <f t="array" ref="F81">Common_InputFunctions.Utility_DisplayArrayInTable(Scope3_SourceData.Scope3_Livestock_Data(), Table_Scope3_Livestock[[#Headers],[Category]], 0, 2)</f>
        <v>QLD</v>
      </c>
      <c r="G81" s="14" cm="1">
        <f t="array" ref="G81">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81" s="14" t="str" cm="1">
        <f t="array" ref="H81">Common_InputFunctions.Utility_DisplayArrayInTable(Scope3_SourceData.Scope3_Livestock_Data(), Table_Scope3_Livestock[[#Headers],[Category]], 0, 1)</f>
        <v>kg liveweight</v>
      </c>
      <c r="I81" s="14" cm="1">
        <f t="array" ref="I81">Common_InputFunctions.Utility_DisplayArrayInTable(Scope3_SourceData.Scope3_Livestock_Data(), Table_Scope3_Livestock[[#Headers],[Category]], 0, 1)</f>
        <v>20.5</v>
      </c>
      <c r="J81" s="198"/>
      <c r="K81" s="14" t="str">
        <f>"kg CO2e / " &amp;Table_Scope3_Livestock[[#This Row],[Quantity unit]]</f>
        <v>kg CO2e / kg liveweight</v>
      </c>
      <c r="L81" s="14">
        <f>Table_Scope3_Livestock[[#This Row],[Quantity]]*Table_Scope3_Livestock[[#This Row],[AusLCI Emissions intensity]]</f>
        <v>0</v>
      </c>
      <c r="M81" s="155">
        <f>Table_Scope3_Livestock[[#This Row],[Quantity]]*IF(Table_Scope3_Livestock[[#This Row],[Custom emissions intensity]], Table_Scope3_Livestock[[#This Row],[Custom emissions intensity]], Table_Scope3_Livestock[[#This Row],[AusLCI Emissions intensity]])</f>
        <v>0</v>
      </c>
      <c r="N81" s="198"/>
      <c r="O81" s="200"/>
      <c r="P81" s="198"/>
      <c r="Q81" s="199" cm="1">
        <f t="array" ref="Q81">Common_InputFunctions.Utility_LookupValueInTableNumber(Table_Scope3_Livestock[[#This Row],[Custom emissions intensity source type (Select)]],#REF!,#REF!)</f>
        <v>0</v>
      </c>
    </row>
    <row r="82" spans="4:17" ht="20.100000000000001" customHeight="1" x14ac:dyDescent="0.25">
      <c r="D82" s="197" t="str" cm="1">
        <f t="array" ref="D82">Common_InputFunctions.Utility_DisplayArrayInTable(Scope3_SourceData.Scope3_Livestock_Data(), Table_Scope3_Livestock[[#Headers],[Category]], 0, 2)</f>
        <v>Beef cattle</v>
      </c>
      <c r="E82" s="197" t="str" cm="1">
        <f t="array" ref="E82">Common_InputFunctions.Utility_DisplayArrayInTable(Scope3_SourceData.Scope3_Livestock_Data(), Table_Scope3_Livestock[[#Headers],[Category]], 0, 2)</f>
        <v>Cattle, weaners</v>
      </c>
      <c r="F82" s="14" t="str" cm="1">
        <f t="array" ref="F82">Common_InputFunctions.Utility_DisplayArrayInTable(Scope3_SourceData.Scope3_Livestock_Data(), Table_Scope3_Livestock[[#Headers],[Category]], 0, 2)</f>
        <v>SA</v>
      </c>
      <c r="G82" s="14" cm="1">
        <f t="array" ref="G82">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82" s="14" t="str" cm="1">
        <f t="array" ref="H82">Common_InputFunctions.Utility_DisplayArrayInTable(Scope3_SourceData.Scope3_Livestock_Data(), Table_Scope3_Livestock[[#Headers],[Category]], 0, 1)</f>
        <v>kg liveweight</v>
      </c>
      <c r="I82" s="14" cm="1">
        <f t="array" ref="I82">Common_InputFunctions.Utility_DisplayArrayInTable(Scope3_SourceData.Scope3_Livestock_Data(), Table_Scope3_Livestock[[#Headers],[Category]], 0, 1)</f>
        <v>10.8</v>
      </c>
      <c r="J82" s="198"/>
      <c r="K82" s="14" t="str">
        <f>"kg CO2e / " &amp;Table_Scope3_Livestock[[#This Row],[Quantity unit]]</f>
        <v>kg CO2e / kg liveweight</v>
      </c>
      <c r="L82" s="14">
        <f>Table_Scope3_Livestock[[#This Row],[Quantity]]*Table_Scope3_Livestock[[#This Row],[AusLCI Emissions intensity]]</f>
        <v>0</v>
      </c>
      <c r="M82" s="155">
        <f>Table_Scope3_Livestock[[#This Row],[Quantity]]*IF(Table_Scope3_Livestock[[#This Row],[Custom emissions intensity]], Table_Scope3_Livestock[[#This Row],[Custom emissions intensity]], Table_Scope3_Livestock[[#This Row],[AusLCI Emissions intensity]])</f>
        <v>0</v>
      </c>
      <c r="N82" s="198"/>
      <c r="O82" s="200"/>
      <c r="P82" s="198"/>
      <c r="Q82" s="199" cm="1">
        <f t="array" ref="Q82">Common_InputFunctions.Utility_LookupValueInTableNumber(Table_Scope3_Livestock[[#This Row],[Custom emissions intensity source type (Select)]],#REF!,#REF!)</f>
        <v>0</v>
      </c>
    </row>
    <row r="83" spans="4:17" ht="20.100000000000001" customHeight="1" x14ac:dyDescent="0.25">
      <c r="D83" s="197" t="str" cm="1">
        <f t="array" ref="D83">Common_InputFunctions.Utility_DisplayArrayInTable(Scope3_SourceData.Scope3_Livestock_Data(), Table_Scope3_Livestock[[#Headers],[Category]], 0, 2)</f>
        <v>Beef cattle</v>
      </c>
      <c r="E83" s="197" t="str" cm="1">
        <f t="array" ref="E83">Common_InputFunctions.Utility_DisplayArrayInTable(Scope3_SourceData.Scope3_Livestock_Data(), Table_Scope3_Livestock[[#Headers],[Category]], 0, 2)</f>
        <v>Cattle, weaners</v>
      </c>
      <c r="F83" s="14" t="str" cm="1">
        <f t="array" ref="F83">Common_InputFunctions.Utility_DisplayArrayInTable(Scope3_SourceData.Scope3_Livestock_Data(), Table_Scope3_Livestock[[#Headers],[Category]], 0, 2)</f>
        <v>TAS</v>
      </c>
      <c r="G83" s="14" cm="1">
        <f t="array" ref="G83">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83" s="14" t="str" cm="1">
        <f t="array" ref="H83">Common_InputFunctions.Utility_DisplayArrayInTable(Scope3_SourceData.Scope3_Livestock_Data(), Table_Scope3_Livestock[[#Headers],[Category]], 0, 1)</f>
        <v>kg liveweight</v>
      </c>
      <c r="I83" s="14" cm="1">
        <f t="array" ref="I83">Common_InputFunctions.Utility_DisplayArrayInTable(Scope3_SourceData.Scope3_Livestock_Data(), Table_Scope3_Livestock[[#Headers],[Category]], 0, 1)</f>
        <v>13.4</v>
      </c>
      <c r="J83" s="198"/>
      <c r="K83" s="14" t="str">
        <f>"kg CO2e / " &amp;Table_Scope3_Livestock[[#This Row],[Quantity unit]]</f>
        <v>kg CO2e / kg liveweight</v>
      </c>
      <c r="L83" s="14">
        <f>Table_Scope3_Livestock[[#This Row],[Quantity]]*Table_Scope3_Livestock[[#This Row],[AusLCI Emissions intensity]]</f>
        <v>0</v>
      </c>
      <c r="M83" s="155">
        <f>Table_Scope3_Livestock[[#This Row],[Quantity]]*IF(Table_Scope3_Livestock[[#This Row],[Custom emissions intensity]], Table_Scope3_Livestock[[#This Row],[Custom emissions intensity]], Table_Scope3_Livestock[[#This Row],[AusLCI Emissions intensity]])</f>
        <v>0</v>
      </c>
      <c r="N83" s="198"/>
      <c r="O83" s="200"/>
      <c r="P83" s="198"/>
      <c r="Q83" s="199" cm="1">
        <f t="array" ref="Q83">Common_InputFunctions.Utility_LookupValueInTableNumber(Table_Scope3_Livestock[[#This Row],[Custom emissions intensity source type (Select)]],#REF!,#REF!)</f>
        <v>0</v>
      </c>
    </row>
    <row r="84" spans="4:17" ht="20.100000000000001" customHeight="1" x14ac:dyDescent="0.25">
      <c r="D84" s="197" t="str" cm="1">
        <f t="array" ref="D84">Common_InputFunctions.Utility_DisplayArrayInTable(Scope3_SourceData.Scope3_Livestock_Data(), Table_Scope3_Livestock[[#Headers],[Category]], 0, 2)</f>
        <v>Beef cattle</v>
      </c>
      <c r="E84" s="197" t="str" cm="1">
        <f t="array" ref="E84">Common_InputFunctions.Utility_DisplayArrayInTable(Scope3_SourceData.Scope3_Livestock_Data(), Table_Scope3_Livestock[[#Headers],[Category]], 0, 2)</f>
        <v>Cattle, weaners</v>
      </c>
      <c r="F84" s="14" t="str" cm="1">
        <f t="array" ref="F84">Common_InputFunctions.Utility_DisplayArrayInTable(Scope3_SourceData.Scope3_Livestock_Data(), Table_Scope3_Livestock[[#Headers],[Category]], 0, 2)</f>
        <v>VIC</v>
      </c>
      <c r="G84" s="14" cm="1">
        <f t="array" ref="G84">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84" s="14" t="str" cm="1">
        <f t="array" ref="H84">Common_InputFunctions.Utility_DisplayArrayInTable(Scope3_SourceData.Scope3_Livestock_Data(), Table_Scope3_Livestock[[#Headers],[Category]], 0, 1)</f>
        <v>kg liveweight</v>
      </c>
      <c r="I84" s="14" cm="1">
        <f t="array" ref="I84">Common_InputFunctions.Utility_DisplayArrayInTable(Scope3_SourceData.Scope3_Livestock_Data(), Table_Scope3_Livestock[[#Headers],[Category]], 0, 1)</f>
        <v>12</v>
      </c>
      <c r="J84" s="198"/>
      <c r="K84" s="14" t="str">
        <f>"kg CO2e / " &amp;Table_Scope3_Livestock[[#This Row],[Quantity unit]]</f>
        <v>kg CO2e / kg liveweight</v>
      </c>
      <c r="L84" s="14">
        <f>Table_Scope3_Livestock[[#This Row],[Quantity]]*Table_Scope3_Livestock[[#This Row],[AusLCI Emissions intensity]]</f>
        <v>0</v>
      </c>
      <c r="M84" s="155">
        <f>Table_Scope3_Livestock[[#This Row],[Quantity]]*IF(Table_Scope3_Livestock[[#This Row],[Custom emissions intensity]], Table_Scope3_Livestock[[#This Row],[Custom emissions intensity]], Table_Scope3_Livestock[[#This Row],[AusLCI Emissions intensity]])</f>
        <v>0</v>
      </c>
      <c r="N84" s="198"/>
      <c r="O84" s="200"/>
      <c r="P84" s="198"/>
      <c r="Q84" s="199" cm="1">
        <f t="array" ref="Q84">Common_InputFunctions.Utility_LookupValueInTableNumber(Table_Scope3_Livestock[[#This Row],[Custom emissions intensity source type (Select)]],#REF!,#REF!)</f>
        <v>0</v>
      </c>
    </row>
    <row r="85" spans="4:17" ht="20.100000000000001" customHeight="1" x14ac:dyDescent="0.25">
      <c r="D85" s="197" t="str" cm="1">
        <f t="array" ref="D85">Common_InputFunctions.Utility_DisplayArrayInTable(Scope3_SourceData.Scope3_Livestock_Data(), Table_Scope3_Livestock[[#Headers],[Category]], 0, 2)</f>
        <v>Beef cattle</v>
      </c>
      <c r="E85" s="197" t="str" cm="1">
        <f t="array" ref="E85">Common_InputFunctions.Utility_DisplayArrayInTable(Scope3_SourceData.Scope3_Livestock_Data(), Table_Scope3_Livestock[[#Headers],[Category]], 0, 2)</f>
        <v>Cattle, weaners</v>
      </c>
      <c r="F85" s="14" t="str" cm="1">
        <f t="array" ref="F85">Common_InputFunctions.Utility_DisplayArrayInTable(Scope3_SourceData.Scope3_Livestock_Data(), Table_Scope3_Livestock[[#Headers],[Category]], 0, 2)</f>
        <v>WA</v>
      </c>
      <c r="G85" s="14" cm="1">
        <f t="array" ref="G85">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85" s="14" t="str" cm="1">
        <f t="array" ref="H85">Common_InputFunctions.Utility_DisplayArrayInTable(Scope3_SourceData.Scope3_Livestock_Data(), Table_Scope3_Livestock[[#Headers],[Category]], 0, 1)</f>
        <v>kg liveweight</v>
      </c>
      <c r="I85" s="14" cm="1">
        <f t="array" ref="I85">Common_InputFunctions.Utility_DisplayArrayInTable(Scope3_SourceData.Scope3_Livestock_Data(), Table_Scope3_Livestock[[#Headers],[Category]], 0, 1)</f>
        <v>12.4</v>
      </c>
      <c r="J85" s="198"/>
      <c r="K85" s="14" t="str">
        <f>"kg CO2e / " &amp;Table_Scope3_Livestock[[#This Row],[Quantity unit]]</f>
        <v>kg CO2e / kg liveweight</v>
      </c>
      <c r="L85" s="14">
        <f>Table_Scope3_Livestock[[#This Row],[Quantity]]*Table_Scope3_Livestock[[#This Row],[AusLCI Emissions intensity]]</f>
        <v>0</v>
      </c>
      <c r="M85" s="155">
        <f>Table_Scope3_Livestock[[#This Row],[Quantity]]*IF(Table_Scope3_Livestock[[#This Row],[Custom emissions intensity]], Table_Scope3_Livestock[[#This Row],[Custom emissions intensity]], Table_Scope3_Livestock[[#This Row],[AusLCI Emissions intensity]])</f>
        <v>0</v>
      </c>
      <c r="N85" s="198"/>
      <c r="O85" s="200"/>
      <c r="P85" s="198"/>
      <c r="Q85" s="199" cm="1">
        <f t="array" ref="Q85">Common_InputFunctions.Utility_LookupValueInTableNumber(Table_Scope3_Livestock[[#This Row],[Custom emissions intensity source type (Select)]],#REF!,#REF!)</f>
        <v>0</v>
      </c>
    </row>
    <row r="86" spans="4:17" ht="20.100000000000001" customHeight="1" x14ac:dyDescent="0.25">
      <c r="D86" s="197" t="str" cm="1">
        <f t="array" ref="D86">Common_InputFunctions.Utility_DisplayArrayInTable(Scope3_SourceData.Scope3_Livestock_Data(), Table_Scope3_Livestock[[#Headers],[Category]], 0, 2)</f>
        <v>Chickens</v>
      </c>
      <c r="E86" s="197" t="str" cm="1">
        <f t="array" ref="E86">Common_InputFunctions.Utility_DisplayArrayInTable(Scope3_SourceData.Scope3_Livestock_Data(), Table_Scope3_Livestock[[#Headers],[Category]], 0, 2)</f>
        <v>Chickens</v>
      </c>
      <c r="F86" s="14" t="str" cm="1">
        <f t="array" ref="F86">Common_InputFunctions.Utility_DisplayArrayInTable(Scope3_SourceData.Scope3_Livestock_Data(), Table_Scope3_Livestock[[#Headers],[Category]], 0, 2)</f>
        <v>Australia</v>
      </c>
      <c r="G86" s="14" cm="1">
        <f t="array" ref="G86">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25000</v>
      </c>
      <c r="H86" s="14" t="str" cm="1">
        <f t="array" ref="H86">Common_InputFunctions.Utility_DisplayArrayInTable(Scope3_SourceData.Scope3_Livestock_Data(), Table_Scope3_Livestock[[#Headers],[Category]], 0, 1)</f>
        <v>kg liveweight</v>
      </c>
      <c r="I86" s="14" cm="1">
        <f t="array" ref="I86">Common_InputFunctions.Utility_DisplayArrayInTable(Scope3_SourceData.Scope3_Livestock_Data(), Table_Scope3_Livestock[[#Headers],[Category]], 0, 1)</f>
        <v>1.36</v>
      </c>
      <c r="J86" s="198"/>
      <c r="K86" s="14" t="str">
        <f>"kg CO2e / " &amp;Table_Scope3_Livestock[[#This Row],[Quantity unit]]</f>
        <v>kg CO2e / kg liveweight</v>
      </c>
      <c r="L86" s="14">
        <f>Table_Scope3_Livestock[[#This Row],[Quantity]]*Table_Scope3_Livestock[[#This Row],[AusLCI Emissions intensity]]</f>
        <v>34000</v>
      </c>
      <c r="M86" s="155">
        <f>Table_Scope3_Livestock[[#This Row],[Quantity]]*IF(Table_Scope3_Livestock[[#This Row],[Custom emissions intensity]], Table_Scope3_Livestock[[#This Row],[Custom emissions intensity]], Table_Scope3_Livestock[[#This Row],[AusLCI Emissions intensity]])</f>
        <v>34000</v>
      </c>
      <c r="N86" s="198"/>
      <c r="O86" s="200"/>
      <c r="P86" s="198"/>
      <c r="Q86" s="199" cm="1">
        <f t="array" ref="Q86">Common_InputFunctions.Utility_LookupValueInTableNumber(Table_Scope3_Livestock[[#This Row],[Custom emissions intensity source type (Select)]],#REF!,#REF!)</f>
        <v>0</v>
      </c>
    </row>
    <row r="87" spans="4:17" ht="20.100000000000001" customHeight="1" x14ac:dyDescent="0.25">
      <c r="D87" s="197" t="str" cm="1">
        <f t="array" ref="D87">Common_InputFunctions.Utility_DisplayArrayInTable(Scope3_SourceData.Scope3_Livestock_Data(), Table_Scope3_Livestock[[#Headers],[Category]], 0, 2)</f>
        <v>Dairy cattle</v>
      </c>
      <c r="E87" s="197" t="str" cm="1">
        <f t="array" ref="E87">Common_InputFunctions.Utility_DisplayArrayInTable(Scope3_SourceData.Scope3_Livestock_Data(), Table_Scope3_Livestock[[#Headers],[Category]], 0, 2)</f>
        <v>Dairy cows</v>
      </c>
      <c r="F87" s="14" t="str" cm="1">
        <f t="array" ref="F87">Common_InputFunctions.Utility_DisplayArrayInTable(Scope3_SourceData.Scope3_Livestock_Data(), Table_Scope3_Livestock[[#Headers],[Category]], 0, 2)</f>
        <v>VIC</v>
      </c>
      <c r="G87" s="14" cm="1">
        <f t="array" ref="G87">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"VIC", Table_Input_LivestockPurchases[Source region (Select)]))</f>
        <v>25000</v>
      </c>
      <c r="H87" s="14" t="str" cm="1">
        <f t="array" ref="H87">Common_InputFunctions.Utility_DisplayArrayInTable(Scope3_SourceData.Scope3_Livestock_Data(), Table_Scope3_Livestock[[#Headers],[Category]], 0, 1)</f>
        <v>kg liveweight</v>
      </c>
      <c r="I87" s="14" cm="1">
        <f t="array" ref="I87">Common_InputFunctions.Utility_DisplayArrayInTable(Scope3_SourceData.Scope3_Livestock_Data(), Table_Scope3_Livestock[[#Headers],[Category]], 0, 1)</f>
        <v>4.41</v>
      </c>
      <c r="J87" s="198"/>
      <c r="K87" s="14" t="str">
        <f>"kg CO2e / " &amp;Table_Scope3_Livestock[[#This Row],[Quantity unit]]</f>
        <v>kg CO2e / kg liveweight</v>
      </c>
      <c r="L87" s="14">
        <f>Table_Scope3_Livestock[[#This Row],[Quantity]]*Table_Scope3_Livestock[[#This Row],[AusLCI Emissions intensity]]</f>
        <v>110250</v>
      </c>
      <c r="M87" s="155">
        <f>Table_Scope3_Livestock[[#This Row],[Quantity]]*IF(Table_Scope3_Livestock[[#This Row],[Custom emissions intensity]], Table_Scope3_Livestock[[#This Row],[Custom emissions intensity]], Table_Scope3_Livestock[[#This Row],[AusLCI Emissions intensity]])</f>
        <v>110250</v>
      </c>
      <c r="N87" s="198"/>
      <c r="O87" s="200"/>
      <c r="P87" s="198"/>
      <c r="Q87" s="199" cm="1">
        <f t="array" ref="Q87">Common_InputFunctions.Utility_LookupValueInTableNumber(Table_Scope3_Livestock[[#This Row],[Custom emissions intensity source type (Select)]],#REF!,#REF!)</f>
        <v>0</v>
      </c>
    </row>
    <row r="88" spans="4:17" ht="20.100000000000001" customHeight="1" x14ac:dyDescent="0.25">
      <c r="D88" s="197" t="str" cm="1">
        <f t="array" ref="D88">Common_InputFunctions.Utility_DisplayArrayInTable(Scope3_SourceData.Scope3_Livestock_Data(), Table_Scope3_Livestock[[#Headers],[Category]], 0, 2)</f>
        <v>Pigs</v>
      </c>
      <c r="E88" s="197" t="str" cm="1">
        <f t="array" ref="E88">Common_InputFunctions.Utility_DisplayArrayInTable(Scope3_SourceData.Scope3_Livestock_Data(), Table_Scope3_Livestock[[#Headers],[Category]], 0, 2)</f>
        <v>Pigs</v>
      </c>
      <c r="F88" s="14" t="str" cm="1">
        <f t="array" ref="F88">Common_InputFunctions.Utility_DisplayArrayInTable(Scope3_SourceData.Scope3_Livestock_Data(), Table_Scope3_Livestock[[#Headers],[Category]], 0, 2)</f>
        <v>Australia</v>
      </c>
      <c r="G88" s="14" cm="1">
        <f t="array" ref="G88">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25000</v>
      </c>
      <c r="H88" s="14" t="str" cm="1">
        <f t="array" ref="H88">Common_InputFunctions.Utility_DisplayArrayInTable(Scope3_SourceData.Scope3_Livestock_Data(), Table_Scope3_Livestock[[#Headers],[Category]], 0, 1)</f>
        <v>kg liveweight</v>
      </c>
      <c r="I88" s="14" cm="1">
        <f t="array" ref="I88">Common_InputFunctions.Utility_DisplayArrayInTable(Scope3_SourceData.Scope3_Livestock_Data(), Table_Scope3_Livestock[[#Headers],[Category]], 0, 1)</f>
        <v>3.38</v>
      </c>
      <c r="J88" s="198"/>
      <c r="K88" s="14" t="str">
        <f>"kg CO2e / " &amp;Table_Scope3_Livestock[[#This Row],[Quantity unit]]</f>
        <v>kg CO2e / kg liveweight</v>
      </c>
      <c r="L88" s="14">
        <f>Table_Scope3_Livestock[[#This Row],[Quantity]]*Table_Scope3_Livestock[[#This Row],[AusLCI Emissions intensity]]</f>
        <v>84500</v>
      </c>
      <c r="M88" s="155">
        <f>Table_Scope3_Livestock[[#This Row],[Quantity]]*IF(Table_Scope3_Livestock[[#This Row],[Custom emissions intensity]], Table_Scope3_Livestock[[#This Row],[Custom emissions intensity]], Table_Scope3_Livestock[[#This Row],[AusLCI Emissions intensity]])</f>
        <v>84500</v>
      </c>
      <c r="N88" s="198"/>
      <c r="O88" s="200"/>
      <c r="P88" s="198"/>
      <c r="Q88" s="199" cm="1">
        <f t="array" ref="Q88">Common_InputFunctions.Utility_LookupValueInTableNumber(Table_Scope3_Livestock[[#This Row],[Custom emissions intensity source type (Select)]],#REF!,#REF!)</f>
        <v>0</v>
      </c>
    </row>
    <row r="89" spans="4:17" ht="20.100000000000001" customHeight="1" x14ac:dyDescent="0.25">
      <c r="D89" s="197" t="str" cm="1">
        <f t="array" ref="D89">Common_InputFunctions.Utility_DisplayArrayInTable(Scope3_SourceData.Scope3_Livestock_Data(), Table_Scope3_Livestock[[#Headers],[Category]], 0, 2)</f>
        <v>Sheep</v>
      </c>
      <c r="E89" s="197" t="str" cm="1">
        <f t="array" ref="E89">Common_InputFunctions.Utility_DisplayArrayInTable(Scope3_SourceData.Scope3_Livestock_Data(), Table_Scope3_Livestock[[#Headers],[Category]], 0, 2)</f>
        <v>Sheep, for mutton</v>
      </c>
      <c r="F89" s="14" t="str" cm="1">
        <f t="array" ref="F89">Common_InputFunctions.Utility_DisplayArrayInTable(Scope3_SourceData.Scope3_Livestock_Data(), Table_Scope3_Livestock[[#Headers],[Category]], 0, 2)</f>
        <v>Australia</v>
      </c>
      <c r="G89" s="14" cm="1">
        <f t="array" ref="G89">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25000</v>
      </c>
      <c r="H89" s="14" t="str" cm="1">
        <f t="array" ref="H89">Common_InputFunctions.Utility_DisplayArrayInTable(Scope3_SourceData.Scope3_Livestock_Data(), Table_Scope3_Livestock[[#Headers],[Category]], 0, 1)</f>
        <v>kg liveweight</v>
      </c>
      <c r="I89" s="14" cm="1">
        <f t="array" ref="I89">Common_InputFunctions.Utility_DisplayArrayInTable(Scope3_SourceData.Scope3_Livestock_Data(), Table_Scope3_Livestock[[#Headers],[Category]], 0, 1)</f>
        <v>6.81</v>
      </c>
      <c r="J89" s="198"/>
      <c r="K89" s="14" t="str">
        <f>"kg CO2e / " &amp;Table_Scope3_Livestock[[#This Row],[Quantity unit]]</f>
        <v>kg CO2e / kg liveweight</v>
      </c>
      <c r="L89" s="14">
        <f>Table_Scope3_Livestock[[#This Row],[Quantity]]*Table_Scope3_Livestock[[#This Row],[AusLCI Emissions intensity]]</f>
        <v>170250</v>
      </c>
      <c r="M89" s="155">
        <f>Table_Scope3_Livestock[[#This Row],[Quantity]]*IF(Table_Scope3_Livestock[[#This Row],[Custom emissions intensity]], Table_Scope3_Livestock[[#This Row],[Custom emissions intensity]], Table_Scope3_Livestock[[#This Row],[AusLCI Emissions intensity]])</f>
        <v>170250</v>
      </c>
      <c r="N89" s="198"/>
      <c r="O89" s="200"/>
      <c r="P89" s="198"/>
      <c r="Q89" s="199" cm="1">
        <f t="array" ref="Q89">Common_InputFunctions.Utility_LookupValueInTableNumber(Table_Scope3_Livestock[[#This Row],[Custom emissions intensity source type (Select)]],#REF!,#REF!)</f>
        <v>0</v>
      </c>
    </row>
    <row r="90" spans="4:17" ht="20.100000000000001" customHeight="1" x14ac:dyDescent="0.25">
      <c r="D90" s="197" t="str" cm="1">
        <f t="array" ref="D90">Common_InputFunctions.Utility_DisplayArrayInTable(Scope3_SourceData.Scope3_Livestock_Data(), Table_Scope3_Livestock[[#Headers],[Category]], 0, 2)</f>
        <v>Sheep</v>
      </c>
      <c r="E90" s="197" t="str" cm="1">
        <f t="array" ref="E90">Common_InputFunctions.Utility_DisplayArrayInTable(Scope3_SourceData.Scope3_Livestock_Data(), Table_Scope3_Livestock[[#Headers],[Category]], 0, 2)</f>
        <v>Sheep, for mutton</v>
      </c>
      <c r="F90" s="14" t="str" cm="1">
        <f t="array" ref="F90">Common_InputFunctions.Utility_DisplayArrayInTable(Scope3_SourceData.Scope3_Livestock_Data(), Table_Scope3_Livestock[[#Headers],[Category]], 0, 2)</f>
        <v>NSW</v>
      </c>
      <c r="G90" s="14" cm="1">
        <f t="array" ref="G90">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0" s="14" t="str" cm="1">
        <f t="array" ref="H90">Common_InputFunctions.Utility_DisplayArrayInTable(Scope3_SourceData.Scope3_Livestock_Data(), Table_Scope3_Livestock[[#Headers],[Category]], 0, 1)</f>
        <v>kg liveweight</v>
      </c>
      <c r="I90" s="14" cm="1">
        <f t="array" ref="I90">Common_InputFunctions.Utility_DisplayArrayInTable(Scope3_SourceData.Scope3_Livestock_Data(), Table_Scope3_Livestock[[#Headers],[Category]], 0, 1)</f>
        <v>2.2599999999999998</v>
      </c>
      <c r="J90" s="198"/>
      <c r="K90" s="14" t="str">
        <f>"kg CO2e / " &amp;Table_Scope3_Livestock[[#This Row],[Quantity unit]]</f>
        <v>kg CO2e / kg liveweight</v>
      </c>
      <c r="L90" s="14">
        <f>Table_Scope3_Livestock[[#This Row],[Quantity]]*Table_Scope3_Livestock[[#This Row],[AusLCI Emissions intensity]]</f>
        <v>0</v>
      </c>
      <c r="M90" s="155">
        <f>Table_Scope3_Livestock[[#This Row],[Quantity]]*IF(Table_Scope3_Livestock[[#This Row],[Custom emissions intensity]], Table_Scope3_Livestock[[#This Row],[Custom emissions intensity]], Table_Scope3_Livestock[[#This Row],[AusLCI Emissions intensity]])</f>
        <v>0</v>
      </c>
      <c r="N90" s="198"/>
      <c r="O90" s="200"/>
      <c r="P90" s="198"/>
      <c r="Q90" s="199" cm="1">
        <f t="array" ref="Q90">Common_InputFunctions.Utility_LookupValueInTableNumber(Table_Scope3_Livestock[[#This Row],[Custom emissions intensity source type (Select)]],#REF!,#REF!)</f>
        <v>0</v>
      </c>
    </row>
    <row r="91" spans="4:17" ht="20.100000000000001" customHeight="1" x14ac:dyDescent="0.25">
      <c r="D91" s="197" t="str" cm="1">
        <f t="array" ref="D91">Common_InputFunctions.Utility_DisplayArrayInTable(Scope3_SourceData.Scope3_Livestock_Data(), Table_Scope3_Livestock[[#Headers],[Category]], 0, 2)</f>
        <v>Sheep</v>
      </c>
      <c r="E91" s="197" t="str" cm="1">
        <f t="array" ref="E91">Common_InputFunctions.Utility_DisplayArrayInTable(Scope3_SourceData.Scope3_Livestock_Data(), Table_Scope3_Livestock[[#Headers],[Category]], 0, 2)</f>
        <v>Sheep, for mutton</v>
      </c>
      <c r="F91" s="14" t="str" cm="1">
        <f t="array" ref="F91">Common_InputFunctions.Utility_DisplayArrayInTable(Scope3_SourceData.Scope3_Livestock_Data(), Table_Scope3_Livestock[[#Headers],[Category]], 0, 2)</f>
        <v>QLD</v>
      </c>
      <c r="G91" s="14" cm="1">
        <f t="array" ref="G91">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1" s="14" t="str" cm="1">
        <f t="array" ref="H91">Common_InputFunctions.Utility_DisplayArrayInTable(Scope3_SourceData.Scope3_Livestock_Data(), Table_Scope3_Livestock[[#Headers],[Category]], 0, 1)</f>
        <v>kg liveweight</v>
      </c>
      <c r="I91" s="14" cm="1">
        <f t="array" ref="I91">Common_InputFunctions.Utility_DisplayArrayInTable(Scope3_SourceData.Scope3_Livestock_Data(), Table_Scope3_Livestock[[#Headers],[Category]], 0, 1)</f>
        <v>6.33</v>
      </c>
      <c r="J91" s="198"/>
      <c r="K91" s="14" t="str">
        <f>"kg CO2e / " &amp;Table_Scope3_Livestock[[#This Row],[Quantity unit]]</f>
        <v>kg CO2e / kg liveweight</v>
      </c>
      <c r="L91" s="14">
        <f>Table_Scope3_Livestock[[#This Row],[Quantity]]*Table_Scope3_Livestock[[#This Row],[AusLCI Emissions intensity]]</f>
        <v>0</v>
      </c>
      <c r="M91" s="155">
        <f>Table_Scope3_Livestock[[#This Row],[Quantity]]*IF(Table_Scope3_Livestock[[#This Row],[Custom emissions intensity]], Table_Scope3_Livestock[[#This Row],[Custom emissions intensity]], Table_Scope3_Livestock[[#This Row],[AusLCI Emissions intensity]])</f>
        <v>0</v>
      </c>
      <c r="N91" s="198"/>
      <c r="O91" s="200"/>
      <c r="P91" s="198"/>
      <c r="Q91" s="199" cm="1">
        <f t="array" ref="Q91">Common_InputFunctions.Utility_LookupValueInTableNumber(Table_Scope3_Livestock[[#This Row],[Custom emissions intensity source type (Select)]],#REF!,#REF!)</f>
        <v>0</v>
      </c>
    </row>
    <row r="92" spans="4:17" ht="20.100000000000001" customHeight="1" x14ac:dyDescent="0.25">
      <c r="D92" s="197" t="str" cm="1">
        <f t="array" ref="D92">Common_InputFunctions.Utility_DisplayArrayInTable(Scope3_SourceData.Scope3_Livestock_Data(), Table_Scope3_Livestock[[#Headers],[Category]], 0, 2)</f>
        <v>Sheep</v>
      </c>
      <c r="E92" s="197" t="str" cm="1">
        <f t="array" ref="E92">Common_InputFunctions.Utility_DisplayArrayInTable(Scope3_SourceData.Scope3_Livestock_Data(), Table_Scope3_Livestock[[#Headers],[Category]], 0, 2)</f>
        <v>Sheep, for mutton</v>
      </c>
      <c r="F92" s="14" t="str" cm="1">
        <f t="array" ref="F92">Common_InputFunctions.Utility_DisplayArrayInTable(Scope3_SourceData.Scope3_Livestock_Data(), Table_Scope3_Livestock[[#Headers],[Category]], 0, 2)</f>
        <v>SA</v>
      </c>
      <c r="G92" s="14" cm="1">
        <f t="array" ref="G92">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2" s="14" t="str" cm="1">
        <f t="array" ref="H92">Common_InputFunctions.Utility_DisplayArrayInTable(Scope3_SourceData.Scope3_Livestock_Data(), Table_Scope3_Livestock[[#Headers],[Category]], 0, 1)</f>
        <v>kg liveweight</v>
      </c>
      <c r="I92" s="14" cm="1">
        <f t="array" ref="I92">Common_InputFunctions.Utility_DisplayArrayInTable(Scope3_SourceData.Scope3_Livestock_Data(), Table_Scope3_Livestock[[#Headers],[Category]], 0, 1)</f>
        <v>6.18</v>
      </c>
      <c r="J92" s="198"/>
      <c r="K92" s="14" t="str">
        <f>"kg CO2e / " &amp;Table_Scope3_Livestock[[#This Row],[Quantity unit]]</f>
        <v>kg CO2e / kg liveweight</v>
      </c>
      <c r="L92" s="14">
        <f>Table_Scope3_Livestock[[#This Row],[Quantity]]*Table_Scope3_Livestock[[#This Row],[AusLCI Emissions intensity]]</f>
        <v>0</v>
      </c>
      <c r="M92" s="155">
        <f>Table_Scope3_Livestock[[#This Row],[Quantity]]*IF(Table_Scope3_Livestock[[#This Row],[Custom emissions intensity]], Table_Scope3_Livestock[[#This Row],[Custom emissions intensity]], Table_Scope3_Livestock[[#This Row],[AusLCI Emissions intensity]])</f>
        <v>0</v>
      </c>
      <c r="N92" s="198"/>
      <c r="O92" s="200"/>
      <c r="P92" s="198"/>
      <c r="Q92" s="199" cm="1">
        <f t="array" ref="Q92">Common_InputFunctions.Utility_LookupValueInTableNumber(Table_Scope3_Livestock[[#This Row],[Custom emissions intensity source type (Select)]],#REF!,#REF!)</f>
        <v>0</v>
      </c>
    </row>
    <row r="93" spans="4:17" ht="20.100000000000001" customHeight="1" x14ac:dyDescent="0.25">
      <c r="D93" s="197" t="str" cm="1">
        <f t="array" ref="D93">Common_InputFunctions.Utility_DisplayArrayInTable(Scope3_SourceData.Scope3_Livestock_Data(), Table_Scope3_Livestock[[#Headers],[Category]], 0, 2)</f>
        <v>Sheep</v>
      </c>
      <c r="E93" s="197" t="str" cm="1">
        <f t="array" ref="E93">Common_InputFunctions.Utility_DisplayArrayInTable(Scope3_SourceData.Scope3_Livestock_Data(), Table_Scope3_Livestock[[#Headers],[Category]], 0, 2)</f>
        <v>Sheep, for mutton</v>
      </c>
      <c r="F93" s="14" t="str" cm="1">
        <f t="array" ref="F93">Common_InputFunctions.Utility_DisplayArrayInTable(Scope3_SourceData.Scope3_Livestock_Data(), Table_Scope3_Livestock[[#Headers],[Category]], 0, 2)</f>
        <v>TAS</v>
      </c>
      <c r="G93" s="14" cm="1">
        <f t="array" ref="G93">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3" s="14" t="str" cm="1">
        <f t="array" ref="H93">Common_InputFunctions.Utility_DisplayArrayInTable(Scope3_SourceData.Scope3_Livestock_Data(), Table_Scope3_Livestock[[#Headers],[Category]], 0, 1)</f>
        <v>kg liveweight</v>
      </c>
      <c r="I93" s="14" cm="1">
        <f t="array" ref="I93">Common_InputFunctions.Utility_DisplayArrayInTable(Scope3_SourceData.Scope3_Livestock_Data(), Table_Scope3_Livestock[[#Headers],[Category]], 0, 1)</f>
        <v>7.5</v>
      </c>
      <c r="J93" s="198"/>
      <c r="K93" s="14" t="str">
        <f>"kg CO2e / " &amp;Table_Scope3_Livestock[[#This Row],[Quantity unit]]</f>
        <v>kg CO2e / kg liveweight</v>
      </c>
      <c r="L93" s="14">
        <f>Table_Scope3_Livestock[[#This Row],[Quantity]]*Table_Scope3_Livestock[[#This Row],[AusLCI Emissions intensity]]</f>
        <v>0</v>
      </c>
      <c r="M93" s="155">
        <f>Table_Scope3_Livestock[[#This Row],[Quantity]]*IF(Table_Scope3_Livestock[[#This Row],[Custom emissions intensity]], Table_Scope3_Livestock[[#This Row],[Custom emissions intensity]], Table_Scope3_Livestock[[#This Row],[AusLCI Emissions intensity]])</f>
        <v>0</v>
      </c>
      <c r="N93" s="198"/>
      <c r="O93" s="200"/>
      <c r="P93" s="198"/>
      <c r="Q93" s="199" cm="1">
        <f t="array" ref="Q93">Common_InputFunctions.Utility_LookupValueInTableNumber(Table_Scope3_Livestock[[#This Row],[Custom emissions intensity source type (Select)]],#REF!,#REF!)</f>
        <v>0</v>
      </c>
    </row>
    <row r="94" spans="4:17" ht="20.100000000000001" customHeight="1" x14ac:dyDescent="0.25">
      <c r="D94" s="197" t="str" cm="1">
        <f t="array" ref="D94">Common_InputFunctions.Utility_DisplayArrayInTable(Scope3_SourceData.Scope3_Livestock_Data(), Table_Scope3_Livestock[[#Headers],[Category]], 0, 2)</f>
        <v>Sheep</v>
      </c>
      <c r="E94" s="197" t="str" cm="1">
        <f t="array" ref="E94">Common_InputFunctions.Utility_DisplayArrayInTable(Scope3_SourceData.Scope3_Livestock_Data(), Table_Scope3_Livestock[[#Headers],[Category]], 0, 2)</f>
        <v>Sheep, for mutton</v>
      </c>
      <c r="F94" s="14" t="str" cm="1">
        <f t="array" ref="F94">Common_InputFunctions.Utility_DisplayArrayInTable(Scope3_SourceData.Scope3_Livestock_Data(), Table_Scope3_Livestock[[#Headers],[Category]], 0, 2)</f>
        <v>VIC</v>
      </c>
      <c r="G94" s="14" cm="1">
        <f t="array" ref="G94">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4" s="14" t="str" cm="1">
        <f t="array" ref="H94">Common_InputFunctions.Utility_DisplayArrayInTable(Scope3_SourceData.Scope3_Livestock_Data(), Table_Scope3_Livestock[[#Headers],[Category]], 0, 1)</f>
        <v>kg liveweight</v>
      </c>
      <c r="I94" s="14" cm="1">
        <f t="array" ref="I94">Common_InputFunctions.Utility_DisplayArrayInTable(Scope3_SourceData.Scope3_Livestock_Data(), Table_Scope3_Livestock[[#Headers],[Category]], 0, 1)</f>
        <v>8.08</v>
      </c>
      <c r="J94" s="198"/>
      <c r="K94" s="14" t="str">
        <f>"kg CO2e / " &amp;Table_Scope3_Livestock[[#This Row],[Quantity unit]]</f>
        <v>kg CO2e / kg liveweight</v>
      </c>
      <c r="L94" s="14">
        <f>Table_Scope3_Livestock[[#This Row],[Quantity]]*Table_Scope3_Livestock[[#This Row],[AusLCI Emissions intensity]]</f>
        <v>0</v>
      </c>
      <c r="M94" s="155">
        <f>Table_Scope3_Livestock[[#This Row],[Quantity]]*IF(Table_Scope3_Livestock[[#This Row],[Custom emissions intensity]], Table_Scope3_Livestock[[#This Row],[Custom emissions intensity]], Table_Scope3_Livestock[[#This Row],[AusLCI Emissions intensity]])</f>
        <v>0</v>
      </c>
      <c r="N94" s="198"/>
      <c r="O94" s="200"/>
      <c r="P94" s="198"/>
      <c r="Q94" s="199" cm="1">
        <f t="array" ref="Q94">Common_InputFunctions.Utility_LookupValueInTableNumber(Table_Scope3_Livestock[[#This Row],[Custom emissions intensity source type (Select)]],#REF!,#REF!)</f>
        <v>0</v>
      </c>
    </row>
    <row r="95" spans="4:17" ht="20.100000000000001" customHeight="1" x14ac:dyDescent="0.25">
      <c r="D95" s="197" t="str" cm="1">
        <f t="array" ref="D95">Common_InputFunctions.Utility_DisplayArrayInTable(Scope3_SourceData.Scope3_Livestock_Data(), Table_Scope3_Livestock[[#Headers],[Category]], 0, 2)</f>
        <v>Sheep</v>
      </c>
      <c r="E95" s="197" t="str" cm="1">
        <f t="array" ref="E95">Common_InputFunctions.Utility_DisplayArrayInTable(Scope3_SourceData.Scope3_Livestock_Data(), Table_Scope3_Livestock[[#Headers],[Category]], 0, 2)</f>
        <v>Sheep, for mutton</v>
      </c>
      <c r="F95" s="14" t="str" cm="1">
        <f t="array" ref="F95">Common_InputFunctions.Utility_DisplayArrayInTable(Scope3_SourceData.Scope3_Livestock_Data(), Table_Scope3_Livestock[[#Headers],[Category]], 0, 2)</f>
        <v>WA</v>
      </c>
      <c r="G95" s="14" cm="1">
        <f t="array" ref="G95">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5" s="14" t="str" cm="1">
        <f t="array" ref="H95">Common_InputFunctions.Utility_DisplayArrayInTable(Scope3_SourceData.Scope3_Livestock_Data(), Table_Scope3_Livestock[[#Headers],[Category]], 0, 1)</f>
        <v>kg liveweight</v>
      </c>
      <c r="I95" s="14" cm="1">
        <f t="array" ref="I95">Common_InputFunctions.Utility_DisplayArrayInTable(Scope3_SourceData.Scope3_Livestock_Data(), Table_Scope3_Livestock[[#Headers],[Category]], 0, 1)</f>
        <v>5.45</v>
      </c>
      <c r="J95" s="198"/>
      <c r="K95" s="14" t="str">
        <f>"kg CO2e / " &amp;Table_Scope3_Livestock[[#This Row],[Quantity unit]]</f>
        <v>kg CO2e / kg liveweight</v>
      </c>
      <c r="L95" s="14">
        <f>Table_Scope3_Livestock[[#This Row],[Quantity]]*Table_Scope3_Livestock[[#This Row],[AusLCI Emissions intensity]]</f>
        <v>0</v>
      </c>
      <c r="M95" s="155">
        <f>Table_Scope3_Livestock[[#This Row],[Quantity]]*IF(Table_Scope3_Livestock[[#This Row],[Custom emissions intensity]], Table_Scope3_Livestock[[#This Row],[Custom emissions intensity]], Table_Scope3_Livestock[[#This Row],[AusLCI Emissions intensity]])</f>
        <v>0</v>
      </c>
      <c r="N95" s="198"/>
      <c r="O95" s="200"/>
      <c r="P95" s="198"/>
      <c r="Q95" s="199" cm="1">
        <f t="array" ref="Q95">Common_InputFunctions.Utility_LookupValueInTableNumber(Table_Scope3_Livestock[[#This Row],[Custom emissions intensity source type (Select)]],#REF!,#REF!)</f>
        <v>0</v>
      </c>
    </row>
    <row r="96" spans="4:17" ht="20.100000000000001" customHeight="1" x14ac:dyDescent="0.25">
      <c r="D96" s="197" t="str" cm="1">
        <f t="array" ref="D96">Common_InputFunctions.Utility_DisplayArrayInTable(Scope3_SourceData.Scope3_Livestock_Data(), Table_Scope3_Livestock[[#Headers],[Category]], 0, 2)</f>
        <v>Sheep</v>
      </c>
      <c r="E96" s="197" t="str" cm="1">
        <f t="array" ref="E96">Common_InputFunctions.Utility_DisplayArrayInTable(Scope3_SourceData.Scope3_Livestock_Data(), Table_Scope3_Livestock[[#Headers],[Category]], 0, 2)</f>
        <v>Sheep, for prime lamb</v>
      </c>
      <c r="F96" s="14" t="str" cm="1">
        <f t="array" ref="F96">Common_InputFunctions.Utility_DisplayArrayInTable(Scope3_SourceData.Scope3_Livestock_Data(), Table_Scope3_Livestock[[#Headers],[Category]], 0, 2)</f>
        <v>Australia</v>
      </c>
      <c r="G96" s="14" cm="1">
        <f t="array" ref="G96">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6" s="14" t="str" cm="1">
        <f t="array" ref="H96">Common_InputFunctions.Utility_DisplayArrayInTable(Scope3_SourceData.Scope3_Livestock_Data(), Table_Scope3_Livestock[[#Headers],[Category]], 0, 1)</f>
        <v>kg liveweight</v>
      </c>
      <c r="I96" s="14" cm="1">
        <f t="array" ref="I96">Common_InputFunctions.Utility_DisplayArrayInTable(Scope3_SourceData.Scope3_Livestock_Data(), Table_Scope3_Livestock[[#Headers],[Category]], 0, 1)</f>
        <v>7.15</v>
      </c>
      <c r="J96" s="198"/>
      <c r="K96" s="14" t="str">
        <f>"kg CO2e / " &amp;Table_Scope3_Livestock[[#This Row],[Quantity unit]]</f>
        <v>kg CO2e / kg liveweight</v>
      </c>
      <c r="L96" s="14">
        <f>Table_Scope3_Livestock[[#This Row],[Quantity]]*Table_Scope3_Livestock[[#This Row],[AusLCI Emissions intensity]]</f>
        <v>0</v>
      </c>
      <c r="M96" s="155">
        <f>Table_Scope3_Livestock[[#This Row],[Quantity]]*IF(Table_Scope3_Livestock[[#This Row],[Custom emissions intensity]], Table_Scope3_Livestock[[#This Row],[Custom emissions intensity]], Table_Scope3_Livestock[[#This Row],[AusLCI Emissions intensity]])</f>
        <v>0</v>
      </c>
      <c r="N96" s="198"/>
      <c r="O96" s="200"/>
      <c r="P96" s="198"/>
      <c r="Q96" s="199" cm="1">
        <f t="array" ref="Q96">Common_InputFunctions.Utility_LookupValueInTableNumber(Table_Scope3_Livestock[[#This Row],[Custom emissions intensity source type (Select)]],#REF!,#REF!)</f>
        <v>0</v>
      </c>
    </row>
    <row r="97" spans="3:17" ht="20.100000000000001" customHeight="1" x14ac:dyDescent="0.25">
      <c r="D97" s="197" t="str" cm="1">
        <f t="array" ref="D97">Common_InputFunctions.Utility_DisplayArrayInTable(Scope3_SourceData.Scope3_Livestock_Data(), Table_Scope3_Livestock[[#Headers],[Category]], 0, 2)</f>
        <v>Sheep</v>
      </c>
      <c r="E97" s="197" t="str" cm="1">
        <f t="array" ref="E97">Common_InputFunctions.Utility_DisplayArrayInTable(Scope3_SourceData.Scope3_Livestock_Data(), Table_Scope3_Livestock[[#Headers],[Category]], 0, 2)</f>
        <v>Sheep, for prime lamb</v>
      </c>
      <c r="F97" s="14" t="str" cm="1">
        <f t="array" ref="F97">Common_InputFunctions.Utility_DisplayArrayInTable(Scope3_SourceData.Scope3_Livestock_Data(), Table_Scope3_Livestock[[#Headers],[Category]], 0, 2)</f>
        <v>NSW</v>
      </c>
      <c r="G97" s="14" cm="1">
        <f t="array" ref="G97">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7" s="14" t="str" cm="1">
        <f t="array" ref="H97">Common_InputFunctions.Utility_DisplayArrayInTable(Scope3_SourceData.Scope3_Livestock_Data(), Table_Scope3_Livestock[[#Headers],[Category]], 0, 1)</f>
        <v>kg liveweight</v>
      </c>
      <c r="I97" s="14" cm="1">
        <f t="array" ref="I97">Common_InputFunctions.Utility_DisplayArrayInTable(Scope3_SourceData.Scope3_Livestock_Data(), Table_Scope3_Livestock[[#Headers],[Category]], 0, 1)</f>
        <v>8.2899999999999991</v>
      </c>
      <c r="J97" s="198"/>
      <c r="K97" s="14" t="str">
        <f>"kg CO2e / " &amp;Table_Scope3_Livestock[[#This Row],[Quantity unit]]</f>
        <v>kg CO2e / kg liveweight</v>
      </c>
      <c r="L97" s="14">
        <f>Table_Scope3_Livestock[[#This Row],[Quantity]]*Table_Scope3_Livestock[[#This Row],[AusLCI Emissions intensity]]</f>
        <v>0</v>
      </c>
      <c r="M97" s="155">
        <f>Table_Scope3_Livestock[[#This Row],[Quantity]]*IF(Table_Scope3_Livestock[[#This Row],[Custom emissions intensity]], Table_Scope3_Livestock[[#This Row],[Custom emissions intensity]], Table_Scope3_Livestock[[#This Row],[AusLCI Emissions intensity]])</f>
        <v>0</v>
      </c>
      <c r="N97" s="198"/>
      <c r="O97" s="200"/>
      <c r="P97" s="198"/>
      <c r="Q97" s="199" cm="1">
        <f t="array" ref="Q97">Common_InputFunctions.Utility_LookupValueInTableNumber(Table_Scope3_Livestock[[#This Row],[Custom emissions intensity source type (Select)]],#REF!,#REF!)</f>
        <v>0</v>
      </c>
    </row>
    <row r="98" spans="3:17" ht="20.100000000000001" customHeight="1" x14ac:dyDescent="0.25">
      <c r="D98" s="197" t="str" cm="1">
        <f t="array" ref="D98">Common_InputFunctions.Utility_DisplayArrayInTable(Scope3_SourceData.Scope3_Livestock_Data(), Table_Scope3_Livestock[[#Headers],[Category]], 0, 2)</f>
        <v>Sheep</v>
      </c>
      <c r="E98" s="197" t="str" cm="1">
        <f t="array" ref="E98">Common_InputFunctions.Utility_DisplayArrayInTable(Scope3_SourceData.Scope3_Livestock_Data(), Table_Scope3_Livestock[[#Headers],[Category]], 0, 2)</f>
        <v>Sheep, for prime lamb</v>
      </c>
      <c r="F98" s="14" t="str" cm="1">
        <f t="array" ref="F98">Common_InputFunctions.Utility_DisplayArrayInTable(Scope3_SourceData.Scope3_Livestock_Data(), Table_Scope3_Livestock[[#Headers],[Category]], 0, 2)</f>
        <v>QLD</v>
      </c>
      <c r="G98" s="14" cm="1">
        <f t="array" ref="G98">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8" s="14" t="str" cm="1">
        <f t="array" ref="H98">Common_InputFunctions.Utility_DisplayArrayInTable(Scope3_SourceData.Scope3_Livestock_Data(), Table_Scope3_Livestock[[#Headers],[Category]], 0, 1)</f>
        <v>kg liveweight</v>
      </c>
      <c r="I98" s="14" cm="1">
        <f t="array" ref="I98">Common_InputFunctions.Utility_DisplayArrayInTable(Scope3_SourceData.Scope3_Livestock_Data(), Table_Scope3_Livestock[[#Headers],[Category]], 0, 1)</f>
        <v>6.39</v>
      </c>
      <c r="J98" s="198"/>
      <c r="K98" s="14" t="str">
        <f>"kg CO2e / " &amp;Table_Scope3_Livestock[[#This Row],[Quantity unit]]</f>
        <v>kg CO2e / kg liveweight</v>
      </c>
      <c r="L98" s="14">
        <f>Table_Scope3_Livestock[[#This Row],[Quantity]]*Table_Scope3_Livestock[[#This Row],[AusLCI Emissions intensity]]</f>
        <v>0</v>
      </c>
      <c r="M98" s="155">
        <f>Table_Scope3_Livestock[[#This Row],[Quantity]]*IF(Table_Scope3_Livestock[[#This Row],[Custom emissions intensity]], Table_Scope3_Livestock[[#This Row],[Custom emissions intensity]], Table_Scope3_Livestock[[#This Row],[AusLCI Emissions intensity]])</f>
        <v>0</v>
      </c>
      <c r="N98" s="198"/>
      <c r="O98" s="200"/>
      <c r="P98" s="198"/>
      <c r="Q98" s="199" cm="1">
        <f t="array" ref="Q98">Common_InputFunctions.Utility_LookupValueInTableNumber(Table_Scope3_Livestock[[#This Row],[Custom emissions intensity source type (Select)]],#REF!,#REF!)</f>
        <v>0</v>
      </c>
    </row>
    <row r="99" spans="3:17" ht="20.100000000000001" customHeight="1" x14ac:dyDescent="0.25">
      <c r="D99" s="197" t="str" cm="1">
        <f t="array" ref="D99">Common_InputFunctions.Utility_DisplayArrayInTable(Scope3_SourceData.Scope3_Livestock_Data(), Table_Scope3_Livestock[[#Headers],[Category]], 0, 2)</f>
        <v>Sheep</v>
      </c>
      <c r="E99" s="197" t="str" cm="1">
        <f t="array" ref="E99">Common_InputFunctions.Utility_DisplayArrayInTable(Scope3_SourceData.Scope3_Livestock_Data(), Table_Scope3_Livestock[[#Headers],[Category]], 0, 2)</f>
        <v>Sheep, for prime lamb</v>
      </c>
      <c r="F99" s="14" t="str" cm="1">
        <f t="array" ref="F99">Common_InputFunctions.Utility_DisplayArrayInTable(Scope3_SourceData.Scope3_Livestock_Data(), Table_Scope3_Livestock[[#Headers],[Category]], 0, 2)</f>
        <v>SA</v>
      </c>
      <c r="G99" s="14" cm="1">
        <f t="array" ref="G99">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9" s="14" t="str" cm="1">
        <f t="array" ref="H99">Common_InputFunctions.Utility_DisplayArrayInTable(Scope3_SourceData.Scope3_Livestock_Data(), Table_Scope3_Livestock[[#Headers],[Category]], 0, 1)</f>
        <v>kg liveweight</v>
      </c>
      <c r="I99" s="14" cm="1">
        <f t="array" ref="I99">Common_InputFunctions.Utility_DisplayArrayInTable(Scope3_SourceData.Scope3_Livestock_Data(), Table_Scope3_Livestock[[#Headers],[Category]], 0, 1)</f>
        <v>6.87</v>
      </c>
      <c r="J99" s="198"/>
      <c r="K99" s="14" t="str">
        <f>"kg CO2e / " &amp;Table_Scope3_Livestock[[#This Row],[Quantity unit]]</f>
        <v>kg CO2e / kg liveweight</v>
      </c>
      <c r="L99" s="14">
        <f>Table_Scope3_Livestock[[#This Row],[Quantity]]*Table_Scope3_Livestock[[#This Row],[AusLCI Emissions intensity]]</f>
        <v>0</v>
      </c>
      <c r="M99" s="155">
        <f>Table_Scope3_Livestock[[#This Row],[Quantity]]*IF(Table_Scope3_Livestock[[#This Row],[Custom emissions intensity]], Table_Scope3_Livestock[[#This Row],[Custom emissions intensity]], Table_Scope3_Livestock[[#This Row],[AusLCI Emissions intensity]])</f>
        <v>0</v>
      </c>
      <c r="N99" s="198"/>
      <c r="O99" s="200"/>
      <c r="P99" s="198"/>
      <c r="Q99" s="199" cm="1">
        <f t="array" ref="Q99">Common_InputFunctions.Utility_LookupValueInTableNumber(Table_Scope3_Livestock[[#This Row],[Custom emissions intensity source type (Select)]],#REF!,#REF!)</f>
        <v>0</v>
      </c>
    </row>
    <row r="100" spans="3:17" ht="20.100000000000001" customHeight="1" x14ac:dyDescent="0.25">
      <c r="D100" s="197" t="str" cm="1">
        <f t="array" ref="D100">Common_InputFunctions.Utility_DisplayArrayInTable(Scope3_SourceData.Scope3_Livestock_Data(), Table_Scope3_Livestock[[#Headers],[Category]], 0, 2)</f>
        <v>Sheep</v>
      </c>
      <c r="E100" s="197" t="str" cm="1">
        <f t="array" ref="E100">Common_InputFunctions.Utility_DisplayArrayInTable(Scope3_SourceData.Scope3_Livestock_Data(), Table_Scope3_Livestock[[#Headers],[Category]], 0, 2)</f>
        <v>Sheep, for prime lamb</v>
      </c>
      <c r="F100" s="14" t="str" cm="1">
        <f t="array" ref="F100">Common_InputFunctions.Utility_DisplayArrayInTable(Scope3_SourceData.Scope3_Livestock_Data(), Table_Scope3_Livestock[[#Headers],[Category]], 0, 2)</f>
        <v>TAS</v>
      </c>
      <c r="G100" s="14" cm="1">
        <f t="array" ref="G100">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100" s="14" t="str" cm="1">
        <f t="array" ref="H100">Common_InputFunctions.Utility_DisplayArrayInTable(Scope3_SourceData.Scope3_Livestock_Data(), Table_Scope3_Livestock[[#Headers],[Category]], 0, 1)</f>
        <v>kg liveweight</v>
      </c>
      <c r="I100" s="14" cm="1">
        <f t="array" ref="I100">Common_InputFunctions.Utility_DisplayArrayInTable(Scope3_SourceData.Scope3_Livestock_Data(), Table_Scope3_Livestock[[#Headers],[Category]], 0, 1)</f>
        <v>8.66</v>
      </c>
      <c r="J100" s="198"/>
      <c r="K100" s="14" t="str">
        <f>"kg CO2e / " &amp;Table_Scope3_Livestock[[#This Row],[Quantity unit]]</f>
        <v>kg CO2e / kg liveweight</v>
      </c>
      <c r="L100" s="14">
        <f>Table_Scope3_Livestock[[#This Row],[Quantity]]*Table_Scope3_Livestock[[#This Row],[AusLCI Emissions intensity]]</f>
        <v>0</v>
      </c>
      <c r="M100" s="155">
        <f>Table_Scope3_Livestock[[#This Row],[Quantity]]*IF(Table_Scope3_Livestock[[#This Row],[Custom emissions intensity]], Table_Scope3_Livestock[[#This Row],[Custom emissions intensity]], Table_Scope3_Livestock[[#This Row],[AusLCI Emissions intensity]])</f>
        <v>0</v>
      </c>
      <c r="N100" s="198"/>
      <c r="O100" s="200"/>
      <c r="P100" s="198"/>
      <c r="Q100" s="199" cm="1">
        <f t="array" ref="Q100">Common_InputFunctions.Utility_LookupValueInTableNumber(Table_Scope3_Livestock[[#This Row],[Custom emissions intensity source type (Select)]],#REF!,#REF!)</f>
        <v>0</v>
      </c>
    </row>
    <row r="101" spans="3:17" ht="20.100000000000001" customHeight="1" x14ac:dyDescent="0.25">
      <c r="D101" s="197" t="str" cm="1">
        <f t="array" ref="D101">Common_InputFunctions.Utility_DisplayArrayInTable(Scope3_SourceData.Scope3_Livestock_Data(), Table_Scope3_Livestock[[#Headers],[Category]], 0, 2)</f>
        <v>Sheep</v>
      </c>
      <c r="E101" s="197" t="str" cm="1">
        <f t="array" ref="E101">Common_InputFunctions.Utility_DisplayArrayInTable(Scope3_SourceData.Scope3_Livestock_Data(), Table_Scope3_Livestock[[#Headers],[Category]], 0, 2)</f>
        <v>Sheep, for prime lamb</v>
      </c>
      <c r="F101" s="14" t="str" cm="1">
        <f t="array" ref="F101">Common_InputFunctions.Utility_DisplayArrayInTable(Scope3_SourceData.Scope3_Livestock_Data(), Table_Scope3_Livestock[[#Headers],[Category]], 0, 2)</f>
        <v>VIC</v>
      </c>
      <c r="G101" s="14" cm="1">
        <f t="array" ref="G101">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101" s="14" t="str" cm="1">
        <f t="array" ref="H101">Common_InputFunctions.Utility_DisplayArrayInTable(Scope3_SourceData.Scope3_Livestock_Data(), Table_Scope3_Livestock[[#Headers],[Category]], 0, 1)</f>
        <v>kg liveweight</v>
      </c>
      <c r="I101" s="14" cm="1">
        <f t="array" ref="I101">Common_InputFunctions.Utility_DisplayArrayInTable(Scope3_SourceData.Scope3_Livestock_Data(), Table_Scope3_Livestock[[#Headers],[Category]], 0, 1)</f>
        <v>10</v>
      </c>
      <c r="J101" s="198"/>
      <c r="K101" s="14" t="str">
        <f>"kg CO2e / " &amp;Table_Scope3_Livestock[[#This Row],[Quantity unit]]</f>
        <v>kg CO2e / kg liveweight</v>
      </c>
      <c r="L101" s="14">
        <f>Table_Scope3_Livestock[[#This Row],[Quantity]]*Table_Scope3_Livestock[[#This Row],[AusLCI Emissions intensity]]</f>
        <v>0</v>
      </c>
      <c r="M101" s="155">
        <f>Table_Scope3_Livestock[[#This Row],[Quantity]]*IF(Table_Scope3_Livestock[[#This Row],[Custom emissions intensity]], Table_Scope3_Livestock[[#This Row],[Custom emissions intensity]], Table_Scope3_Livestock[[#This Row],[AusLCI Emissions intensity]])</f>
        <v>0</v>
      </c>
      <c r="N101" s="198"/>
      <c r="O101" s="200"/>
      <c r="P101" s="198"/>
      <c r="Q101" s="199" cm="1">
        <f t="array" ref="Q101">Common_InputFunctions.Utility_LookupValueInTableNumber(Table_Scope3_Livestock[[#This Row],[Custom emissions intensity source type (Select)]],#REF!,#REF!)</f>
        <v>0</v>
      </c>
    </row>
    <row r="102" spans="3:17" ht="20.100000000000001" customHeight="1" x14ac:dyDescent="0.25">
      <c r="D102" s="197" t="str" cm="1">
        <f t="array" ref="D102">Common_InputFunctions.Utility_DisplayArrayInTable(Scope3_SourceData.Scope3_Livestock_Data(), Table_Scope3_Livestock[[#Headers],[Category]], 0, 2)</f>
        <v>Sheep</v>
      </c>
      <c r="E102" s="197" t="str" cm="1">
        <f t="array" ref="E102">Common_InputFunctions.Utility_DisplayArrayInTable(Scope3_SourceData.Scope3_Livestock_Data(), Table_Scope3_Livestock[[#Headers],[Category]], 0, 2)</f>
        <v>Sheep, for prime lamb</v>
      </c>
      <c r="F102" s="14" t="str" cm="1">
        <f t="array" ref="F102">Common_InputFunctions.Utility_DisplayArrayInTable(Scope3_SourceData.Scope3_Livestock_Data(), Table_Scope3_Livestock[[#Headers],[Category]], 0, 2)</f>
        <v>WA</v>
      </c>
      <c r="G102" s="14" cm="1">
        <f t="array" ref="G102">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25000</v>
      </c>
      <c r="H102" s="14" t="str" cm="1">
        <f t="array" ref="H102">Common_InputFunctions.Utility_DisplayArrayInTable(Scope3_SourceData.Scope3_Livestock_Data(), Table_Scope3_Livestock[[#Headers],[Category]], 0, 1)</f>
        <v>kg liveweight</v>
      </c>
      <c r="I102" s="14" cm="1">
        <f t="array" ref="I102">Common_InputFunctions.Utility_DisplayArrayInTable(Scope3_SourceData.Scope3_Livestock_Data(), Table_Scope3_Livestock[[#Headers],[Category]], 0, 1)</f>
        <v>5.67</v>
      </c>
      <c r="J102" s="198"/>
      <c r="K102" s="14" t="str">
        <f>"kg CO2e / " &amp;Table_Scope3_Livestock[[#This Row],[Quantity unit]]</f>
        <v>kg CO2e / kg liveweight</v>
      </c>
      <c r="L102" s="14">
        <f>Table_Scope3_Livestock[[#This Row],[Quantity]]*Table_Scope3_Livestock[[#This Row],[AusLCI Emissions intensity]]</f>
        <v>141750</v>
      </c>
      <c r="M102" s="155">
        <f>Table_Scope3_Livestock[[#This Row],[Quantity]]*IF(Table_Scope3_Livestock[[#This Row],[Custom emissions intensity]], Table_Scope3_Livestock[[#This Row],[Custom emissions intensity]], Table_Scope3_Livestock[[#This Row],[AusLCI Emissions intensity]])</f>
        <v>141750</v>
      </c>
      <c r="N102" s="198"/>
      <c r="O102" s="200"/>
      <c r="P102" s="198"/>
      <c r="Q102" s="199" cm="1">
        <f t="array" ref="Q102">Common_InputFunctions.Utility_LookupValueInTableNumber(Table_Scope3_Livestock[[#This Row],[Custom emissions intensity source type (Select)]],#REF!,#REF!)</f>
        <v>0</v>
      </c>
    </row>
    <row r="103" spans="3:17" ht="20.100000000000001" customHeight="1" x14ac:dyDescent="0.25"/>
    <row r="104" spans="3:17" ht="20.100000000000001" customHeight="1" x14ac:dyDescent="0.35">
      <c r="C104" s="14"/>
      <c r="D104" s="161" t="s">
        <v>326</v>
      </c>
      <c r="E104" s="162"/>
      <c r="F104" s="163"/>
      <c r="G104" s="161">
        <f>SUM(Table_Scope3_Livestock[Scope 3 emissions exc. custom (t CO2-e)])</f>
        <v>746000</v>
      </c>
      <c r="H104" s="164" t="s">
        <v>320</v>
      </c>
      <c r="I104" s="14"/>
      <c r="J104" s="14"/>
      <c r="K104" s="14"/>
      <c r="L104" s="14"/>
      <c r="M104" s="14"/>
      <c r="N104" s="14"/>
      <c r="O104" s="14"/>
      <c r="P104" s="14"/>
      <c r="Q104" s="14"/>
    </row>
    <row r="105" spans="3:17" ht="20.100000000000001" customHeight="1" x14ac:dyDescent="0.25">
      <c r="C105" s="14"/>
      <c r="D105" s="165" t="s">
        <v>327</v>
      </c>
      <c r="E105" s="166"/>
      <c r="F105" s="166"/>
      <c r="G105" s="165">
        <f>SUM(Table_Scope3_Livestock[Scope 3 emissions inc. custom (t CO2-e)2])</f>
        <v>740750</v>
      </c>
      <c r="H105" s="164" t="s">
        <v>320</v>
      </c>
      <c r="I105" s="14"/>
      <c r="J105" s="14"/>
      <c r="K105" s="14"/>
      <c r="L105" s="14"/>
      <c r="M105" s="14"/>
      <c r="N105" s="14"/>
      <c r="O105" s="14"/>
      <c r="P105" s="14"/>
      <c r="Q105" s="14"/>
    </row>
    <row r="106" spans="3:17" ht="20.100000000000001" customHeight="1" x14ac:dyDescent="0.25">
      <c r="C106" s="14"/>
      <c r="D106" s="170"/>
      <c r="E106" s="171"/>
      <c r="F106" s="171"/>
      <c r="G106" s="170"/>
      <c r="H106" s="13"/>
      <c r="I106" s="14"/>
      <c r="J106" s="14"/>
      <c r="K106" s="14"/>
      <c r="L106" s="14"/>
      <c r="M106" s="14"/>
      <c r="N106" s="14"/>
      <c r="O106" s="14"/>
      <c r="P106" s="14"/>
      <c r="Q106" s="14"/>
    </row>
    <row r="107" spans="3:17" ht="20.100000000000001" customHeight="1" x14ac:dyDescent="0.25">
      <c r="C107" s="14"/>
      <c r="D107" s="170"/>
      <c r="E107" s="171"/>
      <c r="F107" s="171"/>
      <c r="G107" s="170"/>
      <c r="H107" s="13"/>
      <c r="I107" s="14"/>
      <c r="J107" s="14"/>
      <c r="K107" s="14"/>
      <c r="L107" s="14"/>
      <c r="M107" s="14"/>
      <c r="N107" s="14"/>
      <c r="O107" s="14"/>
      <c r="P107" s="14"/>
      <c r="Q107" s="14"/>
    </row>
    <row r="108" spans="3:17" ht="20.100000000000001" customHeight="1" x14ac:dyDescent="0.25">
      <c r="C108" s="14"/>
      <c r="D108" s="9" t="str" cm="1">
        <f t="array" ref="D108">Scope3_SourceData.Scope3_SoilAmendments_Title()</f>
        <v>Soil amendments scope 3</v>
      </c>
      <c r="E108" s="14"/>
      <c r="F108" s="14"/>
      <c r="G108" s="14"/>
      <c r="H108" s="14"/>
      <c r="I108" s="14"/>
      <c r="J108" s="14"/>
      <c r="K108" s="14"/>
      <c r="L108" s="14"/>
      <c r="M108" s="14"/>
      <c r="N108" s="14"/>
      <c r="O108" s="14"/>
      <c r="P108" s="14"/>
      <c r="Q108" s="14"/>
    </row>
    <row r="109" spans="3:17" ht="20.100000000000001" customHeight="1" x14ac:dyDescent="0.25">
      <c r="C109" s="14"/>
      <c r="D109" s="11" t="str" cm="1">
        <f t="array" ref="D109">Scope3_SourceData.Scope3_SoilAmendments_Source()</f>
        <v>Lifecycles. (2026). Greenhouse Gas Emission Intensities for Material Inputs to Australian Agriculture, Fisheries and Forestry. Version 48. doi 10.5281/zenodo.19656580</v>
      </c>
      <c r="E109" s="14"/>
      <c r="F109" s="14"/>
      <c r="G109" s="14"/>
      <c r="H109" s="14"/>
      <c r="I109" s="14"/>
      <c r="J109" s="14"/>
      <c r="K109" s="14"/>
      <c r="L109" s="14"/>
      <c r="M109" s="14"/>
      <c r="N109" s="14"/>
      <c r="O109" s="14"/>
      <c r="P109" s="14"/>
      <c r="Q109" s="14"/>
    </row>
    <row r="110" spans="3:17" ht="20.100000000000001" customHeight="1" x14ac:dyDescent="0.25">
      <c r="C110" s="14"/>
      <c r="D110" s="14"/>
      <c r="E110" s="14"/>
      <c r="F110" s="14"/>
      <c r="G110" s="14"/>
      <c r="H110" s="14"/>
      <c r="I110" s="14"/>
      <c r="J110" s="14"/>
      <c r="K110" s="14"/>
      <c r="L110" s="14"/>
      <c r="M110" s="14"/>
      <c r="N110" s="14"/>
      <c r="O110" s="14"/>
      <c r="P110" s="14"/>
      <c r="Q110" s="14"/>
    </row>
    <row r="111" spans="3:17" ht="20.100000000000001" customHeight="1" x14ac:dyDescent="0.25">
      <c r="C111" s="14"/>
      <c r="D111" s="168" t="s">
        <v>328</v>
      </c>
      <c r="E111" s="168" t="s">
        <v>304</v>
      </c>
      <c r="F111" s="168" t="s">
        <v>305</v>
      </c>
      <c r="G111" s="168" t="s">
        <v>306</v>
      </c>
      <c r="H111" s="169" t="s">
        <v>307</v>
      </c>
      <c r="I111" s="168" t="s">
        <v>308</v>
      </c>
      <c r="J111" s="168" t="s">
        <v>323</v>
      </c>
      <c r="K111" s="168" t="s">
        <v>309</v>
      </c>
      <c r="L111" s="169" t="s">
        <v>310</v>
      </c>
      <c r="M111" s="169" t="s">
        <v>311</v>
      </c>
      <c r="N111" s="169" t="s">
        <v>312</v>
      </c>
      <c r="O111" s="168" t="s">
        <v>313</v>
      </c>
      <c r="P111" s="14"/>
      <c r="Q111" s="14"/>
    </row>
    <row r="112" spans="3:17" ht="20.100000000000001" customHeight="1" x14ac:dyDescent="0.25">
      <c r="C112" s="14"/>
      <c r="D112" s="14" t="str" cm="1">
        <f t="array" ref="D112">Common_InputFunctions.Utility_DisplayArrayInTable(Scope3_SourceData.Scope3_SoilAmendments_Data(), Table_Scope3_SoilAmendments[[#Headers],[Soil amendment type]], 0, 2)</f>
        <v>Lime</v>
      </c>
      <c r="E112" s="14" cm="1">
        <f t="array" ref="E112">Fertiliser_InputFunctions.Fertiliser_TotalSoilAmendmentApplied(Table_Input_Lime[Total amount applied (t)],Table_Input_Lime[Percent Lime CaCO3])</f>
        <v>4000</v>
      </c>
      <c r="F112" s="14" t="str" cm="1">
        <f t="array" ref="F112">Common_InputFunctions.Utility_DisplayArrayInTable(Scope3_SourceData.Scope3_OrganicFertilisers_Data(), Table_Scope3_SoilAmendments[[#Headers],[Soil amendment type]], 0, 2)</f>
        <v>t</v>
      </c>
      <c r="G112" s="14" cm="1">
        <f t="array" ref="G112">Common_InputFunctions.Utility_DisplayArrayInTable(Scope3_SourceData.Scope3_SoilAmendments_Data(), Table_Scope3_SoilAmendments[[#Headers],[Soil amendment type]], 0, 2)</f>
        <v>30101</v>
      </c>
      <c r="H112" s="154">
        <v>100</v>
      </c>
      <c r="I112" s="14" t="str" cm="1">
        <f t="array" ref="I112">Common_InputFunctions.Utility_DisplayArrayInTable(Scope3_SourceData.Scope3_SoilAmendments_Data(), Table_Scope3_SoilAmendments[[#Headers],[Soil amendment type]], 0, 2)</f>
        <v>t CO2-e / t</v>
      </c>
      <c r="J112" s="14">
        <f>Table_Scope3_SoilAmendments[[#This Row],[Quantity]]*Table_Scope3_SoilAmendments[[#This Row],[AusLCI Emissions intensity]]</f>
        <v>120404000</v>
      </c>
      <c r="K112" s="14">
        <f>Table_Scope3_SoilAmendments[[#This Row],[Quantity]]*IF(Table_Scope3_SoilAmendments[[#This Row],[Custom emissions intensity]], Table_Scope3_SoilAmendments[[#This Row],[Custom emissions intensity]], Table_Scope3_SoilAmendments[[#This Row],[AusLCI Emissions intensity]])</f>
        <v>400000</v>
      </c>
      <c r="L112" s="154"/>
      <c r="M112" s="48"/>
      <c r="N112" s="154"/>
      <c r="O112" s="155" cm="1">
        <f t="array" ref="O112">Common_InputFunctions.Utility_LookupValueInTableNumber(Table_Scope3_SoilAmendments[[#This Row],[Custom emissions intensity source type (Select)]],#REF!,#REF!)</f>
        <v>0</v>
      </c>
      <c r="P112" s="14"/>
      <c r="Q112" s="14"/>
    </row>
    <row r="113" spans="3:17" ht="20.100000000000001" customHeight="1" x14ac:dyDescent="0.25">
      <c r="C113" s="14"/>
      <c r="D113" s="14" t="str" cm="1">
        <f t="array" ref="D113">Common_InputFunctions.Utility_DisplayArrayInTable(Scope3_SourceData.Scope3_SoilAmendments_Data(), Table_Scope3_SoilAmendments[[#Headers],[Soil amendment type]], 0, 2)</f>
        <v>Limesand</v>
      </c>
      <c r="E113" s="14" cm="1">
        <f t="array" ref="E113">Fertiliser_InputFunctions.Fertiliser_TotalSoilAmendmentApplied(Table_Input_Lime[Total amount applied (t)],Table_Input_Lime[Percent Lime CaCO3])</f>
        <v>4000</v>
      </c>
      <c r="F113" s="14" t="str" cm="1">
        <f t="array" ref="F113">Common_InputFunctions.Utility_DisplayArrayInTable(Scope3_SourceData.Scope3_OrganicFertilisers_Data(), Table_Scope3_SoilAmendments[[#Headers],[Soil amendment type]], 0, 2)</f>
        <v>t</v>
      </c>
      <c r="G113" s="14" cm="1">
        <f t="array" ref="G113">Common_InputFunctions.Utility_DisplayArrayInTable(Scope3_SourceData.Scope3_SoilAmendments_Data(), Table_Scope3_SoilAmendments[[#Headers],[Soil amendment type]], 0, 2)</f>
        <v>30102</v>
      </c>
      <c r="H113" s="154"/>
      <c r="I113" s="14" t="str" cm="1">
        <f t="array" ref="I113">Common_InputFunctions.Utility_DisplayArrayInTable(Scope3_SourceData.Scope3_SoilAmendments_Data(), Table_Scope3_SoilAmendments[[#Headers],[Soil amendment type]], 0, 2)</f>
        <v>t CO2-e / t</v>
      </c>
      <c r="J113" s="14">
        <f>Table_Scope3_SoilAmendments[[#This Row],[Quantity]]*Table_Scope3_SoilAmendments[[#This Row],[AusLCI Emissions intensity]]</f>
        <v>120408000</v>
      </c>
      <c r="K113" s="14">
        <f>Table_Scope3_SoilAmendments[[#This Row],[Quantity]]*IF(Table_Scope3_SoilAmendments[[#This Row],[Custom emissions intensity]], Table_Scope3_SoilAmendments[[#This Row],[Custom emissions intensity]], Table_Scope3_SoilAmendments[[#This Row],[AusLCI Emissions intensity]])</f>
        <v>120408000</v>
      </c>
      <c r="L113" s="154"/>
      <c r="M113" s="48"/>
      <c r="N113" s="154"/>
      <c r="O113" s="155" cm="1">
        <f t="array" ref="O113">Common_InputFunctions.Utility_LookupValueInTableNumber(Table_Scope3_SoilAmendments[[#This Row],[Custom emissions intensity source type (Select)]],#REF!,#REF!)</f>
        <v>0</v>
      </c>
      <c r="P113" s="14"/>
      <c r="Q113" s="14"/>
    </row>
    <row r="114" spans="3:17" ht="20.100000000000001" customHeight="1" x14ac:dyDescent="0.25">
      <c r="C114" s="14"/>
      <c r="D114" s="14" t="str" cm="1">
        <f t="array" ref="D114">Common_InputFunctions.Utility_DisplayArrayInTable(Scope3_SourceData.Scope3_SoilAmendments_Data(), Table_Scope3_SoilAmendments[[#Headers],[Soil amendment type]], 0, 2)</f>
        <v>Dolomite</v>
      </c>
      <c r="E114" s="14" cm="1">
        <f t="array" ref="E114">Fertiliser_InputFunctions.Fertiliser_TotalSoilAmendmentApplied(Table_Input_Lime[Total amount applied (t)],Table_Input_Lime[Percent Lime CaCO3])</f>
        <v>4000</v>
      </c>
      <c r="F114" s="14" t="str" cm="1">
        <f t="array" ref="F114">Common_InputFunctions.Utility_DisplayArrayInTable(Scope3_SourceData.Scope3_OrganicFertilisers_Data(), Table_Scope3_SoilAmendments[[#Headers],[Soil amendment type]], 0, 2)</f>
        <v>t</v>
      </c>
      <c r="G114" s="14" cm="1">
        <f t="array" ref="G114">Common_InputFunctions.Utility_DisplayArrayInTable(Scope3_SourceData.Scope3_SoilAmendments_Data(), Table_Scope3_SoilAmendments[[#Headers],[Soil amendment type]], 0, 2)</f>
        <v>30103</v>
      </c>
      <c r="H114" s="154"/>
      <c r="I114" s="14" t="str" cm="1">
        <f t="array" ref="I114">Common_InputFunctions.Utility_DisplayArrayInTable(Scope3_SourceData.Scope3_SoilAmendments_Data(), Table_Scope3_SoilAmendments[[#Headers],[Soil amendment type]], 0, 2)</f>
        <v>t CO2-e / t</v>
      </c>
      <c r="J114" s="14">
        <f>Table_Scope3_SoilAmendments[[#This Row],[Quantity]]*Table_Scope3_SoilAmendments[[#This Row],[AusLCI Emissions intensity]]</f>
        <v>120412000</v>
      </c>
      <c r="K114" s="14">
        <f>Table_Scope3_SoilAmendments[[#This Row],[Quantity]]*IF(Table_Scope3_SoilAmendments[[#This Row],[Custom emissions intensity]], Table_Scope3_SoilAmendments[[#This Row],[Custom emissions intensity]], Table_Scope3_SoilAmendments[[#This Row],[AusLCI Emissions intensity]])</f>
        <v>120412000</v>
      </c>
      <c r="L114" s="154"/>
      <c r="M114" s="48"/>
      <c r="N114" s="154"/>
      <c r="O114" s="155" cm="1">
        <f t="array" ref="O114">Common_InputFunctions.Utility_LookupValueInTableNumber(Table_Scope3_SoilAmendments[[#This Row],[Custom emissions intensity source type (Select)]],#REF!,#REF!)</f>
        <v>0</v>
      </c>
      <c r="P114" s="14"/>
      <c r="Q114" s="14"/>
    </row>
    <row r="115" spans="3:17" ht="20.100000000000001" customHeight="1" x14ac:dyDescent="0.25">
      <c r="C115" s="14"/>
      <c r="D115" s="14" t="str" cm="1">
        <f t="array" ref="D115">Common_InputFunctions.Utility_DisplayArrayInTable(Scope3_SourceData.Scope3_SoilAmendments_Data(), Table_Scope3_SoilAmendments[[#Headers],[Soil amendment type]], 0, 2)</f>
        <v>Gypsum</v>
      </c>
      <c r="E115" s="14" cm="1">
        <f t="array" ref="E115">Fertiliser_InputFunctions.Fertiliser_TotalSoilAmendmentApplied(Table_Input_Lime[Total amount applied (t)],Table_Input_Lime[Percent Lime CaCO3])</f>
        <v>4000</v>
      </c>
      <c r="F115" s="14" t="str" cm="1">
        <f t="array" ref="F115">Common_InputFunctions.Utility_DisplayArrayInTable(Scope3_SourceData.Scope3_OrganicFertilisers_Data(), Table_Scope3_SoilAmendments[[#Headers],[Soil amendment type]], 0, 2)</f>
        <v>t</v>
      </c>
      <c r="G115" s="14" cm="1">
        <f t="array" ref="G115">Common_InputFunctions.Utility_DisplayArrayInTable(Scope3_SourceData.Scope3_SoilAmendments_Data(), Table_Scope3_SoilAmendments[[#Headers],[Soil amendment type]], 0, 2)</f>
        <v>30104</v>
      </c>
      <c r="H115" s="154"/>
      <c r="I115" s="14" t="str" cm="1">
        <f t="array" ref="I115">Common_InputFunctions.Utility_DisplayArrayInTable(Scope3_SourceData.Scope3_SoilAmendments_Data(), Table_Scope3_SoilAmendments[[#Headers],[Soil amendment type]], 0, 2)</f>
        <v>t CO2-e / t</v>
      </c>
      <c r="J115" s="14">
        <f>Table_Scope3_SoilAmendments[[#This Row],[Quantity]]*Table_Scope3_SoilAmendments[[#This Row],[AusLCI Emissions intensity]]</f>
        <v>120416000</v>
      </c>
      <c r="K115" s="14">
        <f>Table_Scope3_SoilAmendments[[#This Row],[Quantity]]*IF(Table_Scope3_SoilAmendments[[#This Row],[Custom emissions intensity]], Table_Scope3_SoilAmendments[[#This Row],[Custom emissions intensity]], Table_Scope3_SoilAmendments[[#This Row],[AusLCI Emissions intensity]])</f>
        <v>120416000</v>
      </c>
      <c r="L115" s="154"/>
      <c r="M115" s="48"/>
      <c r="N115" s="154"/>
      <c r="O115" s="155" cm="1">
        <f t="array" ref="O115">Common_InputFunctions.Utility_LookupValueInTableNumber(Table_Scope3_SoilAmendments[[#This Row],[Custom emissions intensity source type (Select)]],#REF!,#REF!)</f>
        <v>0</v>
      </c>
      <c r="P115" s="14"/>
      <c r="Q115" s="14"/>
    </row>
    <row r="116" spans="3:17" ht="20.100000000000001" customHeight="1" x14ac:dyDescent="0.25">
      <c r="C116" s="14"/>
      <c r="D116" s="14" t="str" cm="1">
        <f t="array" ref="D116">Common_InputFunctions.Utility_DisplayArrayInTable(Scope3_SourceData.Scope3_SoilAmendments_Data(), Table_Scope3_SoilAmendments[[#Headers],[Soil amendment type]], 0, 2)</f>
        <v>Potash</v>
      </c>
      <c r="E116" s="14" cm="1">
        <f t="array" ref="E116">Fertiliser_InputFunctions.Fertiliser_TotalSoilAmendmentApplied(Table_Input_Lime[Total amount applied (t)],Table_Input_Lime[Percent Lime CaCO3])</f>
        <v>4000</v>
      </c>
      <c r="F116" s="14" t="str" cm="1">
        <f t="array" ref="F116">Common_InputFunctions.Utility_DisplayArrayInTable(Scope3_SourceData.Scope3_OrganicFertilisers_Data(), Table_Scope3_SoilAmendments[[#Headers],[Soil amendment type]], 0, 2)</f>
        <v>t</v>
      </c>
      <c r="G116" s="14" cm="1">
        <f t="array" ref="G116">Common_InputFunctions.Utility_DisplayArrayInTable(Scope3_SourceData.Scope3_SoilAmendments_Data(), Table_Scope3_SoilAmendments[[#Headers],[Soil amendment type]], 0, 2)</f>
        <v>30105</v>
      </c>
      <c r="H116" s="154"/>
      <c r="I116" s="14" t="str" cm="1">
        <f t="array" ref="I116">Common_InputFunctions.Utility_DisplayArrayInTable(Scope3_SourceData.Scope3_SoilAmendments_Data(), Table_Scope3_SoilAmendments[[#Headers],[Soil amendment type]], 0, 2)</f>
        <v>t CO2-e / t</v>
      </c>
      <c r="J116" s="14">
        <f>Table_Scope3_SoilAmendments[[#This Row],[Quantity]]*Table_Scope3_SoilAmendments[[#This Row],[AusLCI Emissions intensity]]</f>
        <v>120420000</v>
      </c>
      <c r="K116" s="14">
        <f>Table_Scope3_SoilAmendments[[#This Row],[Quantity]]*IF(Table_Scope3_SoilAmendments[[#This Row],[Custom emissions intensity]], Table_Scope3_SoilAmendments[[#This Row],[Custom emissions intensity]], Table_Scope3_SoilAmendments[[#This Row],[AusLCI Emissions intensity]])</f>
        <v>120420000</v>
      </c>
      <c r="L116" s="154"/>
      <c r="M116" s="48"/>
      <c r="N116" s="154"/>
      <c r="O116" s="155" cm="1">
        <f t="array" ref="O116">Common_InputFunctions.Utility_LookupValueInTableNumber(Table_Scope3_SoilAmendments[[#This Row],[Custom emissions intensity source type (Select)]],#REF!,#REF!)</f>
        <v>0</v>
      </c>
      <c r="P116" s="14"/>
      <c r="Q116" s="14"/>
    </row>
    <row r="117" spans="3:17" ht="20.100000000000001" customHeight="1" x14ac:dyDescent="0.25">
      <c r="C117" s="14"/>
      <c r="D117" s="14"/>
      <c r="E117" s="14"/>
      <c r="F117" s="14"/>
      <c r="G117" s="14"/>
      <c r="H117" s="14"/>
      <c r="I117" s="14"/>
      <c r="J117" s="14"/>
      <c r="K117" s="14"/>
      <c r="L117" s="14"/>
      <c r="M117" s="14"/>
      <c r="N117" s="14"/>
      <c r="O117" s="14"/>
      <c r="P117" s="14"/>
      <c r="Q117" s="14"/>
    </row>
    <row r="118" spans="3:17" ht="20.100000000000001" customHeight="1" x14ac:dyDescent="0.35">
      <c r="C118" s="14"/>
      <c r="D118" s="161" t="s">
        <v>329</v>
      </c>
      <c r="E118" s="162"/>
      <c r="F118" s="163"/>
      <c r="G118" s="161">
        <f>SUM(Table_Scope3_SoilAmendments[Scope 3 emissions exc. custom (t CO2-e)])</f>
        <v>602060000</v>
      </c>
      <c r="H118" s="164" t="s">
        <v>320</v>
      </c>
      <c r="I118" s="14"/>
      <c r="J118" s="14"/>
      <c r="K118" s="14"/>
      <c r="L118" s="14"/>
      <c r="M118" s="14"/>
      <c r="N118" s="14"/>
      <c r="O118" s="14"/>
      <c r="P118" s="14"/>
      <c r="Q118" s="14"/>
    </row>
    <row r="119" spans="3:17" ht="20.100000000000001" customHeight="1" x14ac:dyDescent="0.25">
      <c r="C119" s="14"/>
      <c r="D119" s="165" t="s">
        <v>330</v>
      </c>
      <c r="E119" s="166"/>
      <c r="F119" s="166"/>
      <c r="G119" s="165">
        <f>SUM(Table_Scope3_SoilAmendments[Scope 3 emissions inc. custom (t CO2-e)2])</f>
        <v>482056000</v>
      </c>
      <c r="H119" s="164" t="s">
        <v>320</v>
      </c>
      <c r="I119" s="14"/>
      <c r="J119" s="14"/>
      <c r="K119" s="14"/>
      <c r="L119" s="14"/>
      <c r="M119" s="14"/>
      <c r="N119" s="14"/>
      <c r="O119" s="14"/>
      <c r="P119" s="14"/>
      <c r="Q119" s="14"/>
    </row>
    <row r="120" spans="3:17" ht="20.100000000000001" customHeight="1" x14ac:dyDescent="0.25">
      <c r="C120" s="14"/>
      <c r="D120" s="14"/>
      <c r="E120" s="14"/>
      <c r="F120" s="14"/>
      <c r="G120" s="14"/>
      <c r="H120" s="14"/>
      <c r="I120" s="14"/>
      <c r="J120" s="14"/>
      <c r="K120" s="14"/>
      <c r="L120" s="14"/>
      <c r="M120" s="14"/>
      <c r="N120" s="14"/>
      <c r="O120" s="14"/>
      <c r="P120" s="14"/>
      <c r="Q120" s="14"/>
    </row>
    <row r="121" spans="3:17" ht="20.100000000000001" customHeight="1" x14ac:dyDescent="0.25">
      <c r="C121" s="14"/>
      <c r="D121" s="14"/>
      <c r="E121" s="14"/>
      <c r="F121" s="14"/>
      <c r="G121" s="14"/>
      <c r="H121" s="14"/>
      <c r="I121" s="14"/>
      <c r="J121" s="14"/>
      <c r="K121" s="14"/>
      <c r="L121" s="14"/>
      <c r="M121" s="14"/>
      <c r="N121" s="14"/>
      <c r="O121" s="14"/>
      <c r="P121" s="14"/>
      <c r="Q121" s="14"/>
    </row>
    <row r="122" spans="3:17" ht="20.100000000000001" customHeight="1" x14ac:dyDescent="0.25">
      <c r="C122" s="14"/>
      <c r="D122" s="9" t="str" cm="1">
        <f t="array" ref="D122">Scope3_SourceData.Scope3_Agrochemicals_Title()</f>
        <v>Agrochemicals scope 3</v>
      </c>
      <c r="E122" s="14"/>
      <c r="F122" s="14"/>
      <c r="G122" s="14"/>
      <c r="H122" s="14"/>
      <c r="I122" s="14"/>
      <c r="J122" s="14"/>
      <c r="K122" s="14"/>
      <c r="L122" s="14"/>
      <c r="M122" s="14"/>
      <c r="N122" s="14"/>
      <c r="O122" s="14"/>
      <c r="P122" s="14"/>
      <c r="Q122" s="14"/>
    </row>
    <row r="123" spans="3:17" ht="20.100000000000001" customHeight="1" x14ac:dyDescent="0.25">
      <c r="C123" s="14"/>
      <c r="D123" s="11" t="str" cm="1">
        <f t="array" ref="D123">Scope3_SourceData.Scope3_Agrochemicals_Source()</f>
        <v>Lifecycles. (2026). Greenhouse Gas Emission Intensities for Material Inputs to Australian Agriculture, Fisheries and Forestry. Version 48. doi 10.5281/zenodo.19656580</v>
      </c>
      <c r="E123" s="14"/>
      <c r="F123" s="14"/>
      <c r="G123" s="14"/>
      <c r="H123" s="14"/>
      <c r="I123" s="14"/>
      <c r="J123" s="14"/>
      <c r="K123" s="14"/>
      <c r="L123" s="14"/>
      <c r="M123" s="14"/>
      <c r="N123" s="14"/>
      <c r="O123" s="14"/>
      <c r="P123" s="14"/>
      <c r="Q123" s="14"/>
    </row>
    <row r="124" spans="3:17" ht="20.100000000000001" customHeight="1" x14ac:dyDescent="0.25">
      <c r="C124" s="14"/>
      <c r="D124" s="14"/>
      <c r="E124" s="14"/>
      <c r="F124" s="14"/>
      <c r="G124" s="14"/>
      <c r="H124" s="14"/>
      <c r="I124" s="14"/>
      <c r="J124" s="14"/>
      <c r="K124" s="14"/>
      <c r="L124" s="14"/>
      <c r="M124" s="14"/>
      <c r="N124" s="14"/>
      <c r="O124" s="14"/>
      <c r="P124" s="14"/>
      <c r="Q124" s="14"/>
    </row>
    <row r="125" spans="3:17" ht="20.100000000000001" customHeight="1" x14ac:dyDescent="0.25">
      <c r="C125" s="14"/>
      <c r="D125" s="168" t="s">
        <v>331</v>
      </c>
      <c r="E125" s="168" t="s">
        <v>304</v>
      </c>
      <c r="F125" s="168" t="s">
        <v>305</v>
      </c>
      <c r="G125" s="168" t="s">
        <v>306</v>
      </c>
      <c r="H125" s="169" t="s">
        <v>307</v>
      </c>
      <c r="I125" s="168" t="s">
        <v>308</v>
      </c>
      <c r="J125" s="168" t="s">
        <v>323</v>
      </c>
      <c r="K125" s="168" t="s">
        <v>309</v>
      </c>
      <c r="L125" s="169" t="s">
        <v>310</v>
      </c>
      <c r="M125" s="169" t="s">
        <v>311</v>
      </c>
      <c r="N125" s="169" t="s">
        <v>312</v>
      </c>
      <c r="O125" s="168" t="s">
        <v>313</v>
      </c>
      <c r="P125" s="14"/>
      <c r="Q125" s="14"/>
    </row>
    <row r="126" spans="3:17" ht="20.100000000000001" customHeight="1" x14ac:dyDescent="0.25">
      <c r="C126" s="14"/>
      <c r="D126" s="14" t="str" cm="1">
        <f t="array" ref="D126">Common_InputFunctions.Utility_DisplayArrayInTable(Scope3_SourceData.Scope3_Agrochemicals_Data(), Table_Scope3_Agrochemicals[[#Headers],[Agrochemical type]], 0, 2)</f>
        <v>Glyphosate</v>
      </c>
      <c r="E126" s="14" cm="1">
        <f t="array" ref="E126">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v>
      </c>
      <c r="F126" s="14" t="str" cm="1">
        <f t="array" ref="F126">Common_InputFunctions.Utility_DisplayArrayInTable(Scope3_SourceData.Scope3_Agrochemicals_Data(), Table_Scope3_Agrochemicals[[#Headers],[Agrochemical type]], 0, 2)</f>
        <v>t</v>
      </c>
      <c r="G126" s="14" cm="1">
        <f t="array" ref="G126">Common_InputFunctions.Utility_DisplayArrayInTable(Scope3_SourceData.Scope3_Agrochemicals_Data(), Table_Scope3_Agrochemicals[[#Headers],[Agrochemical type]], 0, 2)</f>
        <v>40101</v>
      </c>
      <c r="H126" s="154">
        <v>100</v>
      </c>
      <c r="I126" s="14" t="str" cm="1">
        <f t="array" ref="I126">Common_InputFunctions.Utility_DisplayArrayInTable(Scope3_SourceData.Scope3_Agrochemicals_Data(), Table_Scope3_Agrochemicals[[#Headers],[Agrochemical type]], 0, 2)</f>
        <v>t CO2-e / t</v>
      </c>
      <c r="J126" s="14">
        <f>Table_Scope3_Agrochemicals[[#This Row],[Quantity]]*Table_Scope3_Agrochemicals[[#This Row],[AusLCI Emissions intensity]]</f>
        <v>0</v>
      </c>
      <c r="K126" s="14">
        <f>Table_Scope3_Agrochemicals[[#This Row],[Quantity]]*IF(Table_Scope3_Agrochemicals[[#This Row],[Custom emissions intensity]], Table_Scope3_Agrochemicals[[#This Row],[Custom emissions intensity]], Table_Scope3_Agrochemicals[[#This Row],[AusLCI Emissions intensity]])</f>
        <v>0</v>
      </c>
      <c r="L126" s="154"/>
      <c r="M126" s="48"/>
      <c r="N126" s="154"/>
      <c r="O126" s="155" cm="1">
        <f t="array" ref="O126">Common_InputFunctions.Utility_LookupValueInTableNumber(Table_Scope3_Agrochemicals[[#This Row],[Custom emissions intensity source type (Select)]],#REF!,#REF!)</f>
        <v>0</v>
      </c>
      <c r="P126" s="14"/>
      <c r="Q126" s="14"/>
    </row>
    <row r="127" spans="3:17" ht="20.100000000000001" customHeight="1" x14ac:dyDescent="0.25">
      <c r="C127" s="14"/>
      <c r="D127" s="14" t="str" cm="1">
        <f t="array" ref="D127">Common_InputFunctions.Utility_DisplayArrayInTable(Scope3_SourceData.Scope3_Agrochemicals_Data(), Table_Scope3_Agrochemicals[[#Headers],[Agrochemical type]], 0, 2)</f>
        <v>Paraquat, diquat</v>
      </c>
      <c r="E127" s="14" cm="1">
        <f t="array" ref="E127">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0.2</v>
      </c>
      <c r="F127" s="14" t="str" cm="1">
        <f t="array" ref="F127">Common_InputFunctions.Utility_DisplayArrayInTable(Scope3_SourceData.Scope3_Agrochemicals_Data(), Table_Scope3_Agrochemicals[[#Headers],[Agrochemical type]], 0, 2)</f>
        <v>t</v>
      </c>
      <c r="G127" s="14" cm="1">
        <f t="array" ref="G127">Common_InputFunctions.Utility_DisplayArrayInTable(Scope3_SourceData.Scope3_Agrochemicals_Data(), Table_Scope3_Agrochemicals[[#Headers],[Agrochemical type]], 0, 2)</f>
        <v>40102</v>
      </c>
      <c r="H127" s="154"/>
      <c r="I127" s="14" t="str" cm="1">
        <f t="array" ref="I127">Common_InputFunctions.Utility_DisplayArrayInTable(Scope3_SourceData.Scope3_Agrochemicals_Data(), Table_Scope3_Agrochemicals[[#Headers],[Agrochemical type]], 0, 2)</f>
        <v>t CO2-e / t</v>
      </c>
      <c r="J127" s="14">
        <f>Table_Scope3_Agrochemicals[[#This Row],[Quantity]]*Table_Scope3_Agrochemicals[[#This Row],[AusLCI Emissions intensity]]</f>
        <v>8020.4000000000005</v>
      </c>
      <c r="K127" s="14">
        <f>Table_Scope3_Agrochemicals[[#This Row],[Quantity]]*IF(Table_Scope3_Agrochemicals[[#This Row],[Custom emissions intensity]], Table_Scope3_Agrochemicals[[#This Row],[Custom emissions intensity]], Table_Scope3_Agrochemicals[[#This Row],[AusLCI Emissions intensity]])</f>
        <v>8020.4000000000005</v>
      </c>
      <c r="L127" s="154"/>
      <c r="M127" s="48"/>
      <c r="N127" s="154"/>
      <c r="O127" s="155" cm="1">
        <f t="array" ref="O127">Common_InputFunctions.Utility_LookupValueInTableNumber(Table_Scope3_Agrochemicals[[#This Row],[Custom emissions intensity source type (Select)]],#REF!,#REF!)</f>
        <v>0</v>
      </c>
      <c r="P127" s="14"/>
      <c r="Q127" s="14"/>
    </row>
    <row r="128" spans="3:17" ht="20.100000000000001" customHeight="1" x14ac:dyDescent="0.25">
      <c r="C128" s="14"/>
      <c r="D128" s="14" t="str" cm="1">
        <f t="array" ref="D128">Common_InputFunctions.Utility_DisplayArrayInTable(Scope3_SourceData.Scope3_Agrochemicals_Data(), Table_Scope3_Agrochemicals[[#Headers],[Agrochemical type]], 0, 2)</f>
        <v>Generic Herbicide</v>
      </c>
      <c r="E128" s="14" cm="1">
        <f t="array" ref="E128">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v>
      </c>
      <c r="F128" s="14" t="str" cm="1">
        <f t="array" ref="F128">Common_InputFunctions.Utility_DisplayArrayInTable(Scope3_SourceData.Scope3_Agrochemicals_Data(), Table_Scope3_Agrochemicals[[#Headers],[Agrochemical type]], 0, 2)</f>
        <v>t</v>
      </c>
      <c r="G128" s="14" cm="1">
        <f t="array" ref="G128">Common_InputFunctions.Utility_DisplayArrayInTable(Scope3_SourceData.Scope3_Agrochemicals_Data(), Table_Scope3_Agrochemicals[[#Headers],[Agrochemical type]], 0, 2)</f>
        <v>40103</v>
      </c>
      <c r="H128" s="154"/>
      <c r="I128" s="14" t="str" cm="1">
        <f t="array" ref="I128">Common_InputFunctions.Utility_DisplayArrayInTable(Scope3_SourceData.Scope3_Agrochemicals_Data(), Table_Scope3_Agrochemicals[[#Headers],[Agrochemical type]], 0, 2)</f>
        <v>t CO2-e / t</v>
      </c>
      <c r="J128" s="14">
        <f>Table_Scope3_Agrochemicals[[#This Row],[Quantity]]*Table_Scope3_Agrochemicals[[#This Row],[AusLCI Emissions intensity]]</f>
        <v>0</v>
      </c>
      <c r="K128" s="14">
        <f>Table_Scope3_Agrochemicals[[#This Row],[Quantity]]*IF(Table_Scope3_Agrochemicals[[#This Row],[Custom emissions intensity]], Table_Scope3_Agrochemicals[[#This Row],[Custom emissions intensity]], Table_Scope3_Agrochemicals[[#This Row],[AusLCI Emissions intensity]])</f>
        <v>0</v>
      </c>
      <c r="L128" s="154"/>
      <c r="M128" s="48"/>
      <c r="N128" s="154"/>
      <c r="O128" s="155" cm="1">
        <f t="array" ref="O128">Common_InputFunctions.Utility_LookupValueInTableNumber(Table_Scope3_Agrochemicals[[#This Row],[Custom emissions intensity source type (Select)]],#REF!,#REF!)</f>
        <v>0</v>
      </c>
      <c r="P128" s="14"/>
      <c r="Q128" s="14"/>
    </row>
    <row r="129" spans="3:17" ht="20.100000000000001" customHeight="1" x14ac:dyDescent="0.25">
      <c r="C129" s="14"/>
      <c r="D129" s="14" t="str" cm="1">
        <f t="array" ref="D129">Common_InputFunctions.Utility_DisplayArrayInTable(Scope3_SourceData.Scope3_Agrochemicals_Data(), Table_Scope3_Agrochemicals[[#Headers],[Agrochemical type]], 0, 2)</f>
        <v>Generic Insecticide</v>
      </c>
      <c r="E129" s="14" cm="1">
        <f t="array" ref="E129">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0.25</v>
      </c>
      <c r="F129" s="14" t="str" cm="1">
        <f t="array" ref="F129">Common_InputFunctions.Utility_DisplayArrayInTable(Scope3_SourceData.Scope3_Agrochemicals_Data(), Table_Scope3_Agrochemicals[[#Headers],[Agrochemical type]], 0, 2)</f>
        <v>t</v>
      </c>
      <c r="G129" s="14" cm="1">
        <f t="array" ref="G129">Common_InputFunctions.Utility_DisplayArrayInTable(Scope3_SourceData.Scope3_Agrochemicals_Data(), Table_Scope3_Agrochemicals[[#Headers],[Agrochemical type]], 0, 2)</f>
        <v>40104</v>
      </c>
      <c r="H129" s="154"/>
      <c r="I129" s="14" t="str" cm="1">
        <f t="array" ref="I129">Common_InputFunctions.Utility_DisplayArrayInTable(Scope3_SourceData.Scope3_Agrochemicals_Data(), Table_Scope3_Agrochemicals[[#Headers],[Agrochemical type]], 0, 2)</f>
        <v>t CO2-e / t</v>
      </c>
      <c r="J129" s="14">
        <f>Table_Scope3_Agrochemicals[[#This Row],[Quantity]]*Table_Scope3_Agrochemicals[[#This Row],[AusLCI Emissions intensity]]</f>
        <v>10026</v>
      </c>
      <c r="K129" s="14">
        <f>Table_Scope3_Agrochemicals[[#This Row],[Quantity]]*IF(Table_Scope3_Agrochemicals[[#This Row],[Custom emissions intensity]], Table_Scope3_Agrochemicals[[#This Row],[Custom emissions intensity]], Table_Scope3_Agrochemicals[[#This Row],[AusLCI Emissions intensity]])</f>
        <v>10026</v>
      </c>
      <c r="L129" s="154"/>
      <c r="M129" s="48"/>
      <c r="N129" s="154"/>
      <c r="O129" s="155" cm="1">
        <f t="array" ref="O129">Common_InputFunctions.Utility_LookupValueInTableNumber(Table_Scope3_Agrochemicals[[#This Row],[Custom emissions intensity source type (Select)]],#REF!,#REF!)</f>
        <v>0</v>
      </c>
      <c r="P129" s="14"/>
      <c r="Q129" s="14"/>
    </row>
    <row r="130" spans="3:17" ht="20.100000000000001" customHeight="1" x14ac:dyDescent="0.25">
      <c r="C130" s="14"/>
      <c r="D130" s="14" t="str" cm="1">
        <f t="array" ref="D130">Common_InputFunctions.Utility_DisplayArrayInTable(Scope3_SourceData.Scope3_Agrochemicals_Data(), Table_Scope3_Agrochemicals[[#Headers],[Agrochemical type]], 0, 2)</f>
        <v>Generic Fungicide</v>
      </c>
      <c r="E130" s="14" cm="1">
        <f t="array" ref="E130">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v>
      </c>
      <c r="F130" s="14" t="str" cm="1">
        <f t="array" ref="F130">Common_InputFunctions.Utility_DisplayArrayInTable(Scope3_SourceData.Scope3_Agrochemicals_Data(), Table_Scope3_Agrochemicals[[#Headers],[Agrochemical type]], 0, 2)</f>
        <v>t</v>
      </c>
      <c r="G130" s="14" cm="1">
        <f t="array" ref="G130">Common_InputFunctions.Utility_DisplayArrayInTable(Scope3_SourceData.Scope3_Agrochemicals_Data(), Table_Scope3_Agrochemicals[[#Headers],[Agrochemical type]], 0, 2)</f>
        <v>40105</v>
      </c>
      <c r="H130" s="154"/>
      <c r="I130" s="14" t="str" cm="1">
        <f t="array" ref="I130">Common_InputFunctions.Utility_DisplayArrayInTable(Scope3_SourceData.Scope3_Agrochemicals_Data(), Table_Scope3_Agrochemicals[[#Headers],[Agrochemical type]], 0, 2)</f>
        <v>t CO2-e / t</v>
      </c>
      <c r="J130" s="14">
        <f>Table_Scope3_Agrochemicals[[#This Row],[Quantity]]*Table_Scope3_Agrochemicals[[#This Row],[AusLCI Emissions intensity]]</f>
        <v>0</v>
      </c>
      <c r="K130" s="14">
        <f>Table_Scope3_Agrochemicals[[#This Row],[Quantity]]*IF(Table_Scope3_Agrochemicals[[#This Row],[Custom emissions intensity]], Table_Scope3_Agrochemicals[[#This Row],[Custom emissions intensity]], Table_Scope3_Agrochemicals[[#This Row],[AusLCI Emissions intensity]])</f>
        <v>0</v>
      </c>
      <c r="L130" s="154"/>
      <c r="M130" s="48"/>
      <c r="N130" s="154"/>
      <c r="O130" s="155" cm="1">
        <f t="array" ref="O130">Common_InputFunctions.Utility_LookupValueInTableNumber(Table_Scope3_Agrochemicals[[#This Row],[Custom emissions intensity source type (Select)]],#REF!,#REF!)</f>
        <v>0</v>
      </c>
      <c r="P130" s="14"/>
      <c r="Q130" s="14"/>
    </row>
    <row r="131" spans="3:17" ht="20.100000000000001" customHeight="1" x14ac:dyDescent="0.25">
      <c r="C131" s="14"/>
      <c r="D131" s="14"/>
      <c r="E131" s="14"/>
      <c r="F131" s="14"/>
      <c r="G131" s="14"/>
      <c r="H131" s="14"/>
      <c r="I131" s="14"/>
      <c r="J131" s="14"/>
      <c r="K131" s="14"/>
      <c r="L131" s="14"/>
      <c r="M131" s="14"/>
      <c r="N131" s="14"/>
      <c r="O131" s="14"/>
      <c r="P131" s="14"/>
      <c r="Q131" s="14"/>
    </row>
    <row r="132" spans="3:17" ht="20.100000000000001" customHeight="1" x14ac:dyDescent="0.35">
      <c r="C132" s="14"/>
      <c r="D132" s="161" t="s">
        <v>332</v>
      </c>
      <c r="E132" s="162" t="s">
        <v>276</v>
      </c>
      <c r="F132" s="163"/>
      <c r="G132" s="161">
        <f>SUM(Table_Scope3_Agrochemicals[Scope 3 emissions exc. custom (t CO2-e)])</f>
        <v>18046.400000000001</v>
      </c>
      <c r="H132" s="164" t="s">
        <v>320</v>
      </c>
      <c r="I132" s="14"/>
      <c r="J132" s="14"/>
      <c r="K132" s="14"/>
      <c r="L132" s="14"/>
      <c r="M132" s="14"/>
      <c r="N132" s="14"/>
      <c r="O132" s="14"/>
      <c r="P132" s="14"/>
      <c r="Q132" s="14"/>
    </row>
    <row r="133" spans="3:17" ht="20.100000000000001" customHeight="1" x14ac:dyDescent="0.25">
      <c r="C133" s="14"/>
      <c r="D133" s="165" t="s">
        <v>333</v>
      </c>
      <c r="E133" s="166"/>
      <c r="F133" s="166"/>
      <c r="G133" s="165">
        <f>SUM(Table_Scope3_Agrochemicals[Scope 3 emissions inc. custom (t CO2-e)2])</f>
        <v>18046.400000000001</v>
      </c>
      <c r="H133" s="164" t="s">
        <v>320</v>
      </c>
      <c r="I133" s="14"/>
      <c r="J133" s="14"/>
      <c r="K133" s="14"/>
      <c r="L133" s="14"/>
      <c r="M133" s="14"/>
      <c r="N133" s="14"/>
      <c r="O133" s="14"/>
      <c r="P133" s="14"/>
      <c r="Q133" s="14"/>
    </row>
    <row r="134" spans="3:17" ht="20.100000000000001" customHeight="1" x14ac:dyDescent="0.25">
      <c r="C134" s="14"/>
      <c r="D134" s="14"/>
      <c r="E134" s="14"/>
      <c r="F134" s="14"/>
      <c r="G134" s="14"/>
      <c r="H134" s="14"/>
      <c r="I134" s="14"/>
      <c r="J134" s="14"/>
      <c r="K134" s="14"/>
      <c r="L134" s="14"/>
      <c r="M134" s="14"/>
      <c r="N134" s="14"/>
      <c r="O134" s="14"/>
      <c r="P134" s="14"/>
      <c r="Q134" s="14"/>
    </row>
    <row r="135" spans="3:17" ht="20.100000000000001" customHeight="1" x14ac:dyDescent="0.25">
      <c r="C135" s="14"/>
      <c r="D135" s="14"/>
      <c r="E135" s="14"/>
      <c r="F135" s="14"/>
      <c r="G135" s="14"/>
      <c r="H135" s="14"/>
      <c r="I135" s="14"/>
      <c r="J135" s="14"/>
      <c r="K135" s="14"/>
      <c r="L135" s="14"/>
      <c r="M135" s="14"/>
      <c r="N135" s="14"/>
      <c r="O135" s="14"/>
      <c r="P135" s="14"/>
      <c r="Q135" s="14"/>
    </row>
    <row r="136" spans="3:17" ht="20.100000000000001" customHeight="1" x14ac:dyDescent="0.25">
      <c r="C136" s="14"/>
      <c r="D136" s="9" t="str" cm="1">
        <f t="array" ref="D136">Scope3_SourceData.Scope3_LickBlocks_Title()</f>
        <v>Lick Blocks scope 3</v>
      </c>
      <c r="E136" s="14"/>
      <c r="F136" s="14"/>
      <c r="G136" s="14"/>
      <c r="H136" s="14"/>
      <c r="I136" s="14"/>
      <c r="J136" s="14"/>
      <c r="K136" s="14"/>
      <c r="L136" s="14"/>
      <c r="M136" s="14"/>
      <c r="N136" s="14"/>
      <c r="O136" s="14"/>
      <c r="P136" s="14"/>
      <c r="Q136" s="14"/>
    </row>
    <row r="137" spans="3:17" ht="20.100000000000001" customHeight="1" x14ac:dyDescent="0.25">
      <c r="C137" s="14"/>
      <c r="D137" s="11" t="str" cm="1">
        <f t="array" ref="D137">Scope3_SourceData.Scope3_LickBlocks_Source()</f>
        <v>Lifecycles. (2026). Greenhouse Gas Emission Intensities for Material Inputs to Australian Agriculture, Fisheries and Forestry. Version 48. doi 10.5281/zenodo.19656580</v>
      </c>
      <c r="E137" s="14"/>
      <c r="F137" s="14"/>
      <c r="G137" s="14"/>
      <c r="H137" s="14"/>
      <c r="I137" s="14"/>
      <c r="J137" s="14"/>
      <c r="K137" s="14"/>
      <c r="L137" s="14"/>
      <c r="M137" s="14"/>
      <c r="N137" s="14"/>
      <c r="O137" s="14"/>
      <c r="P137" s="14"/>
      <c r="Q137" s="14"/>
    </row>
    <row r="138" spans="3:17" ht="20.100000000000001" customHeight="1" x14ac:dyDescent="0.25">
      <c r="C138" s="14"/>
      <c r="D138" s="14"/>
      <c r="E138" s="14"/>
      <c r="F138" s="14"/>
      <c r="G138" s="14"/>
      <c r="H138" s="14"/>
      <c r="I138" s="14"/>
      <c r="J138" s="14"/>
      <c r="K138" s="14"/>
      <c r="L138" s="14"/>
      <c r="M138" s="14"/>
      <c r="N138" s="14"/>
      <c r="O138" s="14"/>
      <c r="P138" s="14"/>
      <c r="Q138" s="14"/>
    </row>
    <row r="139" spans="3:17" ht="20.100000000000001" customHeight="1" x14ac:dyDescent="0.25">
      <c r="C139" s="14"/>
      <c r="D139" s="168" t="s">
        <v>334</v>
      </c>
      <c r="E139" s="168" t="s">
        <v>304</v>
      </c>
      <c r="F139" s="168" t="s">
        <v>305</v>
      </c>
      <c r="G139" s="168" t="s">
        <v>306</v>
      </c>
      <c r="H139" s="169" t="s">
        <v>307</v>
      </c>
      <c r="I139" s="168" t="s">
        <v>308</v>
      </c>
      <c r="J139" s="168" t="s">
        <v>323</v>
      </c>
      <c r="K139" s="168" t="s">
        <v>309</v>
      </c>
      <c r="L139" s="169" t="s">
        <v>310</v>
      </c>
      <c r="M139" s="169" t="s">
        <v>311</v>
      </c>
      <c r="N139" s="169" t="s">
        <v>312</v>
      </c>
      <c r="O139" s="168" t="s">
        <v>313</v>
      </c>
      <c r="P139" s="14"/>
      <c r="Q139" s="14"/>
    </row>
    <row r="140" spans="3:17" ht="20.100000000000001" customHeight="1" x14ac:dyDescent="0.25">
      <c r="C140" s="14"/>
      <c r="D140" s="14" t="str" cm="1">
        <f t="array" ref="D140">Common_InputFunctions.Utility_DisplayArrayInTable(Scope3_SourceData.Scope3_LickBlocks_Data(), Table68[[#Headers],[Lick block type]], 0, 2)</f>
        <v>Mineral block</v>
      </c>
      <c r="E140" s="172">
        <f>'Input - Feed - Dairy'!E9</f>
        <v>10</v>
      </c>
      <c r="F140" s="14" t="str" cm="1">
        <f t="array" ref="F140">Common_InputFunctions.Utility_DisplayArrayInTable(Scope3_SourceData.Scope3_LickBlocks_Data(), Table68[[#Headers],[Lick block type]], 0, 2)</f>
        <v>t</v>
      </c>
      <c r="G140" s="14" cm="1">
        <f t="array" ref="G140">Common_InputFunctions.Utility_DisplayArrayInTable(Scope3_SourceData.Scope3_LickBlocks_Data(), Table68[[#Headers],[Lick block type]], 0, 2)</f>
        <v>50101</v>
      </c>
      <c r="H140" s="173">
        <v>100</v>
      </c>
      <c r="I140" s="14" t="str" cm="1">
        <f t="array" ref="I140">Common_InputFunctions.Utility_DisplayArrayInTable(Scope3_SourceData.Scope3_LickBlocks_Data(), Table68[[#Headers],[Lick block type]], 0, 2)</f>
        <v>t CO2-e / t</v>
      </c>
      <c r="J140" s="14">
        <f>Table68[[#This Row],[Quantity]]*Table68[[#This Row],[AusLCI Emissions intensity]]</f>
        <v>501010</v>
      </c>
      <c r="K140" s="155">
        <f>Table68[[#This Row],[Quantity]]*IF(Table68[[#This Row],[Custom emissions intensity]], Table68[[#This Row],[Custom emissions intensity]], Table68[[#This Row],[AusLCI Emissions intensity]])</f>
        <v>1000</v>
      </c>
      <c r="L140" s="173"/>
      <c r="M140" s="48"/>
      <c r="N140" s="173"/>
      <c r="O140" s="155" cm="1">
        <f t="array" ref="O140">Common_InputFunctions.Utility_LookupValueInTableNumber(Table68[[#This Row],[Custom emissions intensity source type (Select)]],#REF!,#REF!)</f>
        <v>0</v>
      </c>
      <c r="P140" s="14"/>
      <c r="Q140" s="14"/>
    </row>
    <row r="141" spans="3:17" ht="20.100000000000001" customHeight="1" x14ac:dyDescent="0.25">
      <c r="C141" s="14"/>
      <c r="D141" s="14" t="str" cm="1">
        <f t="array" ref="D141">Common_InputFunctions.Utility_DisplayArrayInTable(Scope3_SourceData.Scope3_LickBlocks_Data(), Table68[[#Headers],[Lick block type]], 0, 2)</f>
        <v>Weaner block</v>
      </c>
      <c r="E141" s="172">
        <f>'Input - Feed - Dairy'!E10</f>
        <v>20</v>
      </c>
      <c r="F141" s="14" t="str" cm="1">
        <f t="array" ref="F141">Common_InputFunctions.Utility_DisplayArrayInTable(Scope3_SourceData.Scope3_LickBlocks_Data(), Table68[[#Headers],[Lick block type]], 0, 2)</f>
        <v>t</v>
      </c>
      <c r="G141" s="14" cm="1">
        <f t="array" ref="G141">Common_InputFunctions.Utility_DisplayArrayInTable(Scope3_SourceData.Scope3_LickBlocks_Data(), Table68[[#Headers],[Lick block type]], 0, 2)</f>
        <v>50102</v>
      </c>
      <c r="H141" s="173"/>
      <c r="I141" s="14" t="str" cm="1">
        <f t="array" ref="I141">Common_InputFunctions.Utility_DisplayArrayInTable(Scope3_SourceData.Scope3_LickBlocks_Data(), Table68[[#Headers],[Lick block type]], 0, 2)</f>
        <v>t CO2-e / t</v>
      </c>
      <c r="J141" s="155">
        <f>Table68[[#This Row],[Quantity]]*Table68[[#This Row],[AusLCI Emissions intensity]]</f>
        <v>1002040</v>
      </c>
      <c r="K141" s="155">
        <f>Table68[[#This Row],[Quantity]]*IF(Table68[[#This Row],[Custom emissions intensity]], Table68[[#This Row],[Custom emissions intensity]], Table68[[#This Row],[AusLCI Emissions intensity]])</f>
        <v>1002040</v>
      </c>
      <c r="L141" s="173"/>
      <c r="M141" s="48"/>
      <c r="N141" s="173"/>
      <c r="O141" s="155" cm="1">
        <f t="array" ref="O141">Common_InputFunctions.Utility_LookupValueInTableNumber(Table68[[#This Row],[Custom emissions intensity source type (Select)]],#REF!,#REF!)</f>
        <v>0</v>
      </c>
      <c r="P141" s="14"/>
      <c r="Q141" s="14"/>
    </row>
    <row r="142" spans="3:17" ht="20.100000000000001" customHeight="1" x14ac:dyDescent="0.25">
      <c r="C142" s="14"/>
      <c r="D142" s="14" t="str" cm="1">
        <f t="array" ref="D142">Common_InputFunctions.Utility_DisplayArrayInTable(Scope3_SourceData.Scope3_LickBlocks_Data(), Table68[[#Headers],[Lick block type]], 0, 2)</f>
        <v>Dry season mix</v>
      </c>
      <c r="E142" s="172">
        <f>'Input - Feed - Dairy'!E11</f>
        <v>30</v>
      </c>
      <c r="F142" s="14" t="str" cm="1">
        <f t="array" ref="F142">Common_InputFunctions.Utility_DisplayArrayInTable(Scope3_SourceData.Scope3_LickBlocks_Data(), Table68[[#Headers],[Lick block type]], 0, 2)</f>
        <v>t</v>
      </c>
      <c r="G142" s="14" cm="1">
        <f t="array" ref="G142">Common_InputFunctions.Utility_DisplayArrayInTable(Scope3_SourceData.Scope3_LickBlocks_Data(), Table68[[#Headers],[Lick block type]], 0, 2)</f>
        <v>50103</v>
      </c>
      <c r="H142" s="173"/>
      <c r="I142" s="14" t="str" cm="1">
        <f t="array" ref="I142">Common_InputFunctions.Utility_DisplayArrayInTable(Scope3_SourceData.Scope3_LickBlocks_Data(), Table68[[#Headers],[Lick block type]], 0, 2)</f>
        <v>t CO2-e / t</v>
      </c>
      <c r="J142" s="155">
        <f>Table68[[#This Row],[Quantity]]*Table68[[#This Row],[AusLCI Emissions intensity]]</f>
        <v>1503090</v>
      </c>
      <c r="K142" s="155">
        <f>Table68[[#This Row],[Quantity]]*IF(Table68[[#This Row],[Custom emissions intensity]], Table68[[#This Row],[Custom emissions intensity]], Table68[[#This Row],[AusLCI Emissions intensity]])</f>
        <v>1503090</v>
      </c>
      <c r="L142" s="173"/>
      <c r="M142" s="48"/>
      <c r="N142" s="173"/>
      <c r="O142" s="155" cm="1">
        <f t="array" ref="O142">Common_InputFunctions.Utility_LookupValueInTableNumber(Table68[[#This Row],[Custom emissions intensity source type (Select)]],#REF!,#REF!)</f>
        <v>0</v>
      </c>
      <c r="P142" s="14"/>
      <c r="Q142" s="14"/>
    </row>
    <row r="143" spans="3:17" ht="20.100000000000001" customHeight="1" x14ac:dyDescent="0.25">
      <c r="C143" s="14"/>
      <c r="D143" s="14"/>
      <c r="E143" s="14"/>
      <c r="F143" s="14"/>
      <c r="G143" s="14"/>
      <c r="H143" s="14"/>
      <c r="I143" s="14"/>
      <c r="J143" s="14"/>
      <c r="K143" s="14"/>
      <c r="L143" s="14"/>
      <c r="M143" s="14"/>
      <c r="N143" s="14"/>
      <c r="O143" s="14"/>
      <c r="P143" s="14"/>
      <c r="Q143" s="14"/>
    </row>
    <row r="144" spans="3:17" ht="20.100000000000001" customHeight="1" x14ac:dyDescent="0.35">
      <c r="C144" s="14"/>
      <c r="D144" s="161" t="s">
        <v>335</v>
      </c>
      <c r="E144" s="162"/>
      <c r="F144" s="163"/>
      <c r="G144" s="161">
        <f>SUM(Table68[Scope 3 emissions exc. custom (t CO2-e)])</f>
        <v>3006140</v>
      </c>
      <c r="H144" s="164" t="s">
        <v>320</v>
      </c>
      <c r="I144" s="14"/>
      <c r="J144" s="14"/>
      <c r="K144" s="14"/>
      <c r="L144" s="14"/>
      <c r="M144" s="14"/>
      <c r="N144" s="14"/>
      <c r="O144" s="14"/>
      <c r="P144" s="14"/>
      <c r="Q144" s="14"/>
    </row>
    <row r="145" spans="3:17" ht="20.100000000000001" customHeight="1" x14ac:dyDescent="0.25">
      <c r="C145" s="14"/>
      <c r="D145" s="165" t="s">
        <v>336</v>
      </c>
      <c r="E145" s="166"/>
      <c r="F145" s="166"/>
      <c r="G145" s="165">
        <f>SUM(Table68[Scope 3 emissions inc. custom (t CO2-e)2])</f>
        <v>2506130</v>
      </c>
      <c r="H145" s="164" t="s">
        <v>320</v>
      </c>
      <c r="I145" s="14"/>
      <c r="J145" s="14"/>
      <c r="K145" s="14"/>
      <c r="L145" s="14"/>
      <c r="M145" s="14"/>
      <c r="N145" s="14"/>
      <c r="O145" s="14"/>
      <c r="P145" s="14"/>
      <c r="Q145" s="14"/>
    </row>
    <row r="146" spans="3:17" ht="20.100000000000001" customHeight="1" x14ac:dyDescent="0.25">
      <c r="C146" s="14"/>
      <c r="D146" s="14"/>
      <c r="E146" s="14"/>
      <c r="F146" s="14"/>
      <c r="G146" s="14"/>
      <c r="H146" s="14"/>
      <c r="I146" s="14"/>
      <c r="J146" s="14"/>
      <c r="K146" s="14"/>
      <c r="L146" s="14"/>
      <c r="M146" s="14"/>
      <c r="N146" s="14"/>
      <c r="O146" s="14"/>
      <c r="P146" s="14"/>
      <c r="Q146" s="14"/>
    </row>
    <row r="147" spans="3:17" ht="20.100000000000001" customHeight="1" x14ac:dyDescent="0.25">
      <c r="C147" s="14"/>
      <c r="D147" s="14"/>
      <c r="E147" s="14"/>
      <c r="F147" s="14"/>
      <c r="G147" s="14"/>
      <c r="H147" s="14"/>
      <c r="I147" s="14"/>
      <c r="J147" s="14"/>
      <c r="K147" s="14"/>
      <c r="L147" s="14"/>
      <c r="M147" s="14"/>
      <c r="N147" s="14"/>
      <c r="O147" s="14"/>
      <c r="P147" s="14"/>
      <c r="Q147" s="14"/>
    </row>
    <row r="148" spans="3:17" ht="20.100000000000001" customHeight="1" x14ac:dyDescent="0.25">
      <c r="C148" s="14"/>
      <c r="D148" s="9" t="str" cm="1">
        <f t="array" ref="D148">Scope3_SourceData.Scope3_AnimalFeed_Title()</f>
        <v>Animal Feed scope 3</v>
      </c>
      <c r="E148" s="14"/>
      <c r="F148" s="14"/>
      <c r="G148" s="14"/>
      <c r="H148" s="14"/>
      <c r="I148" s="14"/>
      <c r="J148" s="14"/>
      <c r="K148" s="14"/>
      <c r="L148" s="14"/>
      <c r="M148" s="14"/>
      <c r="N148" s="14"/>
      <c r="O148" s="14"/>
      <c r="P148" s="14"/>
      <c r="Q148" s="14"/>
    </row>
    <row r="149" spans="3:17" ht="20.100000000000001" customHeight="1" x14ac:dyDescent="0.25">
      <c r="C149" s="14"/>
      <c r="D149" s="11" t="str" cm="1">
        <f t="array" ref="D149">Scope3_SourceData.Scope3_AnimalFeed_Source()</f>
        <v>Lifecycles. (2026). Greenhouse Gas Emission Intensities for Material Inputs to Australian Agriculture, Fisheries and Forestry. Version 48. doi 10.5281/zenodo.19656580</v>
      </c>
      <c r="E149" s="14"/>
      <c r="F149" s="14"/>
      <c r="G149" s="14"/>
      <c r="H149" s="14"/>
      <c r="I149" s="14"/>
      <c r="J149" s="14"/>
      <c r="K149" s="14"/>
      <c r="L149" s="14"/>
      <c r="M149" s="14"/>
      <c r="N149" s="14"/>
      <c r="O149" s="14"/>
      <c r="P149" s="14"/>
      <c r="Q149" s="14"/>
    </row>
    <row r="150" spans="3:17" ht="20.100000000000001" customHeight="1" x14ac:dyDescent="0.25">
      <c r="C150" s="14"/>
      <c r="D150" s="14"/>
      <c r="E150" s="14"/>
      <c r="F150" s="14"/>
      <c r="G150" s="14"/>
      <c r="H150" s="14"/>
      <c r="I150" s="14"/>
      <c r="J150" s="14"/>
      <c r="K150" s="14"/>
      <c r="L150" s="14"/>
      <c r="M150" s="14"/>
      <c r="N150" s="14"/>
      <c r="O150" s="14"/>
      <c r="P150" s="14"/>
      <c r="Q150" s="14"/>
    </row>
    <row r="151" spans="3:17" ht="20.100000000000001" customHeight="1" x14ac:dyDescent="0.25">
      <c r="C151" s="14"/>
      <c r="D151" s="168" t="s">
        <v>337</v>
      </c>
      <c r="E151" s="168" t="s">
        <v>304</v>
      </c>
      <c r="F151" s="168" t="s">
        <v>305</v>
      </c>
      <c r="G151" s="168" t="s">
        <v>306</v>
      </c>
      <c r="H151" s="169" t="s">
        <v>307</v>
      </c>
      <c r="I151" s="168" t="s">
        <v>308</v>
      </c>
      <c r="J151" s="168" t="s">
        <v>323</v>
      </c>
      <c r="K151" s="168" t="s">
        <v>309</v>
      </c>
      <c r="L151" s="169" t="s">
        <v>310</v>
      </c>
      <c r="M151" s="169" t="s">
        <v>311</v>
      </c>
      <c r="N151" s="169" t="s">
        <v>312</v>
      </c>
      <c r="O151" s="168" t="s">
        <v>313</v>
      </c>
      <c r="P151" s="14"/>
      <c r="Q151" s="14"/>
    </row>
    <row r="152" spans="3:17" ht="20.100000000000001" customHeight="1" x14ac:dyDescent="0.25">
      <c r="C152" s="14"/>
      <c r="D152" s="14" t="str" cm="1">
        <f t="array" ref="D152">Common_InputFunctions.Utility_DisplayArrayInTable(Scope3_SourceData.Scope3_AnimalFeed_Data(), Table_Scope3_AnimalFeed[[#Headers],[Feed ingredient]], 0, 2)</f>
        <v>Grain</v>
      </c>
      <c r="E152" s="14" cm="1">
        <f t="array" ref="E152">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52" s="14" t="str" cm="1">
        <f t="array" ref="F152">Common_InputFunctions.Utility_DisplayArrayInTable(Scope3_SourceData.Scope3_AnimalFeed_Data(), Table_Scope3_AnimalFeed[[#Headers],[Feed ingredient]], 0, 2)</f>
        <v>t</v>
      </c>
      <c r="G152" s="14" cm="1">
        <f t="array" ref="G152">Common_InputFunctions.Utility_DisplayArrayInTable(Scope3_SourceData.Scope3_AnimalFeed_Data(), Table_Scope3_AnimalFeed[[#Headers],[Feed ingredient]], 0, 2)</f>
        <v>60101</v>
      </c>
      <c r="H152" s="173">
        <v>100</v>
      </c>
      <c r="I152" s="14" t="str" cm="1">
        <f t="array" ref="I152">Common_InputFunctions.Utility_DisplayArrayInTable(Scope3_SourceData.Scope3_AnimalFeed_Data(), Table_Scope3_AnimalFeed[[#Headers],[Feed ingredient]], 0, 2)</f>
        <v>t CO2-e / t</v>
      </c>
      <c r="J152" s="14">
        <f>Table_Scope3_AnimalFeed[[#This Row],[Quantity]]*Table_Scope3_AnimalFeed[[#This Row],[AusLCI Emissions intensity]]</f>
        <v>0</v>
      </c>
      <c r="K152" s="155">
        <f>Table_Scope3_AnimalFeed[[#This Row],[Quantity]]*IF(Table_Scope3_AnimalFeed[[#This Row],[Custom emissions intensity]], Table_Scope3_AnimalFeed[[#This Row],[Custom emissions intensity]], Table_Scope3_AnimalFeed[[#This Row],[AusLCI Emissions intensity]])</f>
        <v>0</v>
      </c>
      <c r="L152" s="173"/>
      <c r="M152" s="48"/>
      <c r="N152" s="173"/>
      <c r="O152" s="155" cm="1">
        <f t="array" ref="O152">Common_InputFunctions.Utility_LookupValueInTableNumber(Table_Scope3_AnimalFeed[[#This Row],[Custom emissions intensity source type (Select)]],#REF!,#REF!)</f>
        <v>0</v>
      </c>
      <c r="P152" s="14"/>
      <c r="Q152" s="14"/>
    </row>
    <row r="153" spans="3:17" ht="20.100000000000001" customHeight="1" x14ac:dyDescent="0.25">
      <c r="C153" s="14"/>
      <c r="D153" s="14" t="str" cm="1">
        <f t="array" ref="D153">Common_InputFunctions.Utility_DisplayArrayInTable(Scope3_SourceData.Scope3_AnimalFeed_Data(), Table_Scope3_AnimalFeed[[#Headers],[Feed ingredient]], 0, 2)</f>
        <v>Wheat</v>
      </c>
      <c r="E153" s="14" cm="1">
        <f t="array" ref="E153">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0.26400000000000001</v>
      </c>
      <c r="F153" s="14" t="str" cm="1">
        <f t="array" ref="F153">Common_InputFunctions.Utility_DisplayArrayInTable(Scope3_SourceData.Scope3_AnimalFeed_Data(), Table_Scope3_AnimalFeed[[#Headers],[Feed ingredient]], 0, 2)</f>
        <v>t</v>
      </c>
      <c r="G153" s="14" cm="1">
        <f t="array" ref="G153">Common_InputFunctions.Utility_DisplayArrayInTable(Scope3_SourceData.Scope3_AnimalFeed_Data(), Table_Scope3_AnimalFeed[[#Headers],[Feed ingredient]], 0, 2)</f>
        <v>60102</v>
      </c>
      <c r="H153" s="173"/>
      <c r="I153" s="14" t="str" cm="1">
        <f t="array" ref="I153">Common_InputFunctions.Utility_DisplayArrayInTable(Scope3_SourceData.Scope3_AnimalFeed_Data(), Table_Scope3_AnimalFeed[[#Headers],[Feed ingredient]], 0, 2)</f>
        <v>t CO2-e / t</v>
      </c>
      <c r="J153" s="155">
        <f>Table_Scope3_AnimalFeed[[#This Row],[Quantity]]*Table_Scope3_AnimalFeed[[#This Row],[AusLCI Emissions intensity]]</f>
        <v>15866.928</v>
      </c>
      <c r="K153" s="155">
        <f>Table_Scope3_AnimalFeed[[#This Row],[Quantity]]*IF(Table_Scope3_AnimalFeed[[#This Row],[Custom emissions intensity]], Table_Scope3_AnimalFeed[[#This Row],[Custom emissions intensity]], Table_Scope3_AnimalFeed[[#This Row],[AusLCI Emissions intensity]])</f>
        <v>15866.928</v>
      </c>
      <c r="L153" s="173"/>
      <c r="M153" s="48"/>
      <c r="N153" s="173"/>
      <c r="O153" s="155" cm="1">
        <f t="array" ref="O153">Common_InputFunctions.Utility_LookupValueInTableNumber(Table_Scope3_AnimalFeed[[#This Row],[Custom emissions intensity source type (Select)]],#REF!,#REF!)</f>
        <v>0</v>
      </c>
      <c r="P153" s="14"/>
      <c r="Q153" s="14"/>
    </row>
    <row r="154" spans="3:17" ht="20.100000000000001" customHeight="1" x14ac:dyDescent="0.25">
      <c r="C154" s="14"/>
      <c r="D154" s="14" t="str" cm="1">
        <f t="array" ref="D154">Common_InputFunctions.Utility_DisplayArrayInTable(Scope3_SourceData.Scope3_AnimalFeed_Data(), Table_Scope3_AnimalFeed[[#Headers],[Feed ingredient]], 0, 2)</f>
        <v>Wheat Bran</v>
      </c>
      <c r="E154" s="14" cm="1">
        <f t="array" ref="E154">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0.69120000000000004</v>
      </c>
      <c r="F154" s="14" t="str" cm="1">
        <f t="array" ref="F154">Common_InputFunctions.Utility_DisplayArrayInTable(Scope3_SourceData.Scope3_AnimalFeed_Data(), Table_Scope3_AnimalFeed[[#Headers],[Feed ingredient]], 0, 2)</f>
        <v>t</v>
      </c>
      <c r="G154" s="14" cm="1">
        <f t="array" ref="G154">Common_InputFunctions.Utility_DisplayArrayInTable(Scope3_SourceData.Scope3_AnimalFeed_Data(), Table_Scope3_AnimalFeed[[#Headers],[Feed ingredient]], 0, 2)</f>
        <v>60103</v>
      </c>
      <c r="H154" s="173"/>
      <c r="I154" s="14" t="str" cm="1">
        <f t="array" ref="I154">Common_InputFunctions.Utility_DisplayArrayInTable(Scope3_SourceData.Scope3_AnimalFeed_Data(), Table_Scope3_AnimalFeed[[#Headers],[Feed ingredient]], 0, 2)</f>
        <v>t CO2-e / t</v>
      </c>
      <c r="J154" s="155">
        <f>Table_Scope3_AnimalFeed[[#This Row],[Quantity]]*Table_Scope3_AnimalFeed[[#This Row],[AusLCI Emissions intensity]]</f>
        <v>41543.193599999999</v>
      </c>
      <c r="K154" s="155">
        <f>Table_Scope3_AnimalFeed[[#This Row],[Quantity]]*IF(Table_Scope3_AnimalFeed[[#This Row],[Custom emissions intensity]], Table_Scope3_AnimalFeed[[#This Row],[Custom emissions intensity]], Table_Scope3_AnimalFeed[[#This Row],[AusLCI Emissions intensity]])</f>
        <v>41543.193599999999</v>
      </c>
      <c r="L154" s="173"/>
      <c r="M154" s="48"/>
      <c r="N154" s="173"/>
      <c r="O154" s="155" cm="1">
        <f t="array" ref="O154">Common_InputFunctions.Utility_LookupValueInTableNumber(Table_Scope3_AnimalFeed[[#This Row],[Custom emissions intensity source type (Select)]],#REF!,#REF!)</f>
        <v>0</v>
      </c>
      <c r="P154" s="14"/>
      <c r="Q154" s="14"/>
    </row>
    <row r="155" spans="3:17" ht="20.100000000000001" customHeight="1" x14ac:dyDescent="0.25">
      <c r="C155" s="14"/>
      <c r="D155" s="14" t="str" cm="1">
        <f t="array" ref="D155">Common_InputFunctions.Utility_DisplayArrayInTable(Scope3_SourceData.Scope3_AnimalFeed_Data(), Table_Scope3_AnimalFeed[[#Headers],[Feed ingredient]], 0, 2)</f>
        <v>Barley</v>
      </c>
      <c r="E155" s="14" cm="1">
        <f t="array" ref="E155">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55" s="14" t="str" cm="1">
        <f t="array" ref="F155">Common_InputFunctions.Utility_DisplayArrayInTable(Scope3_SourceData.Scope3_AnimalFeed_Data(), Table_Scope3_AnimalFeed[[#Headers],[Feed ingredient]], 0, 2)</f>
        <v>t</v>
      </c>
      <c r="G155" s="14" cm="1">
        <f t="array" ref="G155">Common_InputFunctions.Utility_DisplayArrayInTable(Scope3_SourceData.Scope3_AnimalFeed_Data(), Table_Scope3_AnimalFeed[[#Headers],[Feed ingredient]], 0, 2)</f>
        <v>60104</v>
      </c>
      <c r="H155" s="173"/>
      <c r="I155" s="14" t="str" cm="1">
        <f t="array" ref="I155">Common_InputFunctions.Utility_DisplayArrayInTable(Scope3_SourceData.Scope3_AnimalFeed_Data(), Table_Scope3_AnimalFeed[[#Headers],[Feed ingredient]], 0, 2)</f>
        <v>t CO2-e / t</v>
      </c>
      <c r="J155" s="155">
        <f>Table_Scope3_AnimalFeed[[#This Row],[Quantity]]*Table_Scope3_AnimalFeed[[#This Row],[AusLCI Emissions intensity]]</f>
        <v>0</v>
      </c>
      <c r="K155" s="155">
        <f>Table_Scope3_AnimalFeed[[#This Row],[Quantity]]*IF(Table_Scope3_AnimalFeed[[#This Row],[Custom emissions intensity]], Table_Scope3_AnimalFeed[[#This Row],[Custom emissions intensity]], Table_Scope3_AnimalFeed[[#This Row],[AusLCI Emissions intensity]])</f>
        <v>0</v>
      </c>
      <c r="L155" s="173"/>
      <c r="M155" s="48"/>
      <c r="N155" s="173"/>
      <c r="O155" s="155" cm="1">
        <f t="array" ref="O155">Common_InputFunctions.Utility_LookupValueInTableNumber(Table_Scope3_AnimalFeed[[#This Row],[Custom emissions intensity source type (Select)]],#REF!,#REF!)</f>
        <v>0</v>
      </c>
      <c r="P155" s="14"/>
      <c r="Q155" s="14"/>
    </row>
    <row r="156" spans="3:17" ht="20.100000000000001" customHeight="1" x14ac:dyDescent="0.25">
      <c r="C156" s="14"/>
      <c r="D156" s="14" t="str" cm="1">
        <f t="array" ref="D156">Common_InputFunctions.Utility_DisplayArrayInTable(Scope3_SourceData.Scope3_AnimalFeed_Data(), Table_Scope3_AnimalFeed[[#Headers],[Feed ingredient]], 0, 2)</f>
        <v>Soybean</v>
      </c>
      <c r="E156" s="14" cm="1">
        <f t="array" ref="E156">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56" s="14" t="str" cm="1">
        <f t="array" ref="F156">Common_InputFunctions.Utility_DisplayArrayInTable(Scope3_SourceData.Scope3_AnimalFeed_Data(), Table_Scope3_AnimalFeed[[#Headers],[Feed ingredient]], 0, 2)</f>
        <v>t</v>
      </c>
      <c r="G156" s="14" cm="1">
        <f t="array" ref="G156">Common_InputFunctions.Utility_DisplayArrayInTable(Scope3_SourceData.Scope3_AnimalFeed_Data(), Table_Scope3_AnimalFeed[[#Headers],[Feed ingredient]], 0, 2)</f>
        <v>60105</v>
      </c>
      <c r="H156" s="173"/>
      <c r="I156" s="14" t="str" cm="1">
        <f t="array" ref="I156">Common_InputFunctions.Utility_DisplayArrayInTable(Scope3_SourceData.Scope3_AnimalFeed_Data(), Table_Scope3_AnimalFeed[[#Headers],[Feed ingredient]], 0, 2)</f>
        <v>t CO2-e / t</v>
      </c>
      <c r="J156" s="155">
        <f>Table_Scope3_AnimalFeed[[#This Row],[Quantity]]*Table_Scope3_AnimalFeed[[#This Row],[AusLCI Emissions intensity]]</f>
        <v>0</v>
      </c>
      <c r="K156" s="155">
        <f>Table_Scope3_AnimalFeed[[#This Row],[Quantity]]*IF(Table_Scope3_AnimalFeed[[#This Row],[Custom emissions intensity]], Table_Scope3_AnimalFeed[[#This Row],[Custom emissions intensity]], Table_Scope3_AnimalFeed[[#This Row],[AusLCI Emissions intensity]])</f>
        <v>0</v>
      </c>
      <c r="L156" s="173"/>
      <c r="M156" s="48"/>
      <c r="N156" s="173"/>
      <c r="O156" s="155" cm="1">
        <f t="array" ref="O156">Common_InputFunctions.Utility_LookupValueInTableNumber(Table_Scope3_AnimalFeed[[#This Row],[Custom emissions intensity source type (Select)]],#REF!,#REF!)</f>
        <v>0</v>
      </c>
      <c r="P156" s="14"/>
      <c r="Q156" s="14"/>
    </row>
    <row r="157" spans="3:17" ht="20.100000000000001" customHeight="1" x14ac:dyDescent="0.25">
      <c r="C157" s="14"/>
      <c r="D157" s="14" t="str" cm="1">
        <f t="array" ref="D157">Common_InputFunctions.Utility_DisplayArrayInTable(Scope3_SourceData.Scope3_AnimalFeed_Data(), Table_Scope3_AnimalFeed[[#Headers],[Feed ingredient]], 0, 2)</f>
        <v>Soybean meal</v>
      </c>
      <c r="E157" s="14" cm="1">
        <f t="array" ref="E157">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57" s="14" t="str" cm="1">
        <f t="array" ref="F157">Common_InputFunctions.Utility_DisplayArrayInTable(Scope3_SourceData.Scope3_AnimalFeed_Data(), Table_Scope3_AnimalFeed[[#Headers],[Feed ingredient]], 0, 2)</f>
        <v>t</v>
      </c>
      <c r="G157" s="14" cm="1">
        <f t="array" ref="G157">Common_InputFunctions.Utility_DisplayArrayInTable(Scope3_SourceData.Scope3_AnimalFeed_Data(), Table_Scope3_AnimalFeed[[#Headers],[Feed ingredient]], 0, 2)</f>
        <v>60106</v>
      </c>
      <c r="H157" s="173"/>
      <c r="I157" s="14" t="str" cm="1">
        <f t="array" ref="I157">Common_InputFunctions.Utility_DisplayArrayInTable(Scope3_SourceData.Scope3_AnimalFeed_Data(), Table_Scope3_AnimalFeed[[#Headers],[Feed ingredient]], 0, 2)</f>
        <v>t CO2-e / t</v>
      </c>
      <c r="J157" s="155">
        <f>Table_Scope3_AnimalFeed[[#This Row],[Quantity]]*Table_Scope3_AnimalFeed[[#This Row],[AusLCI Emissions intensity]]</f>
        <v>0</v>
      </c>
      <c r="K157" s="155">
        <f>Table_Scope3_AnimalFeed[[#This Row],[Quantity]]*IF(Table_Scope3_AnimalFeed[[#This Row],[Custom emissions intensity]], Table_Scope3_AnimalFeed[[#This Row],[Custom emissions intensity]], Table_Scope3_AnimalFeed[[#This Row],[AusLCI Emissions intensity]])</f>
        <v>0</v>
      </c>
      <c r="L157" s="173"/>
      <c r="M157" s="48"/>
      <c r="N157" s="173"/>
      <c r="O157" s="155" cm="1">
        <f t="array" ref="O157">Common_InputFunctions.Utility_LookupValueInTableNumber(Table_Scope3_AnimalFeed[[#This Row],[Custom emissions intensity source type (Select)]],#REF!,#REF!)</f>
        <v>0</v>
      </c>
      <c r="P157" s="14"/>
      <c r="Q157" s="14"/>
    </row>
    <row r="158" spans="3:17" ht="20.100000000000001" customHeight="1" x14ac:dyDescent="0.25">
      <c r="C158" s="14"/>
      <c r="D158" s="14" t="str" cm="1">
        <f t="array" ref="D158">Common_InputFunctions.Utility_DisplayArrayInTable(Scope3_SourceData.Scope3_AnimalFeed_Data(), Table_Scope3_AnimalFeed[[#Headers],[Feed ingredient]], 0, 2)</f>
        <v>Canola meal</v>
      </c>
      <c r="E158" s="14" cm="1">
        <f t="array" ref="E158">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58" s="14" t="str" cm="1">
        <f t="array" ref="F158">Common_InputFunctions.Utility_DisplayArrayInTable(Scope3_SourceData.Scope3_AnimalFeed_Data(), Table_Scope3_AnimalFeed[[#Headers],[Feed ingredient]], 0, 2)</f>
        <v>t</v>
      </c>
      <c r="G158" s="14" cm="1">
        <f t="array" ref="G158">Common_InputFunctions.Utility_DisplayArrayInTable(Scope3_SourceData.Scope3_AnimalFeed_Data(), Table_Scope3_AnimalFeed[[#Headers],[Feed ingredient]], 0, 2)</f>
        <v>60107</v>
      </c>
      <c r="H158" s="173"/>
      <c r="I158" s="14" t="str" cm="1">
        <f t="array" ref="I158">Common_InputFunctions.Utility_DisplayArrayInTable(Scope3_SourceData.Scope3_AnimalFeed_Data(), Table_Scope3_AnimalFeed[[#Headers],[Feed ingredient]], 0, 2)</f>
        <v>t CO2-e / t</v>
      </c>
      <c r="J158" s="155">
        <f>Table_Scope3_AnimalFeed[[#This Row],[Quantity]]*Table_Scope3_AnimalFeed[[#This Row],[AusLCI Emissions intensity]]</f>
        <v>0</v>
      </c>
      <c r="K158" s="155">
        <f>Table_Scope3_AnimalFeed[[#This Row],[Quantity]]*IF(Table_Scope3_AnimalFeed[[#This Row],[Custom emissions intensity]], Table_Scope3_AnimalFeed[[#This Row],[Custom emissions intensity]], Table_Scope3_AnimalFeed[[#This Row],[AusLCI Emissions intensity]])</f>
        <v>0</v>
      </c>
      <c r="L158" s="173"/>
      <c r="M158" s="48"/>
      <c r="N158" s="173"/>
      <c r="O158" s="155" cm="1">
        <f t="array" ref="O158">Common_InputFunctions.Utility_LookupValueInTableNumber(Table_Scope3_AnimalFeed[[#This Row],[Custom emissions intensity source type (Select)]],#REF!,#REF!)</f>
        <v>0</v>
      </c>
      <c r="P158" s="14"/>
      <c r="Q158" s="14"/>
    </row>
    <row r="159" spans="3:17" ht="20.100000000000001" customHeight="1" x14ac:dyDescent="0.25">
      <c r="C159" s="14"/>
      <c r="D159" s="14" t="str" cm="1">
        <f t="array" ref="D159">Common_InputFunctions.Utility_DisplayArrayInTable(Scope3_SourceData.Scope3_AnimalFeed_Data(), Table_Scope3_AnimalFeed[[#Headers],[Feed ingredient]], 0, 2)</f>
        <v>Canola oil</v>
      </c>
      <c r="E159" s="14" cm="1">
        <f t="array" ref="E159">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0.14400000000000002</v>
      </c>
      <c r="F159" s="14" t="str" cm="1">
        <f t="array" ref="F159">Common_InputFunctions.Utility_DisplayArrayInTable(Scope3_SourceData.Scope3_AnimalFeed_Data(), Table_Scope3_AnimalFeed[[#Headers],[Feed ingredient]], 0, 2)</f>
        <v>t</v>
      </c>
      <c r="G159" s="14" cm="1">
        <f t="array" ref="G159">Common_InputFunctions.Utility_DisplayArrayInTable(Scope3_SourceData.Scope3_AnimalFeed_Data(), Table_Scope3_AnimalFeed[[#Headers],[Feed ingredient]], 0, 2)</f>
        <v>60108</v>
      </c>
      <c r="H159" s="173"/>
      <c r="I159" s="14" t="str" cm="1">
        <f t="array" ref="I159">Common_InputFunctions.Utility_DisplayArrayInTable(Scope3_SourceData.Scope3_AnimalFeed_Data(), Table_Scope3_AnimalFeed[[#Headers],[Feed ingredient]], 0, 2)</f>
        <v>t CO2-e / t</v>
      </c>
      <c r="J159" s="155">
        <f>Table_Scope3_AnimalFeed[[#This Row],[Quantity]]*Table_Scope3_AnimalFeed[[#This Row],[AusLCI Emissions intensity]]</f>
        <v>8655.5520000000015</v>
      </c>
      <c r="K159" s="155">
        <f>Table_Scope3_AnimalFeed[[#This Row],[Quantity]]*IF(Table_Scope3_AnimalFeed[[#This Row],[Custom emissions intensity]], Table_Scope3_AnimalFeed[[#This Row],[Custom emissions intensity]], Table_Scope3_AnimalFeed[[#This Row],[AusLCI Emissions intensity]])</f>
        <v>8655.5520000000015</v>
      </c>
      <c r="L159" s="173"/>
      <c r="M159" s="48"/>
      <c r="N159" s="173"/>
      <c r="O159" s="155" cm="1">
        <f t="array" ref="O159">Common_InputFunctions.Utility_LookupValueInTableNumber(Table_Scope3_AnimalFeed[[#This Row],[Custom emissions intensity source type (Select)]],#REF!,#REF!)</f>
        <v>0</v>
      </c>
      <c r="P159" s="14"/>
      <c r="Q159" s="14"/>
    </row>
    <row r="160" spans="3:17" ht="20.100000000000001" customHeight="1" x14ac:dyDescent="0.25">
      <c r="C160" s="14"/>
      <c r="D160" s="14" t="str" cm="1">
        <f t="array" ref="D160">Common_InputFunctions.Utility_DisplayArrayInTable(Scope3_SourceData.Scope3_AnimalFeed_Data(), Table_Scope3_AnimalFeed[[#Headers],[Feed ingredient]], 0, 2)</f>
        <v>Beet pulp</v>
      </c>
      <c r="E160" s="14" cm="1">
        <f t="array" ref="E160">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0.42</v>
      </c>
      <c r="F160" s="14" t="str" cm="1">
        <f t="array" ref="F160">Common_InputFunctions.Utility_DisplayArrayInTable(Scope3_SourceData.Scope3_AnimalFeed_Data(), Table_Scope3_AnimalFeed[[#Headers],[Feed ingredient]], 0, 2)</f>
        <v>t</v>
      </c>
      <c r="G160" s="14" cm="1">
        <f t="array" ref="G160">Common_InputFunctions.Utility_DisplayArrayInTable(Scope3_SourceData.Scope3_AnimalFeed_Data(), Table_Scope3_AnimalFeed[[#Headers],[Feed ingredient]], 0, 2)</f>
        <v>60109</v>
      </c>
      <c r="H160" s="173"/>
      <c r="I160" s="14" t="str" cm="1">
        <f t="array" ref="I160">Common_InputFunctions.Utility_DisplayArrayInTable(Scope3_SourceData.Scope3_AnimalFeed_Data(), Table_Scope3_AnimalFeed[[#Headers],[Feed ingredient]], 0, 2)</f>
        <v>t CO2-e / t</v>
      </c>
      <c r="J160" s="155">
        <f>Table_Scope3_AnimalFeed[[#This Row],[Quantity]]*Table_Scope3_AnimalFeed[[#This Row],[AusLCI Emissions intensity]]</f>
        <v>25245.78</v>
      </c>
      <c r="K160" s="155">
        <f>Table_Scope3_AnimalFeed[[#This Row],[Quantity]]*IF(Table_Scope3_AnimalFeed[[#This Row],[Custom emissions intensity]], Table_Scope3_AnimalFeed[[#This Row],[Custom emissions intensity]], Table_Scope3_AnimalFeed[[#This Row],[AusLCI Emissions intensity]])</f>
        <v>25245.78</v>
      </c>
      <c r="L160" s="173"/>
      <c r="M160" s="48"/>
      <c r="N160" s="173"/>
      <c r="O160" s="155" cm="1">
        <f t="array" ref="O160">Common_InputFunctions.Utility_LookupValueInTableNumber(Table_Scope3_AnimalFeed[[#This Row],[Custom emissions intensity source type (Select)]],#REF!,#REF!)</f>
        <v>0</v>
      </c>
      <c r="P160" s="14"/>
      <c r="Q160" s="14"/>
    </row>
    <row r="161" spans="3:17" ht="20.100000000000001" customHeight="1" x14ac:dyDescent="0.25">
      <c r="C161" s="14"/>
      <c r="D161" s="14" t="str" cm="1">
        <f t="array" ref="D161">Common_InputFunctions.Utility_DisplayArrayInTable(Scope3_SourceData.Scope3_AnimalFeed_Data(), Table_Scope3_AnimalFeed[[#Headers],[Feed ingredient]], 0, 2)</f>
        <v>Cotton seed</v>
      </c>
      <c r="E161" s="14" cm="1">
        <f t="array" ref="E161">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0.69120000000000004</v>
      </c>
      <c r="F161" s="14" t="str" cm="1">
        <f t="array" ref="F161">Common_InputFunctions.Utility_DisplayArrayInTable(Scope3_SourceData.Scope3_AnimalFeed_Data(), Table_Scope3_AnimalFeed[[#Headers],[Feed ingredient]], 0, 2)</f>
        <v>t</v>
      </c>
      <c r="G161" s="14" cm="1">
        <f t="array" ref="G161">Common_InputFunctions.Utility_DisplayArrayInTable(Scope3_SourceData.Scope3_AnimalFeed_Data(), Table_Scope3_AnimalFeed[[#Headers],[Feed ingredient]], 0, 2)</f>
        <v>60110</v>
      </c>
      <c r="H161" s="173"/>
      <c r="I161" s="14" t="str" cm="1">
        <f t="array" ref="I161">Common_InputFunctions.Utility_DisplayArrayInTable(Scope3_SourceData.Scope3_AnimalFeed_Data(), Table_Scope3_AnimalFeed[[#Headers],[Feed ingredient]], 0, 2)</f>
        <v>t CO2-e / t</v>
      </c>
      <c r="J161" s="155">
        <f>Table_Scope3_AnimalFeed[[#This Row],[Quantity]]*Table_Scope3_AnimalFeed[[#This Row],[AusLCI Emissions intensity]]</f>
        <v>41548.031999999999</v>
      </c>
      <c r="K161" s="155">
        <f>Table_Scope3_AnimalFeed[[#This Row],[Quantity]]*IF(Table_Scope3_AnimalFeed[[#This Row],[Custom emissions intensity]], Table_Scope3_AnimalFeed[[#This Row],[Custom emissions intensity]], Table_Scope3_AnimalFeed[[#This Row],[AusLCI Emissions intensity]])</f>
        <v>41548.031999999999</v>
      </c>
      <c r="L161" s="173"/>
      <c r="M161" s="48"/>
      <c r="N161" s="173"/>
      <c r="O161" s="155" cm="1">
        <f t="array" ref="O161">Common_InputFunctions.Utility_LookupValueInTableNumber(Table_Scope3_AnimalFeed[[#This Row],[Custom emissions intensity source type (Select)]],#REF!,#REF!)</f>
        <v>0</v>
      </c>
      <c r="P161" s="14"/>
      <c r="Q161" s="14"/>
    </row>
    <row r="162" spans="3:17" ht="20.100000000000001" customHeight="1" x14ac:dyDescent="0.25">
      <c r="C162" s="14"/>
      <c r="D162" s="14" t="str" cm="1">
        <f t="array" ref="D162">Common_InputFunctions.Utility_DisplayArrayInTable(Scope3_SourceData.Scope3_AnimalFeed_Data(), Table_Scope3_AnimalFeed[[#Headers],[Feed ingredient]], 0, 2)</f>
        <v>Hay</v>
      </c>
      <c r="E162" s="14" cm="1">
        <f t="array" ref="E162">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0.36</v>
      </c>
      <c r="F162" s="14" t="str" cm="1">
        <f t="array" ref="F162">Common_InputFunctions.Utility_DisplayArrayInTable(Scope3_SourceData.Scope3_AnimalFeed_Data(), Table_Scope3_AnimalFeed[[#Headers],[Feed ingredient]], 0, 2)</f>
        <v>t</v>
      </c>
      <c r="G162" s="14" cm="1">
        <f t="array" ref="G162">Common_InputFunctions.Utility_DisplayArrayInTable(Scope3_SourceData.Scope3_AnimalFeed_Data(), Table_Scope3_AnimalFeed[[#Headers],[Feed ingredient]], 0, 2)</f>
        <v>60111</v>
      </c>
      <c r="H162" s="173"/>
      <c r="I162" s="14" t="str" cm="1">
        <f t="array" ref="I162">Common_InputFunctions.Utility_DisplayArrayInTable(Scope3_SourceData.Scope3_AnimalFeed_Data(), Table_Scope3_AnimalFeed[[#Headers],[Feed ingredient]], 0, 2)</f>
        <v>t CO2-e / t</v>
      </c>
      <c r="J162" s="155">
        <f>Table_Scope3_AnimalFeed[[#This Row],[Quantity]]*Table_Scope3_AnimalFeed[[#This Row],[AusLCI Emissions intensity]]</f>
        <v>21639.96</v>
      </c>
      <c r="K162" s="155">
        <f>Table_Scope3_AnimalFeed[[#This Row],[Quantity]]*IF(Table_Scope3_AnimalFeed[[#This Row],[Custom emissions intensity]], Table_Scope3_AnimalFeed[[#This Row],[Custom emissions intensity]], Table_Scope3_AnimalFeed[[#This Row],[AusLCI Emissions intensity]])</f>
        <v>21639.96</v>
      </c>
      <c r="L162" s="173"/>
      <c r="M162" s="48"/>
      <c r="N162" s="173"/>
      <c r="O162" s="155" cm="1">
        <f t="array" ref="O162">Common_InputFunctions.Utility_LookupValueInTableNumber(Table_Scope3_AnimalFeed[[#This Row],[Custom emissions intensity source type (Select)]],#REF!,#REF!)</f>
        <v>0</v>
      </c>
      <c r="P162" s="14"/>
      <c r="Q162" s="14"/>
    </row>
    <row r="163" spans="3:17" ht="20.100000000000001" customHeight="1" x14ac:dyDescent="0.25">
      <c r="C163" s="14"/>
      <c r="D163" s="14" t="str" cm="1">
        <f t="array" ref="D163">Common_InputFunctions.Utility_DisplayArrayInTable(Scope3_SourceData.Scope3_AnimalFeed_Data(), Table_Scope3_AnimalFeed[[#Headers],[Feed ingredient]], 0, 2)</f>
        <v>Feed formulations (chicken, pigs, cattle, dairy)</v>
      </c>
      <c r="E163" s="14" cm="1">
        <f t="array" ref="E163">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63" s="14" t="str" cm="1">
        <f t="array" ref="F163">Common_InputFunctions.Utility_DisplayArrayInTable(Scope3_SourceData.Scope3_AnimalFeed_Data(), Table_Scope3_AnimalFeed[[#Headers],[Feed ingredient]], 0, 2)</f>
        <v>t</v>
      </c>
      <c r="G163" s="14" cm="1">
        <f t="array" ref="G163">Common_InputFunctions.Utility_DisplayArrayInTable(Scope3_SourceData.Scope3_AnimalFeed_Data(), Table_Scope3_AnimalFeed[[#Headers],[Feed ingredient]], 0, 2)</f>
        <v>60112</v>
      </c>
      <c r="H163" s="173"/>
      <c r="I163" s="14" t="str" cm="1">
        <f t="array" ref="I163">Common_InputFunctions.Utility_DisplayArrayInTable(Scope3_SourceData.Scope3_AnimalFeed_Data(), Table_Scope3_AnimalFeed[[#Headers],[Feed ingredient]], 0, 2)</f>
        <v>t CO2-e / t</v>
      </c>
      <c r="J163" s="155">
        <f>Table_Scope3_AnimalFeed[[#This Row],[Quantity]]*Table_Scope3_AnimalFeed[[#This Row],[AusLCI Emissions intensity]]</f>
        <v>0</v>
      </c>
      <c r="K163" s="155">
        <f>Table_Scope3_AnimalFeed[[#This Row],[Quantity]]*IF(Table_Scope3_AnimalFeed[[#This Row],[Custom emissions intensity]], Table_Scope3_AnimalFeed[[#This Row],[Custom emissions intensity]], Table_Scope3_AnimalFeed[[#This Row],[AusLCI Emissions intensity]])</f>
        <v>0</v>
      </c>
      <c r="L163" s="173"/>
      <c r="M163" s="48"/>
      <c r="N163" s="173"/>
      <c r="O163" s="155" cm="1">
        <f t="array" ref="O163">Common_InputFunctions.Utility_LookupValueInTableNumber(Table_Scope3_AnimalFeed[[#This Row],[Custom emissions intensity source type (Select)]],#REF!,#REF!)</f>
        <v>0</v>
      </c>
      <c r="P163" s="14"/>
      <c r="Q163" s="14"/>
    </row>
    <row r="164" spans="3:17" ht="20.100000000000001" customHeight="1" x14ac:dyDescent="0.25">
      <c r="C164" s="14"/>
      <c r="D164" s="14" t="str" cm="1">
        <f t="array" ref="D164">Common_InputFunctions.Utility_DisplayArrayInTable(Scope3_SourceData.Scope3_AnimalFeed_Data(), Table_Scope3_AnimalFeed[[#Headers],[Feed ingredient]], 0, 2)</f>
        <v>Molasses</v>
      </c>
      <c r="E164" s="14" cm="1">
        <f t="array" ref="E164">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64" s="14" t="str" cm="1">
        <f t="array" ref="F164">Common_InputFunctions.Utility_DisplayArrayInTable(Scope3_SourceData.Scope3_AnimalFeed_Data(), Table_Scope3_AnimalFeed[[#Headers],[Feed ingredient]], 0, 2)</f>
        <v>t</v>
      </c>
      <c r="G164" s="14" cm="1">
        <f t="array" ref="G164">Common_InputFunctions.Utility_DisplayArrayInTable(Scope3_SourceData.Scope3_AnimalFeed_Data(), Table_Scope3_AnimalFeed[[#Headers],[Feed ingredient]], 0, 2)</f>
        <v>60113</v>
      </c>
      <c r="H164" s="173"/>
      <c r="I164" s="14" t="str" cm="1">
        <f t="array" ref="I164">Common_InputFunctions.Utility_DisplayArrayInTable(Scope3_SourceData.Scope3_AnimalFeed_Data(), Table_Scope3_AnimalFeed[[#Headers],[Feed ingredient]], 0, 2)</f>
        <v>t CO2-e / t</v>
      </c>
      <c r="J164" s="155">
        <f>Table_Scope3_AnimalFeed[[#This Row],[Quantity]]*Table_Scope3_AnimalFeed[[#This Row],[AusLCI Emissions intensity]]</f>
        <v>0</v>
      </c>
      <c r="K164" s="155">
        <f>Table_Scope3_AnimalFeed[[#This Row],[Quantity]]*IF(Table_Scope3_AnimalFeed[[#This Row],[Custom emissions intensity]], Table_Scope3_AnimalFeed[[#This Row],[Custom emissions intensity]], Table_Scope3_AnimalFeed[[#This Row],[AusLCI Emissions intensity]])</f>
        <v>0</v>
      </c>
      <c r="L164" s="173"/>
      <c r="M164" s="48"/>
      <c r="N164" s="173"/>
      <c r="O164" s="155" cm="1">
        <f t="array" ref="O164">Common_InputFunctions.Utility_LookupValueInTableNumber(Table_Scope3_AnimalFeed[[#This Row],[Custom emissions intensity source type (Select)]],#REF!,#REF!)</f>
        <v>0</v>
      </c>
      <c r="P164" s="14"/>
      <c r="Q164" s="14"/>
    </row>
    <row r="165" spans="3:17" ht="20.100000000000001" customHeight="1" x14ac:dyDescent="0.25">
      <c r="C165" s="14"/>
      <c r="D165" s="14" t="str" cm="1">
        <f t="array" ref="D165">Common_InputFunctions.Utility_DisplayArrayInTable(Scope3_SourceData.Scope3_AnimalFeed_Data(), Table_Scope3_AnimalFeed[[#Headers],[Feed ingredient]], 0, 2)</f>
        <v>Bentonite</v>
      </c>
      <c r="E165" s="14" cm="1">
        <f t="array" ref="E165">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0.06</v>
      </c>
      <c r="F165" s="14" t="str" cm="1">
        <f t="array" ref="F165">Common_InputFunctions.Utility_DisplayArrayInTable(Scope3_SourceData.Scope3_AnimalFeed_Data(), Table_Scope3_AnimalFeed[[#Headers],[Feed ingredient]], 0, 2)</f>
        <v>t</v>
      </c>
      <c r="G165" s="14" cm="1">
        <f t="array" ref="G165">Common_InputFunctions.Utility_DisplayArrayInTable(Scope3_SourceData.Scope3_AnimalFeed_Data(), Table_Scope3_AnimalFeed[[#Headers],[Feed ingredient]], 0, 2)</f>
        <v>60114</v>
      </c>
      <c r="H165" s="173"/>
      <c r="I165" s="14" t="str" cm="1">
        <f t="array" ref="I165">Common_InputFunctions.Utility_DisplayArrayInTable(Scope3_SourceData.Scope3_AnimalFeed_Data(), Table_Scope3_AnimalFeed[[#Headers],[Feed ingredient]], 0, 2)</f>
        <v>t CO2-e / t</v>
      </c>
      <c r="J165" s="155">
        <f>Table_Scope3_AnimalFeed[[#This Row],[Quantity]]*Table_Scope3_AnimalFeed[[#This Row],[AusLCI Emissions intensity]]</f>
        <v>3606.8399999999997</v>
      </c>
      <c r="K165" s="155">
        <f>Table_Scope3_AnimalFeed[[#This Row],[Quantity]]*IF(Table_Scope3_AnimalFeed[[#This Row],[Custom emissions intensity]], Table_Scope3_AnimalFeed[[#This Row],[Custom emissions intensity]], Table_Scope3_AnimalFeed[[#This Row],[AusLCI Emissions intensity]])</f>
        <v>3606.8399999999997</v>
      </c>
      <c r="L165" s="173"/>
      <c r="M165" s="48"/>
      <c r="N165" s="173"/>
      <c r="O165" s="155" cm="1">
        <f t="array" ref="O165">Common_InputFunctions.Utility_LookupValueInTableNumber(Table_Scope3_AnimalFeed[[#This Row],[Custom emissions intensity source type (Select)]],#REF!,#REF!)</f>
        <v>0</v>
      </c>
      <c r="P165" s="14"/>
      <c r="Q165" s="14"/>
    </row>
    <row r="166" spans="3:17" ht="20.100000000000001" customHeight="1" x14ac:dyDescent="0.25">
      <c r="C166" s="14"/>
      <c r="D166" s="14" t="str" cm="1">
        <f t="array" ref="D166">Common_InputFunctions.Utility_DisplayArrayInTable(Scope3_SourceData.Scope3_AnimalFeed_Data(), Table_Scope3_AnimalFeed[[#Headers],[Feed ingredient]], 0, 2)</f>
        <v>Meat meal</v>
      </c>
      <c r="E166" s="14" cm="1">
        <f t="array" ref="E166">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2.4E-2</v>
      </c>
      <c r="F166" s="14" t="str" cm="1">
        <f t="array" ref="F166">Common_InputFunctions.Utility_DisplayArrayInTable(Scope3_SourceData.Scope3_AnimalFeed_Data(), Table_Scope3_AnimalFeed[[#Headers],[Feed ingredient]], 0, 2)</f>
        <v>t</v>
      </c>
      <c r="G166" s="14" cm="1">
        <f t="array" ref="G166">Common_InputFunctions.Utility_DisplayArrayInTable(Scope3_SourceData.Scope3_AnimalFeed_Data(), Table_Scope3_AnimalFeed[[#Headers],[Feed ingredient]], 0, 2)</f>
        <v>60115</v>
      </c>
      <c r="H166" s="173"/>
      <c r="I166" s="14" t="str" cm="1">
        <f t="array" ref="I166">Common_InputFunctions.Utility_DisplayArrayInTable(Scope3_SourceData.Scope3_AnimalFeed_Data(), Table_Scope3_AnimalFeed[[#Headers],[Feed ingredient]], 0, 2)</f>
        <v>t CO2-e / t</v>
      </c>
      <c r="J166" s="155">
        <f>Table_Scope3_AnimalFeed[[#This Row],[Quantity]]*Table_Scope3_AnimalFeed[[#This Row],[AusLCI Emissions intensity]]</f>
        <v>1442.76</v>
      </c>
      <c r="K166" s="155">
        <f>Table_Scope3_AnimalFeed[[#This Row],[Quantity]]*IF(Table_Scope3_AnimalFeed[[#This Row],[Custom emissions intensity]], Table_Scope3_AnimalFeed[[#This Row],[Custom emissions intensity]], Table_Scope3_AnimalFeed[[#This Row],[AusLCI Emissions intensity]])</f>
        <v>1442.76</v>
      </c>
      <c r="L166" s="173"/>
      <c r="M166" s="48"/>
      <c r="N166" s="173"/>
      <c r="O166" s="155" cm="1">
        <f t="array" ref="O166">Common_InputFunctions.Utility_LookupValueInTableNumber(Table_Scope3_AnimalFeed[[#This Row],[Custom emissions intensity source type (Select)]],#REF!,#REF!)</f>
        <v>0</v>
      </c>
      <c r="P166" s="14"/>
      <c r="Q166" s="14"/>
    </row>
    <row r="167" spans="3:17" ht="20.100000000000001" customHeight="1" x14ac:dyDescent="0.25">
      <c r="C167" s="14"/>
      <c r="D167" s="14" t="str" cm="1">
        <f t="array" ref="D167">Common_InputFunctions.Utility_DisplayArrayInTable(Scope3_SourceData.Scope3_AnimalFeed_Data(), Table_Scope3_AnimalFeed[[#Headers],[Feed ingredient]], 0, 2)</f>
        <v>BentLime, phosphorus, potashonite</v>
      </c>
      <c r="E167" s="14" cm="1">
        <f t="array" ref="E167">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67" s="14" t="str" cm="1">
        <f t="array" ref="F167">Common_InputFunctions.Utility_DisplayArrayInTable(Scope3_SourceData.Scope3_AnimalFeed_Data(), Table_Scope3_AnimalFeed[[#Headers],[Feed ingredient]], 0, 2)</f>
        <v>t</v>
      </c>
      <c r="G167" s="14" cm="1">
        <f t="array" ref="G167">Common_InputFunctions.Utility_DisplayArrayInTable(Scope3_SourceData.Scope3_AnimalFeed_Data(), Table_Scope3_AnimalFeed[[#Headers],[Feed ingredient]], 0, 2)</f>
        <v>60114</v>
      </c>
      <c r="H167" s="173"/>
      <c r="I167" s="14" t="str" cm="1">
        <f t="array" ref="I167">Common_InputFunctions.Utility_DisplayArrayInTable(Scope3_SourceData.Scope3_AnimalFeed_Data(), Table_Scope3_AnimalFeed[[#Headers],[Feed ingredient]], 0, 2)</f>
        <v>t CO2-e / t</v>
      </c>
      <c r="J167" s="155">
        <f>Table_Scope3_AnimalFeed[[#This Row],[Quantity]]*Table_Scope3_AnimalFeed[[#This Row],[AusLCI Emissions intensity]]</f>
        <v>0</v>
      </c>
      <c r="K167" s="155">
        <f>Table_Scope3_AnimalFeed[[#This Row],[Quantity]]*IF(Table_Scope3_AnimalFeed[[#This Row],[Custom emissions intensity]], Table_Scope3_AnimalFeed[[#This Row],[Custom emissions intensity]], Table_Scope3_AnimalFeed[[#This Row],[AusLCI Emissions intensity]])</f>
        <v>0</v>
      </c>
      <c r="L167" s="173"/>
      <c r="M167" s="48"/>
      <c r="N167" s="173"/>
      <c r="O167" s="155" cm="1">
        <f t="array" ref="O167">Common_InputFunctions.Utility_LookupValueInTableNumber(Table_Scope3_AnimalFeed[[#This Row],[Custom emissions intensity source type (Select)]],#REF!,#REF!)</f>
        <v>0</v>
      </c>
      <c r="P167" s="14"/>
      <c r="Q167" s="14"/>
    </row>
    <row r="168" spans="3:17" ht="20.100000000000001" customHeight="1" x14ac:dyDescent="0.25">
      <c r="C168" s="14"/>
      <c r="D168" s="14"/>
      <c r="E168" s="14"/>
      <c r="F168" s="14"/>
      <c r="G168" s="14"/>
      <c r="H168" s="14"/>
      <c r="I168" s="14"/>
      <c r="J168" s="14"/>
      <c r="K168" s="14"/>
      <c r="L168" s="14"/>
      <c r="M168" s="14"/>
      <c r="N168" s="14"/>
      <c r="O168" s="14"/>
      <c r="P168" s="14"/>
      <c r="Q168" s="14"/>
    </row>
    <row r="169" spans="3:17" ht="20.100000000000001" customHeight="1" x14ac:dyDescent="0.35">
      <c r="C169" s="14"/>
      <c r="D169" s="161" t="s">
        <v>338</v>
      </c>
      <c r="E169" s="162"/>
      <c r="F169" s="163"/>
      <c r="G169" s="161">
        <f>SUM(Table_Scope3_OrganicFertiliser[Scope 3 emissions exc. custom (t CO2-e)])</f>
        <v>0</v>
      </c>
      <c r="H169" s="164" t="s">
        <v>320</v>
      </c>
      <c r="I169" s="14"/>
      <c r="J169" s="14"/>
      <c r="K169" s="14"/>
      <c r="L169" s="14"/>
      <c r="M169" s="14"/>
      <c r="N169" s="14"/>
      <c r="O169" s="14"/>
      <c r="P169" s="14"/>
      <c r="Q169" s="14"/>
    </row>
    <row r="170" spans="3:17" ht="20.100000000000001" customHeight="1" x14ac:dyDescent="0.25">
      <c r="C170" s="14"/>
      <c r="D170" s="165" t="s">
        <v>339</v>
      </c>
      <c r="E170" s="166"/>
      <c r="F170" s="166"/>
      <c r="G170" s="165">
        <f>SUM(Table_Scope3_OrganicFertiliser[Scope 3 emissions inc. custom (t CO2-e)2])</f>
        <v>0</v>
      </c>
      <c r="H170" s="164" t="s">
        <v>320</v>
      </c>
      <c r="I170" s="14"/>
      <c r="J170" s="14"/>
      <c r="K170" s="14"/>
      <c r="L170" s="14"/>
      <c r="M170" s="14"/>
      <c r="N170" s="14"/>
      <c r="O170" s="14"/>
      <c r="P170" s="14"/>
      <c r="Q170" s="14"/>
    </row>
    <row r="171" spans="3:17" ht="20.100000000000001" customHeight="1" x14ac:dyDescent="0.25">
      <c r="C171" s="14"/>
      <c r="D171" s="14"/>
      <c r="E171" s="14"/>
      <c r="F171" s="14"/>
      <c r="G171" s="14"/>
      <c r="H171" s="14"/>
      <c r="I171" s="14"/>
      <c r="J171" s="14"/>
      <c r="K171" s="14"/>
      <c r="L171" s="14"/>
      <c r="M171" s="14"/>
      <c r="N171" s="14"/>
      <c r="O171" s="14"/>
      <c r="P171" s="14"/>
      <c r="Q171" s="14"/>
    </row>
    <row r="172" spans="3:17" ht="20.100000000000001" customHeight="1" x14ac:dyDescent="0.25">
      <c r="C172" s="14"/>
      <c r="D172" s="14"/>
      <c r="E172" s="14"/>
      <c r="F172" s="14"/>
      <c r="G172" s="14"/>
      <c r="H172" s="14"/>
      <c r="I172" s="14"/>
      <c r="J172" s="14"/>
      <c r="K172" s="14"/>
      <c r="L172" s="14"/>
      <c r="M172" s="14"/>
      <c r="N172" s="14"/>
      <c r="O172" s="14"/>
      <c r="P172" s="14"/>
      <c r="Q172" s="14"/>
    </row>
    <row r="173" spans="3:17" ht="20.100000000000001" customHeight="1" x14ac:dyDescent="0.25">
      <c r="C173" s="14"/>
      <c r="D173" s="9" t="str" cm="1">
        <f t="array" ref="D173">Scope3_SourceData.Scope3_AquacultureFeedAndBait_Title()</f>
        <v>Aquaculture Feed and Bait scope 3</v>
      </c>
      <c r="E173" s="14"/>
      <c r="F173" s="14"/>
      <c r="G173" s="14"/>
      <c r="H173" s="14"/>
      <c r="I173" s="14"/>
      <c r="J173" s="14"/>
      <c r="K173" s="14"/>
      <c r="L173" s="14"/>
      <c r="M173" s="14"/>
      <c r="N173" s="14"/>
      <c r="O173" s="14"/>
      <c r="P173" s="14"/>
      <c r="Q173" s="14"/>
    </row>
    <row r="174" spans="3:17" ht="20.100000000000001" customHeight="1" x14ac:dyDescent="0.25">
      <c r="C174" s="14"/>
      <c r="D174" s="11" t="str" cm="1">
        <f t="array" ref="D174">Scope3_SourceData.Scope3_AquacultureFeedAndBait_Source()</f>
        <v>Lifecycles. (2026). Greenhouse Gas Emission Intensities for Material Inputs to Australian Agriculture, Fisheries and Forestry. Version 48. doi 10.5281/zenodo.19656580</v>
      </c>
      <c r="E174" s="14"/>
      <c r="F174" s="14"/>
      <c r="G174" s="14"/>
      <c r="H174" s="14"/>
      <c r="I174" s="14"/>
      <c r="J174" s="14"/>
      <c r="K174" s="14"/>
      <c r="L174" s="14"/>
      <c r="M174" s="14"/>
      <c r="N174" s="14"/>
      <c r="O174" s="14"/>
      <c r="P174" s="14"/>
      <c r="Q174" s="14"/>
    </row>
    <row r="175" spans="3:17" ht="20.100000000000001" customHeight="1" x14ac:dyDescent="0.25">
      <c r="C175" s="14"/>
      <c r="D175" s="14"/>
      <c r="E175" s="14"/>
      <c r="F175" s="14"/>
      <c r="G175" s="14"/>
      <c r="H175" s="14"/>
      <c r="I175" s="14"/>
      <c r="J175" s="14"/>
      <c r="K175" s="14"/>
      <c r="L175" s="14"/>
      <c r="M175" s="14"/>
      <c r="N175" s="14"/>
      <c r="O175" s="14"/>
      <c r="P175" s="14"/>
      <c r="Q175" s="14"/>
    </row>
    <row r="176" spans="3:17" ht="20.100000000000001" customHeight="1" x14ac:dyDescent="0.25">
      <c r="C176" s="14"/>
      <c r="D176" s="168" t="s">
        <v>340</v>
      </c>
      <c r="E176" s="168" t="s">
        <v>304</v>
      </c>
      <c r="F176" s="168" t="s">
        <v>305</v>
      </c>
      <c r="G176" s="168" t="s">
        <v>306</v>
      </c>
      <c r="H176" s="169" t="s">
        <v>307</v>
      </c>
      <c r="I176" s="168" t="s">
        <v>308</v>
      </c>
      <c r="J176" s="168" t="s">
        <v>323</v>
      </c>
      <c r="K176" s="168" t="s">
        <v>309</v>
      </c>
      <c r="L176" s="169" t="s">
        <v>310</v>
      </c>
      <c r="M176" s="169" t="s">
        <v>311</v>
      </c>
      <c r="N176" s="169" t="s">
        <v>312</v>
      </c>
      <c r="O176" s="168" t="s">
        <v>313</v>
      </c>
      <c r="P176" s="14"/>
      <c r="Q176" s="14"/>
    </row>
    <row r="177" spans="3:17" ht="20.100000000000001" customHeight="1" x14ac:dyDescent="0.25">
      <c r="C177" s="14"/>
      <c r="D177" s="14" t="str" cm="1">
        <f t="array" ref="D177">Common_InputFunctions.Utility_DisplayArrayInTable(Scope3_SourceData.Scope3_AquacultureFeedAndBait_Data(), Table_Scope3_AquacultureFeedBait[[#Headers],[Feed / Bait ingredient]], 0, 2)</f>
        <v>Low Animal Protein Formulated Feed</v>
      </c>
      <c r="E177" s="14" cm="1">
        <f t="array" ref="E177">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0</v>
      </c>
      <c r="F177" s="14" t="str" cm="1">
        <f t="array" ref="F177">Common_InputFunctions.Utility_DisplayArrayInTable(Scope3_SourceData.Scope3_AquacultureFeedAndBait_Data(), Table_Scope3_AquacultureFeedBait[[#Headers],[Feed / Bait ingredient]], 0, 2)</f>
        <v>t</v>
      </c>
      <c r="G177" s="14" cm="1">
        <f t="array" ref="G177">Common_InputFunctions.Utility_DisplayArrayInTable(Scope3_SourceData.Scope3_AquacultureFeedAndBait_Data(), Table_Scope3_AquacultureFeedBait[[#Headers],[Feed / Bait ingredient]], 0, 2)</f>
        <v>70101</v>
      </c>
      <c r="H177" s="173">
        <v>100</v>
      </c>
      <c r="I177" s="14" t="str" cm="1">
        <f t="array" ref="I177">Common_InputFunctions.Utility_DisplayArrayInTable(Scope3_SourceData.Scope3_AquacultureFeedAndBait_Data(), Table_Scope3_AquacultureFeedBait[[#Headers],[Feed / Bait ingredient]], 0, 2)</f>
        <v>t CO2-e / t</v>
      </c>
      <c r="J177" s="14">
        <f>Table_Scope3_AquacultureFeedBait[[#This Row],[Quantity]]*Table_Scope3_AquacultureFeedBait[[#This Row],[AusLCI Emissions intensity]]</f>
        <v>0</v>
      </c>
      <c r="K177" s="155">
        <f>Table_Scope3_AquacultureFeedBait[[#This Row],[Quantity]]*IF(Table_Scope3_AquacultureFeedBait[[#This Row],[Custom emissions intensity]], Table_Scope3_AquacultureFeedBait[[#This Row],[Custom emissions intensity]], Table_Scope3_AquacultureFeedBait[[#This Row],[AusLCI Emissions intensity]])</f>
        <v>0</v>
      </c>
      <c r="L177" s="173"/>
      <c r="M177" s="48"/>
      <c r="N177" s="173"/>
      <c r="O177" s="155" cm="1">
        <f t="array" ref="O177">Common_InputFunctions.Utility_LookupValueInTableNumber(Table_Scope3_AquacultureFeedBait[[#This Row],[Custom emissions intensity source type (Select)]],#REF!,#REF!)</f>
        <v>0</v>
      </c>
      <c r="P177" s="14"/>
      <c r="Q177" s="14"/>
    </row>
    <row r="178" spans="3:17" ht="20.100000000000001" customHeight="1" x14ac:dyDescent="0.25">
      <c r="C178" s="14"/>
      <c r="D178" s="14" t="str" cm="1">
        <f t="array" ref="D178">Common_InputFunctions.Utility_DisplayArrayInTable(Scope3_SourceData.Scope3_AquacultureFeedAndBait_Data(), Table_Scope3_AquacultureFeedBait[[#Headers],[Feed / Bait ingredient]], 0, 2)</f>
        <v>High Animal Protein Formulated Feed</v>
      </c>
      <c r="E178" s="14" cm="1">
        <f t="array" ref="E178">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264</v>
      </c>
      <c r="F178" s="14" t="str" cm="1">
        <f t="array" ref="F178">Common_InputFunctions.Utility_DisplayArrayInTable(Scope3_SourceData.Scope3_AquacultureFeedAndBait_Data(), Table_Scope3_AquacultureFeedBait[[#Headers],[Feed / Bait ingredient]], 0, 2)</f>
        <v>t</v>
      </c>
      <c r="G178" s="14" cm="1">
        <f t="array" ref="G178">Common_InputFunctions.Utility_DisplayArrayInTable(Scope3_SourceData.Scope3_AquacultureFeedAndBait_Data(), Table_Scope3_AquacultureFeedBait[[#Headers],[Feed / Bait ingredient]], 0, 2)</f>
        <v>70102</v>
      </c>
      <c r="H178" s="173"/>
      <c r="I178" s="14" t="str" cm="1">
        <f t="array" ref="I178">Common_InputFunctions.Utility_DisplayArrayInTable(Scope3_SourceData.Scope3_AquacultureFeedAndBait_Data(), Table_Scope3_AquacultureFeedBait[[#Headers],[Feed / Bait ingredient]], 0, 2)</f>
        <v>t CO2-e / t</v>
      </c>
      <c r="J178" s="155">
        <f>Table_Scope3_AquacultureFeedBait[[#This Row],[Quantity]]*Table_Scope3_AquacultureFeedBait[[#This Row],[AusLCI Emissions intensity]]</f>
        <v>18506928</v>
      </c>
      <c r="K178" s="155">
        <f>Table_Scope3_AquacultureFeedBait[[#This Row],[Quantity]]*IF(Table_Scope3_AquacultureFeedBait[[#This Row],[Custom emissions intensity]], Table_Scope3_AquacultureFeedBait[[#This Row],[Custom emissions intensity]], Table_Scope3_AquacultureFeedBait[[#This Row],[AusLCI Emissions intensity]])</f>
        <v>18506928</v>
      </c>
      <c r="L178" s="173"/>
      <c r="M178" s="48"/>
      <c r="N178" s="173"/>
      <c r="O178" s="155" cm="1">
        <f t="array" ref="O178">Common_InputFunctions.Utility_LookupValueInTableNumber(Table_Scope3_AquacultureFeedBait[[#This Row],[Custom emissions intensity source type (Select)]],#REF!,#REF!)</f>
        <v>0</v>
      </c>
      <c r="P178" s="14"/>
      <c r="Q178" s="14"/>
    </row>
    <row r="179" spans="3:17" ht="20.100000000000001" customHeight="1" x14ac:dyDescent="0.25">
      <c r="C179" s="14"/>
      <c r="D179" s="14" t="str" cm="1">
        <f t="array" ref="D179">Common_InputFunctions.Utility_DisplayArrayInTable(Scope3_SourceData.Scope3_AquacultureFeedAndBait_Data(), Table_Scope3_AquacultureFeedBait[[#Headers],[Feed / Bait ingredient]], 0, 2)</f>
        <v>Cereal grain</v>
      </c>
      <c r="E179" s="14" cm="1">
        <f t="array" ref="E179">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144</v>
      </c>
      <c r="F179" s="14" t="str" cm="1">
        <f t="array" ref="F179">Common_InputFunctions.Utility_DisplayArrayInTable(Scope3_SourceData.Scope3_AquacultureFeedAndBait_Data(), Table_Scope3_AquacultureFeedBait[[#Headers],[Feed / Bait ingredient]], 0, 2)</f>
        <v>t</v>
      </c>
      <c r="G179" s="14" cm="1">
        <f t="array" ref="G179">Common_InputFunctions.Utility_DisplayArrayInTable(Scope3_SourceData.Scope3_AquacultureFeedAndBait_Data(), Table_Scope3_AquacultureFeedBait[[#Headers],[Feed / Bait ingredient]], 0, 2)</f>
        <v>70103</v>
      </c>
      <c r="H179" s="173"/>
      <c r="I179" s="14" t="str" cm="1">
        <f t="array" ref="I179">Common_InputFunctions.Utility_DisplayArrayInTable(Scope3_SourceData.Scope3_AquacultureFeedAndBait_Data(), Table_Scope3_AquacultureFeedBait[[#Headers],[Feed / Bait ingredient]], 0, 2)</f>
        <v>t CO2-e / t</v>
      </c>
      <c r="J179" s="155">
        <f>Table_Scope3_AquacultureFeedBait[[#This Row],[Quantity]]*Table_Scope3_AquacultureFeedBait[[#This Row],[AusLCI Emissions intensity]]</f>
        <v>10094832</v>
      </c>
      <c r="K179" s="155">
        <f>Table_Scope3_AquacultureFeedBait[[#This Row],[Quantity]]*IF(Table_Scope3_AquacultureFeedBait[[#This Row],[Custom emissions intensity]], Table_Scope3_AquacultureFeedBait[[#This Row],[Custom emissions intensity]], Table_Scope3_AquacultureFeedBait[[#This Row],[AusLCI Emissions intensity]])</f>
        <v>10094832</v>
      </c>
      <c r="L179" s="173"/>
      <c r="M179" s="48"/>
      <c r="N179" s="173"/>
      <c r="O179" s="155" cm="1">
        <f t="array" ref="O179">Common_InputFunctions.Utility_LookupValueInTableNumber(Table_Scope3_AquacultureFeedBait[[#This Row],[Custom emissions intensity source type (Select)]],#REF!,#REF!)</f>
        <v>0</v>
      </c>
      <c r="P179" s="14"/>
      <c r="Q179" s="14"/>
    </row>
    <row r="180" spans="3:17" ht="20.100000000000001" customHeight="1" x14ac:dyDescent="0.25">
      <c r="C180" s="14"/>
      <c r="D180" s="14" t="str" cm="1">
        <f t="array" ref="D180">Common_InputFunctions.Utility_DisplayArrayInTable(Scope3_SourceData.Scope3_AquacultureFeedAndBait_Data(), Table_Scope3_AquacultureFeedBait[[#Headers],[Feed / Bait ingredient]], 0, 2)</f>
        <v>Squid</v>
      </c>
      <c r="E180" s="14" cm="1">
        <f t="array" ref="E180">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1260</v>
      </c>
      <c r="F180" s="14" t="str" cm="1">
        <f t="array" ref="F180">Common_InputFunctions.Utility_DisplayArrayInTable(Scope3_SourceData.Scope3_AquacultureFeedAndBait_Data(), Table_Scope3_AquacultureFeedBait[[#Headers],[Feed / Bait ingredient]], 0, 2)</f>
        <v>t</v>
      </c>
      <c r="G180" s="14" cm="1">
        <f t="array" ref="G180">Common_InputFunctions.Utility_DisplayArrayInTable(Scope3_SourceData.Scope3_AquacultureFeedAndBait_Data(), Table_Scope3_AquacultureFeedBait[[#Headers],[Feed / Bait ingredient]], 0, 2)</f>
        <v>70104</v>
      </c>
      <c r="H180" s="173"/>
      <c r="I180" s="14" t="str" cm="1">
        <f t="array" ref="I180">Common_InputFunctions.Utility_DisplayArrayInTable(Scope3_SourceData.Scope3_AquacultureFeedAndBait_Data(), Table_Scope3_AquacultureFeedBait[[#Headers],[Feed / Bait ingredient]], 0, 2)</f>
        <v>t CO2-e / t</v>
      </c>
      <c r="J180" s="155">
        <f>Table_Scope3_AquacultureFeedBait[[#This Row],[Quantity]]*Table_Scope3_AquacultureFeedBait[[#This Row],[AusLCI Emissions intensity]]</f>
        <v>88331040</v>
      </c>
      <c r="K180" s="155">
        <f>Table_Scope3_AquacultureFeedBait[[#This Row],[Quantity]]*IF(Table_Scope3_AquacultureFeedBait[[#This Row],[Custom emissions intensity]], Table_Scope3_AquacultureFeedBait[[#This Row],[Custom emissions intensity]], Table_Scope3_AquacultureFeedBait[[#This Row],[AusLCI Emissions intensity]])</f>
        <v>88331040</v>
      </c>
      <c r="L180" s="173"/>
      <c r="M180" s="48"/>
      <c r="N180" s="173"/>
      <c r="O180" s="155" cm="1">
        <f t="array" ref="O180">Common_InputFunctions.Utility_LookupValueInTableNumber(Table_Scope3_AquacultureFeedBait[[#This Row],[Custom emissions intensity source type (Select)]],#REF!,#REF!)</f>
        <v>0</v>
      </c>
      <c r="P180" s="14"/>
      <c r="Q180" s="14"/>
    </row>
    <row r="181" spans="3:17" ht="20.100000000000001" customHeight="1" x14ac:dyDescent="0.25">
      <c r="C181" s="14"/>
      <c r="D181" s="14" t="str" cm="1">
        <f t="array" ref="D181">Common_InputFunctions.Utility_DisplayArrayInTable(Scope3_SourceData.Scope3_AquacultureFeedAndBait_Data(), Table_Scope3_AquacultureFeedBait[[#Headers],[Feed / Bait ingredient]], 0, 2)</f>
        <v>Whole Fish</v>
      </c>
      <c r="E181" s="14" cm="1">
        <f t="array" ref="E181">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420</v>
      </c>
      <c r="F181" s="14" t="str" cm="1">
        <f t="array" ref="F181">Common_InputFunctions.Utility_DisplayArrayInTable(Scope3_SourceData.Scope3_AquacultureFeedAndBait_Data(), Table_Scope3_AquacultureFeedBait[[#Headers],[Feed / Bait ingredient]], 0, 2)</f>
        <v>t</v>
      </c>
      <c r="G181" s="14" cm="1">
        <f t="array" ref="G181">Common_InputFunctions.Utility_DisplayArrayInTable(Scope3_SourceData.Scope3_AquacultureFeedAndBait_Data(), Table_Scope3_AquacultureFeedBait[[#Headers],[Feed / Bait ingredient]], 0, 2)</f>
        <v>70105</v>
      </c>
      <c r="H181" s="173"/>
      <c r="I181" s="14" t="str" cm="1">
        <f t="array" ref="I181">Common_InputFunctions.Utility_DisplayArrayInTable(Scope3_SourceData.Scope3_AquacultureFeedAndBait_Data(), Table_Scope3_AquacultureFeedBait[[#Headers],[Feed / Bait ingredient]], 0, 2)</f>
        <v>t CO2-e / t</v>
      </c>
      <c r="J181" s="155">
        <f>Table_Scope3_AquacultureFeedBait[[#This Row],[Quantity]]*Table_Scope3_AquacultureFeedBait[[#This Row],[AusLCI Emissions intensity]]</f>
        <v>29444100</v>
      </c>
      <c r="K181" s="155">
        <f>Table_Scope3_AquacultureFeedBait[[#This Row],[Quantity]]*IF(Table_Scope3_AquacultureFeedBait[[#This Row],[Custom emissions intensity]], Table_Scope3_AquacultureFeedBait[[#This Row],[Custom emissions intensity]], Table_Scope3_AquacultureFeedBait[[#This Row],[AusLCI Emissions intensity]])</f>
        <v>29444100</v>
      </c>
      <c r="L181" s="173"/>
      <c r="M181" s="48"/>
      <c r="N181" s="173"/>
      <c r="O181" s="155" cm="1">
        <f t="array" ref="O181">Common_InputFunctions.Utility_LookupValueInTableNumber(Table_Scope3_AquacultureFeedBait[[#This Row],[Custom emissions intensity source type (Select)]],#REF!,#REF!)</f>
        <v>0</v>
      </c>
      <c r="P181" s="14"/>
      <c r="Q181" s="14"/>
    </row>
    <row r="182" spans="3:17" ht="20.100000000000001" customHeight="1" x14ac:dyDescent="0.25">
      <c r="C182" s="14"/>
      <c r="D182" s="14" t="str" cm="1">
        <f t="array" ref="D182">Common_InputFunctions.Utility_DisplayArrayInTable(Scope3_SourceData.Scope3_AquacultureFeedAndBait_Data(), Table_Scope3_AquacultureFeedBait[[#Headers],[Feed / Bait ingredient]], 0, 2)</f>
        <v>Whole Sardines</v>
      </c>
      <c r="E182" s="14" cm="1">
        <f t="array" ref="E182">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24</v>
      </c>
      <c r="F182" s="14" t="str" cm="1">
        <f t="array" ref="F182">Common_InputFunctions.Utility_DisplayArrayInTable(Scope3_SourceData.Scope3_AquacultureFeedAndBait_Data(), Table_Scope3_AquacultureFeedBait[[#Headers],[Feed / Bait ingredient]], 0, 2)</f>
        <v>t</v>
      </c>
      <c r="G182" s="14" cm="1">
        <f t="array" ref="G182">Common_InputFunctions.Utility_DisplayArrayInTable(Scope3_SourceData.Scope3_AquacultureFeedAndBait_Data(), Table_Scope3_AquacultureFeedBait[[#Headers],[Feed / Bait ingredient]], 0, 2)</f>
        <v>70106</v>
      </c>
      <c r="H182" s="173"/>
      <c r="I182" s="14" t="str" cm="1">
        <f t="array" ref="I182">Common_InputFunctions.Utility_DisplayArrayInTable(Scope3_SourceData.Scope3_AquacultureFeedAndBait_Data(), Table_Scope3_AquacultureFeedBait[[#Headers],[Feed / Bait ingredient]], 0, 2)</f>
        <v>t CO2-e / t</v>
      </c>
      <c r="J182" s="155">
        <f>Table_Scope3_AquacultureFeedBait[[#This Row],[Quantity]]*Table_Scope3_AquacultureFeedBait[[#This Row],[AusLCI Emissions intensity]]</f>
        <v>1682544</v>
      </c>
      <c r="K182" s="155">
        <f>Table_Scope3_AquacultureFeedBait[[#This Row],[Quantity]]*IF(Table_Scope3_AquacultureFeedBait[[#This Row],[Custom emissions intensity]], Table_Scope3_AquacultureFeedBait[[#This Row],[Custom emissions intensity]], Table_Scope3_AquacultureFeedBait[[#This Row],[AusLCI Emissions intensity]])</f>
        <v>1682544</v>
      </c>
      <c r="L182" s="173"/>
      <c r="M182" s="48"/>
      <c r="N182" s="173"/>
      <c r="O182" s="155" cm="1">
        <f t="array" ref="O182">Common_InputFunctions.Utility_LookupValueInTableNumber(Table_Scope3_AquacultureFeedBait[[#This Row],[Custom emissions intensity source type (Select)]],#REF!,#REF!)</f>
        <v>0</v>
      </c>
      <c r="P182" s="14"/>
      <c r="Q182" s="14"/>
    </row>
    <row r="183" spans="3:17" ht="20.100000000000001" customHeight="1" x14ac:dyDescent="0.25">
      <c r="C183" s="14"/>
      <c r="D183" s="14" t="str" cm="1">
        <f t="array" ref="D183">Common_InputFunctions.Utility_DisplayArrayInTable(Scope3_SourceData.Scope3_AquacultureFeedAndBait_Data(), Table_Scope3_AquacultureFeedBait[[#Headers],[Feed / Bait ingredient]], 0, 2)</f>
        <v>Fish Frames</v>
      </c>
      <c r="E183" s="14" cm="1">
        <f t="array" ref="E183">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0</v>
      </c>
      <c r="F183" s="14" t="str" cm="1">
        <f t="array" ref="F183">Common_InputFunctions.Utility_DisplayArrayInTable(Scope3_SourceData.Scope3_AquacultureFeedAndBait_Data(), Table_Scope3_AquacultureFeedBait[[#Headers],[Feed / Bait ingredient]], 0, 2)</f>
        <v>t</v>
      </c>
      <c r="G183" s="14" cm="1">
        <f t="array" ref="G183">Common_InputFunctions.Utility_DisplayArrayInTable(Scope3_SourceData.Scope3_AquacultureFeedAndBait_Data(), Table_Scope3_AquacultureFeedBait[[#Headers],[Feed / Bait ingredient]], 0, 2)</f>
        <v>70107</v>
      </c>
      <c r="H183" s="173"/>
      <c r="I183" s="14" t="str" cm="1">
        <f t="array" ref="I183">Common_InputFunctions.Utility_DisplayArrayInTable(Scope3_SourceData.Scope3_AquacultureFeedAndBait_Data(), Table_Scope3_AquacultureFeedBait[[#Headers],[Feed / Bait ingredient]], 0, 2)</f>
        <v>t CO2-e / t</v>
      </c>
      <c r="J183" s="155">
        <f>Table_Scope3_AquacultureFeedBait[[#This Row],[Quantity]]*Table_Scope3_AquacultureFeedBait[[#This Row],[AusLCI Emissions intensity]]</f>
        <v>0</v>
      </c>
      <c r="K183" s="155">
        <f>Table_Scope3_AquacultureFeedBait[[#This Row],[Quantity]]*IF(Table_Scope3_AquacultureFeedBait[[#This Row],[Custom emissions intensity]], Table_Scope3_AquacultureFeedBait[[#This Row],[Custom emissions intensity]], Table_Scope3_AquacultureFeedBait[[#This Row],[AusLCI Emissions intensity]])</f>
        <v>0</v>
      </c>
      <c r="L183" s="173"/>
      <c r="M183" s="48"/>
      <c r="N183" s="173"/>
      <c r="O183" s="155" cm="1">
        <f t="array" ref="O183">Common_InputFunctions.Utility_LookupValueInTableNumber(Table_Scope3_AquacultureFeedBait[[#This Row],[Custom emissions intensity source type (Select)]],#REF!,#REF!)</f>
        <v>0</v>
      </c>
      <c r="P183" s="14"/>
      <c r="Q183" s="14"/>
    </row>
    <row r="184" spans="3:17" ht="20.100000000000001" customHeight="1" x14ac:dyDescent="0.25">
      <c r="C184" s="14"/>
      <c r="D184" s="14" t="str" cm="1">
        <f t="array" ref="D184">Common_InputFunctions.Utility_DisplayArrayInTable(Scope3_SourceData.Scope3_AquacultureFeedAndBait_Data(), Table_Scope3_AquacultureFeedBait[[#Headers],[Feed / Bait ingredient]], 0, 2)</f>
        <v>Fish Heads</v>
      </c>
      <c r="E184" s="14" cm="1">
        <f t="array" ref="E184">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0</v>
      </c>
      <c r="F184" s="14" t="str" cm="1">
        <f t="array" ref="F184">Common_InputFunctions.Utility_DisplayArrayInTable(Scope3_SourceData.Scope3_AquacultureFeedAndBait_Data(), Table_Scope3_AquacultureFeedBait[[#Headers],[Feed / Bait ingredient]], 0, 2)</f>
        <v>t</v>
      </c>
      <c r="G184" s="14" cm="1">
        <f t="array" ref="G184">Common_InputFunctions.Utility_DisplayArrayInTable(Scope3_SourceData.Scope3_AquacultureFeedAndBait_Data(), Table_Scope3_AquacultureFeedBait[[#Headers],[Feed / Bait ingredient]], 0, 2)</f>
        <v>70108</v>
      </c>
      <c r="H184" s="173"/>
      <c r="I184" s="14" t="str" cm="1">
        <f t="array" ref="I184">Common_InputFunctions.Utility_DisplayArrayInTable(Scope3_SourceData.Scope3_AquacultureFeedAndBait_Data(), Table_Scope3_AquacultureFeedBait[[#Headers],[Feed / Bait ingredient]], 0, 2)</f>
        <v>t CO2-e / t</v>
      </c>
      <c r="J184" s="155">
        <f>Table_Scope3_AquacultureFeedBait[[#This Row],[Quantity]]*Table_Scope3_AquacultureFeedBait[[#This Row],[AusLCI Emissions intensity]]</f>
        <v>0</v>
      </c>
      <c r="K184" s="155">
        <f>Table_Scope3_AquacultureFeedBait[[#This Row],[Quantity]]*IF(Table_Scope3_AquacultureFeedBait[[#This Row],[Custom emissions intensity]], Table_Scope3_AquacultureFeedBait[[#This Row],[Custom emissions intensity]], Table_Scope3_AquacultureFeedBait[[#This Row],[AusLCI Emissions intensity]])</f>
        <v>0</v>
      </c>
      <c r="L184" s="173"/>
      <c r="M184" s="48"/>
      <c r="N184" s="173"/>
      <c r="O184" s="155" cm="1">
        <f t="array" ref="O184">Common_InputFunctions.Utility_LookupValueInTableNumber(Table_Scope3_AquacultureFeedBait[[#This Row],[Custom emissions intensity source type (Select)]],#REF!,#REF!)</f>
        <v>0</v>
      </c>
      <c r="P184" s="14"/>
      <c r="Q184" s="14"/>
    </row>
    <row r="185" spans="3:17" ht="20.100000000000001" customHeight="1" x14ac:dyDescent="0.25">
      <c r="C185" s="14"/>
      <c r="D185" s="14"/>
      <c r="E185" s="14"/>
      <c r="F185" s="14"/>
      <c r="G185" s="14"/>
      <c r="H185" s="14"/>
      <c r="I185" s="14"/>
      <c r="J185" s="14"/>
      <c r="K185" s="14"/>
      <c r="L185" s="14"/>
      <c r="M185" s="14"/>
      <c r="N185" s="14"/>
      <c r="O185" s="14"/>
      <c r="P185" s="14"/>
      <c r="Q185" s="14"/>
    </row>
    <row r="186" spans="3:17" ht="20.100000000000001" customHeight="1" x14ac:dyDescent="0.35">
      <c r="C186" s="14"/>
      <c r="D186" s="161" t="s">
        <v>341</v>
      </c>
      <c r="E186" s="162"/>
      <c r="F186" s="163"/>
      <c r="G186" s="161">
        <f>SUM(Table_Scope3_AquacultureFeedBait[Scope 3 emissions exc. custom (t CO2-e)])</f>
        <v>148059444</v>
      </c>
      <c r="H186" s="164" t="s">
        <v>320</v>
      </c>
      <c r="I186" s="14"/>
      <c r="J186" s="14"/>
      <c r="K186" s="14"/>
      <c r="L186" s="14"/>
      <c r="M186" s="14"/>
      <c r="N186" s="14"/>
      <c r="O186" s="14"/>
      <c r="P186" s="14"/>
      <c r="Q186" s="14"/>
    </row>
    <row r="187" spans="3:17" ht="20.100000000000001" customHeight="1" x14ac:dyDescent="0.25">
      <c r="C187" s="14"/>
      <c r="D187" s="165" t="s">
        <v>342</v>
      </c>
      <c r="E187" s="166"/>
      <c r="F187" s="166"/>
      <c r="G187" s="165">
        <f>SUM(Table_Scope3_AquacultureFeedBait[Scope 3 emissions inc. custom (t CO2-e)2])</f>
        <v>148059444</v>
      </c>
      <c r="H187" s="164" t="s">
        <v>320</v>
      </c>
      <c r="I187" s="14"/>
      <c r="J187" s="14"/>
      <c r="K187" s="14"/>
      <c r="L187" s="14"/>
      <c r="M187" s="14"/>
      <c r="N187" s="14"/>
      <c r="O187" s="14"/>
      <c r="P187" s="14"/>
      <c r="Q187" s="14"/>
    </row>
    <row r="188" spans="3:17" ht="20.100000000000001" customHeight="1" x14ac:dyDescent="0.25">
      <c r="C188" s="14"/>
      <c r="D188" s="14"/>
      <c r="E188" s="14"/>
      <c r="F188" s="14"/>
      <c r="G188" s="14"/>
      <c r="H188" s="14"/>
      <c r="I188" s="14"/>
      <c r="J188" s="14"/>
      <c r="K188" s="14"/>
      <c r="L188" s="14"/>
      <c r="M188" s="14"/>
      <c r="N188" s="14"/>
      <c r="O188" s="14"/>
      <c r="P188" s="14"/>
      <c r="Q188" s="14"/>
    </row>
    <row r="189" spans="3:17" ht="20.100000000000001" customHeight="1" x14ac:dyDescent="0.25">
      <c r="C189" s="14"/>
      <c r="D189" s="14"/>
      <c r="E189" s="14"/>
      <c r="F189" s="14"/>
      <c r="G189" s="14"/>
      <c r="H189" s="14"/>
      <c r="I189" s="14"/>
      <c r="J189" s="14"/>
      <c r="K189" s="14"/>
      <c r="L189" s="14"/>
      <c r="M189" s="14"/>
      <c r="N189" s="14"/>
      <c r="O189" s="14"/>
      <c r="P189" s="14"/>
      <c r="Q189" s="14"/>
    </row>
    <row r="190" spans="3:17" ht="20.100000000000001" customHeight="1" x14ac:dyDescent="0.25">
      <c r="C190" s="14"/>
      <c r="D190" s="9" t="str" cm="1">
        <f t="array" ref="D190">Scope3_SourceData.Scope3_Packaging_Title()</f>
        <v>Packaging scope 3</v>
      </c>
      <c r="E190" s="14"/>
      <c r="F190" s="14"/>
      <c r="G190" s="14"/>
      <c r="H190" s="14"/>
      <c r="I190" s="14"/>
      <c r="J190" s="14"/>
      <c r="K190" s="14"/>
      <c r="L190" s="14"/>
      <c r="M190" s="14"/>
      <c r="N190" s="14"/>
      <c r="O190" s="14"/>
      <c r="P190" s="14"/>
      <c r="Q190" s="14"/>
    </row>
    <row r="191" spans="3:17" ht="20.100000000000001" customHeight="1" x14ac:dyDescent="0.25">
      <c r="C191" s="14"/>
      <c r="D191" s="11" t="str" cm="1">
        <f t="array" ref="D191">Scope3_SourceData.Scope3_Packaging_Source()</f>
        <v>Lifecycles. (2026). Greenhouse Gas Emission Intensities for Material Inputs to Australian Agriculture, Fisheries and Forestry. Version 48. doi 10.5281/zenodo.19656580</v>
      </c>
      <c r="E191" s="14"/>
      <c r="F191" s="14"/>
      <c r="G191" s="14"/>
      <c r="H191" s="14"/>
      <c r="I191" s="14"/>
      <c r="J191" s="14"/>
      <c r="K191" s="14"/>
      <c r="L191" s="14"/>
      <c r="M191" s="14"/>
      <c r="N191" s="14"/>
      <c r="O191" s="14"/>
      <c r="P191" s="14"/>
      <c r="Q191" s="14"/>
    </row>
    <row r="192" spans="3:17" ht="20.100000000000001" customHeight="1" x14ac:dyDescent="0.25">
      <c r="C192" s="14"/>
      <c r="D192" s="14"/>
      <c r="E192" s="14"/>
      <c r="F192" s="14"/>
      <c r="G192" s="14"/>
      <c r="H192" s="14"/>
      <c r="I192" s="14"/>
      <c r="J192" s="14"/>
      <c r="K192" s="14"/>
      <c r="L192" s="14"/>
      <c r="M192" s="14"/>
      <c r="N192" s="14"/>
      <c r="O192" s="14"/>
      <c r="P192" s="14"/>
      <c r="Q192" s="14"/>
    </row>
    <row r="193" spans="3:19" ht="20.100000000000001" customHeight="1" x14ac:dyDescent="0.25">
      <c r="C193" s="14"/>
      <c r="D193" s="168" t="s">
        <v>343</v>
      </c>
      <c r="E193" s="168" t="s">
        <v>304</v>
      </c>
      <c r="F193" s="168" t="s">
        <v>305</v>
      </c>
      <c r="G193" s="168" t="s">
        <v>306</v>
      </c>
      <c r="H193" s="169" t="s">
        <v>307</v>
      </c>
      <c r="I193" s="168" t="s">
        <v>308</v>
      </c>
      <c r="J193" s="168" t="s">
        <v>323</v>
      </c>
      <c r="K193" s="168" t="s">
        <v>309</v>
      </c>
      <c r="L193" s="169" t="s">
        <v>310</v>
      </c>
      <c r="M193" s="169" t="s">
        <v>311</v>
      </c>
      <c r="N193" s="169" t="s">
        <v>312</v>
      </c>
      <c r="O193" s="168" t="s">
        <v>313</v>
      </c>
      <c r="P193" s="14"/>
      <c r="Q193" s="14"/>
    </row>
    <row r="194" spans="3:19" ht="20.100000000000001" customHeight="1" x14ac:dyDescent="0.25">
      <c r="C194" s="14"/>
      <c r="D194" s="14" t="str" cm="1">
        <f t="array" ref="D194">Common_InputFunctions.Utility_DisplayArrayInTable(Scope3_SourceData.Scope3_Packaging_Data(),Table_Scope3_Packaging[[#Headers],[Packaging component]], 0, 2)</f>
        <v>Wine bottles: Glass - conventional</v>
      </c>
      <c r="E194" s="172" cm="1">
        <f t="array" ref="E194">Common_InputFunctions.Utility_SumQuantityFromCriteria(Table_Scope3_Packaging[[#This Row],[Packaging component]],Table_Input_Packaging[Packaging component (select)],Table_Input_Packaging[Quantity purchased])</f>
        <v>0</v>
      </c>
      <c r="F194" s="14" t="str" cm="1">
        <f t="array" ref="F194">Common_InputFunctions.Utility_DisplayArrayInTable(Scope3_SourceData.Scope3_Packaging_Data(),Table_Scope3_Packaging[[#Headers],[Packaging component]], 0, 2)</f>
        <v>bottle</v>
      </c>
      <c r="G194" s="14" cm="1">
        <f t="array" ref="G194">Common_InputFunctions.Utility_DisplayArrayInTable(Scope3_SourceData.Scope3_Packaging_Data(),Table_Scope3_Packaging[[#Headers],[Packaging component]], 0, 2)</f>
        <v>90101</v>
      </c>
      <c r="H194" s="173">
        <v>100</v>
      </c>
      <c r="I194" s="14" t="str" cm="1">
        <f t="array" ref="I194">Common_InputFunctions.Utility_DisplayArrayInTable(Scope3_SourceData.Scope3_Packaging_Data(),Table_Scope3_Packaging[[#Headers],[Packaging component]], 0, 2)</f>
        <v>kg CO2-e / bottle</v>
      </c>
      <c r="J194" s="14">
        <f>Table_Scope3_Packaging[[#This Row],[Quantity]]*Table_Scope3_Packaging[[#This Row],[AusLCI Emissions intensity]]</f>
        <v>0</v>
      </c>
      <c r="K194" s="155">
        <f>Table_Scope3_Packaging[[#This Row],[Quantity]]*IF(Table_Scope3_Packaging[[#This Row],[Custom emissions intensity]], Table_Scope3_Packaging[[#This Row],[Custom emissions intensity]], Table_Scope3_Packaging[[#This Row],[AusLCI Emissions intensity]])</f>
        <v>0</v>
      </c>
      <c r="L194" s="173"/>
      <c r="M194" s="48" t="s">
        <v>344</v>
      </c>
      <c r="N194" s="173"/>
      <c r="O194" s="155" cm="1">
        <f t="array" ref="O194">Common_InputFunctions.Utility_LookupValueInTableNumber(Table_Scope3_Packaging[[#This Row],[Custom emissions intensity source type (Select)]],#REF!,#REF!)</f>
        <v>0</v>
      </c>
      <c r="P194" s="14"/>
      <c r="Q194" s="14"/>
    </row>
    <row r="195" spans="3:19" ht="20.100000000000001" customHeight="1" x14ac:dyDescent="0.25">
      <c r="C195" s="14"/>
      <c r="D195" s="14" t="str" cm="1">
        <f t="array" ref="D195">Common_InputFunctions.Utility_DisplayArrayInTable(Scope3_SourceData.Scope3_Packaging_Data(),Table_Scope3_Packaging[[#Headers],[Packaging component]], 0, 2)</f>
        <v>Wine bottles: Glass - light</v>
      </c>
      <c r="E195" s="172" cm="1">
        <f t="array" ref="E195">Common_InputFunctions.Utility_SumQuantityFromCriteria(Table_Scope3_Packaging[[#This Row],[Packaging component]],Table_Input_Packaging[Packaging component (select)],Table_Input_Packaging[Quantity purchased])</f>
        <v>0</v>
      </c>
      <c r="F195" s="14" t="str" cm="1">
        <f t="array" ref="F195">Common_InputFunctions.Utility_DisplayArrayInTable(Scope3_SourceData.Scope3_Packaging_Data(),Table_Scope3_Packaging[[#Headers],[Packaging component]], 0, 2)</f>
        <v>bottle</v>
      </c>
      <c r="G195" s="14" cm="1">
        <f t="array" ref="G195">Common_InputFunctions.Utility_DisplayArrayInTable(Scope3_SourceData.Scope3_Packaging_Data(),Table_Scope3_Packaging[[#Headers],[Packaging component]], 0, 2)</f>
        <v>90102</v>
      </c>
      <c r="H195" s="173"/>
      <c r="I195" s="14" t="str" cm="1">
        <f t="array" ref="I195">Common_InputFunctions.Utility_DisplayArrayInTable(Scope3_SourceData.Scope3_Packaging_Data(),Table_Scope3_Packaging[[#Headers],[Packaging component]], 0, 2)</f>
        <v>kg CO2-e / bottle</v>
      </c>
      <c r="J195" s="155">
        <f>Table_Scope3_Packaging[[#This Row],[Quantity]]*Table_Scope3_Packaging[[#This Row],[AusLCI Emissions intensity]]</f>
        <v>0</v>
      </c>
      <c r="K195" s="155">
        <f>Table_Scope3_Packaging[[#This Row],[Quantity]]*IF(Table_Scope3_Packaging[[#This Row],[Custom emissions intensity]], Table_Scope3_Packaging[[#This Row],[Custom emissions intensity]], Table_Scope3_Packaging[[#This Row],[AusLCI Emissions intensity]])</f>
        <v>0</v>
      </c>
      <c r="L195" s="173"/>
      <c r="M195" s="174"/>
      <c r="N195" s="173"/>
      <c r="O195" s="155" cm="1">
        <f t="array" ref="O195">Common_InputFunctions.Utility_LookupValueInTableNumber(Table_Scope3_Packaging[[#This Row],[Custom emissions intensity source type (Select)]],#REF!,#REF!)</f>
        <v>0</v>
      </c>
      <c r="P195" s="14"/>
      <c r="Q195" s="14"/>
    </row>
    <row r="196" spans="3:19" ht="20.100000000000001" customHeight="1" x14ac:dyDescent="0.25">
      <c r="C196" s="14"/>
      <c r="D196" s="14" t="str" cm="1">
        <f t="array" ref="D196">Common_InputFunctions.Utility_DisplayArrayInTable(Scope3_SourceData.Scope3_Packaging_Data(),Table_Scope3_Packaging[[#Headers],[Packaging component]], 0, 2)</f>
        <v>Plastic packaging</v>
      </c>
      <c r="E196" s="172" cm="1">
        <f t="array" ref="E196">Common_InputFunctions.Utility_SumQuantityFromCriteria(Table_Scope3_Packaging[[#This Row],[Packaging component]],Table_Input_Packaging[Packaging component (select)],Table_Input_Packaging[Quantity purchased])</f>
        <v>456</v>
      </c>
      <c r="F196" s="14" t="str" cm="1">
        <f t="array" ref="F196">Common_InputFunctions.Utility_DisplayArrayInTable(Scope3_SourceData.Scope3_Packaging_Data(),Table_Scope3_Packaging[[#Headers],[Packaging component]], 0, 2)</f>
        <v>kg</v>
      </c>
      <c r="G196" s="14" cm="1">
        <f t="array" ref="G196">Common_InputFunctions.Utility_DisplayArrayInTable(Scope3_SourceData.Scope3_Packaging_Data(),Table_Scope3_Packaging[[#Headers],[Packaging component]], 0, 2)</f>
        <v>90201</v>
      </c>
      <c r="H196" s="173"/>
      <c r="I196" s="14" t="str" cm="1">
        <f t="array" ref="I196">Common_InputFunctions.Utility_DisplayArrayInTable(Scope3_SourceData.Scope3_Packaging_Data(),Table_Scope3_Packaging[[#Headers],[Packaging component]], 0, 2)</f>
        <v>kg CO2-e / kg</v>
      </c>
      <c r="J196" s="155">
        <f>Table_Scope3_Packaging[[#This Row],[Quantity]]*Table_Scope3_Packaging[[#This Row],[AusLCI Emissions intensity]]</f>
        <v>41131656</v>
      </c>
      <c r="K196" s="155">
        <f>Table_Scope3_Packaging[[#This Row],[Quantity]]*IF(Table_Scope3_Packaging[[#This Row],[Custom emissions intensity]], Table_Scope3_Packaging[[#This Row],[Custom emissions intensity]], Table_Scope3_Packaging[[#This Row],[AusLCI Emissions intensity]])</f>
        <v>41131656</v>
      </c>
      <c r="L196" s="173"/>
      <c r="M196" s="174"/>
      <c r="N196" s="173"/>
      <c r="O196" s="155" cm="1">
        <f t="array" ref="O196">Common_InputFunctions.Utility_LookupValueInTableNumber(Table_Scope3_Packaging[[#This Row],[Custom emissions intensity source type (Select)]],#REF!,#REF!)</f>
        <v>0</v>
      </c>
      <c r="P196" s="14"/>
      <c r="Q196" s="14"/>
    </row>
    <row r="197" spans="3:19" ht="20.100000000000001" customHeight="1" x14ac:dyDescent="0.25">
      <c r="C197" s="14"/>
      <c r="D197" s="14" t="str" cm="1">
        <f t="array" ref="D197">Common_InputFunctions.Utility_DisplayArrayInTable(Scope3_SourceData.Scope3_Packaging_Data(),Table_Scope3_Packaging[[#Headers],[Packaging component]], 0, 2)</f>
        <v>Polyethylene terephthalate (PET)</v>
      </c>
      <c r="E197" s="172" cm="1">
        <f t="array" ref="E197">Common_InputFunctions.Utility_SumQuantityFromCriteria(Table_Scope3_Packaging[[#This Row],[Packaging component]],Table_Input_Packaging[Packaging component (select)],Table_Input_Packaging[Quantity purchased])</f>
        <v>0</v>
      </c>
      <c r="F197" s="14" t="str" cm="1">
        <f t="array" ref="F197">Common_InputFunctions.Utility_DisplayArrayInTable(Scope3_SourceData.Scope3_Packaging_Data(),Table_Scope3_Packaging[[#Headers],[Packaging component]], 0, 2)</f>
        <v>kg</v>
      </c>
      <c r="G197" s="14" cm="1">
        <f t="array" ref="G197">Common_InputFunctions.Utility_DisplayArrayInTable(Scope3_SourceData.Scope3_Packaging_Data(),Table_Scope3_Packaging[[#Headers],[Packaging component]], 0, 2)</f>
        <v>90202</v>
      </c>
      <c r="H197" s="173"/>
      <c r="I197" s="14" t="str" cm="1">
        <f t="array" ref="I197">Common_InputFunctions.Utility_DisplayArrayInTable(Scope3_SourceData.Scope3_Packaging_Data(),Table_Scope3_Packaging[[#Headers],[Packaging component]], 0, 2)</f>
        <v>kg CO2-e / kg</v>
      </c>
      <c r="J197" s="155">
        <f>Table_Scope3_Packaging[[#This Row],[Quantity]]*Table_Scope3_Packaging[[#This Row],[AusLCI Emissions intensity]]</f>
        <v>0</v>
      </c>
      <c r="K197" s="155">
        <f>Table_Scope3_Packaging[[#This Row],[Quantity]]*IF(Table_Scope3_Packaging[[#This Row],[Custom emissions intensity]], Table_Scope3_Packaging[[#This Row],[Custom emissions intensity]], Table_Scope3_Packaging[[#This Row],[AusLCI Emissions intensity]])</f>
        <v>0</v>
      </c>
      <c r="L197" s="173"/>
      <c r="M197" s="174"/>
      <c r="N197" s="173"/>
      <c r="O197" s="155" cm="1">
        <f t="array" ref="O197">Common_InputFunctions.Utility_LookupValueInTableNumber(Table_Scope3_Packaging[[#This Row],[Custom emissions intensity source type (Select)]],#REF!,#REF!)</f>
        <v>0</v>
      </c>
      <c r="P197" s="14"/>
      <c r="Q197" s="14"/>
    </row>
    <row r="198" spans="3:19" ht="20.100000000000001" customHeight="1" x14ac:dyDescent="0.25">
      <c r="C198" s="14"/>
      <c r="D198" s="14" t="str" cm="1">
        <f t="array" ref="D198">Common_InputFunctions.Utility_DisplayArrayInTable(Scope3_SourceData.Scope3_Packaging_Data(),Table_Scope3_Packaging[[#Headers],[Packaging component]], 0, 2)</f>
        <v>Polypropylene (PP)</v>
      </c>
      <c r="E198" s="172" cm="1">
        <f t="array" ref="E198">Common_InputFunctions.Utility_SumQuantityFromCriteria(Table_Scope3_Packaging[[#This Row],[Packaging component]],Table_Input_Packaging[Packaging component (select)],Table_Input_Packaging[Quantity purchased])</f>
        <v>1100</v>
      </c>
      <c r="F198" s="14" t="str" cm="1">
        <f t="array" ref="F198">Common_InputFunctions.Utility_DisplayArrayInTable(Scope3_SourceData.Scope3_Packaging_Data(),Table_Scope3_Packaging[[#Headers],[Packaging component]], 0, 2)</f>
        <v>kg</v>
      </c>
      <c r="G198" s="14" cm="1">
        <f t="array" ref="G198">Common_InputFunctions.Utility_DisplayArrayInTable(Scope3_SourceData.Scope3_Packaging_Data(),Table_Scope3_Packaging[[#Headers],[Packaging component]], 0, 2)</f>
        <v>90203</v>
      </c>
      <c r="H198" s="173"/>
      <c r="I198" s="14" t="str" cm="1">
        <f t="array" ref="I198">Common_InputFunctions.Utility_DisplayArrayInTable(Scope3_SourceData.Scope3_Packaging_Data(),Table_Scope3_Packaging[[#Headers],[Packaging component]], 0, 2)</f>
        <v>kg CO2-e / kg</v>
      </c>
      <c r="J198" s="155">
        <f>Table_Scope3_Packaging[[#This Row],[Quantity]]*Table_Scope3_Packaging[[#This Row],[AusLCI Emissions intensity]]</f>
        <v>99223300</v>
      </c>
      <c r="K198" s="155">
        <f>Table_Scope3_Packaging[[#This Row],[Quantity]]*IF(Table_Scope3_Packaging[[#This Row],[Custom emissions intensity]], Table_Scope3_Packaging[[#This Row],[Custom emissions intensity]], Table_Scope3_Packaging[[#This Row],[AusLCI Emissions intensity]])</f>
        <v>99223300</v>
      </c>
      <c r="L198" s="173"/>
      <c r="M198" s="174"/>
      <c r="N198" s="173"/>
      <c r="O198" s="155" cm="1">
        <f t="array" ref="O198">Common_InputFunctions.Utility_LookupValueInTableNumber(Table_Scope3_Packaging[[#This Row],[Custom emissions intensity source type (Select)]],#REF!,#REF!)</f>
        <v>0</v>
      </c>
      <c r="P198" s="14"/>
      <c r="Q198" s="14"/>
    </row>
    <row r="199" spans="3:19" ht="20.100000000000001" customHeight="1" x14ac:dyDescent="0.25">
      <c r="C199" s="14"/>
      <c r="D199" s="14" t="str" cm="1">
        <f t="array" ref="D199">Common_InputFunctions.Utility_DisplayArrayInTable(Scope3_SourceData.Scope3_Packaging_Data(),Table_Scope3_Packaging[[#Headers],[Packaging component]], 0, 2)</f>
        <v>Cardboard</v>
      </c>
      <c r="E199" s="172" cm="1">
        <f t="array" ref="E199">Common_InputFunctions.Utility_SumQuantityFromCriteria(Table_Scope3_Packaging[[#This Row],[Packaging component]],Table_Input_Packaging[Packaging component (select)],Table_Input_Packaging[Quantity purchased])</f>
        <v>1234</v>
      </c>
      <c r="F199" s="14" t="str" cm="1">
        <f t="array" ref="F199">Common_InputFunctions.Utility_DisplayArrayInTable(Scope3_SourceData.Scope3_Packaging_Data(),Table_Scope3_Packaging[[#Headers],[Packaging component]], 0, 2)</f>
        <v>kg</v>
      </c>
      <c r="G199" s="14" cm="1">
        <f t="array" ref="G199">Common_InputFunctions.Utility_DisplayArrayInTable(Scope3_SourceData.Scope3_Packaging_Data(),Table_Scope3_Packaging[[#Headers],[Packaging component]], 0, 2)</f>
        <v>90204</v>
      </c>
      <c r="H199" s="173"/>
      <c r="I199" s="14" t="str" cm="1">
        <f t="array" ref="I199">Common_InputFunctions.Utility_DisplayArrayInTable(Scope3_SourceData.Scope3_Packaging_Data(),Table_Scope3_Packaging[[#Headers],[Packaging component]], 0, 2)</f>
        <v>kg CO2-e / kg</v>
      </c>
      <c r="J199" s="155">
        <f>Table_Scope3_Packaging[[#This Row],[Quantity]]*Table_Scope3_Packaging[[#This Row],[AusLCI Emissions intensity]]</f>
        <v>111311736</v>
      </c>
      <c r="K199" s="155">
        <f>Table_Scope3_Packaging[[#This Row],[Quantity]]*IF(Table_Scope3_Packaging[[#This Row],[Custom emissions intensity]], Table_Scope3_Packaging[[#This Row],[Custom emissions intensity]], Table_Scope3_Packaging[[#This Row],[AusLCI Emissions intensity]])</f>
        <v>111311736</v>
      </c>
      <c r="L199" s="173"/>
      <c r="M199" s="174"/>
      <c r="N199" s="173"/>
      <c r="O199" s="155" cm="1">
        <f t="array" ref="O199">Common_InputFunctions.Utility_LookupValueInTableNumber(Table_Scope3_Packaging[[#This Row],[Custom emissions intensity source type (Select)]],#REF!,#REF!)</f>
        <v>0</v>
      </c>
      <c r="P199" s="14"/>
      <c r="Q199" s="14"/>
    </row>
    <row r="200" spans="3:19" ht="20.100000000000001" customHeight="1" x14ac:dyDescent="0.25">
      <c r="C200" s="14"/>
      <c r="D200" s="14"/>
      <c r="E200" s="14"/>
      <c r="F200" s="14"/>
      <c r="G200" s="14"/>
      <c r="H200" s="14"/>
      <c r="I200" s="14"/>
      <c r="J200" s="14"/>
      <c r="K200" s="14"/>
      <c r="L200" s="14"/>
      <c r="M200" s="14"/>
      <c r="N200" s="14"/>
      <c r="O200" s="14"/>
      <c r="P200" s="14"/>
      <c r="Q200" s="14"/>
    </row>
    <row r="201" spans="3:19" ht="20.100000000000001" customHeight="1" x14ac:dyDescent="0.35">
      <c r="C201" s="14"/>
      <c r="D201" s="161" t="s">
        <v>345</v>
      </c>
      <c r="E201" s="162"/>
      <c r="F201" s="163"/>
      <c r="G201" s="161">
        <f>SUM(Table_Scope3_Packaging[Scope 3 emissions exc. custom (t CO2-e)])</f>
        <v>251666692</v>
      </c>
      <c r="H201" s="164" t="s">
        <v>320</v>
      </c>
      <c r="I201" s="14"/>
      <c r="J201" s="14"/>
      <c r="K201" s="14"/>
      <c r="L201" s="14"/>
      <c r="M201" s="14"/>
      <c r="N201" s="14"/>
      <c r="O201" s="14"/>
      <c r="P201" s="14"/>
      <c r="Q201" s="14"/>
    </row>
    <row r="202" spans="3:19" ht="20.100000000000001" customHeight="1" x14ac:dyDescent="0.25">
      <c r="C202" s="14"/>
      <c r="D202" s="165" t="s">
        <v>346</v>
      </c>
      <c r="E202" s="166"/>
      <c r="F202" s="166"/>
      <c r="G202" s="165">
        <f>SUM(Table_Scope3_Packaging[Scope 3 emissions inc. custom (t CO2-e)2])</f>
        <v>251666692</v>
      </c>
      <c r="H202" s="164" t="s">
        <v>320</v>
      </c>
      <c r="I202" s="14"/>
      <c r="J202" s="14"/>
      <c r="K202" s="14"/>
      <c r="L202" s="14"/>
      <c r="M202" s="14"/>
      <c r="N202" s="14"/>
      <c r="O202" s="14"/>
      <c r="P202" s="14"/>
      <c r="Q202" s="14"/>
    </row>
    <row r="203" spans="3:19" ht="20.100000000000001" customHeight="1" x14ac:dyDescent="0.25">
      <c r="C203" s="14"/>
      <c r="D203" s="14"/>
      <c r="E203" s="14"/>
      <c r="F203" s="14"/>
      <c r="G203" s="14"/>
      <c r="H203" s="14"/>
      <c r="I203" s="14"/>
      <c r="J203" s="14"/>
      <c r="K203" s="14"/>
      <c r="L203" s="14"/>
      <c r="M203" s="14"/>
      <c r="N203" s="14"/>
      <c r="O203" s="14"/>
      <c r="P203" s="14"/>
      <c r="Q203" s="14"/>
    </row>
    <row r="204" spans="3:19" ht="20.100000000000001" customHeight="1" x14ac:dyDescent="0.25">
      <c r="C204" s="14"/>
      <c r="D204" s="14"/>
      <c r="E204" s="14"/>
      <c r="F204" s="14"/>
      <c r="G204" s="14"/>
      <c r="H204" s="14"/>
      <c r="I204" s="14"/>
      <c r="J204" s="14"/>
      <c r="K204" s="14"/>
      <c r="L204" s="14"/>
      <c r="M204" s="14"/>
      <c r="N204" s="14"/>
      <c r="O204" s="14"/>
      <c r="P204" s="14"/>
      <c r="Q204" s="14"/>
    </row>
    <row r="205" spans="3:19" ht="20.100000000000001" customHeight="1" x14ac:dyDescent="0.25">
      <c r="C205" s="14"/>
      <c r="D205" s="9" t="str" cm="1">
        <f t="array" ref="D205">Scope3_SourceData.Scope3_CleaningChemicals_Title()</f>
        <v>Cleaning chemicals scope 3</v>
      </c>
      <c r="E205" s="14"/>
      <c r="F205" s="14"/>
      <c r="G205" s="14"/>
      <c r="H205" s="14"/>
      <c r="I205" s="14"/>
      <c r="J205" s="14"/>
      <c r="K205" s="14"/>
      <c r="L205" s="14"/>
      <c r="M205" s="14"/>
      <c r="N205" s="14"/>
      <c r="O205" s="14"/>
      <c r="P205" s="14"/>
      <c r="Q205" s="14"/>
    </row>
    <row r="206" spans="3:19" ht="20.100000000000001" customHeight="1" x14ac:dyDescent="0.25">
      <c r="C206" s="14"/>
      <c r="D206" s="11" t="str" cm="1">
        <f t="array" ref="D206">Scope3_SourceData.Scope3_CleaningChemicals_Source()</f>
        <v>Lifecycles. (2026). Greenhouse Gas Emission Intensities for Material Inputs to Australian Agriculture, Fisheries and Forestry. Version 48. doi 10.5281/zenodo.19656580</v>
      </c>
      <c r="E206" s="14"/>
      <c r="F206" s="14"/>
      <c r="G206" s="14"/>
      <c r="H206" s="14"/>
      <c r="I206" s="14"/>
      <c r="J206" s="14"/>
      <c r="K206" s="14"/>
      <c r="L206" s="14"/>
      <c r="M206" s="14"/>
      <c r="N206" s="14"/>
      <c r="O206" s="14"/>
      <c r="P206" s="14"/>
      <c r="Q206" s="14"/>
    </row>
    <row r="207" spans="3:19" ht="20.100000000000001" customHeight="1" x14ac:dyDescent="0.25">
      <c r="C207" s="14"/>
      <c r="D207" s="14"/>
      <c r="E207" s="14"/>
      <c r="F207" s="14"/>
      <c r="G207" s="14"/>
      <c r="H207" s="14"/>
      <c r="I207" s="14"/>
      <c r="J207" s="14"/>
      <c r="K207" s="14"/>
      <c r="L207" s="14"/>
      <c r="M207" s="14"/>
      <c r="N207" s="14"/>
      <c r="O207" s="14"/>
      <c r="P207" s="14"/>
      <c r="Q207" s="14"/>
    </row>
    <row r="208" spans="3:19" ht="20.100000000000001" customHeight="1" x14ac:dyDescent="0.25">
      <c r="C208" s="14"/>
      <c r="D208" s="60" t="s">
        <v>423</v>
      </c>
      <c r="E208" s="60" t="s">
        <v>222</v>
      </c>
      <c r="F208" s="60" t="s">
        <v>424</v>
      </c>
      <c r="G208" s="60" t="s">
        <v>304</v>
      </c>
      <c r="H208" s="168" t="s">
        <v>358</v>
      </c>
      <c r="I208" s="168" t="s">
        <v>306</v>
      </c>
      <c r="J208" s="169" t="s">
        <v>307</v>
      </c>
      <c r="K208" s="168" t="s">
        <v>308</v>
      </c>
      <c r="L208" s="168" t="s">
        <v>323</v>
      </c>
      <c r="M208" s="168" t="s">
        <v>309</v>
      </c>
      <c r="N208" s="169" t="s">
        <v>310</v>
      </c>
      <c r="O208" s="169" t="s">
        <v>311</v>
      </c>
      <c r="P208" s="169" t="s">
        <v>312</v>
      </c>
      <c r="Q208" s="168" t="s">
        <v>313</v>
      </c>
      <c r="R208" s="14"/>
      <c r="S208" s="14"/>
    </row>
    <row r="209" spans="3:19" ht="20.100000000000001" customHeight="1" x14ac:dyDescent="0.25">
      <c r="C209" s="14"/>
      <c r="D209" s="14" t="str" cm="1">
        <f t="array" ref="D209">Common_InputFunctions.Utility_DisplayArrayInTable(Scope3_SourceData.Scope3_CleaningChemicals_Data(), Table_Scope3_CleaningChemicals[[#Headers],[Category]], 0, 2)</f>
        <v>Cleaning chemicals</v>
      </c>
      <c r="E209" s="14" t="str" cm="1">
        <f t="array" ref="E209">Common_InputFunctions.Utility_DisplayArrayInTable(Scope3_SourceData.Scope3_CleaningChemicals_Data(), Table_Scope3_CleaningChemicals[[#Headers],[Category]], 0, 2)</f>
        <v>Alkaline cleaner</v>
      </c>
      <c r="F209" s="14" t="str" cm="1">
        <f t="array" ref="F209">Common_InputFunctions.Utility_DisplayArrayInTable(Scope3_SourceData.Scope3_CleaningChemicals_Data(), Table_Scope3_CleaningChemicals[[#Headers],[Category]], 0, 2)</f>
        <v>Global</v>
      </c>
      <c r="G209" s="172" cm="1">
        <f t="array" ref="G209">Common_InputFunctions.Utility_SumQuantityFromCriteria(Table_Scope3_CleaningChemicals[[#This Row],[Product]],Table_Input_CleaningChemicals[Type (select)],Table_Input_CleaningChemicals[Quantity purchased (kg)])</f>
        <v>200</v>
      </c>
      <c r="H209" s="14" t="str" cm="1">
        <f t="array" ref="H209">Common_InputFunctions.Utility_DisplayArrayInTable(Scope3_SourceData.Scope3_CleaningChemicals_Data(), Table_Scope3_CleaningChemicals[[#Headers],[Category]], 0, 1)</f>
        <v>kg</v>
      </c>
      <c r="I209" s="14" cm="1">
        <f t="array" ref="I209">Common_InputFunctions.Utility_DisplayArrayInTable(Scope3_SourceData.Scope3_CleaningChemicals_Data(), Table_Scope3_CleaningChemicals[[#Headers],[Category]], 0, 1)</f>
        <v>0.72199999999999998</v>
      </c>
      <c r="J209" s="173">
        <v>0.65</v>
      </c>
      <c r="K209" s="14" t="str">
        <f>"t CO@e / " &amp;Table_Scope3_CleaningChemicals[[#This Row],[Quantity unit]]</f>
        <v>t CO@e / kg</v>
      </c>
      <c r="L209" s="14">
        <f>Table_Scope3_CleaningChemicals[[#This Row],[Quantity]]*Table_Scope3_CleaningChemicals[[#This Row],[AusLCI Emissions intensity]]</f>
        <v>144.4</v>
      </c>
      <c r="M209" s="155">
        <f>Table_Scope3_CleaningChemicals[[#This Row],[Quantity]]*IF(Table_Scope3_CleaningChemicals[[#This Row],[Custom emissions intensity]], Table_Scope3_CleaningChemicals[[#This Row],[Custom emissions intensity]], Table_Scope3_CleaningChemicals[[#This Row],[AusLCI Emissions intensity]])</f>
        <v>130</v>
      </c>
      <c r="N209" s="173"/>
      <c r="O209" s="48"/>
      <c r="P209" s="173"/>
      <c r="Q209" s="155" cm="1">
        <f t="array" ref="Q209">Common_InputFunctions.Utility_LookupValueInTableNumber(Table_Scope3_CleaningChemicals[[#This Row],[Custom emissions intensity source type (Select)]],#REF!,#REF!)</f>
        <v>0</v>
      </c>
      <c r="R209" s="14"/>
      <c r="S209" s="14"/>
    </row>
    <row r="210" spans="3:19" ht="20.100000000000001" customHeight="1" x14ac:dyDescent="0.25">
      <c r="C210" s="14"/>
      <c r="D210" s="14" t="str" cm="1">
        <f t="array" ref="D210">Common_InputFunctions.Utility_DisplayArrayInTable(Scope3_SourceData.Scope3_CleaningChemicals_Data(), Table_Scope3_CleaningChemicals[[#Headers],[Category]], 0, 2)</f>
        <v>Cleaning chemicals</v>
      </c>
      <c r="E210" s="14" t="str" cm="1">
        <f t="array" ref="E210">Common_InputFunctions.Utility_DisplayArrayInTable(Scope3_SourceData.Scope3_CleaningChemicals_Data(), Table_Scope3_CleaningChemicals[[#Headers],[Category]], 0, 2)</f>
        <v>Bleach</v>
      </c>
      <c r="F210" s="14" t="str" cm="1">
        <f t="array" ref="F210">Common_InputFunctions.Utility_DisplayArrayInTable(Scope3_SourceData.Scope3_CleaningChemicals_Data(), Table_Scope3_CleaningChemicals[[#Headers],[Category]], 0, 2)</f>
        <v>Global</v>
      </c>
      <c r="G210" s="172" cm="1">
        <f t="array" ref="G210">Common_InputFunctions.Utility_SumQuantityFromCriteria(Table_Scope3_CleaningChemicals[[#This Row],[Product]],Table_Input_CleaningChemicals[Type (select)],Table_Input_CleaningChemicals[Quantity purchased (kg)])</f>
        <v>200</v>
      </c>
      <c r="H210" s="14" t="str" cm="1">
        <f t="array" ref="H210">Common_InputFunctions.Utility_DisplayArrayInTable(Scope3_SourceData.Scope3_CleaningChemicals_Data(), Table_Scope3_CleaningChemicals[[#Headers],[Category]], 0, 1)</f>
        <v>kg</v>
      </c>
      <c r="I210" s="14" cm="1">
        <f t="array" ref="I210">Common_InputFunctions.Utility_DisplayArrayInTable(Scope3_SourceData.Scope3_CleaningChemicals_Data(), Table_Scope3_CleaningChemicals[[#Headers],[Category]], 0, 1)</f>
        <v>0.80400000000000005</v>
      </c>
      <c r="J210" s="173"/>
      <c r="K210" s="14" t="str">
        <f>"t CO@e / " &amp;Table_Scope3_CleaningChemicals[[#This Row],[Quantity unit]]</f>
        <v>t CO@e / kg</v>
      </c>
      <c r="L210" s="14">
        <f>Table_Scope3_CleaningChemicals[[#This Row],[Quantity]]*Table_Scope3_CleaningChemicals[[#This Row],[AusLCI Emissions intensity]]</f>
        <v>160.80000000000001</v>
      </c>
      <c r="M210" s="155">
        <f>Table_Scope3_CleaningChemicals[[#This Row],[Quantity]]*IF(Table_Scope3_CleaningChemicals[[#This Row],[Custom emissions intensity]], Table_Scope3_CleaningChemicals[[#This Row],[Custom emissions intensity]], Table_Scope3_CleaningChemicals[[#This Row],[AusLCI Emissions intensity]])</f>
        <v>160.80000000000001</v>
      </c>
      <c r="N210" s="173"/>
      <c r="O210" s="48"/>
      <c r="P210" s="173"/>
      <c r="Q210" s="155" cm="1">
        <f t="array" ref="Q210">Common_InputFunctions.Utility_LookupValueInTableNumber(Table_Scope3_CleaningChemicals[[#This Row],[Custom emissions intensity source type (Select)]],#REF!,#REF!)</f>
        <v>0</v>
      </c>
      <c r="R210" s="14"/>
      <c r="S210" s="14"/>
    </row>
    <row r="211" spans="3:19" ht="20.100000000000001" customHeight="1" x14ac:dyDescent="0.25">
      <c r="C211" s="14"/>
      <c r="D211" s="14" t="str" cm="1">
        <f t="array" ref="D211">Common_InputFunctions.Utility_DisplayArrayInTable(Scope3_SourceData.Scope3_CleaningChemicals_Data(), Table_Scope3_CleaningChemicals[[#Headers],[Category]], 0, 2)</f>
        <v>Cleaning chemicals</v>
      </c>
      <c r="E211" s="14" t="str" cm="1">
        <f t="array" ref="E211">Common_InputFunctions.Utility_DisplayArrayInTable(Scope3_SourceData.Scope3_CleaningChemicals_Data(), Table_Scope3_CleaningChemicals[[#Headers],[Category]], 0, 2)</f>
        <v>Phosphoric acid</v>
      </c>
      <c r="F211" s="14" t="str" cm="1">
        <f t="array" ref="F211">Common_InputFunctions.Utility_DisplayArrayInTable(Scope3_SourceData.Scope3_CleaningChemicals_Data(), Table_Scope3_CleaningChemicals[[#Headers],[Category]], 0, 2)</f>
        <v>Global</v>
      </c>
      <c r="G211" s="172" cm="1">
        <f t="array" ref="G211">Common_InputFunctions.Utility_SumQuantityFromCriteria(Table_Scope3_CleaningChemicals[[#This Row],[Product]],Table_Input_CleaningChemicals[Type (select)],Table_Input_CleaningChemicals[Quantity purchased (kg)])</f>
        <v>200</v>
      </c>
      <c r="H211" s="14" t="str" cm="1">
        <f t="array" ref="H211">Common_InputFunctions.Utility_DisplayArrayInTable(Scope3_SourceData.Scope3_CleaningChemicals_Data(), Table_Scope3_CleaningChemicals[[#Headers],[Category]], 0, 1)</f>
        <v>kg</v>
      </c>
      <c r="I211" s="14" cm="1">
        <f t="array" ref="I211">Common_InputFunctions.Utility_DisplayArrayInTable(Scope3_SourceData.Scope3_CleaningChemicals_Data(), Table_Scope3_CleaningChemicals[[#Headers],[Category]], 0, 1)</f>
        <v>0.90700000000000003</v>
      </c>
      <c r="J211" s="173"/>
      <c r="K211" s="14" t="str">
        <f>"t CO@e / " &amp;Table_Scope3_CleaningChemicals[[#This Row],[Quantity unit]]</f>
        <v>t CO@e / kg</v>
      </c>
      <c r="L211" s="14">
        <f>Table_Scope3_CleaningChemicals[[#This Row],[Quantity]]*Table_Scope3_CleaningChemicals[[#This Row],[AusLCI Emissions intensity]]</f>
        <v>181.4</v>
      </c>
      <c r="M211" s="155">
        <f>Table_Scope3_CleaningChemicals[[#This Row],[Quantity]]*IF(Table_Scope3_CleaningChemicals[[#This Row],[Custom emissions intensity]], Table_Scope3_CleaningChemicals[[#This Row],[Custom emissions intensity]], Table_Scope3_CleaningChemicals[[#This Row],[AusLCI Emissions intensity]])</f>
        <v>181.4</v>
      </c>
      <c r="N211" s="173"/>
      <c r="O211" s="48"/>
      <c r="P211" s="173"/>
      <c r="Q211" s="155" cm="1">
        <f t="array" ref="Q211">Common_InputFunctions.Utility_LookupValueInTableNumber(Table_Scope3_CleaningChemicals[[#This Row],[Custom emissions intensity source type (Select)]],#REF!,#REF!)</f>
        <v>0</v>
      </c>
      <c r="R211" s="14"/>
      <c r="S211" s="14"/>
    </row>
    <row r="212" spans="3:19" ht="20.100000000000001" customHeight="1" x14ac:dyDescent="0.25">
      <c r="C212" s="14"/>
      <c r="D212" s="14"/>
      <c r="E212" s="14"/>
      <c r="F212" s="14"/>
      <c r="G212" s="14"/>
      <c r="H212" s="14"/>
      <c r="I212" s="14"/>
      <c r="J212" s="14"/>
      <c r="K212" s="14"/>
      <c r="L212" s="14"/>
      <c r="M212" s="14"/>
      <c r="N212" s="14"/>
      <c r="O212" s="14"/>
      <c r="P212" s="14"/>
      <c r="Q212" s="14"/>
    </row>
    <row r="213" spans="3:19" ht="20.100000000000001" customHeight="1" x14ac:dyDescent="0.35">
      <c r="C213" s="14"/>
      <c r="D213" s="161" t="s">
        <v>347</v>
      </c>
      <c r="E213" s="162"/>
      <c r="F213" s="163"/>
      <c r="G213" s="161">
        <f>SUM(Table_Scope3_CleaningChemicals[Scope 3 emissions exc. custom (t CO2-e)])</f>
        <v>486.6</v>
      </c>
      <c r="H213" s="164" t="s">
        <v>320</v>
      </c>
      <c r="I213" s="14"/>
      <c r="J213" s="14"/>
      <c r="K213" s="14"/>
      <c r="L213" s="14"/>
      <c r="M213" s="14"/>
      <c r="N213" s="14"/>
      <c r="O213" s="14"/>
      <c r="P213" s="14"/>
      <c r="Q213" s="14"/>
    </row>
    <row r="214" spans="3:19" ht="20.100000000000001" customHeight="1" x14ac:dyDescent="0.25">
      <c r="C214" s="14"/>
      <c r="D214" s="165" t="s">
        <v>348</v>
      </c>
      <c r="E214" s="166"/>
      <c r="F214" s="166"/>
      <c r="G214" s="165">
        <f>SUM(Table_Scope3_CleaningChemicals[Scope 3 emissions inc. custom (t CO2-e)2])</f>
        <v>472.20000000000005</v>
      </c>
      <c r="H214" s="164" t="s">
        <v>320</v>
      </c>
      <c r="I214" s="14"/>
      <c r="J214" s="14"/>
      <c r="K214" s="14"/>
      <c r="L214" s="14"/>
      <c r="M214" s="14"/>
      <c r="N214" s="14"/>
      <c r="O214" s="14"/>
      <c r="P214" s="14"/>
      <c r="Q214" s="14"/>
    </row>
    <row r="215" spans="3:19" ht="20.100000000000001" customHeight="1" x14ac:dyDescent="0.25">
      <c r="C215" s="14"/>
      <c r="D215" s="14"/>
      <c r="E215" s="14"/>
      <c r="F215" s="14"/>
      <c r="G215" s="14"/>
      <c r="H215" s="14"/>
      <c r="I215" s="14"/>
      <c r="J215" s="14"/>
      <c r="K215" s="14"/>
      <c r="L215" s="14"/>
      <c r="M215" s="14"/>
      <c r="N215" s="14"/>
      <c r="O215" s="14"/>
      <c r="P215" s="14"/>
      <c r="Q215" s="14"/>
    </row>
    <row r="216" spans="3:19" ht="20.100000000000001" customHeight="1" x14ac:dyDescent="0.25">
      <c r="C216" s="14"/>
      <c r="D216" s="14"/>
      <c r="E216" s="14"/>
      <c r="F216" s="14"/>
      <c r="G216" s="14"/>
      <c r="H216" s="14"/>
      <c r="I216" s="14"/>
      <c r="J216" s="14"/>
      <c r="K216" s="14"/>
      <c r="L216" s="14"/>
      <c r="M216" s="14"/>
      <c r="N216" s="14"/>
      <c r="O216" s="14"/>
      <c r="P216" s="14"/>
      <c r="Q216" s="14"/>
    </row>
    <row r="217" spans="3:19" ht="20.100000000000001" customHeight="1" x14ac:dyDescent="0.25"/>
    <row r="218" spans="3:19" ht="20.100000000000001" customHeight="1" x14ac:dyDescent="0.25"/>
    <row r="219" spans="3:19" ht="20.100000000000001" customHeight="1" x14ac:dyDescent="0.25"/>
    <row r="220" spans="3:19" ht="20.100000000000001" customHeight="1" x14ac:dyDescent="0.25"/>
    <row r="221" spans="3:19" ht="20.100000000000001" customHeight="1" x14ac:dyDescent="0.25"/>
    <row r="222" spans="3:19" ht="20.100000000000001" customHeight="1" x14ac:dyDescent="0.25"/>
    <row r="223" spans="3:19" ht="20.100000000000001" customHeight="1" x14ac:dyDescent="0.25"/>
    <row r="224" spans="3:19" ht="20.100000000000001" customHeight="1" x14ac:dyDescent="0.25"/>
    <row r="225" spans="3:17" ht="20.100000000000001" customHeight="1" x14ac:dyDescent="0.25"/>
    <row r="226" spans="3:17" ht="20.100000000000001" customHeight="1" x14ac:dyDescent="0.25"/>
    <row r="227" spans="3:17" ht="20.100000000000001" customHeight="1" x14ac:dyDescent="0.25"/>
    <row r="228" spans="3:17" ht="20.100000000000001" customHeight="1" x14ac:dyDescent="0.25">
      <c r="C228" s="14"/>
      <c r="D228" s="9" t="str" cm="1">
        <f t="array" ref="D228">Scope3_SourceData.Scope3_SeedsAndSeedlings_Title()</f>
        <v>Seeds and Seedlings scope 3</v>
      </c>
      <c r="E228" s="14"/>
      <c r="F228" s="14"/>
      <c r="G228" s="14"/>
      <c r="H228" s="14"/>
      <c r="I228" s="14"/>
      <c r="J228" s="14"/>
      <c r="K228" s="14"/>
      <c r="L228" s="14"/>
      <c r="M228" s="14"/>
      <c r="N228" s="14"/>
      <c r="O228" s="14"/>
      <c r="P228" s="14"/>
      <c r="Q228" s="14"/>
    </row>
    <row r="229" spans="3:17" ht="20.100000000000001" customHeight="1" x14ac:dyDescent="0.25">
      <c r="C229" s="14"/>
      <c r="D229" s="11" t="str" cm="1">
        <f t="array" ref="D229">Scope3_SourceData.Scope3_SeedsAndSeedlings_Source()</f>
        <v>Lifecycles. (2026). Greenhouse Gas Emission Intensities for Material Inputs to Australian Agriculture, Fisheries and Forestry. Version 48. doi 10.5281/zenodo.19656580</v>
      </c>
      <c r="E229" s="14"/>
      <c r="F229" s="14"/>
      <c r="G229" s="14"/>
      <c r="H229" s="14"/>
      <c r="I229" s="14"/>
      <c r="J229" s="14"/>
      <c r="K229" s="14"/>
      <c r="L229" s="14"/>
      <c r="M229" s="14"/>
      <c r="N229" s="14"/>
      <c r="O229" s="14"/>
      <c r="P229" s="14"/>
      <c r="Q229" s="14"/>
    </row>
    <row r="230" spans="3:17" ht="20.100000000000001" customHeight="1" x14ac:dyDescent="0.25">
      <c r="C230" s="14"/>
      <c r="D230" s="14"/>
      <c r="E230" s="14"/>
      <c r="F230" s="14"/>
      <c r="G230" s="14"/>
      <c r="H230" s="14"/>
      <c r="I230" s="14"/>
      <c r="J230" s="14"/>
      <c r="K230" s="14"/>
      <c r="L230" s="14"/>
      <c r="M230" s="14"/>
      <c r="N230" s="14"/>
      <c r="O230" s="14"/>
      <c r="P230" s="14"/>
      <c r="Q230" s="14"/>
    </row>
    <row r="231" spans="3:17" ht="20.100000000000001" customHeight="1" x14ac:dyDescent="0.25">
      <c r="C231" s="14"/>
      <c r="D231" s="168" t="s">
        <v>349</v>
      </c>
      <c r="E231" s="168" t="s">
        <v>304</v>
      </c>
      <c r="F231" s="168" t="s">
        <v>305</v>
      </c>
      <c r="G231" s="168" t="s">
        <v>306</v>
      </c>
      <c r="H231" s="169" t="s">
        <v>307</v>
      </c>
      <c r="I231" s="168" t="s">
        <v>308</v>
      </c>
      <c r="J231" s="168" t="s">
        <v>323</v>
      </c>
      <c r="K231" s="168" t="s">
        <v>309</v>
      </c>
      <c r="L231" s="169" t="s">
        <v>310</v>
      </c>
      <c r="M231" s="169" t="s">
        <v>311</v>
      </c>
      <c r="N231" s="169" t="s">
        <v>312</v>
      </c>
      <c r="O231" s="168" t="s">
        <v>313</v>
      </c>
      <c r="P231" s="14"/>
      <c r="Q231" s="14"/>
    </row>
    <row r="232" spans="3:17" ht="20.100000000000001" customHeight="1" x14ac:dyDescent="0.25">
      <c r="C232" s="14"/>
      <c r="D232" s="14" t="str" cm="1">
        <f t="array" ref="D232">Common_InputFunctions.Utility_DisplayArrayInTable(Scope3_SourceData.Scope3_SeedsAndSeedlings_Data(), Table_Scope3_SeedsAndSeedlings[[#Headers],[Type]], 0, 2)</f>
        <v>Seed (general crop and pasture)</v>
      </c>
      <c r="E232" s="172">
        <f>'Input - Other Farm Inputs'!E12</f>
        <v>700</v>
      </c>
      <c r="F232" s="14" t="str" cm="1">
        <f t="array" ref="F232">Common_InputFunctions.Utility_DisplayArrayInTable(Scope3_SourceData.Scope3_SeedsAndSeedlings_Data(), Table_Scope3_SeedsAndSeedlings[[#Headers],[Type]], 0, 2)</f>
        <v>t</v>
      </c>
      <c r="G232" s="14" cm="1">
        <f t="array" ref="G232">Common_InputFunctions.Utility_DisplayArrayInTable(Scope3_SourceData.Scope3_SeedsAndSeedlings_Data(), Table_Scope3_SeedsAndSeedlings[[#Headers],[Type]], 0, 2)</f>
        <v>100101</v>
      </c>
      <c r="H232" s="173">
        <v>100</v>
      </c>
      <c r="I232" s="14" t="str" cm="1">
        <f t="array" ref="I232">Common_InputFunctions.Utility_DisplayArrayInTable(Scope3_SourceData.Scope3_SeedsAndSeedlings_Data(), Table_Scope3_SeedsAndSeedlings[[#Headers],[Type]], 0, 2)</f>
        <v>t CO2-e / t</v>
      </c>
      <c r="J232" s="14">
        <f>Table_Scope3_SeedsAndSeedlings[[#This Row],[Quantity]]*Table_Scope3_SeedsAndSeedlings[[#This Row],[AusLCI Emissions intensity]]</f>
        <v>70070700</v>
      </c>
      <c r="K232" s="155">
        <f>Table_Scope3_SeedsAndSeedlings[[#This Row],[Quantity]]*IF(Table_Scope3_SeedsAndSeedlings[[#This Row],[Custom emissions intensity]], Table_Scope3_SeedsAndSeedlings[[#This Row],[Custom emissions intensity]], Table_Scope3_SeedsAndSeedlings[[#This Row],[AusLCI Emissions intensity]])</f>
        <v>70000</v>
      </c>
      <c r="L232" s="173"/>
      <c r="M232" s="48"/>
      <c r="N232" s="173"/>
      <c r="O232" s="155" cm="1">
        <f t="array" ref="O232">Common_InputFunctions.Utility_LookupValueInTableNumber(Table_Scope3_SeedsAndSeedlings[[#This Row],[Custom emissions intensity source type (Select)]],#REF!,#REF!)</f>
        <v>0</v>
      </c>
      <c r="P232" s="14"/>
      <c r="Q232" s="14"/>
    </row>
    <row r="233" spans="3:17" ht="20.100000000000001" customHeight="1" x14ac:dyDescent="0.25">
      <c r="C233" s="14"/>
      <c r="D233" s="14" t="str" cm="1">
        <f t="array" ref="D233">Common_InputFunctions.Utility_DisplayArrayInTable(Scope3_SourceData.Scope3_SeedsAndSeedlings_Data(), Table_Scope3_SeedsAndSeedlings[[#Headers],[Type]], 0, 2)</f>
        <v>Seedlings (forestry, horticulture, environmental)</v>
      </c>
      <c r="E233" s="172">
        <f>'Input - Other Farm Inputs'!E13</f>
        <v>800</v>
      </c>
      <c r="F233" s="14" t="str" cm="1">
        <f t="array" ref="F233">Common_InputFunctions.Utility_DisplayArrayInTable(Scope3_SourceData.Scope3_SeedsAndSeedlings_Data(), Table_Scope3_SeedsAndSeedlings[[#Headers],[Type]], 0, 2)</f>
        <v>Seedling</v>
      </c>
      <c r="G233" s="14" cm="1">
        <f t="array" ref="G233">Common_InputFunctions.Utility_DisplayArrayInTable(Scope3_SourceData.Scope3_SeedsAndSeedlings_Data(), Table_Scope3_SeedsAndSeedlings[[#Headers],[Type]], 0, 2)</f>
        <v>100102</v>
      </c>
      <c r="H233" s="173"/>
      <c r="I233" s="14" t="str" cm="1">
        <f t="array" ref="I233">Common_InputFunctions.Utility_DisplayArrayInTable(Scope3_SourceData.Scope3_SeedsAndSeedlings_Data(), Table_Scope3_SeedsAndSeedlings[[#Headers],[Type]], 0, 2)</f>
        <v>t CO2-e / Seedling</v>
      </c>
      <c r="J233" s="155">
        <f>Table_Scope3_SeedsAndSeedlings[[#This Row],[Quantity]]*Table_Scope3_SeedsAndSeedlings[[#This Row],[AusLCI Emissions intensity]]</f>
        <v>80081600</v>
      </c>
      <c r="K233" s="155">
        <f>Table_Scope3_SeedsAndSeedlings[[#This Row],[Quantity]]*IF(Table_Scope3_SeedsAndSeedlings[[#This Row],[Custom emissions intensity]], Table_Scope3_SeedsAndSeedlings[[#This Row],[Custom emissions intensity]], Table_Scope3_SeedsAndSeedlings[[#This Row],[AusLCI Emissions intensity]])</f>
        <v>80081600</v>
      </c>
      <c r="L233" s="173"/>
      <c r="M233" s="174"/>
      <c r="N233" s="173"/>
      <c r="O233" s="155" cm="1">
        <f t="array" ref="O233">Common_InputFunctions.Utility_LookupValueInTableNumber(Table_Scope3_SeedsAndSeedlings[[#This Row],[Custom emissions intensity source type (Select)]],#REF!,#REF!)</f>
        <v>0</v>
      </c>
      <c r="P233" s="14"/>
      <c r="Q233" s="14"/>
    </row>
    <row r="234" spans="3:17" ht="20.100000000000001" customHeight="1" x14ac:dyDescent="0.25">
      <c r="C234" s="14"/>
      <c r="D234" s="14"/>
      <c r="E234" s="14"/>
      <c r="F234" s="14"/>
      <c r="G234" s="14"/>
      <c r="H234" s="14"/>
      <c r="I234" s="14"/>
      <c r="J234" s="14"/>
      <c r="K234" s="14"/>
      <c r="L234" s="14"/>
      <c r="M234" s="14"/>
      <c r="N234" s="14"/>
      <c r="O234" s="14"/>
      <c r="P234" s="14"/>
      <c r="Q234" s="14"/>
    </row>
    <row r="235" spans="3:17" ht="20.100000000000001" customHeight="1" x14ac:dyDescent="0.35">
      <c r="C235" s="14"/>
      <c r="D235" s="161" t="s">
        <v>350</v>
      </c>
      <c r="E235" s="162"/>
      <c r="F235" s="163"/>
      <c r="G235" s="161">
        <f>SUM(Table_Scope3_SeedsAndSeedlings[Scope 3 emissions exc. custom (t CO2-e)])</f>
        <v>150152300</v>
      </c>
      <c r="H235" s="164" t="s">
        <v>320</v>
      </c>
      <c r="I235" s="14"/>
      <c r="J235" s="14"/>
      <c r="K235" s="14"/>
      <c r="L235" s="14"/>
      <c r="M235" s="14"/>
      <c r="N235" s="14"/>
      <c r="O235" s="14"/>
      <c r="P235" s="14"/>
      <c r="Q235" s="14"/>
    </row>
    <row r="236" spans="3:17" ht="20.100000000000001" customHeight="1" x14ac:dyDescent="0.25">
      <c r="C236" s="14"/>
      <c r="D236" s="165" t="s">
        <v>351</v>
      </c>
      <c r="E236" s="166"/>
      <c r="F236" s="166"/>
      <c r="G236" s="165">
        <f>SUM(Table_Scope3_SeedsAndSeedlings[Scope 3 emissions inc. custom (t CO2-e)2])</f>
        <v>80151600</v>
      </c>
      <c r="H236" s="164" t="s">
        <v>320</v>
      </c>
      <c r="I236" s="14"/>
      <c r="J236" s="14"/>
      <c r="K236" s="14"/>
      <c r="L236" s="14"/>
      <c r="M236" s="14"/>
      <c r="N236" s="14"/>
      <c r="O236" s="14"/>
      <c r="P236" s="14"/>
      <c r="Q236" s="14"/>
    </row>
    <row r="237" spans="3:17" ht="20.100000000000001" customHeight="1" x14ac:dyDescent="0.25">
      <c r="C237" s="14"/>
      <c r="D237" s="14"/>
      <c r="E237" s="14"/>
      <c r="F237" s="14"/>
      <c r="G237" s="14"/>
      <c r="H237" s="14"/>
      <c r="I237" s="14"/>
      <c r="J237" s="14"/>
      <c r="K237" s="14"/>
      <c r="L237" s="14"/>
      <c r="M237" s="14"/>
      <c r="N237" s="14"/>
      <c r="O237" s="14"/>
      <c r="P237" s="14"/>
      <c r="Q237" s="14"/>
    </row>
    <row r="238" spans="3:17" ht="20.100000000000001" customHeight="1" x14ac:dyDescent="0.25">
      <c r="C238" s="14"/>
      <c r="D238" s="14"/>
      <c r="E238" s="14"/>
      <c r="F238" s="14"/>
      <c r="G238" s="14"/>
      <c r="H238" s="14"/>
      <c r="I238" s="14"/>
      <c r="J238" s="14"/>
      <c r="K238" s="14"/>
      <c r="L238" s="14"/>
      <c r="M238" s="14"/>
      <c r="N238" s="14"/>
      <c r="O238" s="14"/>
      <c r="P238" s="14"/>
      <c r="Q238" s="14"/>
    </row>
    <row r="239" spans="3:17" ht="20.100000000000001" customHeight="1" x14ac:dyDescent="0.25">
      <c r="C239" s="14"/>
      <c r="D239" s="9" t="str" cm="1">
        <f t="array" ref="D239">Scope3_SourceData.Scope3_OtherAgriculturalInputs_Title()</f>
        <v>Other agricultural inputs scope 3</v>
      </c>
      <c r="E239" s="14"/>
      <c r="F239" s="14"/>
      <c r="G239" s="14"/>
      <c r="H239" s="14"/>
      <c r="I239" s="14"/>
      <c r="J239" s="14"/>
      <c r="K239" s="14"/>
      <c r="L239" s="14"/>
      <c r="M239" s="14"/>
      <c r="N239" s="14"/>
      <c r="O239" s="14"/>
      <c r="P239" s="14"/>
      <c r="Q239" s="14"/>
    </row>
    <row r="240" spans="3:17" ht="20.100000000000001" customHeight="1" x14ac:dyDescent="0.25">
      <c r="C240" s="14"/>
      <c r="D240" s="11" t="str" cm="1">
        <f t="array" ref="D240">Scope3_SourceData.Scope3_OtherAgriculturalInputs_Source()</f>
        <v>Lifecycles. (2026). Greenhouse Gas Emission Intensities for Material Inputs to Australian Agriculture, Fisheries and Forestry. Version 48. doi 10.5281/zenodo.19656580</v>
      </c>
      <c r="E240" s="14"/>
      <c r="F240" s="14"/>
      <c r="G240" s="14"/>
      <c r="H240" s="14"/>
      <c r="I240" s="14"/>
      <c r="J240" s="14"/>
      <c r="K240" s="14"/>
      <c r="L240" s="14"/>
      <c r="M240" s="14"/>
      <c r="N240" s="14"/>
      <c r="O240" s="14"/>
      <c r="P240" s="14"/>
      <c r="Q240" s="14"/>
    </row>
    <row r="241" spans="3:17" ht="20.100000000000001" customHeight="1" x14ac:dyDescent="0.25">
      <c r="C241" s="14"/>
      <c r="D241" s="14"/>
      <c r="E241" s="14"/>
      <c r="F241" s="14"/>
      <c r="G241" s="14"/>
      <c r="H241" s="14"/>
      <c r="I241" s="14"/>
      <c r="J241" s="14"/>
      <c r="K241" s="14"/>
      <c r="L241" s="14"/>
      <c r="M241" s="14"/>
      <c r="N241" s="14"/>
      <c r="O241" s="14"/>
      <c r="P241" s="14"/>
      <c r="Q241" s="14"/>
    </row>
    <row r="242" spans="3:17" ht="20.100000000000001" customHeight="1" x14ac:dyDescent="0.25">
      <c r="C242" s="14"/>
      <c r="D242" s="168" t="s">
        <v>349</v>
      </c>
      <c r="E242" s="168" t="s">
        <v>304</v>
      </c>
      <c r="F242" s="168" t="s">
        <v>305</v>
      </c>
      <c r="G242" s="168" t="s">
        <v>306</v>
      </c>
      <c r="H242" s="169" t="s">
        <v>307</v>
      </c>
      <c r="I242" s="168" t="s">
        <v>308</v>
      </c>
      <c r="J242" s="168" t="s">
        <v>323</v>
      </c>
      <c r="K242" s="168" t="s">
        <v>309</v>
      </c>
      <c r="L242" s="169" t="s">
        <v>310</v>
      </c>
      <c r="M242" s="169" t="s">
        <v>311</v>
      </c>
      <c r="N242" s="169" t="s">
        <v>312</v>
      </c>
      <c r="O242" s="168" t="s">
        <v>313</v>
      </c>
      <c r="P242" s="14"/>
      <c r="Q242" s="14"/>
    </row>
    <row r="243" spans="3:17" ht="20.100000000000001" customHeight="1" x14ac:dyDescent="0.25">
      <c r="C243" s="14"/>
      <c r="D243" s="14" t="str" cm="1">
        <f t="array" ref="D243">Common_InputFunctions.Utility_DisplayArrayInTable(Scope3_SourceData.Scope3_OtherAgriculturalInputs_Data(), Table_Scope3_OtherInputs[[#Headers],[Type]], 0, 2)</f>
        <v>CO2 for carbonation</v>
      </c>
      <c r="E243" s="172">
        <f>'Input - Other Farm Inputs'!E6</f>
        <v>100</v>
      </c>
      <c r="F243" s="14" t="str" cm="1">
        <f t="array" ref="F243">Common_InputFunctions.Utility_DisplayArrayInTable(Scope3_SourceData.Scope3_OtherAgriculturalInputs_Data(), Table_Scope3_OtherInputs[[#Headers],[Type]], 0, 2)</f>
        <v>t</v>
      </c>
      <c r="G243" s="14" cm="1">
        <f t="array" ref="G243">Common_InputFunctions.Utility_DisplayArrayInTable(Scope3_SourceData.Scope3_OtherAgriculturalInputs_Data(), Table_Scope3_OtherInputs[[#Headers],[Type]], 0, 2)</f>
        <v>120101</v>
      </c>
      <c r="H243" s="173">
        <v>100</v>
      </c>
      <c r="I243" s="14" t="str" cm="1">
        <f t="array" ref="I243">Common_InputFunctions.Utility_DisplayArrayInTable(Scope3_SourceData.Scope3_OtherAgriculturalInputs_Data(), Table_Scope3_OtherInputs[[#Headers],[Type]], 0, 2)</f>
        <v>t CO2-e / t</v>
      </c>
      <c r="J243" s="14">
        <f>Table_Scope3_OtherInputs[[#This Row],[Quantity]]*Table_Scope3_OtherInputs[[#This Row],[AusLCI Emissions intensity]]</f>
        <v>12010100</v>
      </c>
      <c r="K243" s="155">
        <f>Table_Scope3_OtherInputs[[#This Row],[Quantity]]*IF(Table_Scope3_OtherInputs[[#This Row],[Custom emissions intensity]], Table_Scope3_OtherInputs[[#This Row],[Custom emissions intensity]], Table_Scope3_OtherInputs[[#This Row],[AusLCI Emissions intensity]])</f>
        <v>10000</v>
      </c>
      <c r="L243" s="173"/>
      <c r="M243" s="48"/>
      <c r="N243" s="173"/>
      <c r="O243" s="155" cm="1">
        <f t="array" ref="O243">Common_InputFunctions.Utility_LookupValueInTableNumber(Table_Scope3_OtherInputs[[#This Row],[Custom emissions intensity source type (Select)]],#REF!,#REF!)</f>
        <v>0</v>
      </c>
      <c r="P243" s="14"/>
      <c r="Q243" s="14"/>
    </row>
    <row r="244" spans="3:17" ht="20.100000000000001" customHeight="1" x14ac:dyDescent="0.25">
      <c r="C244" s="14"/>
      <c r="D244" s="14" t="str" cm="1">
        <f t="array" ref="D244">Common_InputFunctions.Utility_DisplayArrayInTable(Scope3_SourceData.Scope3_OtherAgriculturalInputs_Data(), Table_Scope3_OtherInputs[[#Headers],[Type]], 0, 2)</f>
        <v>Livestock antibiotics</v>
      </c>
      <c r="E244" s="172">
        <f>'Input - Other Farm Inputs'!E7</f>
        <v>200</v>
      </c>
      <c r="F244" s="14" t="str" cm="1">
        <f t="array" ref="F244">Common_InputFunctions.Utility_DisplayArrayInTable(Scope3_SourceData.Scope3_OtherAgriculturalInputs_Data(), Table_Scope3_OtherInputs[[#Headers],[Type]], 0, 2)</f>
        <v>t</v>
      </c>
      <c r="G244" s="14" cm="1">
        <f t="array" ref="G244">Common_InputFunctions.Utility_DisplayArrayInTable(Scope3_SourceData.Scope3_OtherAgriculturalInputs_Data(), Table_Scope3_OtherInputs[[#Headers],[Type]], 0, 2)</f>
        <v>110102</v>
      </c>
      <c r="H244" s="173"/>
      <c r="I244" s="14" t="str" cm="1">
        <f t="array" ref="I244">Common_InputFunctions.Utility_DisplayArrayInTable(Scope3_SourceData.Scope3_OtherAgriculturalInputs_Data(), Table_Scope3_OtherInputs[[#Headers],[Type]], 0, 2)</f>
        <v>t CO2-e / t</v>
      </c>
      <c r="J244" s="155">
        <f>Table_Scope3_OtherInputs[[#This Row],[Quantity]]*Table_Scope3_OtherInputs[[#This Row],[AusLCI Emissions intensity]]</f>
        <v>22020400</v>
      </c>
      <c r="K244" s="155">
        <f>Table_Scope3_OtherInputs[[#This Row],[Quantity]]*IF(Table_Scope3_OtherInputs[[#This Row],[Custom emissions intensity]], Table_Scope3_OtherInputs[[#This Row],[Custom emissions intensity]], Table_Scope3_OtherInputs[[#This Row],[AusLCI Emissions intensity]])</f>
        <v>22020400</v>
      </c>
      <c r="L244" s="173"/>
      <c r="M244" s="48"/>
      <c r="N244" s="173"/>
      <c r="O244" s="155" cm="1">
        <f t="array" ref="O244">Common_InputFunctions.Utility_LookupValueInTableNumber(Table_Scope3_OtherInputs[[#This Row],[Custom emissions intensity source type (Select)]],#REF!,#REF!)</f>
        <v>0</v>
      </c>
      <c r="P244" s="14"/>
      <c r="Q244" s="14"/>
    </row>
    <row r="245" spans="3:17" ht="20.100000000000001" customHeight="1" x14ac:dyDescent="0.25">
      <c r="C245" s="14"/>
      <c r="D245" s="14" t="str" cm="1">
        <f t="array" ref="D245">Common_InputFunctions.Utility_DisplayArrayInTable(Scope3_SourceData.Scope3_OtherAgriculturalInputs_Data(), Table_Scope3_OtherInputs[[#Headers],[Type]], 0, 2)</f>
        <v>Nylon netting for horticulture</v>
      </c>
      <c r="E245" s="172">
        <f>'Input - Other Farm Inputs'!E8</f>
        <v>300</v>
      </c>
      <c r="F245" s="14" t="str" cm="1">
        <f t="array" ref="F245">Common_InputFunctions.Utility_DisplayArrayInTable(Scope3_SourceData.Scope3_OtherAgriculturalInputs_Data(), Table_Scope3_OtherInputs[[#Headers],[Type]], 0, 2)</f>
        <v>t</v>
      </c>
      <c r="G245" s="14" cm="1">
        <f t="array" ref="G245">Common_InputFunctions.Utility_DisplayArrayInTable(Scope3_SourceData.Scope3_OtherAgriculturalInputs_Data(), Table_Scope3_OtherInputs[[#Headers],[Type]], 0, 2)</f>
        <v>110103</v>
      </c>
      <c r="H245" s="173"/>
      <c r="I245" s="14" t="str" cm="1">
        <f t="array" ref="I245">Common_InputFunctions.Utility_DisplayArrayInTable(Scope3_SourceData.Scope3_OtherAgriculturalInputs_Data(), Table_Scope3_OtherInputs[[#Headers],[Type]], 0, 2)</f>
        <v>t CO2-e / t</v>
      </c>
      <c r="J245" s="155">
        <f>Table_Scope3_OtherInputs[[#This Row],[Quantity]]*Table_Scope3_OtherInputs[[#This Row],[AusLCI Emissions intensity]]</f>
        <v>33030900</v>
      </c>
      <c r="K245" s="155">
        <f>Table_Scope3_OtherInputs[[#This Row],[Quantity]]*IF(Table_Scope3_OtherInputs[[#This Row],[Custom emissions intensity]], Table_Scope3_OtherInputs[[#This Row],[Custom emissions intensity]], Table_Scope3_OtherInputs[[#This Row],[AusLCI Emissions intensity]])</f>
        <v>33030900</v>
      </c>
      <c r="L245" s="173"/>
      <c r="M245" s="48"/>
      <c r="N245" s="173"/>
      <c r="O245" s="155" cm="1">
        <f t="array" ref="O245">Common_InputFunctions.Utility_LookupValueInTableNumber(Table_Scope3_OtherInputs[[#This Row],[Custom emissions intensity source type (Select)]],#REF!,#REF!)</f>
        <v>0</v>
      </c>
      <c r="P245" s="14"/>
      <c r="Q245" s="14"/>
    </row>
    <row r="246" spans="3:17" ht="20.100000000000001" customHeight="1" x14ac:dyDescent="0.25">
      <c r="C246" s="14"/>
      <c r="D246" s="14" t="str" cm="1">
        <f t="array" ref="D246">Common_InputFunctions.Utility_DisplayArrayInTable(Scope3_SourceData.Scope3_OtherAgriculturalInputs_Data(), Table_Scope3_OtherInputs[[#Headers],[Type]], 0, 2)</f>
        <v>Pallets - Wood</v>
      </c>
      <c r="E246" s="172">
        <f>'Input - Other Farm Inputs'!E9</f>
        <v>400</v>
      </c>
      <c r="F246" s="14" t="str" cm="1">
        <f t="array" ref="F246">Common_InputFunctions.Utility_DisplayArrayInTable(Scope3_SourceData.Scope3_OtherAgriculturalInputs_Data(), Table_Scope3_OtherInputs[[#Headers],[Type]], 0, 2)</f>
        <v>t</v>
      </c>
      <c r="G246" s="14" cm="1">
        <f t="array" ref="G246">Common_InputFunctions.Utility_DisplayArrayInTable(Scope3_SourceData.Scope3_OtherAgriculturalInputs_Data(), Table_Scope3_OtherInputs[[#Headers],[Type]], 0, 2)</f>
        <v>110104</v>
      </c>
      <c r="H246" s="173"/>
      <c r="I246" s="14" t="str" cm="1">
        <f t="array" ref="I246">Common_InputFunctions.Utility_DisplayArrayInTable(Scope3_SourceData.Scope3_OtherAgriculturalInputs_Data(), Table_Scope3_OtherInputs[[#Headers],[Type]], 0, 2)</f>
        <v>t CO2-e / t</v>
      </c>
      <c r="J246" s="155">
        <f>Table_Scope3_OtherInputs[[#This Row],[Quantity]]*Table_Scope3_OtherInputs[[#This Row],[AusLCI Emissions intensity]]</f>
        <v>44041600</v>
      </c>
      <c r="K246" s="155">
        <f>Table_Scope3_OtherInputs[[#This Row],[Quantity]]*IF(Table_Scope3_OtherInputs[[#This Row],[Custom emissions intensity]], Table_Scope3_OtherInputs[[#This Row],[Custom emissions intensity]], Table_Scope3_OtherInputs[[#This Row],[AusLCI Emissions intensity]])</f>
        <v>44041600</v>
      </c>
      <c r="L246" s="173"/>
      <c r="M246" s="48"/>
      <c r="N246" s="173"/>
      <c r="O246" s="155" cm="1">
        <f t="array" ref="O246">Common_InputFunctions.Utility_LookupValueInTableNumber(Table_Scope3_OtherInputs[[#This Row],[Custom emissions intensity source type (Select)]],#REF!,#REF!)</f>
        <v>0</v>
      </c>
      <c r="P246" s="14"/>
      <c r="Q246" s="14"/>
    </row>
    <row r="247" spans="3:17" ht="20.100000000000001" customHeight="1" x14ac:dyDescent="0.25">
      <c r="C247" s="14"/>
      <c r="D247" s="14" t="str" cm="1">
        <f t="array" ref="D247">Common_InputFunctions.Utility_DisplayArrayInTable(Scope3_SourceData.Scope3_OtherAgriculturalInputs_Data(), Table_Scope3_OtherInputs[[#Headers],[Type]], 0, 2)</f>
        <v>Pallets - Plastic</v>
      </c>
      <c r="E247" s="172">
        <f>'Input - Other Farm Inputs'!E10</f>
        <v>500</v>
      </c>
      <c r="F247" s="14" t="str" cm="1">
        <f t="array" ref="F247">Common_InputFunctions.Utility_DisplayArrayInTable(Scope3_SourceData.Scope3_OtherAgriculturalInputs_Data(), Table_Scope3_OtherInputs[[#Headers],[Type]], 0, 2)</f>
        <v>t</v>
      </c>
      <c r="G247" s="14" cm="1">
        <f t="array" ref="G247">Common_InputFunctions.Utility_DisplayArrayInTable(Scope3_SourceData.Scope3_OtherAgriculturalInputs_Data(), Table_Scope3_OtherInputs[[#Headers],[Type]], 0, 2)</f>
        <v>110105</v>
      </c>
      <c r="H247" s="173"/>
      <c r="I247" s="14" t="str" cm="1">
        <f t="array" ref="I247">Common_InputFunctions.Utility_DisplayArrayInTable(Scope3_SourceData.Scope3_OtherAgriculturalInputs_Data(), Table_Scope3_OtherInputs[[#Headers],[Type]], 0, 2)</f>
        <v>t CO2-e / t</v>
      </c>
      <c r="J247" s="155">
        <f>Table_Scope3_OtherInputs[[#This Row],[Quantity]]*Table_Scope3_OtherInputs[[#This Row],[AusLCI Emissions intensity]]</f>
        <v>55052500</v>
      </c>
      <c r="K247" s="155">
        <f>Table_Scope3_OtherInputs[[#This Row],[Quantity]]*IF(Table_Scope3_OtherInputs[[#This Row],[Custom emissions intensity]], Table_Scope3_OtherInputs[[#This Row],[Custom emissions intensity]], Table_Scope3_OtherInputs[[#This Row],[AusLCI Emissions intensity]])</f>
        <v>55052500</v>
      </c>
      <c r="L247" s="173"/>
      <c r="M247" s="48"/>
      <c r="N247" s="173"/>
      <c r="O247" s="155" cm="1">
        <f t="array" ref="O247">Common_InputFunctions.Utility_LookupValueInTableNumber(Table_Scope3_OtherInputs[[#This Row],[Custom emissions intensity source type (Select)]],#REF!,#REF!)</f>
        <v>0</v>
      </c>
      <c r="P247" s="14"/>
      <c r="Q247" s="14"/>
    </row>
    <row r="248" spans="3:17" ht="20.100000000000001" customHeight="1" x14ac:dyDescent="0.25">
      <c r="C248" s="14"/>
      <c r="D248" s="14" t="str" cm="1">
        <f t="array" ref="D248">Common_InputFunctions.Utility_DisplayArrayInTable(Scope3_SourceData.Scope3_OtherAgriculturalInputs_Data(), Table_Scope3_OtherInputs[[#Headers],[Type]], 0, 2)</f>
        <v>Livestock tags</v>
      </c>
      <c r="E248" s="172">
        <f>'Input - Other Farm Inputs'!E11</f>
        <v>600</v>
      </c>
      <c r="F248" s="14" t="str" cm="1">
        <f t="array" ref="F248">Common_InputFunctions.Utility_DisplayArrayInTable(Scope3_SourceData.Scope3_OtherAgriculturalInputs_Data(), Table_Scope3_OtherInputs[[#Headers],[Type]], 0, 2)</f>
        <v>t</v>
      </c>
      <c r="G248" s="14" cm="1">
        <f t="array" ref="G248">Common_InputFunctions.Utility_DisplayArrayInTable(Scope3_SourceData.Scope3_OtherAgriculturalInputs_Data(), Table_Scope3_OtherInputs[[#Headers],[Type]], 0, 2)</f>
        <v>110106</v>
      </c>
      <c r="H248" s="173"/>
      <c r="I248" s="14" t="str" cm="1">
        <f t="array" ref="I248">Common_InputFunctions.Utility_DisplayArrayInTable(Scope3_SourceData.Scope3_OtherAgriculturalInputs_Data(), Table_Scope3_OtherInputs[[#Headers],[Type]], 0, 2)</f>
        <v>t CO2-e / t</v>
      </c>
      <c r="J248" s="155">
        <f>Table_Scope3_OtherInputs[[#This Row],[Quantity]]*Table_Scope3_OtherInputs[[#This Row],[AusLCI Emissions intensity]]</f>
        <v>66063600</v>
      </c>
      <c r="K248" s="155">
        <f>Table_Scope3_OtherInputs[[#This Row],[Quantity]]*IF(Table_Scope3_OtherInputs[[#This Row],[Custom emissions intensity]], Table_Scope3_OtherInputs[[#This Row],[Custom emissions intensity]], Table_Scope3_OtherInputs[[#This Row],[AusLCI Emissions intensity]])</f>
        <v>66063600</v>
      </c>
      <c r="L248" s="173"/>
      <c r="M248" s="48"/>
      <c r="N248" s="173"/>
      <c r="O248" s="155" cm="1">
        <f t="array" ref="O248">Common_InputFunctions.Utility_LookupValueInTableNumber(Table_Scope3_OtherInputs[[#This Row],[Custom emissions intensity source type (Select)]],#REF!,#REF!)</f>
        <v>0</v>
      </c>
      <c r="P248" s="14"/>
      <c r="Q248" s="14"/>
    </row>
    <row r="249" spans="3:17" ht="20.100000000000001" customHeight="1" x14ac:dyDescent="0.25">
      <c r="C249" s="14"/>
      <c r="D249" s="14"/>
      <c r="E249" s="14"/>
      <c r="F249" s="14"/>
      <c r="G249" s="14"/>
      <c r="H249" s="14"/>
      <c r="I249" s="14"/>
      <c r="J249" s="14"/>
      <c r="K249" s="14"/>
      <c r="L249" s="14"/>
      <c r="M249" s="14"/>
      <c r="N249" s="14"/>
      <c r="O249" s="14"/>
      <c r="P249" s="14"/>
      <c r="Q249" s="14"/>
    </row>
    <row r="250" spans="3:17" ht="21" x14ac:dyDescent="0.35">
      <c r="C250" s="14"/>
      <c r="D250" s="161" t="s">
        <v>352</v>
      </c>
      <c r="E250" s="162"/>
      <c r="F250" s="163"/>
      <c r="G250" s="161">
        <f>SUM(Table_Scope3_SeedsAndSeedlings[Scope 3 emissions exc. custom (t CO2-e)])</f>
        <v>150152300</v>
      </c>
      <c r="H250" s="164" t="s">
        <v>320</v>
      </c>
      <c r="I250" s="14"/>
      <c r="J250" s="14"/>
      <c r="K250" s="14"/>
      <c r="L250" s="14"/>
      <c r="M250" s="14"/>
      <c r="N250" s="14"/>
      <c r="O250" s="14"/>
      <c r="P250" s="14"/>
      <c r="Q250" s="14"/>
    </row>
    <row r="251" spans="3:17" x14ac:dyDescent="0.25">
      <c r="C251" s="14"/>
      <c r="D251" s="14"/>
      <c r="E251" s="14"/>
      <c r="F251" s="14"/>
      <c r="G251" s="14"/>
      <c r="H251" s="14"/>
      <c r="I251" s="14"/>
      <c r="J251" s="14"/>
      <c r="K251" s="14"/>
      <c r="L251" s="14"/>
      <c r="M251" s="14"/>
      <c r="N251" s="14"/>
      <c r="O251" s="14"/>
      <c r="P251" s="14"/>
      <c r="Q251" s="14"/>
    </row>
    <row r="252" spans="3:17" x14ac:dyDescent="0.25">
      <c r="C252" s="14"/>
      <c r="D252" s="14"/>
      <c r="E252" s="14"/>
      <c r="F252" s="14"/>
      <c r="G252" s="14"/>
      <c r="H252" s="14"/>
      <c r="I252" s="14"/>
      <c r="J252" s="14"/>
      <c r="K252" s="14"/>
      <c r="L252" s="14"/>
      <c r="M252" s="14"/>
      <c r="N252" s="14"/>
      <c r="O252" s="14"/>
      <c r="P252" s="14"/>
      <c r="Q252" s="14"/>
    </row>
  </sheetData>
  <dataValidations disablePrompts="1" count="1">
    <dataValidation type="list" allowBlank="1" showInputMessage="1" showErrorMessage="1" sqref="M112:M116 M126:M130 M140:M142 M152:M167 M177:M184 M243:M248 O209:O211 M194:M199 R9:R33 N43:N52 M232:M233 O62:O102" xr:uid="{EED79F87-0F18-411D-94E0-BF3FA07AB1A0}">
      <formula1>INDIRECT("Table_SourceData_DataScores_Scope3[Data source]")</formula1>
    </dataValidation>
  </dataValidations>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dimension ref="D5:L30"/>
  <sheetViews>
    <sheetView workbookViewId="0">
      <selection activeCell="G22" sqref="G22"/>
    </sheetView>
  </sheetViews>
  <sheetFormatPr defaultRowHeight="15.75" x14ac:dyDescent="0.25"/>
  <cols>
    <col min="4" max="13" width="30.625" customWidth="1"/>
  </cols>
  <sheetData>
    <row r="5" spans="4:12" x14ac:dyDescent="0.25">
      <c r="D5" s="209" t="s">
        <v>423</v>
      </c>
      <c r="E5" s="209" t="s">
        <v>222</v>
      </c>
      <c r="F5" s="209" t="s">
        <v>424</v>
      </c>
      <c r="G5" s="209" t="s">
        <v>303</v>
      </c>
      <c r="H5" s="209" t="s">
        <v>175</v>
      </c>
      <c r="I5" s="209" t="s">
        <v>176</v>
      </c>
      <c r="J5" s="209" t="s">
        <v>304</v>
      </c>
      <c r="K5" s="209" t="s">
        <v>305</v>
      </c>
      <c r="L5" s="209" t="s">
        <v>306</v>
      </c>
    </row>
    <row r="6" spans="4:12" x14ac:dyDescent="0.25">
      <c r="D6" s="210" t="str" cm="1">
        <f t="array" ref="D6">Common_InputFunctions.Utility_DisplayArrayInTable(Scope3_SourceData.Scope3_InorganicFertilisers_Data(), Table_SourceData_Scope3_InorganicFertiliser[[#Headers],[Category]], 0, 2)</f>
        <v>Inorganic fertilisers</v>
      </c>
      <c r="E6" s="210" t="str" cm="1">
        <f t="array" ref="E6">Common_InputFunctions.Utility_DisplayArrayInTable(Scope3_SourceData.Scope3_InorganicFertilisers_Data(), Table_SourceData_Scope3_InorganicFertiliser[[#Headers],[Category]], 0, 2)</f>
        <v>Ammonia, AU market mix</v>
      </c>
      <c r="F6" s="210" t="str" cm="1">
        <f t="array" ref="F6">Common_InputFunctions.Utility_DisplayArrayInTable(Scope3_SourceData.Scope3_InorganicFertilisers_Data(), Table_SourceData_Scope3_InorganicFertiliser[[#Headers],[Category]], 0, 2)</f>
        <v>Global</v>
      </c>
      <c r="G6" s="211" t="str">
        <f>'Constants - Fertiliser'!$D$37</f>
        <v>Ammonia</v>
      </c>
      <c r="H6" s="211"/>
      <c r="I6" s="211" t="str">
        <f>'Constants - Fertiliser'!$V$20</f>
        <v>Global</v>
      </c>
      <c r="J6" s="210"/>
      <c r="K6" s="210" t="str" cm="1">
        <f t="array" ref="K6">Common_InputFunctions.Utility_DisplayArrayInTable(Scope3_SourceData.Scope3_InorganicFertilisers_Data(), Table_SourceData_Scope3_InorganicFertiliser[[#Headers],[Category]], 0, -2)</f>
        <v>kg</v>
      </c>
      <c r="L6" s="210" cm="1">
        <f t="array" ref="L6">Common_InputFunctions.Utility_DisplayArrayInTable(Scope3_SourceData.Scope3_InorganicFertilisers_Data(), Table_SourceData_Scope3_InorganicFertiliser[[#Headers],[Category]], 0, -2)</f>
        <v>2.3199999999999998</v>
      </c>
    </row>
    <row r="7" spans="4:12" x14ac:dyDescent="0.25">
      <c r="D7" s="210" t="str" cm="1">
        <f t="array" ref="D7">Common_InputFunctions.Utility_DisplayArrayInTable(Scope3_SourceData.Scope3_InorganicFertilisers_Data(), Table_SourceData_Scope3_InorganicFertiliser[[#Headers],[Category]], 0, 2)</f>
        <v>Inorganic fertilisers</v>
      </c>
      <c r="E7" s="210" t="str" cm="1">
        <f t="array" ref="E7">Common_InputFunctions.Utility_DisplayArrayInTable(Scope3_SourceData.Scope3_InorganicFertilisers_Data(), Table_SourceData_Scope3_InorganicFertiliser[[#Headers],[Category]], 0, 2)</f>
        <v>Ammonia, Canada</v>
      </c>
      <c r="F7" s="210" t="str" cm="1">
        <f t="array" ref="F7">Common_InputFunctions.Utility_DisplayArrayInTable(Scope3_SourceData.Scope3_InorganicFertilisers_Data(), Table_SourceData_Scope3_InorganicFertiliser[[#Headers],[Category]], 0, 2)</f>
        <v>Canada</v>
      </c>
      <c r="G7" s="211" t="str">
        <f>'Constants - Fertiliser'!$D$37</f>
        <v>Ammonia</v>
      </c>
      <c r="H7" s="211"/>
      <c r="I7" s="211" t="str">
        <f>'Constants - Fertiliser'!$V$21</f>
        <v>Canada</v>
      </c>
      <c r="J7" s="210"/>
      <c r="K7" s="210" t="str" cm="1">
        <f t="array" ref="K7">Common_InputFunctions.Utility_DisplayArrayInTable(Scope3_SourceData.Scope3_InorganicFertilisers_Data(), Table_SourceData_Scope3_InorganicFertiliser[[#Headers],[Category]], 0, -2)</f>
        <v>kg</v>
      </c>
      <c r="L7" s="210" cm="1">
        <f t="array" ref="L7">Common_InputFunctions.Utility_DisplayArrayInTable(Scope3_SourceData.Scope3_InorganicFertilisers_Data(), Table_SourceData_Scope3_InorganicFertiliser[[#Headers],[Category]], 0, -2)</f>
        <v>2.12</v>
      </c>
    </row>
    <row r="8" spans="4:12" x14ac:dyDescent="0.25">
      <c r="D8" s="210" t="str" cm="1">
        <f t="array" ref="D8">Common_InputFunctions.Utility_DisplayArrayInTable(Scope3_SourceData.Scope3_InorganicFertilisers_Data(), Table_SourceData_Scope3_InorganicFertiliser[[#Headers],[Category]], 0, 2)</f>
        <v>Inorganic fertilisers</v>
      </c>
      <c r="E8" s="210" t="str" cm="1">
        <f t="array" ref="E8">Common_InputFunctions.Utility_DisplayArrayInTable(Scope3_SourceData.Scope3_InorganicFertilisers_Data(), Table_SourceData_Scope3_InorganicFertiliser[[#Headers],[Category]], 0, 2)</f>
        <v>Ammonia, China</v>
      </c>
      <c r="F8" s="210" t="str" cm="1">
        <f t="array" ref="F8">Common_InputFunctions.Utility_DisplayArrayInTable(Scope3_SourceData.Scope3_InorganicFertilisers_Data(), Table_SourceData_Scope3_InorganicFertiliser[[#Headers],[Category]], 0, 2)</f>
        <v>China</v>
      </c>
      <c r="G8" s="211" t="str">
        <f>'Constants - Fertiliser'!$D$37</f>
        <v>Ammonia</v>
      </c>
      <c r="H8" s="211"/>
      <c r="I8" s="211" t="str">
        <f>'Constants - Fertiliser'!$V$22</f>
        <v>China</v>
      </c>
      <c r="J8" s="210"/>
      <c r="K8" s="210" t="str" cm="1">
        <f t="array" ref="K8">Common_InputFunctions.Utility_DisplayArrayInTable(Scope3_SourceData.Scope3_InorganicFertilisers_Data(), Table_SourceData_Scope3_InorganicFertiliser[[#Headers],[Category]], 0, -2)</f>
        <v>kg</v>
      </c>
      <c r="L8" s="210" cm="1">
        <f t="array" ref="L8">Common_InputFunctions.Utility_DisplayArrayInTable(Scope3_SourceData.Scope3_InorganicFertilisers_Data(), Table_SourceData_Scope3_InorganicFertiliser[[#Headers],[Category]], 0, -2)</f>
        <v>4.17</v>
      </c>
    </row>
    <row r="9" spans="4:12" x14ac:dyDescent="0.25">
      <c r="D9" s="210" t="str" cm="1">
        <f t="array" ref="D9">Common_InputFunctions.Utility_DisplayArrayInTable(Scope3_SourceData.Scope3_InorganicFertilisers_Data(), Table_SourceData_Scope3_InorganicFertiliser[[#Headers],[Category]], 0, 2)</f>
        <v>Inorganic fertilisers</v>
      </c>
      <c r="E9" s="210" t="str" cm="1">
        <f t="array" ref="E9">Common_InputFunctions.Utility_DisplayArrayInTable(Scope3_SourceData.Scope3_InorganicFertilisers_Data(), Table_SourceData_Scope3_InorganicFertiliser[[#Headers],[Category]], 0, 2)</f>
        <v>Ammonia, Yemen</v>
      </c>
      <c r="F9" s="210" t="str" cm="1">
        <f t="array" ref="F9">Common_InputFunctions.Utility_DisplayArrayInTable(Scope3_SourceData.Scope3_InorganicFertilisers_Data(), Table_SourceData_Scope3_InorganicFertiliser[[#Headers],[Category]], 0, 2)</f>
        <v>Yemen</v>
      </c>
      <c r="G9" s="211" t="str">
        <f>'Constants - Fertiliser'!$D$37</f>
        <v>Ammonia</v>
      </c>
      <c r="H9" s="211"/>
      <c r="I9" s="211" t="str">
        <f>'Constants - Fertiliser'!$V$23</f>
        <v>Yemen</v>
      </c>
      <c r="J9" s="210"/>
      <c r="K9" s="210" t="str" cm="1">
        <f t="array" ref="K9">Common_InputFunctions.Utility_DisplayArrayInTable(Scope3_SourceData.Scope3_InorganicFertilisers_Data(), Table_SourceData_Scope3_InorganicFertiliser[[#Headers],[Category]], 0, -2)</f>
        <v>kg</v>
      </c>
      <c r="L9" s="210" cm="1">
        <f t="array" ref="L9">Common_InputFunctions.Utility_DisplayArrayInTable(Scope3_SourceData.Scope3_InorganicFertilisers_Data(), Table_SourceData_Scope3_InorganicFertiliser[[#Headers],[Category]], 0, -2)</f>
        <v>2.2599999999999998</v>
      </c>
    </row>
    <row r="10" spans="4:12" x14ac:dyDescent="0.25">
      <c r="D10" s="210" t="str" cm="1">
        <f t="array" ref="D10">Common_InputFunctions.Utility_DisplayArrayInTable(Scope3_SourceData.Scope3_InorganicFertilisers_Data(), Table_SourceData_Scope3_InorganicFertiliser[[#Headers],[Category]], 0, 2)</f>
        <v>Inorganic fertilisers</v>
      </c>
      <c r="E10" s="210" t="str" cm="1">
        <f t="array" ref="E10">Common_InputFunctions.Utility_DisplayArrayInTable(Scope3_SourceData.Scope3_InorganicFertilisers_Data(), Table_SourceData_Scope3_InorganicFertiliser[[#Headers],[Category]], 0, 2)</f>
        <v>Ammonium nitrate, AU market mix</v>
      </c>
      <c r="F10" s="210" t="str" cm="1">
        <f t="array" ref="F10">Common_InputFunctions.Utility_DisplayArrayInTable(Scope3_SourceData.Scope3_InorganicFertilisers_Data(), Table_SourceData_Scope3_InorganicFertiliser[[#Headers],[Category]], 0, 2)</f>
        <v>Global</v>
      </c>
      <c r="G10" s="211" t="str">
        <f>'Constants - Fertiliser'!$D$25</f>
        <v>Ammonium nitrate (AN)</v>
      </c>
      <c r="H10" s="211"/>
      <c r="I10" s="211"/>
      <c r="J10" s="210"/>
      <c r="K10" s="210" t="str" cm="1">
        <f t="array" ref="K10">Common_InputFunctions.Utility_DisplayArrayInTable(Scope3_SourceData.Scope3_InorganicFertilisers_Data(), Table_SourceData_Scope3_InorganicFertiliser[[#Headers],[Category]], 0, -2)</f>
        <v>kg</v>
      </c>
      <c r="L10" s="210" cm="1">
        <f t="array" ref="L10">Common_InputFunctions.Utility_DisplayArrayInTable(Scope3_SourceData.Scope3_InorganicFertilisers_Data(), Table_SourceData_Scope3_InorganicFertiliser[[#Headers],[Category]], 0, -2)</f>
        <v>2.21</v>
      </c>
    </row>
    <row r="11" spans="4:12" x14ac:dyDescent="0.25">
      <c r="D11" s="210" t="str" cm="1">
        <f t="array" ref="D11">Common_InputFunctions.Utility_DisplayArrayInTable(Scope3_SourceData.Scope3_InorganicFertilisers_Data(), Table_SourceData_Scope3_InorganicFertiliser[[#Headers],[Category]], 0, 2)</f>
        <v>Inorganic fertilisers</v>
      </c>
      <c r="E11" s="210" t="str" cm="1">
        <f t="array" ref="E11">Common_InputFunctions.Utility_DisplayArrayInTable(Scope3_SourceData.Scope3_InorganicFertilisers_Data(), Table_SourceData_Scope3_InorganicFertiliser[[#Headers],[Category]], 0, 2)</f>
        <v>Calcium ammonium nitrate, AU market mix</v>
      </c>
      <c r="F11" s="210" t="str" cm="1">
        <f t="array" ref="F11">Common_InputFunctions.Utility_DisplayArrayInTable(Scope3_SourceData.Scope3_InorganicFertilisers_Data(), Table_SourceData_Scope3_InorganicFertiliser[[#Headers],[Category]], 0, 2)</f>
        <v>Global</v>
      </c>
      <c r="G11" s="211" t="str">
        <f>'Constants - Fertiliser'!$D$26</f>
        <v>Calcium ammonium nitrate (CAN)</v>
      </c>
      <c r="H11" s="211"/>
      <c r="I11" s="211"/>
      <c r="J11" s="210"/>
      <c r="K11" s="210" t="str" cm="1">
        <f t="array" ref="K11">Common_InputFunctions.Utility_DisplayArrayInTable(Scope3_SourceData.Scope3_InorganicFertilisers_Data(), Table_SourceData_Scope3_InorganicFertiliser[[#Headers],[Category]], 0, -2)</f>
        <v>kg</v>
      </c>
      <c r="L11" s="210" cm="1">
        <f t="array" ref="L11">Common_InputFunctions.Utility_DisplayArrayInTable(Scope3_SourceData.Scope3_InorganicFertilisers_Data(), Table_SourceData_Scope3_InorganicFertiliser[[#Headers],[Category]], 0, -2)</f>
        <v>1.1499999999999999</v>
      </c>
    </row>
    <row r="12" spans="4:12" x14ac:dyDescent="0.25">
      <c r="D12" s="210" t="str" cm="1">
        <f t="array" ref="D12">Common_InputFunctions.Utility_DisplayArrayInTable(Scope3_SourceData.Scope3_InorganicFertilisers_Data(), Table_SourceData_Scope3_InorganicFertiliser[[#Headers],[Category]], 0, 2)</f>
        <v>Inorganic fertilisers</v>
      </c>
      <c r="E12" s="210" t="str" cm="1">
        <f t="array" ref="E12">Common_InputFunctions.Utility_DisplayArrayInTable(Scope3_SourceData.Scope3_InorganicFertilisers_Data(), Table_SourceData_Scope3_InorganicFertiliser[[#Headers],[Category]], 0, 2)</f>
        <v>Calcium nitrate</v>
      </c>
      <c r="F12" s="210" t="str" cm="1">
        <f t="array" ref="F12">Common_InputFunctions.Utility_DisplayArrayInTable(Scope3_SourceData.Scope3_InorganicFertilisers_Data(), Table_SourceData_Scope3_InorganicFertiliser[[#Headers],[Category]], 0, 2)</f>
        <v>Global</v>
      </c>
      <c r="G12" s="211" t="str">
        <f>'Constants - Fertiliser'!$D$38</f>
        <v>Calcium nitrate</v>
      </c>
      <c r="H12" s="211"/>
      <c r="I12" s="211"/>
      <c r="J12" s="210"/>
      <c r="K12" s="210" t="str" cm="1">
        <f t="array" ref="K12">Common_InputFunctions.Utility_DisplayArrayInTable(Scope3_SourceData.Scope3_InorganicFertilisers_Data(), Table_SourceData_Scope3_InorganicFertiliser[[#Headers],[Category]], 0, -2)</f>
        <v>kg</v>
      </c>
      <c r="L12" s="210" cm="1">
        <f t="array" ref="L12">Common_InputFunctions.Utility_DisplayArrayInTable(Scope3_SourceData.Scope3_InorganicFertilisers_Data(), Table_SourceData_Scope3_InorganicFertiliser[[#Headers],[Category]], 0, -2)</f>
        <v>0.75</v>
      </c>
    </row>
    <row r="13" spans="4:12" x14ac:dyDescent="0.25">
      <c r="D13" s="210" t="str" cm="1">
        <f t="array" ref="D13">Common_InputFunctions.Utility_DisplayArrayInTable(Scope3_SourceData.Scope3_InorganicFertilisers_Data(), Table_SourceData_Scope3_InorganicFertiliser[[#Headers],[Category]], 0, 2)</f>
        <v>Inorganic fertilisers</v>
      </c>
      <c r="E13" s="210" t="str" cm="1">
        <f t="array" ref="E13">Common_InputFunctions.Utility_DisplayArrayInTable(Scope3_SourceData.Scope3_InorganicFertilisers_Data(), Table_SourceData_Scope3_InorganicFertiliser[[#Headers],[Category]], 0, 2)</f>
        <v>Diammonium phosphate, AU market mix</v>
      </c>
      <c r="F13" s="210" t="str" cm="1">
        <f t="array" ref="F13">Common_InputFunctions.Utility_DisplayArrayInTable(Scope3_SourceData.Scope3_InorganicFertilisers_Data(), Table_SourceData_Scope3_InorganicFertiliser[[#Headers],[Category]], 0, 2)</f>
        <v>Global</v>
      </c>
      <c r="G13" s="211" t="str">
        <f>'Constants - Fertiliser'!$D$21</f>
        <v>Diammonium phosphate (DAP)</v>
      </c>
      <c r="H13" s="211"/>
      <c r="I13" s="211"/>
      <c r="J13" s="210"/>
      <c r="K13" s="210" t="str" cm="1">
        <f t="array" ref="K13">Common_InputFunctions.Utility_DisplayArrayInTable(Scope3_SourceData.Scope3_InorganicFertilisers_Data(), Table_SourceData_Scope3_InorganicFertiliser[[#Headers],[Category]], 0, -2)</f>
        <v>kg</v>
      </c>
      <c r="L13" s="210" cm="1">
        <f t="array" ref="L13">Common_InputFunctions.Utility_DisplayArrayInTable(Scope3_SourceData.Scope3_InorganicFertilisers_Data(), Table_SourceData_Scope3_InorganicFertiliser[[#Headers],[Category]], 0, -2)</f>
        <v>1.34</v>
      </c>
    </row>
    <row r="14" spans="4:12" x14ac:dyDescent="0.25">
      <c r="D14" s="210" t="str" cm="1">
        <f t="array" ref="D14">Common_InputFunctions.Utility_DisplayArrayInTable(Scope3_SourceData.Scope3_InorganicFertilisers_Data(), Table_SourceData_Scope3_InorganicFertiliser[[#Headers],[Category]], 0, 2)</f>
        <v>Inorganic fertilisers</v>
      </c>
      <c r="E14" s="210" t="str" cm="1">
        <f t="array" ref="E14">Common_InputFunctions.Utility_DisplayArrayInTable(Scope3_SourceData.Scope3_InorganicFertilisers_Data(), Table_SourceData_Scope3_InorganicFertiliser[[#Headers],[Category]], 0, 2)</f>
        <v>Double superphosphate, AU market mix</v>
      </c>
      <c r="F14" s="210" t="str" cm="1">
        <f t="array" ref="F14">Common_InputFunctions.Utility_DisplayArrayInTable(Scope3_SourceData.Scope3_InorganicFertilisers_Data(), Table_SourceData_Scope3_InorganicFertiliser[[#Headers],[Category]], 0, 2)</f>
        <v>Global</v>
      </c>
      <c r="G14" s="211" t="str">
        <f>'Constants - Fertiliser'!$D$35</f>
        <v>Double superphosphate</v>
      </c>
      <c r="H14" s="211"/>
      <c r="I14" s="211"/>
      <c r="J14" s="210"/>
      <c r="K14" s="210" t="str" cm="1">
        <f t="array" ref="K14">Common_InputFunctions.Utility_DisplayArrayInTable(Scope3_SourceData.Scope3_InorganicFertilisers_Data(), Table_SourceData_Scope3_InorganicFertiliser[[#Headers],[Category]], 0, -2)</f>
        <v>kg</v>
      </c>
      <c r="L14" s="210" cm="1">
        <f t="array" ref="L14">Common_InputFunctions.Utility_DisplayArrayInTable(Scope3_SourceData.Scope3_InorganicFertilisers_Data(), Table_SourceData_Scope3_InorganicFertiliser[[#Headers],[Category]], 0, -2)</f>
        <v>0.39200000000000002</v>
      </c>
    </row>
    <row r="15" spans="4:12" x14ac:dyDescent="0.25">
      <c r="D15" s="210" t="str" cm="1">
        <f t="array" ref="D15">Common_InputFunctions.Utility_DisplayArrayInTable(Scope3_SourceData.Scope3_InorganicFertilisers_Data(), Table_SourceData_Scope3_InorganicFertiliser[[#Headers],[Category]], 0, 2)</f>
        <v>Inorganic fertilisers</v>
      </c>
      <c r="E15" s="210" t="str" cm="1">
        <f t="array" ref="E15">Common_InputFunctions.Utility_DisplayArrayInTable(Scope3_SourceData.Scope3_InorganicFertilisers_Data(), Table_SourceData_Scope3_InorganicFertiliser[[#Headers],[Category]], 0, 2)</f>
        <v>Monoammonium phosphate, AU market mix</v>
      </c>
      <c r="F15" s="210" t="str" cm="1">
        <f t="array" ref="F15">Common_InputFunctions.Utility_DisplayArrayInTable(Scope3_SourceData.Scope3_InorganicFertilisers_Data(), Table_SourceData_Scope3_InorganicFertiliser[[#Headers],[Category]], 0, 2)</f>
        <v>Global</v>
      </c>
      <c r="G15" s="211" t="str">
        <f>'Constants - Fertiliser'!$D$20</f>
        <v>Monoammonium phosphate (MAP)</v>
      </c>
      <c r="H15" s="211"/>
      <c r="I15" s="211"/>
      <c r="J15" s="210"/>
      <c r="K15" s="210" t="str" cm="1">
        <f t="array" ref="K15">Common_InputFunctions.Utility_DisplayArrayInTable(Scope3_SourceData.Scope3_InorganicFertilisers_Data(), Table_SourceData_Scope3_InorganicFertiliser[[#Headers],[Category]], 0, -2)</f>
        <v>kg</v>
      </c>
      <c r="L15" s="210" cm="1">
        <f t="array" ref="L15">Common_InputFunctions.Utility_DisplayArrayInTable(Scope3_SourceData.Scope3_InorganicFertilisers_Data(), Table_SourceData_Scope3_InorganicFertiliser[[#Headers],[Category]], 0, -2)</f>
        <v>0.82699999999999996</v>
      </c>
    </row>
    <row r="16" spans="4:12" x14ac:dyDescent="0.25">
      <c r="D16" s="210" t="str" cm="1">
        <f t="array" ref="D16">Common_InputFunctions.Utility_DisplayArrayInTable(Scope3_SourceData.Scope3_InorganicFertilisers_Data(), Table_SourceData_Scope3_InorganicFertiliser[[#Headers],[Category]], 0, 2)</f>
        <v>Inorganic fertilisers</v>
      </c>
      <c r="E16" s="210" t="str" cm="1">
        <f t="array" ref="E16">Common_InputFunctions.Utility_DisplayArrayInTable(Scope3_SourceData.Scope3_InorganicFertilisers_Data(), Table_SourceData_Scope3_InorganicFertiliser[[#Headers],[Category]], 0, 2)</f>
        <v>Muriate of potash, AU market mix</v>
      </c>
      <c r="F16" s="210" t="str" cm="1">
        <f t="array" ref="F16">Common_InputFunctions.Utility_DisplayArrayInTable(Scope3_SourceData.Scope3_InorganicFertilisers_Data(), Table_SourceData_Scope3_InorganicFertiliser[[#Headers],[Category]], 0, 2)</f>
        <v>Global</v>
      </c>
      <c r="G16" s="211" t="str">
        <f>'Constants - Fertiliser'!$D$34</f>
        <v>Muriate of potash (MOP)</v>
      </c>
      <c r="H16" s="211"/>
      <c r="I16" s="211"/>
      <c r="J16" s="210"/>
      <c r="K16" s="210" t="str" cm="1">
        <f t="array" ref="K16">Common_InputFunctions.Utility_DisplayArrayInTable(Scope3_SourceData.Scope3_InorganicFertilisers_Data(), Table_SourceData_Scope3_InorganicFertiliser[[#Headers],[Category]], 0, -2)</f>
        <v>kg</v>
      </c>
      <c r="L16" s="210" cm="1">
        <f t="array" ref="L16">Common_InputFunctions.Utility_DisplayArrayInTable(Scope3_SourceData.Scope3_InorganicFertilisers_Data(), Table_SourceData_Scope3_InorganicFertiliser[[#Headers],[Category]], 0, -2)</f>
        <v>0.54900000000000004</v>
      </c>
    </row>
    <row r="17" spans="4:12" x14ac:dyDescent="0.25">
      <c r="D17" s="210" t="str" cm="1">
        <f t="array" ref="D17">Common_InputFunctions.Utility_DisplayArrayInTable(Scope3_SourceData.Scope3_InorganicFertilisers_Data(), Table_SourceData_Scope3_InorganicFertiliser[[#Headers],[Category]], 0, 2)</f>
        <v>Inorganic fertilisers</v>
      </c>
      <c r="E17" s="210" t="str" cm="1">
        <f t="array" ref="E17">Common_InputFunctions.Utility_DisplayArrayInTable(Scope3_SourceData.Scope3_InorganicFertilisers_Data(), Table_SourceData_Scope3_InorganicFertiliser[[#Headers],[Category]], 0, 2)</f>
        <v>Nitrogen from ammonia, AU market mix</v>
      </c>
      <c r="F17" s="210" t="str" cm="1">
        <f t="array" ref="F17">Common_InputFunctions.Utility_DisplayArrayInTable(Scope3_SourceData.Scope3_InorganicFertilisers_Data(), Table_SourceData_Scope3_InorganicFertiliser[[#Headers],[Category]], 0, 2)</f>
        <v>Global</v>
      </c>
      <c r="G17" s="211" t="str">
        <f>'Constants - Fertiliser'!$D$27</f>
        <v>Nitrogen - Ammoniacal</v>
      </c>
      <c r="H17" s="211"/>
      <c r="I17" s="211"/>
      <c r="J17" s="210"/>
      <c r="K17" s="210" t="str" cm="1">
        <f t="array" ref="K17">Common_InputFunctions.Utility_DisplayArrayInTable(Scope3_SourceData.Scope3_InorganicFertilisers_Data(), Table_SourceData_Scope3_InorganicFertiliser[[#Headers],[Category]], 0, -2)</f>
        <v>kg N</v>
      </c>
      <c r="L17" s="210" cm="1">
        <f t="array" ref="L17">Common_InputFunctions.Utility_DisplayArrayInTable(Scope3_SourceData.Scope3_InorganicFertilisers_Data(), Table_SourceData_Scope3_InorganicFertiliser[[#Headers],[Category]], 0, -2)</f>
        <v>2.83</v>
      </c>
    </row>
    <row r="18" spans="4:12" x14ac:dyDescent="0.25">
      <c r="D18" s="210" t="str" cm="1">
        <f t="array" ref="D18">Common_InputFunctions.Utility_DisplayArrayInTable(Scope3_SourceData.Scope3_InorganicFertilisers_Data(), Table_SourceData_Scope3_InorganicFertiliser[[#Headers],[Category]], 0, 2)</f>
        <v>Inorganic fertilisers</v>
      </c>
      <c r="E18" s="210" t="str" cm="1">
        <f t="array" ref="E18">Common_InputFunctions.Utility_DisplayArrayInTable(Scope3_SourceData.Scope3_InorganicFertilisers_Data(), Table_SourceData_Scope3_InorganicFertiliser[[#Headers],[Category]], 0, 2)</f>
        <v>Nitrogen from fertilizer, AU market mix</v>
      </c>
      <c r="F18" s="210" t="str" cm="1">
        <f t="array" ref="F18">Common_InputFunctions.Utility_DisplayArrayInTable(Scope3_SourceData.Scope3_InorganicFertilisers_Data(), Table_SourceData_Scope3_InorganicFertiliser[[#Headers],[Category]], 0, 2)</f>
        <v>Global</v>
      </c>
      <c r="G18" s="211" t="str">
        <f>'Constants - Fertiliser'!$D$29</f>
        <v>Nitrogen - Generic</v>
      </c>
      <c r="H18" s="211"/>
      <c r="I18" s="211"/>
      <c r="J18" s="210"/>
      <c r="K18" s="210" t="str" cm="1">
        <f t="array" ref="K18">Common_InputFunctions.Utility_DisplayArrayInTable(Scope3_SourceData.Scope3_InorganicFertilisers_Data(), Table_SourceData_Scope3_InorganicFertiliser[[#Headers],[Category]], 0, -2)</f>
        <v>kg N</v>
      </c>
      <c r="L18" s="210" cm="1">
        <f t="array" ref="L18">Common_InputFunctions.Utility_DisplayArrayInTable(Scope3_SourceData.Scope3_InorganicFertilisers_Data(), Table_SourceData_Scope3_InorganicFertiliser[[#Headers],[Category]], 0, -2)</f>
        <v>4.2</v>
      </c>
    </row>
    <row r="19" spans="4:12" x14ac:dyDescent="0.25">
      <c r="D19" s="210" t="str" cm="1">
        <f t="array" ref="D19">Common_InputFunctions.Utility_DisplayArrayInTable(Scope3_SourceData.Scope3_InorganicFertilisers_Data(), Table_SourceData_Scope3_InorganicFertiliser[[#Headers],[Category]], 0, 2)</f>
        <v>Inorganic fertilisers</v>
      </c>
      <c r="E19" s="210" t="str" cm="1">
        <f t="array" ref="E19">Common_InputFunctions.Utility_DisplayArrayInTable(Scope3_SourceData.Scope3_InorganicFertilisers_Data(), Table_SourceData_Scope3_InorganicFertiliser[[#Headers],[Category]], 0, 2)</f>
        <v>Nitrogen from nitrate fertilizer, AU market mix</v>
      </c>
      <c r="F19" s="210" t="str" cm="1">
        <f t="array" ref="F19">Common_InputFunctions.Utility_DisplayArrayInTable(Scope3_SourceData.Scope3_InorganicFertilisers_Data(), Table_SourceData_Scope3_InorganicFertiliser[[#Headers],[Category]], 0, 2)</f>
        <v>Global</v>
      </c>
      <c r="G19" s="211" t="str">
        <f>'Constants - Fertiliser'!$D$28</f>
        <v>Nitrogen - Nitrate</v>
      </c>
      <c r="H19" s="211"/>
      <c r="I19" s="211"/>
      <c r="J19" s="210"/>
      <c r="K19" s="210" t="str" cm="1">
        <f t="array" ref="K19">Common_InputFunctions.Utility_DisplayArrayInTable(Scope3_SourceData.Scope3_InorganicFertilisers_Data(), Table_SourceData_Scope3_InorganicFertiliser[[#Headers],[Category]], 0, -2)</f>
        <v>kg N</v>
      </c>
      <c r="L19" s="210" cm="1">
        <f t="array" ref="L19">Common_InputFunctions.Utility_DisplayArrayInTable(Scope3_SourceData.Scope3_InorganicFertilisers_Data(), Table_SourceData_Scope3_InorganicFertiliser[[#Headers],[Category]], 0, -2)</f>
        <v>5.47</v>
      </c>
    </row>
    <row r="20" spans="4:12" x14ac:dyDescent="0.25">
      <c r="D20" s="210" t="str" cm="1">
        <f t="array" ref="D20">Common_InputFunctions.Utility_DisplayArrayInTable(Scope3_SourceData.Scope3_InorganicFertilisers_Data(), Table_SourceData_Scope3_InorganicFertiliser[[#Headers],[Category]], 0, 2)</f>
        <v>Inorganic fertilisers</v>
      </c>
      <c r="E20" s="210" t="str" cm="1">
        <f t="array" ref="E20">Common_InputFunctions.Utility_DisplayArrayInTable(Scope3_SourceData.Scope3_InorganicFertilisers_Data(), Table_SourceData_Scope3_InorganicFertiliser[[#Headers],[Category]], 0, 2)</f>
        <v>Phosphorus from fertilizer, AU market mix</v>
      </c>
      <c r="F20" s="210" t="str" cm="1">
        <f t="array" ref="F20">Common_InputFunctions.Utility_DisplayArrayInTable(Scope3_SourceData.Scope3_InorganicFertilisers_Data(), Table_SourceData_Scope3_InorganicFertiliser[[#Headers],[Category]], 0, 2)</f>
        <v>Global</v>
      </c>
      <c r="G20" s="211" t="str">
        <f>'Constants - Fertiliser'!$D$30</f>
        <v>Phosphorus - Generic</v>
      </c>
      <c r="H20" s="211"/>
      <c r="I20" s="211"/>
      <c r="J20" s="210"/>
      <c r="K20" s="210" t="str" cm="1">
        <f t="array" ref="K20">Common_InputFunctions.Utility_DisplayArrayInTable(Scope3_SourceData.Scope3_InorganicFertilisers_Data(), Table_SourceData_Scope3_InorganicFertiliser[[#Headers],[Category]], 0, -2)</f>
        <v>kg P</v>
      </c>
      <c r="L20" s="210" cm="1">
        <f t="array" ref="L20">Common_InputFunctions.Utility_DisplayArrayInTable(Scope3_SourceData.Scope3_InorganicFertilisers_Data(), Table_SourceData_Scope3_InorganicFertiliser[[#Headers],[Category]], 0, -2)</f>
        <v>3.96</v>
      </c>
    </row>
    <row r="21" spans="4:12" x14ac:dyDescent="0.25">
      <c r="D21" s="210" t="str" cm="1">
        <f t="array" ref="D21">Common_InputFunctions.Utility_DisplayArrayInTable(Scope3_SourceData.Scope3_InorganicFertilisers_Data(), Table_SourceData_Scope3_InorganicFertiliser[[#Headers],[Category]], 0, 2)</f>
        <v>Inorganic fertilisers</v>
      </c>
      <c r="E21" s="210" t="str" cm="1">
        <f t="array" ref="E21">Common_InputFunctions.Utility_DisplayArrayInTable(Scope3_SourceData.Scope3_InorganicFertilisers_Data(), Table_SourceData_Scope3_InorganicFertiliser[[#Headers],[Category]], 0, 2)</f>
        <v>Potassium from fertilizer, AU market mix</v>
      </c>
      <c r="F21" s="210" t="str" cm="1">
        <f t="array" ref="F21">Common_InputFunctions.Utility_DisplayArrayInTable(Scope3_SourceData.Scope3_InorganicFertilisers_Data(), Table_SourceData_Scope3_InorganicFertiliser[[#Headers],[Category]], 0, 2)</f>
        <v>Global</v>
      </c>
      <c r="G21" s="211" t="str">
        <f>'Constants - Fertiliser'!$D$31</f>
        <v>Potassium - Generic</v>
      </c>
      <c r="H21" s="211"/>
      <c r="I21" s="211"/>
      <c r="J21" s="210"/>
      <c r="K21" s="210" t="str" cm="1">
        <f t="array" ref="K21">Common_InputFunctions.Utility_DisplayArrayInTable(Scope3_SourceData.Scope3_InorganicFertilisers_Data(), Table_SourceData_Scope3_InorganicFertiliser[[#Headers],[Category]], 0, -2)</f>
        <v>kg K</v>
      </c>
      <c r="L21" s="210" cm="1">
        <f t="array" ref="L21">Common_InputFunctions.Utility_DisplayArrayInTable(Scope3_SourceData.Scope3_InorganicFertilisers_Data(), Table_SourceData_Scope3_InorganicFertiliser[[#Headers],[Category]], 0, -2)</f>
        <v>0.90900000000000003</v>
      </c>
    </row>
    <row r="22" spans="4:12" x14ac:dyDescent="0.25">
      <c r="D22" s="210" t="str" cm="1">
        <f t="array" ref="D22">Common_InputFunctions.Utility_DisplayArrayInTable(Scope3_SourceData.Scope3_InorganicFertilisers_Data(), Table_SourceData_Scope3_InorganicFertiliser[[#Headers],[Category]], 0, 2)</f>
        <v>Inorganic fertilisers</v>
      </c>
      <c r="E22" s="210" t="str" cm="1">
        <f t="array" ref="E22">Common_InputFunctions.Utility_DisplayArrayInTable(Scope3_SourceData.Scope3_InorganicFertilisers_Data(), Table_SourceData_Scope3_InorganicFertiliser[[#Headers],[Category]], 0, 2)</f>
        <v>Single superphosphate, AU market mix</v>
      </c>
      <c r="F22" s="210" t="str" cm="1">
        <f t="array" ref="F22">Common_InputFunctions.Utility_DisplayArrayInTable(Scope3_SourceData.Scope3_InorganicFertilisers_Data(), Table_SourceData_Scope3_InorganicFertiliser[[#Headers],[Category]], 0, 2)</f>
        <v>Global</v>
      </c>
      <c r="G22" s="211" t="str">
        <f>'Constants - Fertiliser'!$D$36</f>
        <v>Single superphosphate (SSP)</v>
      </c>
      <c r="H22" s="211"/>
      <c r="I22" s="211"/>
      <c r="J22" s="210"/>
      <c r="K22" s="210" t="str" cm="1">
        <f t="array" ref="K22">Common_InputFunctions.Utility_DisplayArrayInTable(Scope3_SourceData.Scope3_InorganicFertilisers_Data(), Table_SourceData_Scope3_InorganicFertiliser[[#Headers],[Category]], 0, -2)</f>
        <v>kg</v>
      </c>
      <c r="L22" s="210" cm="1">
        <f t="array" ref="L22">Common_InputFunctions.Utility_DisplayArrayInTable(Scope3_SourceData.Scope3_InorganicFertilisers_Data(), Table_SourceData_Scope3_InorganicFertiliser[[#Headers],[Category]], 0, -2)</f>
        <v>0.22700000000000001</v>
      </c>
    </row>
    <row r="23" spans="4:12" x14ac:dyDescent="0.25">
      <c r="D23" s="210" t="str" cm="1">
        <f t="array" ref="D23">Common_InputFunctions.Utility_DisplayArrayInTable(Scope3_SourceData.Scope3_InorganicFertilisers_Data(), Table_SourceData_Scope3_InorganicFertiliser[[#Headers],[Category]], 0, 2)</f>
        <v>Inorganic fertilisers</v>
      </c>
      <c r="E23" s="210" t="str" cm="1">
        <f t="array" ref="E23">Common_InputFunctions.Utility_DisplayArrayInTable(Scope3_SourceData.Scope3_InorganicFertilisers_Data(), Table_SourceData_Scope3_InorganicFertiliser[[#Headers],[Category]], 0, 2)</f>
        <v>Sulfur from fertilizer, AU market mix</v>
      </c>
      <c r="F23" s="210" t="str" cm="1">
        <f t="array" ref="F23">Common_InputFunctions.Utility_DisplayArrayInTable(Scope3_SourceData.Scope3_InorganicFertilisers_Data(), Table_SourceData_Scope3_InorganicFertiliser[[#Headers],[Category]], 0, 2)</f>
        <v>Global</v>
      </c>
      <c r="G23" s="211" t="str">
        <f>'Constants - Fertiliser'!$D$32</f>
        <v>Sulfur - Generic</v>
      </c>
      <c r="H23" s="211"/>
      <c r="I23" s="211"/>
      <c r="J23" s="210"/>
      <c r="K23" s="210" t="str" cm="1">
        <f t="array" ref="K23">Common_InputFunctions.Utility_DisplayArrayInTable(Scope3_SourceData.Scope3_InorganicFertilisers_Data(), Table_SourceData_Scope3_InorganicFertiliser[[#Headers],[Category]], 0, -2)</f>
        <v>kg S</v>
      </c>
      <c r="L23" s="210" cm="1">
        <f t="array" ref="L23">Common_InputFunctions.Utility_DisplayArrayInTable(Scope3_SourceData.Scope3_InorganicFertilisers_Data(), Table_SourceData_Scope3_InorganicFertiliser[[#Headers],[Category]], 0, -2)</f>
        <v>2.5</v>
      </c>
    </row>
    <row r="24" spans="4:12" x14ac:dyDescent="0.25">
      <c r="D24" s="210" t="str" cm="1">
        <f t="array" ref="D24">Common_InputFunctions.Utility_DisplayArrayInTable(Scope3_SourceData.Scope3_InorganicFertilisers_Data(), Table_SourceData_Scope3_InorganicFertiliser[[#Headers],[Category]], 0, 2)</f>
        <v>Inorganic fertilisers</v>
      </c>
      <c r="E24" s="210" t="str" cm="1">
        <f t="array" ref="E24">Common_InputFunctions.Utility_DisplayArrayInTable(Scope3_SourceData.Scope3_InorganicFertilisers_Data(), Table_SourceData_Scope3_InorganicFertiliser[[#Headers],[Category]], 0, 2)</f>
        <v>Ammonium sulphate, AU market mix</v>
      </c>
      <c r="F24" s="210" t="str" cm="1">
        <f t="array" ref="F24">Common_InputFunctions.Utility_DisplayArrayInTable(Scope3_SourceData.Scope3_InorganicFertilisers_Data(), Table_SourceData_Scope3_InorganicFertiliser[[#Headers],[Category]], 0, 2)</f>
        <v>Global</v>
      </c>
      <c r="G24" s="211" t="str">
        <f>'Constants - Fertiliser'!$D$23</f>
        <v>Sulphate of ammonia (SOA)</v>
      </c>
      <c r="H24" s="211"/>
      <c r="I24" s="211"/>
      <c r="J24" s="210"/>
      <c r="K24" s="210" t="str" cm="1">
        <f t="array" ref="K24">Common_InputFunctions.Utility_DisplayArrayInTable(Scope3_SourceData.Scope3_InorganicFertilisers_Data(), Table_SourceData_Scope3_InorganicFertiliser[[#Headers],[Category]], 0, -2)</f>
        <v>kg</v>
      </c>
      <c r="L24" s="210" cm="1">
        <f t="array" ref="L24">Common_InputFunctions.Utility_DisplayArrayInTable(Scope3_SourceData.Scope3_InorganicFertilisers_Data(), Table_SourceData_Scope3_InorganicFertiliser[[#Headers],[Category]], 0, -2)</f>
        <v>0.86499999999999999</v>
      </c>
    </row>
    <row r="25" spans="4:12" x14ac:dyDescent="0.25">
      <c r="D25" s="210" t="str" cm="1">
        <f t="array" ref="D25">Common_InputFunctions.Utility_DisplayArrayInTable(Scope3_SourceData.Scope3_InorganicFertilisers_Data(), Table_SourceData_Scope3_InorganicFertiliser[[#Headers],[Category]], 0, 2)</f>
        <v>Inorganic fertilisers</v>
      </c>
      <c r="E25" s="210" t="str" cm="1">
        <f t="array" ref="E25">Common_InputFunctions.Utility_DisplayArrayInTable(Scope3_SourceData.Scope3_InorganicFertilisers_Data(), Table_SourceData_Scope3_InorganicFertiliser[[#Headers],[Category]], 0, 2)</f>
        <v>Urea ammonium nitrate, AU market mix</v>
      </c>
      <c r="F25" s="210" t="str" cm="1">
        <f t="array" ref="F25">Common_InputFunctions.Utility_DisplayArrayInTable(Scope3_SourceData.Scope3_InorganicFertilisers_Data(), Table_SourceData_Scope3_InorganicFertiliser[[#Headers],[Category]], 0, 2)</f>
        <v>Global</v>
      </c>
      <c r="G25" s="211" t="str">
        <f>'Constants - Fertiliser'!$D$24</f>
        <v>Urea-ammonium nitrate (UAN)</v>
      </c>
      <c r="H25" s="211"/>
      <c r="I25" s="211"/>
      <c r="J25" s="210"/>
      <c r="K25" s="210" t="str" cm="1">
        <f t="array" ref="K25">Common_InputFunctions.Utility_DisplayArrayInTable(Scope3_SourceData.Scope3_InorganicFertilisers_Data(), Table_SourceData_Scope3_InorganicFertiliser[[#Headers],[Category]], 0, -2)</f>
        <v>kg</v>
      </c>
      <c r="L25" s="210" cm="1">
        <f t="array" ref="L25">Common_InputFunctions.Utility_DisplayArrayInTable(Scope3_SourceData.Scope3_InorganicFertilisers_Data(), Table_SourceData_Scope3_InorganicFertiliser[[#Headers],[Category]], 0, -2)</f>
        <v>1.75</v>
      </c>
    </row>
    <row r="26" spans="4:12" x14ac:dyDescent="0.25">
      <c r="D26" s="210" t="str" cm="1">
        <f t="array" ref="D26">Common_InputFunctions.Utility_DisplayArrayInTable(Scope3_SourceData.Scope3_InorganicFertilisers_Data(), Table_SourceData_Scope3_InorganicFertiliser[[#Headers],[Category]], 0, 2)</f>
        <v>Inorganic fertilisers</v>
      </c>
      <c r="E26" s="210" t="str" cm="1">
        <f t="array" ref="E26">Common_InputFunctions.Utility_DisplayArrayInTable(Scope3_SourceData.Scope3_InorganicFertilisers_Data(), Table_SourceData_Scope3_InorganicFertiliser[[#Headers],[Category]], 0, 2)</f>
        <v>Urea, AU market mix</v>
      </c>
      <c r="F26" s="210" t="str" cm="1">
        <f t="array" ref="F26">Common_InputFunctions.Utility_DisplayArrayInTable(Scope3_SourceData.Scope3_InorganicFertilisers_Data(), Table_SourceData_Scope3_InorganicFertiliser[[#Headers],[Category]], 0, 2)</f>
        <v>Global</v>
      </c>
      <c r="G26" s="211" t="str">
        <f>'Constants - Fertiliser'!$D$22</f>
        <v>Urea</v>
      </c>
      <c r="H26" s="211" t="str">
        <f>'Constants - Fertiliser'!$V$20</f>
        <v>Global</v>
      </c>
      <c r="I26" s="211"/>
      <c r="J26" s="210"/>
      <c r="K26" s="210" t="str" cm="1">
        <f t="array" ref="K26">Common_InputFunctions.Utility_DisplayArrayInTable(Scope3_SourceData.Scope3_InorganicFertilisers_Data(), Table_SourceData_Scope3_InorganicFertiliser[[#Headers],[Category]], 0, -2)</f>
        <v>kg</v>
      </c>
      <c r="L26" s="210" cm="1">
        <f t="array" ref="L26">Common_InputFunctions.Utility_DisplayArrayInTable(Scope3_SourceData.Scope3_InorganicFertilisers_Data(), Table_SourceData_Scope3_InorganicFertiliser[[#Headers],[Category]], 0, -2)</f>
        <v>0.96799999999999997</v>
      </c>
    </row>
    <row r="27" spans="4:12" x14ac:dyDescent="0.25">
      <c r="D27" s="210" t="str" cm="1">
        <f t="array" ref="D27">Common_InputFunctions.Utility_DisplayArrayInTable(Scope3_SourceData.Scope3_InorganicFertilisers_Data(), Table_SourceData_Scope3_InorganicFertiliser[[#Headers],[Category]], 0, 2)</f>
        <v>Inorganic fertilisers</v>
      </c>
      <c r="E27" s="210" t="str" cm="1">
        <f t="array" ref="E27">Common_InputFunctions.Utility_DisplayArrayInTable(Scope3_SourceData.Scope3_InorganicFertilisers_Data(), Table_SourceData_Scope3_InorganicFertiliser[[#Headers],[Category]], 0, 2)</f>
        <v>Urea, Canada</v>
      </c>
      <c r="F27" s="210" t="str" cm="1">
        <f t="array" ref="F27">Common_InputFunctions.Utility_DisplayArrayInTable(Scope3_SourceData.Scope3_InorganicFertilisers_Data(), Table_SourceData_Scope3_InorganicFertiliser[[#Headers],[Category]], 0, 2)</f>
        <v>Canada</v>
      </c>
      <c r="G27" s="211" t="str">
        <f>'Constants - Fertiliser'!$D$22</f>
        <v>Urea</v>
      </c>
      <c r="H27" s="211" t="str">
        <f>'Constants - Fertiliser'!$V$21</f>
        <v>Canada</v>
      </c>
      <c r="I27" s="211"/>
      <c r="J27" s="210"/>
      <c r="K27" s="210" t="str" cm="1">
        <f t="array" ref="K27">Common_InputFunctions.Utility_DisplayArrayInTable(Scope3_SourceData.Scope3_InorganicFertilisers_Data(), Table_SourceData_Scope3_InorganicFertiliser[[#Headers],[Category]], 0, -2)</f>
        <v>kg</v>
      </c>
      <c r="L27" s="210" cm="1">
        <f t="array" ref="L27">Common_InputFunctions.Utility_DisplayArrayInTable(Scope3_SourceData.Scope3_InorganicFertilisers_Data(), Table_SourceData_Scope3_InorganicFertiliser[[#Headers],[Category]], 0, -2)</f>
        <v>0.82299999999999995</v>
      </c>
    </row>
    <row r="28" spans="4:12" x14ac:dyDescent="0.25">
      <c r="D28" s="210" t="str" cm="1">
        <f t="array" ref="D28">Common_InputFunctions.Utility_DisplayArrayInTable(Scope3_SourceData.Scope3_InorganicFertilisers_Data(), Table_SourceData_Scope3_InorganicFertiliser[[#Headers],[Category]], 0, 2)</f>
        <v>Inorganic fertilisers</v>
      </c>
      <c r="E28" s="210" t="str" cm="1">
        <f t="array" ref="E28">Common_InputFunctions.Utility_DisplayArrayInTable(Scope3_SourceData.Scope3_InorganicFertilisers_Data(), Table_SourceData_Scope3_InorganicFertiliser[[#Headers],[Category]], 0, 2)</f>
        <v>Urea, China</v>
      </c>
      <c r="F28" s="210" t="str" cm="1">
        <f t="array" ref="F28">Common_InputFunctions.Utility_DisplayArrayInTable(Scope3_SourceData.Scope3_InorganicFertilisers_Data(), Table_SourceData_Scope3_InorganicFertiliser[[#Headers],[Category]], 0, 2)</f>
        <v>China</v>
      </c>
      <c r="G28" s="211" t="str">
        <f>'Constants - Fertiliser'!$D$22</f>
        <v>Urea</v>
      </c>
      <c r="H28" s="211" t="str">
        <f>'Constants - Fertiliser'!$V$22</f>
        <v>China</v>
      </c>
      <c r="I28" s="211"/>
      <c r="J28" s="210"/>
      <c r="K28" s="210" t="str" cm="1">
        <f t="array" ref="K28">Common_InputFunctions.Utility_DisplayArrayInTable(Scope3_SourceData.Scope3_InorganicFertilisers_Data(), Table_SourceData_Scope3_InorganicFertiliser[[#Headers],[Category]], 0, -2)</f>
        <v>kg</v>
      </c>
      <c r="L28" s="210" cm="1">
        <f t="array" ref="L28">Common_InputFunctions.Utility_DisplayArrayInTable(Scope3_SourceData.Scope3_InorganicFertilisers_Data(), Table_SourceData_Scope3_InorganicFertiliser[[#Headers],[Category]], 0, -2)</f>
        <v>2.09</v>
      </c>
    </row>
    <row r="29" spans="4:12" x14ac:dyDescent="0.25">
      <c r="D29" s="210" t="str" cm="1">
        <f t="array" ref="D29">Common_InputFunctions.Utility_DisplayArrayInTable(Scope3_SourceData.Scope3_InorganicFertilisers_Data(), Table_SourceData_Scope3_InorganicFertiliser[[#Headers],[Category]], 0, 2)</f>
        <v>Inorganic fertilisers</v>
      </c>
      <c r="E29" s="210" t="str" cm="1">
        <f t="array" ref="E29">Common_InputFunctions.Utility_DisplayArrayInTable(Scope3_SourceData.Scope3_InorganicFertilisers_Data(), Table_SourceData_Scope3_InorganicFertiliser[[#Headers],[Category]], 0, 2)</f>
        <v>Urea, Yemen</v>
      </c>
      <c r="F29" s="210" t="str" cm="1">
        <f t="array" ref="F29">Common_InputFunctions.Utility_DisplayArrayInTable(Scope3_SourceData.Scope3_InorganicFertilisers_Data(), Table_SourceData_Scope3_InorganicFertiliser[[#Headers],[Category]], 0, 2)</f>
        <v>Yemen</v>
      </c>
      <c r="G29" s="211" t="str">
        <f>'Constants - Fertiliser'!$D$22</f>
        <v>Urea</v>
      </c>
      <c r="H29" s="211" t="str">
        <f>'Constants - Fertiliser'!$V$23</f>
        <v>Yemen</v>
      </c>
      <c r="I29" s="211"/>
      <c r="J29" s="210"/>
      <c r="K29" s="210" t="str" cm="1">
        <f t="array" ref="K29">Common_InputFunctions.Utility_DisplayArrayInTable(Scope3_SourceData.Scope3_InorganicFertilisers_Data(), Table_SourceData_Scope3_InorganicFertiliser[[#Headers],[Category]], 0, -2)</f>
        <v>kg</v>
      </c>
      <c r="L29" s="210" cm="1">
        <f t="array" ref="L29">Common_InputFunctions.Utility_DisplayArrayInTable(Scope3_SourceData.Scope3_InorganicFertilisers_Data(), Table_SourceData_Scope3_InorganicFertiliser[[#Headers],[Category]], 0, -2)</f>
        <v>0.96299999999999997</v>
      </c>
    </row>
    <row r="30" spans="4:12" x14ac:dyDescent="0.25">
      <c r="D30" s="210" t="str" cm="1">
        <f t="array" ref="D30">Common_InputFunctions.Utility_DisplayArrayInTable(Scope3_SourceData.Scope3_InorganicFertilisers_Data(), Table_SourceData_Scope3_InorganicFertiliser[[#Headers],[Category]], 0, 2)</f>
        <v>Inorganic fertilisers</v>
      </c>
      <c r="E30" s="210" t="str" cm="1">
        <f t="array" ref="E30">Common_InputFunctions.Utility_DisplayArrayInTable(Scope3_SourceData.Scope3_InorganicFertilisers_Data(), Table_SourceData_Scope3_InorganicFertiliser[[#Headers],[Category]], 0, 2)</f>
        <v>Zinc from fertilizer</v>
      </c>
      <c r="F30" s="210" t="str" cm="1">
        <f t="array" ref="F30">Common_InputFunctions.Utility_DisplayArrayInTable(Scope3_SourceData.Scope3_InorganicFertilisers_Data(), Table_SourceData_Scope3_InorganicFertiliser[[#Headers],[Category]], 0, 2)</f>
        <v>Global</v>
      </c>
      <c r="G30" s="211" t="str">
        <f>'Constants - Fertiliser'!$D$33</f>
        <v>Zinc - Generic</v>
      </c>
      <c r="H30" s="211"/>
      <c r="I30" s="211"/>
      <c r="J30" s="210"/>
      <c r="K30" s="210" t="str" cm="1">
        <f t="array" ref="K30">Common_InputFunctions.Utility_DisplayArrayInTable(Scope3_SourceData.Scope3_InorganicFertilisers_Data(), Table_SourceData_Scope3_InorganicFertiliser[[#Headers],[Category]], 0, -2)</f>
        <v>kg Zn</v>
      </c>
      <c r="L30" s="210" cm="1">
        <f t="array" ref="L30">Common_InputFunctions.Utility_DisplayArrayInTable(Scope3_SourceData.Scope3_InorganicFertilisers_Data(), Table_SourceData_Scope3_InorganicFertiliser[[#Headers],[Category]], 0, -2)</f>
        <v>4.82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dimension ref="C1:AJ127"/>
  <sheetViews>
    <sheetView showGridLines="0" topLeftCell="A19" zoomScaleNormal="100" workbookViewId="0">
      <selection activeCell="H29" sqref="H29"/>
    </sheetView>
  </sheetViews>
  <sheetFormatPr defaultRowHeight="15.75" x14ac:dyDescent="0.25"/>
  <cols>
    <col min="1" max="1" width="30.625" customWidth="1"/>
    <col min="2" max="2" width="4.625" customWidth="1"/>
    <col min="3" max="3" width="4.625" style="8" customWidth="1"/>
    <col min="4" max="35" width="30.625" style="8" customWidth="1"/>
    <col min="36" max="36" width="9" style="8"/>
  </cols>
  <sheetData>
    <row r="1" spans="4:29" ht="30" customHeight="1" x14ac:dyDescent="0.25"/>
    <row r="2" spans="4:29" ht="20.100000000000001" customHeight="1" x14ac:dyDescent="0.25"/>
    <row r="3" spans="4:29" ht="20.100000000000001" customHeight="1" x14ac:dyDescent="0.25"/>
    <row r="4" spans="4:29" ht="20.100000000000001" customHeight="1" x14ac:dyDescent="0.25">
      <c r="D4" s="9" t="s">
        <v>482</v>
      </c>
    </row>
    <row r="5" spans="4:29" ht="20.100000000000001" customHeight="1" x14ac:dyDescent="0.25">
      <c r="D5" s="47" t="s">
        <v>222</v>
      </c>
      <c r="E5" s="47" t="s">
        <v>474</v>
      </c>
      <c r="F5" s="60" t="s">
        <v>473</v>
      </c>
      <c r="G5" s="60" t="s">
        <v>470</v>
      </c>
      <c r="H5" s="47" t="s">
        <v>481</v>
      </c>
      <c r="I5" s="60" t="s">
        <v>471</v>
      </c>
      <c r="J5" s="60" t="s">
        <v>175</v>
      </c>
      <c r="K5" s="60" t="s">
        <v>176</v>
      </c>
      <c r="L5" s="60" t="s">
        <v>177</v>
      </c>
      <c r="M5" s="60" t="s">
        <v>178</v>
      </c>
      <c r="N5" s="60" t="s">
        <v>463</v>
      </c>
      <c r="O5" s="60" t="s">
        <v>179</v>
      </c>
      <c r="P5" s="60" t="s">
        <v>180</v>
      </c>
      <c r="Q5" s="60" t="s">
        <v>465</v>
      </c>
      <c r="R5" s="60" t="s">
        <v>181</v>
      </c>
      <c r="S5" s="60" t="s">
        <v>182</v>
      </c>
      <c r="T5" s="60" t="s">
        <v>466</v>
      </c>
      <c r="U5" s="60" t="s">
        <v>183</v>
      </c>
      <c r="V5" s="60" t="s">
        <v>184</v>
      </c>
      <c r="W5" s="60" t="s">
        <v>467</v>
      </c>
      <c r="X5" s="60" t="s">
        <v>185</v>
      </c>
      <c r="Y5" s="60" t="s">
        <v>186</v>
      </c>
      <c r="Z5" s="60" t="s">
        <v>468</v>
      </c>
      <c r="AA5" s="60" t="s">
        <v>187</v>
      </c>
      <c r="AB5" s="60" t="s">
        <v>188</v>
      </c>
      <c r="AC5" s="60" t="s">
        <v>469</v>
      </c>
    </row>
    <row r="6" spans="4:29" ht="20.100000000000001" customHeight="1" x14ac:dyDescent="0.25">
      <c r="D6" s="50" t="str" cm="1">
        <f t="array" ref="D6:D25">IFERROR(INDEX(Table_Input_InorganicFertiliser_Brands[Product (select)], _xlfn.SEQUENCE(20)), "")</f>
        <v>CoRoN 12-0-10</v>
      </c>
      <c r="E6" s="50" cm="1">
        <f t="array" ref="E6:E25">IFERROR(INDEX(Table_Input_InorganicFertiliser_Brands[Total applied (kg)], _xlfn.SEQUENCE(20)), "")</f>
        <v>12150.000000000002</v>
      </c>
      <c r="F6" s="50">
        <f>IFERROR((M6*N6)+(P6*Q6)+(S6*T6)+(V6*W6)+(Y6*Z6)+(AB6*AC6), 0)</f>
        <v>0.40629130443200001</v>
      </c>
      <c r="G6" s="212">
        <f>IFERROR(F6*E6, 0)</f>
        <v>4936.4393488488013</v>
      </c>
      <c r="H6" s="50" cm="1">
        <f t="array" ref="H6:H25">IFERROR(INDEX(Table_Input_InorganicFertiliser_Brands[Emissions intensity (kg CO2e/kg)], _xlfn.SEQUENCE(20)), "")</f>
        <v>0.4</v>
      </c>
      <c r="I6" s="212">
        <f>IFERROR(IF(H6, E6*H6, E6*F6),0)</f>
        <v>4860.0000000000009</v>
      </c>
      <c r="J6" s="50" t="str" cm="1">
        <f t="array" ref="J6:J25">IFERROR(INDEX(Table_Input_InorganicFertiliser_Brands[Urea source], _xlfn.SEQUENCE(20)), "")</f>
        <v/>
      </c>
      <c r="K6" s="50" t="str" cm="1">
        <f t="array" ref="K6:K25">IFERROR(INDEX(Table_Input_InorganicFertiliser_Brands[Ammonia source], _xlfn.SEQUENCE(20)), "")</f>
        <v/>
      </c>
      <c r="L6" s="50" t="str" cm="1">
        <f t="array" ref="L6:L25">IFERROR(INDEX(Table_Input_InorganicFertiliser_Brands[Ingredient 1], _xlfn.SEQUENCE(20)), "")</f>
        <v>Urea</v>
      </c>
      <c r="M6" s="50" cm="1">
        <f t="array" ref="M6:M25">IFERROR(INDEX(_xlfn.LET(_xlpm.result, Table_Input_InorganicFertiliser_Brands[Ingredient 1 percent], IF(_xlpm.result="", 0, _xlpm.result)), _xlfn.SEQUENCE(20)), "")</f>
        <v>0.19565217400000001</v>
      </c>
      <c r="N6" s="50" cm="1">
        <f t="array" ref="N6">_xlfn.LET(_xlpm.result, Common_InputFunctions.Utility_LookupValueInTableTwoColumns(L6, _xlfn.IFS(L6="Urea",IF($J6="", "Global", $J6), L6="Ammonia", IF($K6="", "Global", $K6), TRUE, "Global"), Table_SourceData_Scope3_InorganicFertiliser[Chemical compound],Table_SourceData_Scope3_InorganicFertiliser[Region of origin],Table_SourceData_Scope3_InorganicFertiliser[AusLCI Emissions intensity]), IF(_xlpm.result="", 0, _xlpm.result))</f>
        <v>0.96799999999999997</v>
      </c>
      <c r="O6" s="50" t="str" cm="1">
        <f t="array" ref="O6:O25">IFERROR(INDEX(Table_Input_InorganicFertiliser_Brands[Ingredient 2], _xlfn.SEQUENCE(20)), "")</f>
        <v>Potassium - Generic</v>
      </c>
      <c r="P6" s="50" cm="1">
        <f t="array" ref="P6:P25">IFERROR(INDEX(_xlfn.LET(_xlpm.result, Table_Input_InorganicFertiliser_Brands[Ingredient 2 percent], IF(_xlpm.result="", 0, _xlpm.result)), _xlfn.SEQUENCE(20)), "")</f>
        <v>0.1</v>
      </c>
      <c r="Q6" s="50" cm="1">
        <f t="array" ref="Q6">_xlfn.LET(_xlpm.result, Common_InputFunctions.Utility_LookupValueInTableTwoColumns(O6, _xlfn.IFS(O6="Urea",IF($J6="", "Global", $J6), O6="Ammonia", IF($K6="", "Global", $K6), TRUE, "Global"), Table_SourceData_Scope3_InorganicFertiliser[Chemical compound],Table_SourceData_Scope3_InorganicFertiliser[Region of origin],Table_SourceData_Scope3_InorganicFertiliser[AusLCI Emissions intensity]), IF(_xlpm.result="", 0, _xlpm.result))</f>
        <v>0.90900000000000003</v>
      </c>
      <c r="R6" s="50" t="str" cm="1">
        <f t="array" ref="R6:R25">IFERROR(INDEX(Table_Input_InorganicFertiliser_Brands[Ingredient 3], _xlfn.SEQUENCE(20)), "")</f>
        <v>Nitrogen - Generic</v>
      </c>
      <c r="S6" s="50" cm="1">
        <f t="array" ref="S6:S25">IFERROR(INDEX(_xlfn.LET(_xlpm.result, Table_Input_InorganicFertiliser_Brands[Ingredient 3 percent], IF(_xlpm.result="", 0, _xlpm.result)), _xlfn.SEQUENCE(20)), "")</f>
        <v>0.03</v>
      </c>
      <c r="T6" s="50" cm="1">
        <f t="array" ref="T6">_xlfn.LET(_xlpm.result, Common_InputFunctions.Utility_LookupValueInTableTwoColumns(R6, _xlfn.IFS(R6="Urea",IF($J6="", "Global", $J6), R6="Ammonia", IF($K6="", "Global", $K6), TRUE, "Global"), Table_SourceData_Scope3_InorganicFertiliser[Chemical compound],Table_SourceData_Scope3_InorganicFertiliser[Region of origin],Table_SourceData_Scope3_InorganicFertiliser[AusLCI Emissions intensity]), IF(_xlpm.result="", 0, _xlpm.result))</f>
        <v>4.2</v>
      </c>
      <c r="U6" s="50" t="str" cm="1">
        <f t="array" ref="U6:U25">IFERROR(INDEX(Table_Input_InorganicFertiliser_Brands[Ingredient 4], _xlfn.SEQUENCE(20)), "")</f>
        <v>Boron</v>
      </c>
      <c r="V6" s="50" cm="1">
        <f t="array" ref="V6:V25">IFERROR(INDEX(_xlfn.LET(_xlpm.result, Table_Input_InorganicFertiliser_Brands[Ingredient 4 percent], IF(_xlpm.result="", 0, _xlpm.result)), _xlfn.SEQUENCE(20)), "")</f>
        <v>5.0000000000000001E-3</v>
      </c>
      <c r="W6" s="50" cm="1">
        <f t="array" ref="W6">_xlfn.LET(_xlpm.result, Common_InputFunctions.Utility_LookupValueInTableTwoColumns(U6, _xlfn.IFS(U6="Urea",IF($J6="", "Global", $J6), U6="Ammonia", IF($K6="", "Global", $K6), TRUE, "Global"), Table_SourceData_Scope3_InorganicFertiliser[Chemical compound],Table_SourceData_Scope3_InorganicFertiliser[Region of origin],Table_SourceData_Scope3_InorganicFertiliser[AusLCI Emissions intensity]), IF(_xlpm.result="", 0, _xlpm.result))</f>
        <v>0</v>
      </c>
      <c r="X6" s="50" t="str" cm="1">
        <f t="array" ref="X6:X25">IFERROR(INDEX(Table_Input_InorganicFertiliser_Brands[Ingredient 5], _xlfn.SEQUENCE(20)), "")</f>
        <v/>
      </c>
      <c r="Y6" s="50" cm="1">
        <f t="array" ref="Y6:Y25">IFERROR(INDEX(_xlfn.LET(_xlpm.result, Table_Input_InorganicFertiliser_Brands[Ingredient 5 percent], IF(_xlpm.result="", 0, _xlpm.result)), _xlfn.SEQUENCE(20)), "")</f>
        <v>0</v>
      </c>
      <c r="Z6" s="50" cm="1">
        <f t="array" ref="Z6">_xlfn.LET(_xlpm.result, Common_InputFunctions.Utility_LookupValueInTableTwoColumns(X6, _xlfn.IFS(X6="Urea",IF($J6="", "Global", $J6), X6="Ammonia", IF($K6="", "Global", $K6), TRUE, "Global"), Table_SourceData_Scope3_InorganicFertiliser[Chemical compound],Table_SourceData_Scope3_InorganicFertiliser[Region of origin],Table_SourceData_Scope3_InorganicFertiliser[AusLCI Emissions intensity]), IF(_xlpm.result="", 0, _xlpm.result))</f>
        <v>0</v>
      </c>
      <c r="AA6" s="50" t="str" cm="1">
        <f t="array" ref="AA6:AA25">IFERROR(INDEX(Table_Input_InorganicFertiliser_Brands[Ingredient 6], _xlfn.SEQUENCE(20)), "")</f>
        <v/>
      </c>
      <c r="AB6" s="50" cm="1">
        <f t="array" ref="AB6:AB25">IFERROR(INDEX(_xlfn.LET(_xlpm.result, Table_Input_InorganicFertiliser_Brands[Ingredient 6 percent], IF(_xlpm.result="", 0, _xlpm.result)), _xlfn.SEQUENCE(20)), "")</f>
        <v>0</v>
      </c>
      <c r="AC6" s="50" cm="1">
        <f t="array" ref="AC6">_xlfn.LET(_xlpm.result, Common_InputFunctions.Utility_LookupValueInTableTwoColumns(AA6, _xlfn.IFS(AA6="Urea",IF($J6="", "Global", $J6), AA6="Ammonia", IF($K6="", "Global", $K6), TRUE, "Global"), Table_SourceData_Scope3_InorganicFertiliser[Chemical compound],Table_SourceData_Scope3_InorganicFertiliser[Region of origin],Table_SourceData_Scope3_InorganicFertiliser[AusLCI Emissions intensity]), IF(_xlpm.result="", 0, _xlpm.result))</f>
        <v>0</v>
      </c>
    </row>
    <row r="7" spans="4:29" ht="20.100000000000001" customHeight="1" x14ac:dyDescent="0.25">
      <c r="D7" s="50" t="str">
        <v>Boost-It</v>
      </c>
      <c r="E7" s="50">
        <v>20000</v>
      </c>
      <c r="F7" s="50">
        <f t="shared" ref="F7:F25" si="0">IFERROR((M7*N7)+(P7*Q7)+(S7*T7)+(V7*W7)+(Y7*Z7)+(AB7*AC7), 0)</f>
        <v>0.91618347784000009</v>
      </c>
      <c r="G7" s="212">
        <f t="shared" ref="G7:G25" si="1">IFERROR(F7*E7, 0)</f>
        <v>18323.669556800003</v>
      </c>
      <c r="H7" s="50">
        <v>0</v>
      </c>
      <c r="I7" s="212">
        <f t="shared" ref="I7:I25" si="2">IFERROR(IF(H7, E7*H7, E7*F7),0)</f>
        <v>18323.669556800003</v>
      </c>
      <c r="J7" s="50" t="str">
        <v/>
      </c>
      <c r="K7" s="50" t="str">
        <v/>
      </c>
      <c r="L7" s="50" t="str">
        <v>Urea</v>
      </c>
      <c r="M7" s="50">
        <v>0.52173913000000005</v>
      </c>
      <c r="N7" s="50" cm="1">
        <f t="array" ref="N7">_xlfn.LET(_xlpm.result, Common_InputFunctions.Utility_LookupValueInTableTwoColumns(L7, _xlfn.IFS(L7="Urea",IF($J7="", "Global", $J7), L7="Ammonia", IF($K7="", "Global", $K7), TRUE, "Global"), Table_SourceData_Scope3_InorganicFertiliser[Chemical compound],Table_SourceData_Scope3_InorganicFertiliser[Region of origin],Table_SourceData_Scope3_InorganicFertiliser[AusLCI Emissions intensity]), IF(_xlpm.result="", 0, _xlpm.result))</f>
        <v>0.96799999999999997</v>
      </c>
      <c r="O7" s="50" t="str">
        <v>Potassium - Generic</v>
      </c>
      <c r="P7" s="50">
        <v>0.08</v>
      </c>
      <c r="Q7" s="50" cm="1">
        <f t="array" ref="Q7">_xlfn.LET(_xlpm.result, Common_InputFunctions.Utility_LookupValueInTableTwoColumns(O7, _xlfn.IFS(O7="Urea",IF($J7="", "Global", $J7), O7="Ammonia", IF($K7="", "Global", $K7), TRUE, "Global"), Table_SourceData_Scope3_InorganicFertiliser[Chemical compound],Table_SourceData_Scope3_InorganicFertiliser[Region of origin],Table_SourceData_Scope3_InorganicFertiliser[AusLCI Emissions intensity]), IF(_xlpm.result="", 0, _xlpm.result))</f>
        <v>0.90900000000000003</v>
      </c>
      <c r="R7" s="50" t="str">
        <v>Sulfur - Generic</v>
      </c>
      <c r="S7" s="50">
        <v>5.2999999999999999E-2</v>
      </c>
      <c r="T7" s="50" cm="1">
        <f t="array" ref="T7">_xlfn.LET(_xlpm.result, Common_InputFunctions.Utility_LookupValueInTableTwoColumns(R7, _xlfn.IFS(R7="Urea",IF($J7="", "Global", $J7), R7="Ammonia", IF($K7="", "Global", $K7), TRUE, "Global"), Table_SourceData_Scope3_InorganicFertiliser[Chemical compound],Table_SourceData_Scope3_InorganicFertiliser[Region of origin],Table_SourceData_Scope3_InorganicFertiliser[AusLCI Emissions intensity]), IF(_xlpm.result="", 0, _xlpm.result))</f>
        <v>2.5</v>
      </c>
      <c r="U7" s="50" t="str">
        <v>Phosphorus - Generic</v>
      </c>
      <c r="V7" s="50">
        <v>5.1999999999999998E-2</v>
      </c>
      <c r="W7" s="50" cm="1">
        <f t="array" ref="W7">_xlfn.LET(_xlpm.result, Common_InputFunctions.Utility_LookupValueInTableTwoColumns(U7, _xlfn.IFS(U7="Urea",IF($J7="", "Global", $J7), U7="Ammonia", IF($K7="", "Global", $K7), TRUE, "Global"), Table_SourceData_Scope3_InorganicFertiliser[Chemical compound],Table_SourceData_Scope3_InorganicFertiliser[Region of origin],Table_SourceData_Scope3_InorganicFertiliser[AusLCI Emissions intensity]), IF(_xlpm.result="", 0, _xlpm.result))</f>
        <v>3.96</v>
      </c>
      <c r="X7" s="50" t="str">
        <v>Magnesium</v>
      </c>
      <c r="Y7" s="50">
        <v>1.2999999999999999E-2</v>
      </c>
      <c r="Z7" s="50" cm="1">
        <f t="array" ref="Z7">_xlfn.LET(_xlpm.result, Common_InputFunctions.Utility_LookupValueInTableTwoColumns(X7, _xlfn.IFS(X7="Urea",IF($J7="", "Global", $J7), X7="Ammonia", IF($K7="", "Global", $K7), TRUE, "Global"), Table_SourceData_Scope3_InorganicFertiliser[Chemical compound],Table_SourceData_Scope3_InorganicFertiliser[Region of origin],Table_SourceData_Scope3_InorganicFertiliser[AusLCI Emissions intensity]), IF(_xlpm.result="", 0, _xlpm.result))</f>
        <v>0</v>
      </c>
      <c r="AA7" s="50" t="str">
        <v>Zinc</v>
      </c>
      <c r="AB7" s="50">
        <v>2E-3</v>
      </c>
      <c r="AC7" s="50" cm="1">
        <f t="array" ref="AC7">_xlfn.LET(_xlpm.result, Common_InputFunctions.Utility_LookupValueInTableTwoColumns(AA7, _xlfn.IFS(AA7="Urea",IF($J7="", "Global", $J7), AA7="Ammonia", IF($K7="", "Global", $K7), TRUE, "Global"), Table_SourceData_Scope3_InorganicFertiliser[Chemical compound],Table_SourceData_Scope3_InorganicFertiliser[Region of origin],Table_SourceData_Scope3_InorganicFertiliser[AusLCI Emissions intensity]), IF(_xlpm.result="", 0, _xlpm.result))</f>
        <v>0</v>
      </c>
    </row>
    <row r="8" spans="4:29" ht="20.100000000000001" customHeight="1" x14ac:dyDescent="0.25">
      <c r="D8" s="50" t="str">
        <v>CoRoN 12-0-10</v>
      </c>
      <c r="E8" s="50">
        <v>12150.000000000002</v>
      </c>
      <c r="F8" s="50">
        <f t="shared" si="0"/>
        <v>0.40629130443200001</v>
      </c>
      <c r="G8" s="212">
        <f t="shared" si="1"/>
        <v>4936.4393488488013</v>
      </c>
      <c r="H8" s="50">
        <v>0</v>
      </c>
      <c r="I8" s="212">
        <f t="shared" si="2"/>
        <v>4936.4393488488013</v>
      </c>
      <c r="J8" s="50" t="str">
        <v/>
      </c>
      <c r="K8" s="50" t="str">
        <v/>
      </c>
      <c r="L8" s="50" t="str">
        <v>Urea</v>
      </c>
      <c r="M8" s="50">
        <v>0.19565217400000001</v>
      </c>
      <c r="N8" s="50" cm="1">
        <f t="array" ref="N8">_xlfn.LET(_xlpm.result, Common_InputFunctions.Utility_LookupValueInTableTwoColumns(L8, _xlfn.IFS(L8="Urea",IF($J8="", "Global", $J8), L8="Ammonia", IF($K8="", "Global", $K8), TRUE, "Global"), Table_SourceData_Scope3_InorganicFertiliser[Chemical compound],Table_SourceData_Scope3_InorganicFertiliser[Region of origin],Table_SourceData_Scope3_InorganicFertiliser[AusLCI Emissions intensity]), IF(_xlpm.result="", 0, _xlpm.result))</f>
        <v>0.96799999999999997</v>
      </c>
      <c r="O8" s="50" t="str">
        <v>Potassium - Generic</v>
      </c>
      <c r="P8" s="50">
        <v>0.1</v>
      </c>
      <c r="Q8" s="50" cm="1">
        <f t="array" ref="Q8">_xlfn.LET(_xlpm.result, Common_InputFunctions.Utility_LookupValueInTableTwoColumns(O8, _xlfn.IFS(O8="Urea",IF($J8="", "Global", $J8), O8="Ammonia", IF($K8="", "Global", $K8), TRUE, "Global"), Table_SourceData_Scope3_InorganicFertiliser[Chemical compound],Table_SourceData_Scope3_InorganicFertiliser[Region of origin],Table_SourceData_Scope3_InorganicFertiliser[AusLCI Emissions intensity]), IF(_xlpm.result="", 0, _xlpm.result))</f>
        <v>0.90900000000000003</v>
      </c>
      <c r="R8" s="50" t="str">
        <v>Nitrogen - Generic</v>
      </c>
      <c r="S8" s="50">
        <v>0.03</v>
      </c>
      <c r="T8" s="50" cm="1">
        <f t="array" ref="T8">_xlfn.LET(_xlpm.result, Common_InputFunctions.Utility_LookupValueInTableTwoColumns(R8, _xlfn.IFS(R8="Urea",IF($J8="", "Global", $J8), R8="Ammonia", IF($K8="", "Global", $K8), TRUE, "Global"), Table_SourceData_Scope3_InorganicFertiliser[Chemical compound],Table_SourceData_Scope3_InorganicFertiliser[Region of origin],Table_SourceData_Scope3_InorganicFertiliser[AusLCI Emissions intensity]), IF(_xlpm.result="", 0, _xlpm.result))</f>
        <v>4.2</v>
      </c>
      <c r="U8" s="50" t="str">
        <v>Boron</v>
      </c>
      <c r="V8" s="50">
        <v>5.0000000000000001E-3</v>
      </c>
      <c r="W8" s="50" cm="1">
        <f t="array" ref="W8">_xlfn.LET(_xlpm.result, Common_InputFunctions.Utility_LookupValueInTableTwoColumns(U8, _xlfn.IFS(U8="Urea",IF($J8="", "Global", $J8), U8="Ammonia", IF($K8="", "Global", $K8), TRUE, "Global"), Table_SourceData_Scope3_InorganicFertiliser[Chemical compound],Table_SourceData_Scope3_InorganicFertiliser[Region of origin],Table_SourceData_Scope3_InorganicFertiliser[AusLCI Emissions intensity]), IF(_xlpm.result="", 0, _xlpm.result))</f>
        <v>0</v>
      </c>
      <c r="X8" s="50" t="str">
        <v/>
      </c>
      <c r="Y8" s="50">
        <v>0</v>
      </c>
      <c r="Z8" s="50" cm="1">
        <f t="array" ref="Z8">_xlfn.LET(_xlpm.result, Common_InputFunctions.Utility_LookupValueInTableTwoColumns(X8, _xlfn.IFS(X8="Urea",IF($J8="", "Global", $J8), X8="Ammonia", IF($K8="", "Global", $K8), TRUE, "Global"), Table_SourceData_Scope3_InorganicFertiliser[Chemical compound],Table_SourceData_Scope3_InorganicFertiliser[Region of origin],Table_SourceData_Scope3_InorganicFertiliser[AusLCI Emissions intensity]), IF(_xlpm.result="", 0, _xlpm.result))</f>
        <v>0</v>
      </c>
      <c r="AA8" s="50" t="str">
        <v/>
      </c>
      <c r="AB8" s="50">
        <v>0</v>
      </c>
      <c r="AC8" s="50" cm="1">
        <f t="array" ref="AC8">_xlfn.LET(_xlpm.result, Common_InputFunctions.Utility_LookupValueInTableTwoColumns(AA8, _xlfn.IFS(AA8="Urea",IF($J8="", "Global", $J8), AA8="Ammonia", IF($K8="", "Global", $K8), TRUE, "Global"), Table_SourceData_Scope3_InorganicFertiliser[Chemical compound],Table_SourceData_Scope3_InorganicFertiliser[Region of origin],Table_SourceData_Scope3_InorganicFertiliser[AusLCI Emissions intensity]), IF(_xlpm.result="", 0, _xlpm.result))</f>
        <v>0</v>
      </c>
    </row>
    <row r="9" spans="4:29" ht="20.100000000000001" customHeight="1" x14ac:dyDescent="0.25">
      <c r="D9" s="50" t="str">
        <v/>
      </c>
      <c r="E9" s="50" t="str">
        <v/>
      </c>
      <c r="F9" s="50">
        <f t="shared" si="0"/>
        <v>0</v>
      </c>
      <c r="G9" s="212">
        <f t="shared" si="1"/>
        <v>0</v>
      </c>
      <c r="H9" s="50" t="str">
        <v/>
      </c>
      <c r="I9" s="212">
        <f t="shared" si="2"/>
        <v>0</v>
      </c>
      <c r="J9" s="50" t="str">
        <v/>
      </c>
      <c r="K9" s="50" t="str">
        <v/>
      </c>
      <c r="L9" s="50" t="str">
        <v/>
      </c>
      <c r="M9" s="50" t="str">
        <v/>
      </c>
      <c r="N9" s="50" cm="1">
        <f t="array" ref="N9">_xlfn.LET(_xlpm.result, Common_InputFunctions.Utility_LookupValueInTableTwoColumns(L9, _xlfn.IFS(L9="Urea",IF($J9="", "Global", $J9), L9="Ammonia", IF($K9="", "Global", $K9), TRUE, "Global"), Table_SourceData_Scope3_InorganicFertiliser[Chemical compound],Table_SourceData_Scope3_InorganicFertiliser[Region of origin],Table_SourceData_Scope3_InorganicFertiliser[AusLCI Emissions intensity]), IF(_xlpm.result="", 0, _xlpm.result))</f>
        <v>0</v>
      </c>
      <c r="O9" s="50" t="str">
        <v/>
      </c>
      <c r="P9" s="50" t="str">
        <v/>
      </c>
      <c r="Q9" s="50" cm="1">
        <f t="array" ref="Q9">_xlfn.LET(_xlpm.result, Common_InputFunctions.Utility_LookupValueInTableTwoColumns(O9, _xlfn.IFS(O9="Urea",IF($J9="", "Global", $J9), O9="Ammonia", IF($K9="", "Global", $K9), TRUE, "Global"), Table_SourceData_Scope3_InorganicFertiliser[Chemical compound],Table_SourceData_Scope3_InorganicFertiliser[Region of origin],Table_SourceData_Scope3_InorganicFertiliser[AusLCI Emissions intensity]), IF(_xlpm.result="", 0, _xlpm.result))</f>
        <v>0</v>
      </c>
      <c r="R9" s="50" t="str">
        <v/>
      </c>
      <c r="S9" s="50" t="str">
        <v/>
      </c>
      <c r="T9" s="50" cm="1">
        <f t="array" ref="T9">_xlfn.LET(_xlpm.result, Common_InputFunctions.Utility_LookupValueInTableTwoColumns(R9, _xlfn.IFS(R9="Urea",IF($J9="", "Global", $J9), R9="Ammonia", IF($K9="", "Global", $K9), TRUE, "Global"), Table_SourceData_Scope3_InorganicFertiliser[Chemical compound],Table_SourceData_Scope3_InorganicFertiliser[Region of origin],Table_SourceData_Scope3_InorganicFertiliser[AusLCI Emissions intensity]), IF(_xlpm.result="", 0, _xlpm.result))</f>
        <v>0</v>
      </c>
      <c r="U9" s="50" t="str">
        <v/>
      </c>
      <c r="V9" s="50" t="str">
        <v/>
      </c>
      <c r="W9" s="50" cm="1">
        <f t="array" ref="W9">_xlfn.LET(_xlpm.result, Common_InputFunctions.Utility_LookupValueInTableTwoColumns(U9, _xlfn.IFS(U9="Urea",IF($J9="", "Global", $J9), U9="Ammonia", IF($K9="", "Global", $K9), TRUE, "Global"), Table_SourceData_Scope3_InorganicFertiliser[Chemical compound],Table_SourceData_Scope3_InorganicFertiliser[Region of origin],Table_SourceData_Scope3_InorganicFertiliser[AusLCI Emissions intensity]), IF(_xlpm.result="", 0, _xlpm.result))</f>
        <v>0</v>
      </c>
      <c r="X9" s="50" t="str">
        <v/>
      </c>
      <c r="Y9" s="50" t="str">
        <v/>
      </c>
      <c r="Z9" s="50" cm="1">
        <f t="array" ref="Z9">_xlfn.LET(_xlpm.result, Common_InputFunctions.Utility_LookupValueInTableTwoColumns(X9, _xlfn.IFS(X9="Urea",IF($J9="", "Global", $J9), X9="Ammonia", IF($K9="", "Global", $K9), TRUE, "Global"), Table_SourceData_Scope3_InorganicFertiliser[Chemical compound],Table_SourceData_Scope3_InorganicFertiliser[Region of origin],Table_SourceData_Scope3_InorganicFertiliser[AusLCI Emissions intensity]), IF(_xlpm.result="", 0, _xlpm.result))</f>
        <v>0</v>
      </c>
      <c r="AA9" s="50" t="str">
        <v/>
      </c>
      <c r="AB9" s="50" t="str">
        <v/>
      </c>
      <c r="AC9" s="50" cm="1">
        <f t="array" ref="AC9">_xlfn.LET(_xlpm.result, Common_InputFunctions.Utility_LookupValueInTableTwoColumns(AA9, _xlfn.IFS(AA9="Urea",IF($J9="", "Global", $J9), AA9="Ammonia", IF($K9="", "Global", $K9), TRUE, "Global"), Table_SourceData_Scope3_InorganicFertiliser[Chemical compound],Table_SourceData_Scope3_InorganicFertiliser[Region of origin],Table_SourceData_Scope3_InorganicFertiliser[AusLCI Emissions intensity]), IF(_xlpm.result="", 0, _xlpm.result))</f>
        <v>0</v>
      </c>
    </row>
    <row r="10" spans="4:29" ht="20.100000000000001" customHeight="1" x14ac:dyDescent="0.25">
      <c r="D10" s="50" t="str">
        <v/>
      </c>
      <c r="E10" s="50" t="str">
        <v/>
      </c>
      <c r="F10" s="50">
        <f t="shared" si="0"/>
        <v>0</v>
      </c>
      <c r="G10" s="212">
        <f t="shared" si="1"/>
        <v>0</v>
      </c>
      <c r="H10" s="50" t="str">
        <v/>
      </c>
      <c r="I10" s="212">
        <f t="shared" si="2"/>
        <v>0</v>
      </c>
      <c r="J10" s="50" t="str">
        <v/>
      </c>
      <c r="K10" s="50" t="str">
        <v/>
      </c>
      <c r="L10" s="50" t="str">
        <v/>
      </c>
      <c r="M10" s="50" t="str">
        <v/>
      </c>
      <c r="N10" s="50" cm="1">
        <f t="array" ref="N10">_xlfn.LET(_xlpm.result, Common_InputFunctions.Utility_LookupValueInTableTwoColumns(L10, _xlfn.IFS(L10="Urea",IF($J10="", "Global", $J10), L10="Ammonia", IF($K10="", "Global", $K10), TRUE, "Global"), Table_SourceData_Scope3_InorganicFertiliser[Chemical compound],Table_SourceData_Scope3_InorganicFertiliser[Region of origin],Table_SourceData_Scope3_InorganicFertiliser[AusLCI Emissions intensity]), IF(_xlpm.result="", 0, _xlpm.result))</f>
        <v>0</v>
      </c>
      <c r="O10" s="50" t="str">
        <v/>
      </c>
      <c r="P10" s="50" t="str">
        <v/>
      </c>
      <c r="Q10" s="50" cm="1">
        <f t="array" ref="Q10">_xlfn.LET(_xlpm.result, Common_InputFunctions.Utility_LookupValueInTableTwoColumns(O10, _xlfn.IFS(O10="Urea",IF($J10="", "Global", $J10), O10="Ammonia", IF($K10="", "Global", $K10), TRUE, "Global"), Table_SourceData_Scope3_InorganicFertiliser[Chemical compound],Table_SourceData_Scope3_InorganicFertiliser[Region of origin],Table_SourceData_Scope3_InorganicFertiliser[AusLCI Emissions intensity]), IF(_xlpm.result="", 0, _xlpm.result))</f>
        <v>0</v>
      </c>
      <c r="R10" s="50" t="str">
        <v/>
      </c>
      <c r="S10" s="50" t="str">
        <v/>
      </c>
      <c r="T10" s="50" cm="1">
        <f t="array" ref="T10">_xlfn.LET(_xlpm.result, Common_InputFunctions.Utility_LookupValueInTableTwoColumns(R10, _xlfn.IFS(R10="Urea",IF($J10="", "Global", $J10), R10="Ammonia", IF($K10="", "Global", $K10), TRUE, "Global"), Table_SourceData_Scope3_InorganicFertiliser[Chemical compound],Table_SourceData_Scope3_InorganicFertiliser[Region of origin],Table_SourceData_Scope3_InorganicFertiliser[AusLCI Emissions intensity]), IF(_xlpm.result="", 0, _xlpm.result))</f>
        <v>0</v>
      </c>
      <c r="U10" s="50" t="str">
        <v/>
      </c>
      <c r="V10" s="50" t="str">
        <v/>
      </c>
      <c r="W10" s="50" cm="1">
        <f t="array" ref="W10">_xlfn.LET(_xlpm.result, Common_InputFunctions.Utility_LookupValueInTableTwoColumns(U10, _xlfn.IFS(U10="Urea",IF($J10="", "Global", $J10), U10="Ammonia", IF($K10="", "Global", $K10), TRUE, "Global"), Table_SourceData_Scope3_InorganicFertiliser[Chemical compound],Table_SourceData_Scope3_InorganicFertiliser[Region of origin],Table_SourceData_Scope3_InorganicFertiliser[AusLCI Emissions intensity]), IF(_xlpm.result="", 0, _xlpm.result))</f>
        <v>0</v>
      </c>
      <c r="X10" s="50" t="str">
        <v/>
      </c>
      <c r="Y10" s="50" t="str">
        <v/>
      </c>
      <c r="Z10" s="50" cm="1">
        <f t="array" ref="Z10">_xlfn.LET(_xlpm.result, Common_InputFunctions.Utility_LookupValueInTableTwoColumns(X10, _xlfn.IFS(X10="Urea",IF($J10="", "Global", $J10), X10="Ammonia", IF($K10="", "Global", $K10), TRUE, "Global"), Table_SourceData_Scope3_InorganicFertiliser[Chemical compound],Table_SourceData_Scope3_InorganicFertiliser[Region of origin],Table_SourceData_Scope3_InorganicFertiliser[AusLCI Emissions intensity]), IF(_xlpm.result="", 0, _xlpm.result))</f>
        <v>0</v>
      </c>
      <c r="AA10" s="50" t="str">
        <v/>
      </c>
      <c r="AB10" s="50" t="str">
        <v/>
      </c>
      <c r="AC10" s="50" cm="1">
        <f t="array" ref="AC10">_xlfn.LET(_xlpm.result, Common_InputFunctions.Utility_LookupValueInTableTwoColumns(AA10, _xlfn.IFS(AA10="Urea",IF($J10="", "Global", $J10), AA10="Ammonia", IF($K10="", "Global", $K10), TRUE, "Global"), Table_SourceData_Scope3_InorganicFertiliser[Chemical compound],Table_SourceData_Scope3_InorganicFertiliser[Region of origin],Table_SourceData_Scope3_InorganicFertiliser[AusLCI Emissions intensity]), IF(_xlpm.result="", 0, _xlpm.result))</f>
        <v>0</v>
      </c>
    </row>
    <row r="11" spans="4:29" ht="20.100000000000001" customHeight="1" x14ac:dyDescent="0.25">
      <c r="D11" s="50" t="str">
        <v/>
      </c>
      <c r="E11" s="50" t="str">
        <v/>
      </c>
      <c r="F11" s="50">
        <f t="shared" si="0"/>
        <v>0</v>
      </c>
      <c r="G11" s="212">
        <f t="shared" si="1"/>
        <v>0</v>
      </c>
      <c r="H11" s="50" t="str">
        <v/>
      </c>
      <c r="I11" s="212">
        <f t="shared" si="2"/>
        <v>0</v>
      </c>
      <c r="J11" s="50" t="str">
        <v/>
      </c>
      <c r="K11" s="50" t="str">
        <v/>
      </c>
      <c r="L11" s="50" t="str">
        <v/>
      </c>
      <c r="M11" s="50" t="str">
        <v/>
      </c>
      <c r="N11" s="50" cm="1">
        <f t="array" ref="N11">_xlfn.LET(_xlpm.result, Common_InputFunctions.Utility_LookupValueInTableTwoColumns(L11, _xlfn.IFS(L11="Urea",IF($J11="", "Global", $J11), L11="Ammonia", IF($K11="", "Global", $K11), TRUE, "Global"), Table_SourceData_Scope3_InorganicFertiliser[Chemical compound],Table_SourceData_Scope3_InorganicFertiliser[Region of origin],Table_SourceData_Scope3_InorganicFertiliser[AusLCI Emissions intensity]), IF(_xlpm.result="", 0, _xlpm.result))</f>
        <v>0</v>
      </c>
      <c r="O11" s="50" t="str">
        <v/>
      </c>
      <c r="P11" s="50" t="str">
        <v/>
      </c>
      <c r="Q11" s="50" cm="1">
        <f t="array" ref="Q11">_xlfn.LET(_xlpm.result, Common_InputFunctions.Utility_LookupValueInTableTwoColumns(O11, _xlfn.IFS(O11="Urea",IF($J11="", "Global", $J11), O11="Ammonia", IF($K11="", "Global", $K11), TRUE, "Global"), Table_SourceData_Scope3_InorganicFertiliser[Chemical compound],Table_SourceData_Scope3_InorganicFertiliser[Region of origin],Table_SourceData_Scope3_InorganicFertiliser[AusLCI Emissions intensity]), IF(_xlpm.result="", 0, _xlpm.result))</f>
        <v>0</v>
      </c>
      <c r="R11" s="50" t="str">
        <v/>
      </c>
      <c r="S11" s="50" t="str">
        <v/>
      </c>
      <c r="T11" s="50" cm="1">
        <f t="array" ref="T11">_xlfn.LET(_xlpm.result, Common_InputFunctions.Utility_LookupValueInTableTwoColumns(R11, _xlfn.IFS(R11="Urea",IF($J11="", "Global", $J11), R11="Ammonia", IF($K11="", "Global", $K11), TRUE, "Global"), Table_SourceData_Scope3_InorganicFertiliser[Chemical compound],Table_SourceData_Scope3_InorganicFertiliser[Region of origin],Table_SourceData_Scope3_InorganicFertiliser[AusLCI Emissions intensity]), IF(_xlpm.result="", 0, _xlpm.result))</f>
        <v>0</v>
      </c>
      <c r="U11" s="50" t="str">
        <v/>
      </c>
      <c r="V11" s="50" t="str">
        <v/>
      </c>
      <c r="W11" s="50" cm="1">
        <f t="array" ref="W11">_xlfn.LET(_xlpm.result, Common_InputFunctions.Utility_LookupValueInTableTwoColumns(U11, _xlfn.IFS(U11="Urea",IF($J11="", "Global", $J11), U11="Ammonia", IF($K11="", "Global", $K11), TRUE, "Global"), Table_SourceData_Scope3_InorganicFertiliser[Chemical compound],Table_SourceData_Scope3_InorganicFertiliser[Region of origin],Table_SourceData_Scope3_InorganicFertiliser[AusLCI Emissions intensity]), IF(_xlpm.result="", 0, _xlpm.result))</f>
        <v>0</v>
      </c>
      <c r="X11" s="50" t="str">
        <v/>
      </c>
      <c r="Y11" s="50" t="str">
        <v/>
      </c>
      <c r="Z11" s="50" cm="1">
        <f t="array" ref="Z11">_xlfn.LET(_xlpm.result, Common_InputFunctions.Utility_LookupValueInTableTwoColumns(X11, _xlfn.IFS(X11="Urea",IF($J11="", "Global", $J11), X11="Ammonia", IF($K11="", "Global", $K11), TRUE, "Global"), Table_SourceData_Scope3_InorganicFertiliser[Chemical compound],Table_SourceData_Scope3_InorganicFertiliser[Region of origin],Table_SourceData_Scope3_InorganicFertiliser[AusLCI Emissions intensity]), IF(_xlpm.result="", 0, _xlpm.result))</f>
        <v>0</v>
      </c>
      <c r="AA11" s="50" t="str">
        <v/>
      </c>
      <c r="AB11" s="50" t="str">
        <v/>
      </c>
      <c r="AC11" s="50" cm="1">
        <f t="array" ref="AC11">_xlfn.LET(_xlpm.result, Common_InputFunctions.Utility_LookupValueInTableTwoColumns(AA11, _xlfn.IFS(AA11="Urea",IF($J11="", "Global", $J11), AA11="Ammonia", IF($K11="", "Global", $K11), TRUE, "Global"), Table_SourceData_Scope3_InorganicFertiliser[Chemical compound],Table_SourceData_Scope3_InorganicFertiliser[Region of origin],Table_SourceData_Scope3_InorganicFertiliser[AusLCI Emissions intensity]), IF(_xlpm.result="", 0, _xlpm.result))</f>
        <v>0</v>
      </c>
    </row>
    <row r="12" spans="4:29" ht="20.100000000000001" customHeight="1" x14ac:dyDescent="0.25">
      <c r="D12" s="50" t="str">
        <v/>
      </c>
      <c r="E12" s="50" t="str">
        <v/>
      </c>
      <c r="F12" s="50">
        <f t="shared" si="0"/>
        <v>0</v>
      </c>
      <c r="G12" s="212">
        <f t="shared" si="1"/>
        <v>0</v>
      </c>
      <c r="H12" s="50" t="str">
        <v/>
      </c>
      <c r="I12" s="212">
        <f t="shared" si="2"/>
        <v>0</v>
      </c>
      <c r="J12" s="50" t="str">
        <v/>
      </c>
      <c r="K12" s="50" t="str">
        <v/>
      </c>
      <c r="L12" s="50" t="str">
        <v/>
      </c>
      <c r="M12" s="50" t="str">
        <v/>
      </c>
      <c r="N12" s="50" cm="1">
        <f t="array" ref="N12">_xlfn.LET(_xlpm.result, Common_InputFunctions.Utility_LookupValueInTableTwoColumns(L12, _xlfn.IFS(L12="Urea",IF($J12="", "Global", $J12), L12="Ammonia", IF($K12="", "Global", $K12), TRUE, "Global"), Table_SourceData_Scope3_InorganicFertiliser[Chemical compound],Table_SourceData_Scope3_InorganicFertiliser[Region of origin],Table_SourceData_Scope3_InorganicFertiliser[AusLCI Emissions intensity]), IF(_xlpm.result="", 0, _xlpm.result))</f>
        <v>0</v>
      </c>
      <c r="O12" s="50" t="str">
        <v/>
      </c>
      <c r="P12" s="50" t="str">
        <v/>
      </c>
      <c r="Q12" s="50" cm="1">
        <f t="array" ref="Q12">_xlfn.LET(_xlpm.result, Common_InputFunctions.Utility_LookupValueInTableTwoColumns(O12, _xlfn.IFS(O12="Urea",IF($J12="", "Global", $J12), O12="Ammonia", IF($K12="", "Global", $K12), TRUE, "Global"), Table_SourceData_Scope3_InorganicFertiliser[Chemical compound],Table_SourceData_Scope3_InorganicFertiliser[Region of origin],Table_SourceData_Scope3_InorganicFertiliser[AusLCI Emissions intensity]), IF(_xlpm.result="", 0, _xlpm.result))</f>
        <v>0</v>
      </c>
      <c r="R12" s="50" t="str">
        <v/>
      </c>
      <c r="S12" s="50" t="str">
        <v/>
      </c>
      <c r="T12" s="50" cm="1">
        <f t="array" ref="T12">_xlfn.LET(_xlpm.result, Common_InputFunctions.Utility_LookupValueInTableTwoColumns(R12, _xlfn.IFS(R12="Urea",IF($J12="", "Global", $J12), R12="Ammonia", IF($K12="", "Global", $K12), TRUE, "Global"), Table_SourceData_Scope3_InorganicFertiliser[Chemical compound],Table_SourceData_Scope3_InorganicFertiliser[Region of origin],Table_SourceData_Scope3_InorganicFertiliser[AusLCI Emissions intensity]), IF(_xlpm.result="", 0, _xlpm.result))</f>
        <v>0</v>
      </c>
      <c r="U12" s="50" t="str">
        <v/>
      </c>
      <c r="V12" s="50" t="str">
        <v/>
      </c>
      <c r="W12" s="50" cm="1">
        <f t="array" ref="W12">_xlfn.LET(_xlpm.result, Common_InputFunctions.Utility_LookupValueInTableTwoColumns(U12, _xlfn.IFS(U12="Urea",IF($J12="", "Global", $J12), U12="Ammonia", IF($K12="", "Global", $K12), TRUE, "Global"), Table_SourceData_Scope3_InorganicFertiliser[Chemical compound],Table_SourceData_Scope3_InorganicFertiliser[Region of origin],Table_SourceData_Scope3_InorganicFertiliser[AusLCI Emissions intensity]), IF(_xlpm.result="", 0, _xlpm.result))</f>
        <v>0</v>
      </c>
      <c r="X12" s="50" t="str">
        <v/>
      </c>
      <c r="Y12" s="50" t="str">
        <v/>
      </c>
      <c r="Z12" s="50" cm="1">
        <f t="array" ref="Z12">_xlfn.LET(_xlpm.result, Common_InputFunctions.Utility_LookupValueInTableTwoColumns(X12, _xlfn.IFS(X12="Urea",IF($J12="", "Global", $J12), X12="Ammonia", IF($K12="", "Global", $K12), TRUE, "Global"), Table_SourceData_Scope3_InorganicFertiliser[Chemical compound],Table_SourceData_Scope3_InorganicFertiliser[Region of origin],Table_SourceData_Scope3_InorganicFertiliser[AusLCI Emissions intensity]), IF(_xlpm.result="", 0, _xlpm.result))</f>
        <v>0</v>
      </c>
      <c r="AA12" s="50" t="str">
        <v/>
      </c>
      <c r="AB12" s="50" t="str">
        <v/>
      </c>
      <c r="AC12" s="50" cm="1">
        <f t="array" ref="AC12">_xlfn.LET(_xlpm.result, Common_InputFunctions.Utility_LookupValueInTableTwoColumns(AA12, _xlfn.IFS(AA12="Urea",IF($J12="", "Global", $J12), AA12="Ammonia", IF($K12="", "Global", $K12), TRUE, "Global"), Table_SourceData_Scope3_InorganicFertiliser[Chemical compound],Table_SourceData_Scope3_InorganicFertiliser[Region of origin],Table_SourceData_Scope3_InorganicFertiliser[AusLCI Emissions intensity]), IF(_xlpm.result="", 0, _xlpm.result))</f>
        <v>0</v>
      </c>
    </row>
    <row r="13" spans="4:29" ht="20.100000000000001" customHeight="1" x14ac:dyDescent="0.25">
      <c r="D13" s="50" t="str">
        <v/>
      </c>
      <c r="E13" s="50" t="str">
        <v/>
      </c>
      <c r="F13" s="50">
        <f t="shared" si="0"/>
        <v>0</v>
      </c>
      <c r="G13" s="212">
        <f t="shared" si="1"/>
        <v>0</v>
      </c>
      <c r="H13" s="50" t="str">
        <v/>
      </c>
      <c r="I13" s="212">
        <f t="shared" si="2"/>
        <v>0</v>
      </c>
      <c r="J13" s="50" t="str">
        <v/>
      </c>
      <c r="K13" s="50" t="str">
        <v/>
      </c>
      <c r="L13" s="50" t="str">
        <v/>
      </c>
      <c r="M13" s="50" t="str">
        <v/>
      </c>
      <c r="N13" s="50" cm="1">
        <f t="array" ref="N13">_xlfn.LET(_xlpm.result, Common_InputFunctions.Utility_LookupValueInTableTwoColumns(L13, _xlfn.IFS(L13="Urea",IF($J13="", "Global", $J13), L13="Ammonia", IF($K13="", "Global", $K13), TRUE, "Global"), Table_SourceData_Scope3_InorganicFertiliser[Chemical compound],Table_SourceData_Scope3_InorganicFertiliser[Region of origin],Table_SourceData_Scope3_InorganicFertiliser[AusLCI Emissions intensity]), IF(_xlpm.result="", 0, _xlpm.result))</f>
        <v>0</v>
      </c>
      <c r="O13" s="50" t="str">
        <v/>
      </c>
      <c r="P13" s="50" t="str">
        <v/>
      </c>
      <c r="Q13" s="50" cm="1">
        <f t="array" ref="Q13">_xlfn.LET(_xlpm.result, Common_InputFunctions.Utility_LookupValueInTableTwoColumns(O13, _xlfn.IFS(O13="Urea",IF($J13="", "Global", $J13), O13="Ammonia", IF($K13="", "Global", $K13), TRUE, "Global"), Table_SourceData_Scope3_InorganicFertiliser[Chemical compound],Table_SourceData_Scope3_InorganicFertiliser[Region of origin],Table_SourceData_Scope3_InorganicFertiliser[AusLCI Emissions intensity]), IF(_xlpm.result="", 0, _xlpm.result))</f>
        <v>0</v>
      </c>
      <c r="R13" s="50" t="str">
        <v/>
      </c>
      <c r="S13" s="50" t="str">
        <v/>
      </c>
      <c r="T13" s="50" cm="1">
        <f t="array" ref="T13">_xlfn.LET(_xlpm.result, Common_InputFunctions.Utility_LookupValueInTableTwoColumns(R13, _xlfn.IFS(R13="Urea",IF($J13="", "Global", $J13), R13="Ammonia", IF($K13="", "Global", $K13), TRUE, "Global"), Table_SourceData_Scope3_InorganicFertiliser[Chemical compound],Table_SourceData_Scope3_InorganicFertiliser[Region of origin],Table_SourceData_Scope3_InorganicFertiliser[AusLCI Emissions intensity]), IF(_xlpm.result="", 0, _xlpm.result))</f>
        <v>0</v>
      </c>
      <c r="U13" s="50" t="str">
        <v/>
      </c>
      <c r="V13" s="50" t="str">
        <v/>
      </c>
      <c r="W13" s="50" cm="1">
        <f t="array" ref="W13">_xlfn.LET(_xlpm.result, Common_InputFunctions.Utility_LookupValueInTableTwoColumns(U13, _xlfn.IFS(U13="Urea",IF($J13="", "Global", $J13), U13="Ammonia", IF($K13="", "Global", $K13), TRUE, "Global"), Table_SourceData_Scope3_InorganicFertiliser[Chemical compound],Table_SourceData_Scope3_InorganicFertiliser[Region of origin],Table_SourceData_Scope3_InorganicFertiliser[AusLCI Emissions intensity]), IF(_xlpm.result="", 0, _xlpm.result))</f>
        <v>0</v>
      </c>
      <c r="X13" s="50" t="str">
        <v/>
      </c>
      <c r="Y13" s="50" t="str">
        <v/>
      </c>
      <c r="Z13" s="50" cm="1">
        <f t="array" ref="Z13">_xlfn.LET(_xlpm.result, Common_InputFunctions.Utility_LookupValueInTableTwoColumns(X13, _xlfn.IFS(X13="Urea",IF($J13="", "Global", $J13), X13="Ammonia", IF($K13="", "Global", $K13), TRUE, "Global"), Table_SourceData_Scope3_InorganicFertiliser[Chemical compound],Table_SourceData_Scope3_InorganicFertiliser[Region of origin],Table_SourceData_Scope3_InorganicFertiliser[AusLCI Emissions intensity]), IF(_xlpm.result="", 0, _xlpm.result))</f>
        <v>0</v>
      </c>
      <c r="AA13" s="50" t="str">
        <v/>
      </c>
      <c r="AB13" s="50" t="str">
        <v/>
      </c>
      <c r="AC13" s="50" cm="1">
        <f t="array" ref="AC13">_xlfn.LET(_xlpm.result, Common_InputFunctions.Utility_LookupValueInTableTwoColumns(AA13, _xlfn.IFS(AA13="Urea",IF($J13="", "Global", $J13), AA13="Ammonia", IF($K13="", "Global", $K13), TRUE, "Global"), Table_SourceData_Scope3_InorganicFertiliser[Chemical compound],Table_SourceData_Scope3_InorganicFertiliser[Region of origin],Table_SourceData_Scope3_InorganicFertiliser[AusLCI Emissions intensity]), IF(_xlpm.result="", 0, _xlpm.result))</f>
        <v>0</v>
      </c>
    </row>
    <row r="14" spans="4:29" ht="20.100000000000001" customHeight="1" x14ac:dyDescent="0.25">
      <c r="D14" s="50" t="str">
        <v/>
      </c>
      <c r="E14" s="50" t="str">
        <v/>
      </c>
      <c r="F14" s="50">
        <f t="shared" si="0"/>
        <v>0</v>
      </c>
      <c r="G14" s="212">
        <f t="shared" si="1"/>
        <v>0</v>
      </c>
      <c r="H14" s="50" t="str">
        <v/>
      </c>
      <c r="I14" s="212">
        <f t="shared" si="2"/>
        <v>0</v>
      </c>
      <c r="J14" s="50" t="str">
        <v/>
      </c>
      <c r="K14" s="50" t="str">
        <v/>
      </c>
      <c r="L14" s="50" t="str">
        <v/>
      </c>
      <c r="M14" s="50" t="str">
        <v/>
      </c>
      <c r="N14" s="50" cm="1">
        <f t="array" ref="N14">_xlfn.LET(_xlpm.result, Common_InputFunctions.Utility_LookupValueInTableTwoColumns(L14, _xlfn.IFS(L14="Urea",IF($J14="", "Global", $J14), L14="Ammonia", IF($K14="", "Global", $K14), TRUE, "Global"), Table_SourceData_Scope3_InorganicFertiliser[Chemical compound],Table_SourceData_Scope3_InorganicFertiliser[Region of origin],Table_SourceData_Scope3_InorganicFertiliser[AusLCI Emissions intensity]), IF(_xlpm.result="", 0, _xlpm.result))</f>
        <v>0</v>
      </c>
      <c r="O14" s="50" t="str">
        <v/>
      </c>
      <c r="P14" s="50" t="str">
        <v/>
      </c>
      <c r="Q14" s="50" cm="1">
        <f t="array" ref="Q14">_xlfn.LET(_xlpm.result, Common_InputFunctions.Utility_LookupValueInTableTwoColumns(O14, _xlfn.IFS(O14="Urea",IF($J14="", "Global", $J14), O14="Ammonia", IF($K14="", "Global", $K14), TRUE, "Global"), Table_SourceData_Scope3_InorganicFertiliser[Chemical compound],Table_SourceData_Scope3_InorganicFertiliser[Region of origin],Table_SourceData_Scope3_InorganicFertiliser[AusLCI Emissions intensity]), IF(_xlpm.result="", 0, _xlpm.result))</f>
        <v>0</v>
      </c>
      <c r="R14" s="50" t="str">
        <v/>
      </c>
      <c r="S14" s="50" t="str">
        <v/>
      </c>
      <c r="T14" s="50" cm="1">
        <f t="array" ref="T14">_xlfn.LET(_xlpm.result, Common_InputFunctions.Utility_LookupValueInTableTwoColumns(R14, _xlfn.IFS(R14="Urea",IF($J14="", "Global", $J14), R14="Ammonia", IF($K14="", "Global", $K14), TRUE, "Global"), Table_SourceData_Scope3_InorganicFertiliser[Chemical compound],Table_SourceData_Scope3_InorganicFertiliser[Region of origin],Table_SourceData_Scope3_InorganicFertiliser[AusLCI Emissions intensity]), IF(_xlpm.result="", 0, _xlpm.result))</f>
        <v>0</v>
      </c>
      <c r="U14" s="50" t="str">
        <v/>
      </c>
      <c r="V14" s="50" t="str">
        <v/>
      </c>
      <c r="W14" s="50" cm="1">
        <f t="array" ref="W14">_xlfn.LET(_xlpm.result, Common_InputFunctions.Utility_LookupValueInTableTwoColumns(U14, _xlfn.IFS(U14="Urea",IF($J14="", "Global", $J14), U14="Ammonia", IF($K14="", "Global", $K14), TRUE, "Global"), Table_SourceData_Scope3_InorganicFertiliser[Chemical compound],Table_SourceData_Scope3_InorganicFertiliser[Region of origin],Table_SourceData_Scope3_InorganicFertiliser[AusLCI Emissions intensity]), IF(_xlpm.result="", 0, _xlpm.result))</f>
        <v>0</v>
      </c>
      <c r="X14" s="50" t="str">
        <v/>
      </c>
      <c r="Y14" s="50" t="str">
        <v/>
      </c>
      <c r="Z14" s="50" cm="1">
        <f t="array" ref="Z14">_xlfn.LET(_xlpm.result, Common_InputFunctions.Utility_LookupValueInTableTwoColumns(X14, _xlfn.IFS(X14="Urea",IF($J14="", "Global", $J14), X14="Ammonia", IF($K14="", "Global", $K14), TRUE, "Global"), Table_SourceData_Scope3_InorganicFertiliser[Chemical compound],Table_SourceData_Scope3_InorganicFertiliser[Region of origin],Table_SourceData_Scope3_InorganicFertiliser[AusLCI Emissions intensity]), IF(_xlpm.result="", 0, _xlpm.result))</f>
        <v>0</v>
      </c>
      <c r="AA14" s="50" t="str">
        <v/>
      </c>
      <c r="AB14" s="50" t="str">
        <v/>
      </c>
      <c r="AC14" s="50" cm="1">
        <f t="array" ref="AC14">_xlfn.LET(_xlpm.result, Common_InputFunctions.Utility_LookupValueInTableTwoColumns(AA14, _xlfn.IFS(AA14="Urea",IF($J14="", "Global", $J14), AA14="Ammonia", IF($K14="", "Global", $K14), TRUE, "Global"), Table_SourceData_Scope3_InorganicFertiliser[Chemical compound],Table_SourceData_Scope3_InorganicFertiliser[Region of origin],Table_SourceData_Scope3_InorganicFertiliser[AusLCI Emissions intensity]), IF(_xlpm.result="", 0, _xlpm.result))</f>
        <v>0</v>
      </c>
    </row>
    <row r="15" spans="4:29" ht="20.100000000000001" customHeight="1" x14ac:dyDescent="0.25">
      <c r="D15" s="50" t="str">
        <v/>
      </c>
      <c r="E15" s="50" t="str">
        <v/>
      </c>
      <c r="F15" s="50">
        <f t="shared" si="0"/>
        <v>0</v>
      </c>
      <c r="G15" s="212">
        <f t="shared" si="1"/>
        <v>0</v>
      </c>
      <c r="H15" s="50" t="str">
        <v/>
      </c>
      <c r="I15" s="212">
        <f t="shared" si="2"/>
        <v>0</v>
      </c>
      <c r="J15" s="50" t="str">
        <v/>
      </c>
      <c r="K15" s="50" t="str">
        <v/>
      </c>
      <c r="L15" s="50" t="str">
        <v/>
      </c>
      <c r="M15" s="50" t="str">
        <v/>
      </c>
      <c r="N15" s="50" cm="1">
        <f t="array" ref="N15">_xlfn.LET(_xlpm.result, Common_InputFunctions.Utility_LookupValueInTableTwoColumns(L15, _xlfn.IFS(L15="Urea",IF($J15="", "Global", $J15), L15="Ammonia", IF($K15="", "Global", $K15), TRUE, "Global"), Table_SourceData_Scope3_InorganicFertiliser[Chemical compound],Table_SourceData_Scope3_InorganicFertiliser[Region of origin],Table_SourceData_Scope3_InorganicFertiliser[AusLCI Emissions intensity]), IF(_xlpm.result="", 0, _xlpm.result))</f>
        <v>0</v>
      </c>
      <c r="O15" s="50" t="str">
        <v/>
      </c>
      <c r="P15" s="50" t="str">
        <v/>
      </c>
      <c r="Q15" s="50" cm="1">
        <f t="array" ref="Q15">_xlfn.LET(_xlpm.result, Common_InputFunctions.Utility_LookupValueInTableTwoColumns(O15, _xlfn.IFS(O15="Urea",IF($J15="", "Global", $J15), O15="Ammonia", IF($K15="", "Global", $K15), TRUE, "Global"), Table_SourceData_Scope3_InorganicFertiliser[Chemical compound],Table_SourceData_Scope3_InorganicFertiliser[Region of origin],Table_SourceData_Scope3_InorganicFertiliser[AusLCI Emissions intensity]), IF(_xlpm.result="", 0, _xlpm.result))</f>
        <v>0</v>
      </c>
      <c r="R15" s="50" t="str">
        <v/>
      </c>
      <c r="S15" s="50" t="str">
        <v/>
      </c>
      <c r="T15" s="50" cm="1">
        <f t="array" ref="T15">_xlfn.LET(_xlpm.result, Common_InputFunctions.Utility_LookupValueInTableTwoColumns(R15, _xlfn.IFS(R15="Urea",IF($J15="", "Global", $J15), R15="Ammonia", IF($K15="", "Global", $K15), TRUE, "Global"), Table_SourceData_Scope3_InorganicFertiliser[Chemical compound],Table_SourceData_Scope3_InorganicFertiliser[Region of origin],Table_SourceData_Scope3_InorganicFertiliser[AusLCI Emissions intensity]), IF(_xlpm.result="", 0, _xlpm.result))</f>
        <v>0</v>
      </c>
      <c r="U15" s="50" t="str">
        <v/>
      </c>
      <c r="V15" s="50" t="str">
        <v/>
      </c>
      <c r="W15" s="50" cm="1">
        <f t="array" ref="W15">_xlfn.LET(_xlpm.result, Common_InputFunctions.Utility_LookupValueInTableTwoColumns(U15, _xlfn.IFS(U15="Urea",IF($J15="", "Global", $J15), U15="Ammonia", IF($K15="", "Global", $K15), TRUE, "Global"), Table_SourceData_Scope3_InorganicFertiliser[Chemical compound],Table_SourceData_Scope3_InorganicFertiliser[Region of origin],Table_SourceData_Scope3_InorganicFertiliser[AusLCI Emissions intensity]), IF(_xlpm.result="", 0, _xlpm.result))</f>
        <v>0</v>
      </c>
      <c r="X15" s="50" t="str">
        <v/>
      </c>
      <c r="Y15" s="50" t="str">
        <v/>
      </c>
      <c r="Z15" s="50" cm="1">
        <f t="array" ref="Z15">_xlfn.LET(_xlpm.result, Common_InputFunctions.Utility_LookupValueInTableTwoColumns(X15, _xlfn.IFS(X15="Urea",IF($J15="", "Global", $J15), X15="Ammonia", IF($K15="", "Global", $K15), TRUE, "Global"), Table_SourceData_Scope3_InorganicFertiliser[Chemical compound],Table_SourceData_Scope3_InorganicFertiliser[Region of origin],Table_SourceData_Scope3_InorganicFertiliser[AusLCI Emissions intensity]), IF(_xlpm.result="", 0, _xlpm.result))</f>
        <v>0</v>
      </c>
      <c r="AA15" s="50" t="str">
        <v/>
      </c>
      <c r="AB15" s="50" t="str">
        <v/>
      </c>
      <c r="AC15" s="50" cm="1">
        <f t="array" ref="AC15">_xlfn.LET(_xlpm.result, Common_InputFunctions.Utility_LookupValueInTableTwoColumns(AA15, _xlfn.IFS(AA15="Urea",IF($J15="", "Global", $J15), AA15="Ammonia", IF($K15="", "Global", $K15), TRUE, "Global"), Table_SourceData_Scope3_InorganicFertiliser[Chemical compound],Table_SourceData_Scope3_InorganicFertiliser[Region of origin],Table_SourceData_Scope3_InorganicFertiliser[AusLCI Emissions intensity]), IF(_xlpm.result="", 0, _xlpm.result))</f>
        <v>0</v>
      </c>
    </row>
    <row r="16" spans="4:29" ht="20.100000000000001" customHeight="1" x14ac:dyDescent="0.25">
      <c r="D16" s="50" t="str">
        <v/>
      </c>
      <c r="E16" s="50" t="str">
        <v/>
      </c>
      <c r="F16" s="50">
        <f t="shared" si="0"/>
        <v>0</v>
      </c>
      <c r="G16" s="212">
        <f t="shared" si="1"/>
        <v>0</v>
      </c>
      <c r="H16" s="50" t="str">
        <v/>
      </c>
      <c r="I16" s="212">
        <f t="shared" si="2"/>
        <v>0</v>
      </c>
      <c r="J16" s="50" t="str">
        <v/>
      </c>
      <c r="K16" s="50" t="str">
        <v/>
      </c>
      <c r="L16" s="50" t="str">
        <v/>
      </c>
      <c r="M16" s="50" t="str">
        <v/>
      </c>
      <c r="N16" s="50" cm="1">
        <f t="array" ref="N16">_xlfn.LET(_xlpm.result, Common_InputFunctions.Utility_LookupValueInTableTwoColumns(L16, _xlfn.IFS(L16="Urea",IF($J16="", "Global", $J16), L16="Ammonia", IF($K16="", "Global", $K16), TRUE, "Global"), Table_SourceData_Scope3_InorganicFertiliser[Chemical compound],Table_SourceData_Scope3_InorganicFertiliser[Region of origin],Table_SourceData_Scope3_InorganicFertiliser[AusLCI Emissions intensity]), IF(_xlpm.result="", 0, _xlpm.result))</f>
        <v>0</v>
      </c>
      <c r="O16" s="50" t="str">
        <v/>
      </c>
      <c r="P16" s="50" t="str">
        <v/>
      </c>
      <c r="Q16" s="50" cm="1">
        <f t="array" ref="Q16">_xlfn.LET(_xlpm.result, Common_InputFunctions.Utility_LookupValueInTableTwoColumns(O16, _xlfn.IFS(O16="Urea",IF($J16="", "Global", $J16), O16="Ammonia", IF($K16="", "Global", $K16), TRUE, "Global"), Table_SourceData_Scope3_InorganicFertiliser[Chemical compound],Table_SourceData_Scope3_InorganicFertiliser[Region of origin],Table_SourceData_Scope3_InorganicFertiliser[AusLCI Emissions intensity]), IF(_xlpm.result="", 0, _xlpm.result))</f>
        <v>0</v>
      </c>
      <c r="R16" s="50" t="str">
        <v/>
      </c>
      <c r="S16" s="50" t="str">
        <v/>
      </c>
      <c r="T16" s="50" cm="1">
        <f t="array" ref="T16">_xlfn.LET(_xlpm.result, Common_InputFunctions.Utility_LookupValueInTableTwoColumns(R16, _xlfn.IFS(R16="Urea",IF($J16="", "Global", $J16), R16="Ammonia", IF($K16="", "Global", $K16), TRUE, "Global"), Table_SourceData_Scope3_InorganicFertiliser[Chemical compound],Table_SourceData_Scope3_InorganicFertiliser[Region of origin],Table_SourceData_Scope3_InorganicFertiliser[AusLCI Emissions intensity]), IF(_xlpm.result="", 0, _xlpm.result))</f>
        <v>0</v>
      </c>
      <c r="U16" s="50" t="str">
        <v/>
      </c>
      <c r="V16" s="50" t="str">
        <v/>
      </c>
      <c r="W16" s="50" cm="1">
        <f t="array" ref="W16">_xlfn.LET(_xlpm.result, Common_InputFunctions.Utility_LookupValueInTableTwoColumns(U16, _xlfn.IFS(U16="Urea",IF($J16="", "Global", $J16), U16="Ammonia", IF($K16="", "Global", $K16), TRUE, "Global"), Table_SourceData_Scope3_InorganicFertiliser[Chemical compound],Table_SourceData_Scope3_InorganicFertiliser[Region of origin],Table_SourceData_Scope3_InorganicFertiliser[AusLCI Emissions intensity]), IF(_xlpm.result="", 0, _xlpm.result))</f>
        <v>0</v>
      </c>
      <c r="X16" s="50" t="str">
        <v/>
      </c>
      <c r="Y16" s="50" t="str">
        <v/>
      </c>
      <c r="Z16" s="50" cm="1">
        <f t="array" ref="Z16">_xlfn.LET(_xlpm.result, Common_InputFunctions.Utility_LookupValueInTableTwoColumns(X16, _xlfn.IFS(X16="Urea",IF($J16="", "Global", $J16), X16="Ammonia", IF($K16="", "Global", $K16), TRUE, "Global"), Table_SourceData_Scope3_InorganicFertiliser[Chemical compound],Table_SourceData_Scope3_InorganicFertiliser[Region of origin],Table_SourceData_Scope3_InorganicFertiliser[AusLCI Emissions intensity]), IF(_xlpm.result="", 0, _xlpm.result))</f>
        <v>0</v>
      </c>
      <c r="AA16" s="50" t="str">
        <v/>
      </c>
      <c r="AB16" s="50" t="str">
        <v/>
      </c>
      <c r="AC16" s="50" cm="1">
        <f t="array" ref="AC16">_xlfn.LET(_xlpm.result, Common_InputFunctions.Utility_LookupValueInTableTwoColumns(AA16, _xlfn.IFS(AA16="Urea",IF($J16="", "Global", $J16), AA16="Ammonia", IF($K16="", "Global", $K16), TRUE, "Global"), Table_SourceData_Scope3_InorganicFertiliser[Chemical compound],Table_SourceData_Scope3_InorganicFertiliser[Region of origin],Table_SourceData_Scope3_InorganicFertiliser[AusLCI Emissions intensity]), IF(_xlpm.result="", 0, _xlpm.result))</f>
        <v>0</v>
      </c>
    </row>
    <row r="17" spans="4:29" ht="20.100000000000001" customHeight="1" x14ac:dyDescent="0.25">
      <c r="D17" s="50" t="str">
        <v/>
      </c>
      <c r="E17" s="50" t="str">
        <v/>
      </c>
      <c r="F17" s="50">
        <f t="shared" si="0"/>
        <v>0</v>
      </c>
      <c r="G17" s="212">
        <f t="shared" si="1"/>
        <v>0</v>
      </c>
      <c r="H17" s="50" t="str">
        <v/>
      </c>
      <c r="I17" s="212">
        <f t="shared" si="2"/>
        <v>0</v>
      </c>
      <c r="J17" s="50" t="str">
        <v/>
      </c>
      <c r="K17" s="50" t="str">
        <v/>
      </c>
      <c r="L17" s="50" t="str">
        <v/>
      </c>
      <c r="M17" s="50" t="str">
        <v/>
      </c>
      <c r="N17" s="50" cm="1">
        <f t="array" ref="N17">_xlfn.LET(_xlpm.result, Common_InputFunctions.Utility_LookupValueInTableTwoColumns(L17, _xlfn.IFS(L17="Urea",IF($J17="", "Global", $J17), L17="Ammonia", IF($K17="", "Global", $K17), TRUE, "Global"), Table_SourceData_Scope3_InorganicFertiliser[Chemical compound],Table_SourceData_Scope3_InorganicFertiliser[Region of origin],Table_SourceData_Scope3_InorganicFertiliser[AusLCI Emissions intensity]), IF(_xlpm.result="", 0, _xlpm.result))</f>
        <v>0</v>
      </c>
      <c r="O17" s="50" t="str">
        <v/>
      </c>
      <c r="P17" s="50" t="str">
        <v/>
      </c>
      <c r="Q17" s="50" cm="1">
        <f t="array" ref="Q17">_xlfn.LET(_xlpm.result, Common_InputFunctions.Utility_LookupValueInTableTwoColumns(O17, _xlfn.IFS(O17="Urea",IF($J17="", "Global", $J17), O17="Ammonia", IF($K17="", "Global", $K17), TRUE, "Global"), Table_SourceData_Scope3_InorganicFertiliser[Chemical compound],Table_SourceData_Scope3_InorganicFertiliser[Region of origin],Table_SourceData_Scope3_InorganicFertiliser[AusLCI Emissions intensity]), IF(_xlpm.result="", 0, _xlpm.result))</f>
        <v>0</v>
      </c>
      <c r="R17" s="50" t="str">
        <v/>
      </c>
      <c r="S17" s="50" t="str">
        <v/>
      </c>
      <c r="T17" s="50" cm="1">
        <f t="array" ref="T17">_xlfn.LET(_xlpm.result, Common_InputFunctions.Utility_LookupValueInTableTwoColumns(R17, _xlfn.IFS(R17="Urea",IF($J17="", "Global", $J17), R17="Ammonia", IF($K17="", "Global", $K17), TRUE, "Global"), Table_SourceData_Scope3_InorganicFertiliser[Chemical compound],Table_SourceData_Scope3_InorganicFertiliser[Region of origin],Table_SourceData_Scope3_InorganicFertiliser[AusLCI Emissions intensity]), IF(_xlpm.result="", 0, _xlpm.result))</f>
        <v>0</v>
      </c>
      <c r="U17" s="50" t="str">
        <v/>
      </c>
      <c r="V17" s="50" t="str">
        <v/>
      </c>
      <c r="W17" s="50" cm="1">
        <f t="array" ref="W17">_xlfn.LET(_xlpm.result, Common_InputFunctions.Utility_LookupValueInTableTwoColumns(U17, _xlfn.IFS(U17="Urea",IF($J17="", "Global", $J17), U17="Ammonia", IF($K17="", "Global", $K17), TRUE, "Global"), Table_SourceData_Scope3_InorganicFertiliser[Chemical compound],Table_SourceData_Scope3_InorganicFertiliser[Region of origin],Table_SourceData_Scope3_InorganicFertiliser[AusLCI Emissions intensity]), IF(_xlpm.result="", 0, _xlpm.result))</f>
        <v>0</v>
      </c>
      <c r="X17" s="50" t="str">
        <v/>
      </c>
      <c r="Y17" s="50" t="str">
        <v/>
      </c>
      <c r="Z17" s="50" cm="1">
        <f t="array" ref="Z17">_xlfn.LET(_xlpm.result, Common_InputFunctions.Utility_LookupValueInTableTwoColumns(X17, _xlfn.IFS(X17="Urea",IF($J17="", "Global", $J17), X17="Ammonia", IF($K17="", "Global", $K17), TRUE, "Global"), Table_SourceData_Scope3_InorganicFertiliser[Chemical compound],Table_SourceData_Scope3_InorganicFertiliser[Region of origin],Table_SourceData_Scope3_InorganicFertiliser[AusLCI Emissions intensity]), IF(_xlpm.result="", 0, _xlpm.result))</f>
        <v>0</v>
      </c>
      <c r="AA17" s="50" t="str">
        <v/>
      </c>
      <c r="AB17" s="50" t="str">
        <v/>
      </c>
      <c r="AC17" s="50" cm="1">
        <f t="array" ref="AC17">_xlfn.LET(_xlpm.result, Common_InputFunctions.Utility_LookupValueInTableTwoColumns(AA17, _xlfn.IFS(AA17="Urea",IF($J17="", "Global", $J17), AA17="Ammonia", IF($K17="", "Global", $K17), TRUE, "Global"), Table_SourceData_Scope3_InorganicFertiliser[Chemical compound],Table_SourceData_Scope3_InorganicFertiliser[Region of origin],Table_SourceData_Scope3_InorganicFertiliser[AusLCI Emissions intensity]), IF(_xlpm.result="", 0, _xlpm.result))</f>
        <v>0</v>
      </c>
    </row>
    <row r="18" spans="4:29" ht="20.100000000000001" customHeight="1" x14ac:dyDescent="0.25">
      <c r="D18" s="50" t="str">
        <v/>
      </c>
      <c r="E18" s="50" t="str">
        <v/>
      </c>
      <c r="F18" s="50">
        <f t="shared" si="0"/>
        <v>0</v>
      </c>
      <c r="G18" s="212">
        <f t="shared" si="1"/>
        <v>0</v>
      </c>
      <c r="H18" s="50" t="str">
        <v/>
      </c>
      <c r="I18" s="212">
        <f t="shared" si="2"/>
        <v>0</v>
      </c>
      <c r="J18" s="50" t="str">
        <v/>
      </c>
      <c r="K18" s="50" t="str">
        <v/>
      </c>
      <c r="L18" s="50" t="str">
        <v/>
      </c>
      <c r="M18" s="50" t="str">
        <v/>
      </c>
      <c r="N18" s="50" cm="1">
        <f t="array" ref="N18">_xlfn.LET(_xlpm.result, Common_InputFunctions.Utility_LookupValueInTableTwoColumns(L18, _xlfn.IFS(L18="Urea",IF($J18="", "Global", $J18), L18="Ammonia", IF($K18="", "Global", $K18), TRUE, "Global"), Table_SourceData_Scope3_InorganicFertiliser[Chemical compound],Table_SourceData_Scope3_InorganicFertiliser[Region of origin],Table_SourceData_Scope3_InorganicFertiliser[AusLCI Emissions intensity]), IF(_xlpm.result="", 0, _xlpm.result))</f>
        <v>0</v>
      </c>
      <c r="O18" s="50" t="str">
        <v/>
      </c>
      <c r="P18" s="50" t="str">
        <v/>
      </c>
      <c r="Q18" s="50" cm="1">
        <f t="array" ref="Q18">_xlfn.LET(_xlpm.result, Common_InputFunctions.Utility_LookupValueInTableTwoColumns(O18, _xlfn.IFS(O18="Urea",IF($J18="", "Global", $J18), O18="Ammonia", IF($K18="", "Global", $K18), TRUE, "Global"), Table_SourceData_Scope3_InorganicFertiliser[Chemical compound],Table_SourceData_Scope3_InorganicFertiliser[Region of origin],Table_SourceData_Scope3_InorganicFertiliser[AusLCI Emissions intensity]), IF(_xlpm.result="", 0, _xlpm.result))</f>
        <v>0</v>
      </c>
      <c r="R18" s="50" t="str">
        <v/>
      </c>
      <c r="S18" s="50" t="str">
        <v/>
      </c>
      <c r="T18" s="50" cm="1">
        <f t="array" ref="T18">_xlfn.LET(_xlpm.result, Common_InputFunctions.Utility_LookupValueInTableTwoColumns(R18, _xlfn.IFS(R18="Urea",IF($J18="", "Global", $J18), R18="Ammonia", IF($K18="", "Global", $K18), TRUE, "Global"), Table_SourceData_Scope3_InorganicFertiliser[Chemical compound],Table_SourceData_Scope3_InorganicFertiliser[Region of origin],Table_SourceData_Scope3_InorganicFertiliser[AusLCI Emissions intensity]), IF(_xlpm.result="", 0, _xlpm.result))</f>
        <v>0</v>
      </c>
      <c r="U18" s="50" t="str">
        <v/>
      </c>
      <c r="V18" s="50" t="str">
        <v/>
      </c>
      <c r="W18" s="50" cm="1">
        <f t="array" ref="W18">_xlfn.LET(_xlpm.result, Common_InputFunctions.Utility_LookupValueInTableTwoColumns(U18, _xlfn.IFS(U18="Urea",IF($J18="", "Global", $J18), U18="Ammonia", IF($K18="", "Global", $K18), TRUE, "Global"), Table_SourceData_Scope3_InorganicFertiliser[Chemical compound],Table_SourceData_Scope3_InorganicFertiliser[Region of origin],Table_SourceData_Scope3_InorganicFertiliser[AusLCI Emissions intensity]), IF(_xlpm.result="", 0, _xlpm.result))</f>
        <v>0</v>
      </c>
      <c r="X18" s="50" t="str">
        <v/>
      </c>
      <c r="Y18" s="50" t="str">
        <v/>
      </c>
      <c r="Z18" s="50" cm="1">
        <f t="array" ref="Z18">_xlfn.LET(_xlpm.result, Common_InputFunctions.Utility_LookupValueInTableTwoColumns(X18, _xlfn.IFS(X18="Urea",IF($J18="", "Global", $J18), X18="Ammonia", IF($K18="", "Global", $K18), TRUE, "Global"), Table_SourceData_Scope3_InorganicFertiliser[Chemical compound],Table_SourceData_Scope3_InorganicFertiliser[Region of origin],Table_SourceData_Scope3_InorganicFertiliser[AusLCI Emissions intensity]), IF(_xlpm.result="", 0, _xlpm.result))</f>
        <v>0</v>
      </c>
      <c r="AA18" s="50" t="str">
        <v/>
      </c>
      <c r="AB18" s="50" t="str">
        <v/>
      </c>
      <c r="AC18" s="50" cm="1">
        <f t="array" ref="AC18">_xlfn.LET(_xlpm.result, Common_InputFunctions.Utility_LookupValueInTableTwoColumns(AA18, _xlfn.IFS(AA18="Urea",IF($J18="", "Global", $J18), AA18="Ammonia", IF($K18="", "Global", $K18), TRUE, "Global"), Table_SourceData_Scope3_InorganicFertiliser[Chemical compound],Table_SourceData_Scope3_InorganicFertiliser[Region of origin],Table_SourceData_Scope3_InorganicFertiliser[AusLCI Emissions intensity]), IF(_xlpm.result="", 0, _xlpm.result))</f>
        <v>0</v>
      </c>
    </row>
    <row r="19" spans="4:29" ht="20.100000000000001" customHeight="1" x14ac:dyDescent="0.25">
      <c r="D19" s="50" t="str">
        <v/>
      </c>
      <c r="E19" s="50" t="str">
        <v/>
      </c>
      <c r="F19" s="50">
        <f t="shared" si="0"/>
        <v>0</v>
      </c>
      <c r="G19" s="212">
        <f t="shared" si="1"/>
        <v>0</v>
      </c>
      <c r="H19" s="50" t="str">
        <v/>
      </c>
      <c r="I19" s="212">
        <f t="shared" si="2"/>
        <v>0</v>
      </c>
      <c r="J19" s="50" t="str">
        <v/>
      </c>
      <c r="K19" s="50" t="str">
        <v/>
      </c>
      <c r="L19" s="50" t="str">
        <v/>
      </c>
      <c r="M19" s="50" t="str">
        <v/>
      </c>
      <c r="N19" s="50" cm="1">
        <f t="array" ref="N19">_xlfn.LET(_xlpm.result, Common_InputFunctions.Utility_LookupValueInTableTwoColumns(L19, _xlfn.IFS(L19="Urea",IF($J19="", "Global", $J19), L19="Ammonia", IF($K19="", "Global", $K19), TRUE, "Global"), Table_SourceData_Scope3_InorganicFertiliser[Chemical compound],Table_SourceData_Scope3_InorganicFertiliser[Region of origin],Table_SourceData_Scope3_InorganicFertiliser[AusLCI Emissions intensity]), IF(_xlpm.result="", 0, _xlpm.result))</f>
        <v>0</v>
      </c>
      <c r="O19" s="50" t="str">
        <v/>
      </c>
      <c r="P19" s="50" t="str">
        <v/>
      </c>
      <c r="Q19" s="50" cm="1">
        <f t="array" ref="Q19">_xlfn.LET(_xlpm.result, Common_InputFunctions.Utility_LookupValueInTableTwoColumns(O19, _xlfn.IFS(O19="Urea",IF($J19="", "Global", $J19), O19="Ammonia", IF($K19="", "Global", $K19), TRUE, "Global"), Table_SourceData_Scope3_InorganicFertiliser[Chemical compound],Table_SourceData_Scope3_InorganicFertiliser[Region of origin],Table_SourceData_Scope3_InorganicFertiliser[AusLCI Emissions intensity]), IF(_xlpm.result="", 0, _xlpm.result))</f>
        <v>0</v>
      </c>
      <c r="R19" s="50" t="str">
        <v/>
      </c>
      <c r="S19" s="50" t="str">
        <v/>
      </c>
      <c r="T19" s="50" cm="1">
        <f t="array" ref="T19">_xlfn.LET(_xlpm.result, Common_InputFunctions.Utility_LookupValueInTableTwoColumns(R19, _xlfn.IFS(R19="Urea",IF($J19="", "Global", $J19), R19="Ammonia", IF($K19="", "Global", $K19), TRUE, "Global"), Table_SourceData_Scope3_InorganicFertiliser[Chemical compound],Table_SourceData_Scope3_InorganicFertiliser[Region of origin],Table_SourceData_Scope3_InorganicFertiliser[AusLCI Emissions intensity]), IF(_xlpm.result="", 0, _xlpm.result))</f>
        <v>0</v>
      </c>
      <c r="U19" s="50" t="str">
        <v/>
      </c>
      <c r="V19" s="50" t="str">
        <v/>
      </c>
      <c r="W19" s="50" cm="1">
        <f t="array" ref="W19">_xlfn.LET(_xlpm.result, Common_InputFunctions.Utility_LookupValueInTableTwoColumns(U19, _xlfn.IFS(U19="Urea",IF($J19="", "Global", $J19), U19="Ammonia", IF($K19="", "Global", $K19), TRUE, "Global"), Table_SourceData_Scope3_InorganicFertiliser[Chemical compound],Table_SourceData_Scope3_InorganicFertiliser[Region of origin],Table_SourceData_Scope3_InorganicFertiliser[AusLCI Emissions intensity]), IF(_xlpm.result="", 0, _xlpm.result))</f>
        <v>0</v>
      </c>
      <c r="X19" s="50" t="str">
        <v/>
      </c>
      <c r="Y19" s="50" t="str">
        <v/>
      </c>
      <c r="Z19" s="50" cm="1">
        <f t="array" ref="Z19">_xlfn.LET(_xlpm.result, Common_InputFunctions.Utility_LookupValueInTableTwoColumns(X19, _xlfn.IFS(X19="Urea",IF($J19="", "Global", $J19), X19="Ammonia", IF($K19="", "Global", $K19), TRUE, "Global"), Table_SourceData_Scope3_InorganicFertiliser[Chemical compound],Table_SourceData_Scope3_InorganicFertiliser[Region of origin],Table_SourceData_Scope3_InorganicFertiliser[AusLCI Emissions intensity]), IF(_xlpm.result="", 0, _xlpm.result))</f>
        <v>0</v>
      </c>
      <c r="AA19" s="50" t="str">
        <v/>
      </c>
      <c r="AB19" s="50" t="str">
        <v/>
      </c>
      <c r="AC19" s="50" cm="1">
        <f t="array" ref="AC19">_xlfn.LET(_xlpm.result, Common_InputFunctions.Utility_LookupValueInTableTwoColumns(AA19, _xlfn.IFS(AA19="Urea",IF($J19="", "Global", $J19), AA19="Ammonia", IF($K19="", "Global", $K19), TRUE, "Global"), Table_SourceData_Scope3_InorganicFertiliser[Chemical compound],Table_SourceData_Scope3_InorganicFertiliser[Region of origin],Table_SourceData_Scope3_InorganicFertiliser[AusLCI Emissions intensity]), IF(_xlpm.result="", 0, _xlpm.result))</f>
        <v>0</v>
      </c>
    </row>
    <row r="20" spans="4:29" ht="20.100000000000001" customHeight="1" x14ac:dyDescent="0.25">
      <c r="D20" s="50" t="str">
        <v/>
      </c>
      <c r="E20" s="50" t="str">
        <v/>
      </c>
      <c r="F20" s="50">
        <f t="shared" si="0"/>
        <v>0</v>
      </c>
      <c r="G20" s="212">
        <f t="shared" si="1"/>
        <v>0</v>
      </c>
      <c r="H20" s="50" t="str">
        <v/>
      </c>
      <c r="I20" s="212">
        <f t="shared" si="2"/>
        <v>0</v>
      </c>
      <c r="J20" s="50" t="str">
        <v/>
      </c>
      <c r="K20" s="50" t="str">
        <v/>
      </c>
      <c r="L20" s="50" t="str">
        <v/>
      </c>
      <c r="M20" s="50" t="str">
        <v/>
      </c>
      <c r="N20" s="50" cm="1">
        <f t="array" ref="N20">_xlfn.LET(_xlpm.result, Common_InputFunctions.Utility_LookupValueInTableTwoColumns(L20, _xlfn.IFS(L20="Urea",IF($J20="", "Global", $J20), L20="Ammonia", IF($K20="", "Global", $K20), TRUE, "Global"), Table_SourceData_Scope3_InorganicFertiliser[Chemical compound],Table_SourceData_Scope3_InorganicFertiliser[Region of origin],Table_SourceData_Scope3_InorganicFertiliser[AusLCI Emissions intensity]), IF(_xlpm.result="", 0, _xlpm.result))</f>
        <v>0</v>
      </c>
      <c r="O20" s="50" t="str">
        <v/>
      </c>
      <c r="P20" s="50" t="str">
        <v/>
      </c>
      <c r="Q20" s="50" cm="1">
        <f t="array" ref="Q20">_xlfn.LET(_xlpm.result, Common_InputFunctions.Utility_LookupValueInTableTwoColumns(O20, _xlfn.IFS(O20="Urea",IF($J20="", "Global", $J20), O20="Ammonia", IF($K20="", "Global", $K20), TRUE, "Global"), Table_SourceData_Scope3_InorganicFertiliser[Chemical compound],Table_SourceData_Scope3_InorganicFertiliser[Region of origin],Table_SourceData_Scope3_InorganicFertiliser[AusLCI Emissions intensity]), IF(_xlpm.result="", 0, _xlpm.result))</f>
        <v>0</v>
      </c>
      <c r="R20" s="50" t="str">
        <v/>
      </c>
      <c r="S20" s="50" t="str">
        <v/>
      </c>
      <c r="T20" s="50" cm="1">
        <f t="array" ref="T20">_xlfn.LET(_xlpm.result, Common_InputFunctions.Utility_LookupValueInTableTwoColumns(R20, _xlfn.IFS(R20="Urea",IF($J20="", "Global", $J20), R20="Ammonia", IF($K20="", "Global", $K20), TRUE, "Global"), Table_SourceData_Scope3_InorganicFertiliser[Chemical compound],Table_SourceData_Scope3_InorganicFertiliser[Region of origin],Table_SourceData_Scope3_InorganicFertiliser[AusLCI Emissions intensity]), IF(_xlpm.result="", 0, _xlpm.result))</f>
        <v>0</v>
      </c>
      <c r="U20" s="50" t="str">
        <v/>
      </c>
      <c r="V20" s="50" t="str">
        <v/>
      </c>
      <c r="W20" s="50" cm="1">
        <f t="array" ref="W20">_xlfn.LET(_xlpm.result, Common_InputFunctions.Utility_LookupValueInTableTwoColumns(U20, _xlfn.IFS(U20="Urea",IF($J20="", "Global", $J20), U20="Ammonia", IF($K20="", "Global", $K20), TRUE, "Global"), Table_SourceData_Scope3_InorganicFertiliser[Chemical compound],Table_SourceData_Scope3_InorganicFertiliser[Region of origin],Table_SourceData_Scope3_InorganicFertiliser[AusLCI Emissions intensity]), IF(_xlpm.result="", 0, _xlpm.result))</f>
        <v>0</v>
      </c>
      <c r="X20" s="50" t="str">
        <v/>
      </c>
      <c r="Y20" s="50" t="str">
        <v/>
      </c>
      <c r="Z20" s="50" cm="1">
        <f t="array" ref="Z20">_xlfn.LET(_xlpm.result, Common_InputFunctions.Utility_LookupValueInTableTwoColumns(X20, _xlfn.IFS(X20="Urea",IF($J20="", "Global", $J20), X20="Ammonia", IF($K20="", "Global", $K20), TRUE, "Global"), Table_SourceData_Scope3_InorganicFertiliser[Chemical compound],Table_SourceData_Scope3_InorganicFertiliser[Region of origin],Table_SourceData_Scope3_InorganicFertiliser[AusLCI Emissions intensity]), IF(_xlpm.result="", 0, _xlpm.result))</f>
        <v>0</v>
      </c>
      <c r="AA20" s="50" t="str">
        <v/>
      </c>
      <c r="AB20" s="50" t="str">
        <v/>
      </c>
      <c r="AC20" s="50" cm="1">
        <f t="array" ref="AC20">_xlfn.LET(_xlpm.result, Common_InputFunctions.Utility_LookupValueInTableTwoColumns(AA20, _xlfn.IFS(AA20="Urea",IF($J20="", "Global", $J20), AA20="Ammonia", IF($K20="", "Global", $K20), TRUE, "Global"), Table_SourceData_Scope3_InorganicFertiliser[Chemical compound],Table_SourceData_Scope3_InorganicFertiliser[Region of origin],Table_SourceData_Scope3_InorganicFertiliser[AusLCI Emissions intensity]), IF(_xlpm.result="", 0, _xlpm.result))</f>
        <v>0</v>
      </c>
    </row>
    <row r="21" spans="4:29" ht="20.100000000000001" customHeight="1" x14ac:dyDescent="0.25">
      <c r="D21" s="50" t="str">
        <v/>
      </c>
      <c r="E21" s="50" t="str">
        <v/>
      </c>
      <c r="F21" s="50">
        <f t="shared" si="0"/>
        <v>0</v>
      </c>
      <c r="G21" s="212">
        <f t="shared" si="1"/>
        <v>0</v>
      </c>
      <c r="H21" s="50" t="str">
        <v/>
      </c>
      <c r="I21" s="212">
        <f t="shared" si="2"/>
        <v>0</v>
      </c>
      <c r="J21" s="50" t="str">
        <v/>
      </c>
      <c r="K21" s="50" t="str">
        <v/>
      </c>
      <c r="L21" s="50" t="str">
        <v/>
      </c>
      <c r="M21" s="50" t="str">
        <v/>
      </c>
      <c r="N21" s="50" cm="1">
        <f t="array" ref="N21">_xlfn.LET(_xlpm.result, Common_InputFunctions.Utility_LookupValueInTableTwoColumns(L21, _xlfn.IFS(L21="Urea",IF($J21="", "Global", $J21), L21="Ammonia", IF($K21="", "Global", $K21), TRUE, "Global"), Table_SourceData_Scope3_InorganicFertiliser[Chemical compound],Table_SourceData_Scope3_InorganicFertiliser[Region of origin],Table_SourceData_Scope3_InorganicFertiliser[AusLCI Emissions intensity]), IF(_xlpm.result="", 0, _xlpm.result))</f>
        <v>0</v>
      </c>
      <c r="O21" s="50" t="str">
        <v/>
      </c>
      <c r="P21" s="50" t="str">
        <v/>
      </c>
      <c r="Q21" s="50" cm="1">
        <f t="array" ref="Q21">_xlfn.LET(_xlpm.result, Common_InputFunctions.Utility_LookupValueInTableTwoColumns(O21, _xlfn.IFS(O21="Urea",IF($J21="", "Global", $J21), O21="Ammonia", IF($K21="", "Global", $K21), TRUE, "Global"), Table_SourceData_Scope3_InorganicFertiliser[Chemical compound],Table_SourceData_Scope3_InorganicFertiliser[Region of origin],Table_SourceData_Scope3_InorganicFertiliser[AusLCI Emissions intensity]), IF(_xlpm.result="", 0, _xlpm.result))</f>
        <v>0</v>
      </c>
      <c r="R21" s="50" t="str">
        <v/>
      </c>
      <c r="S21" s="50" t="str">
        <v/>
      </c>
      <c r="T21" s="50" cm="1">
        <f t="array" ref="T21">_xlfn.LET(_xlpm.result, Common_InputFunctions.Utility_LookupValueInTableTwoColumns(R21, _xlfn.IFS(R21="Urea",IF($J21="", "Global", $J21), R21="Ammonia", IF($K21="", "Global", $K21), TRUE, "Global"), Table_SourceData_Scope3_InorganicFertiliser[Chemical compound],Table_SourceData_Scope3_InorganicFertiliser[Region of origin],Table_SourceData_Scope3_InorganicFertiliser[AusLCI Emissions intensity]), IF(_xlpm.result="", 0, _xlpm.result))</f>
        <v>0</v>
      </c>
      <c r="U21" s="50" t="str">
        <v/>
      </c>
      <c r="V21" s="50" t="str">
        <v/>
      </c>
      <c r="W21" s="50" cm="1">
        <f t="array" ref="W21">_xlfn.LET(_xlpm.result, Common_InputFunctions.Utility_LookupValueInTableTwoColumns(U21, _xlfn.IFS(U21="Urea",IF($J21="", "Global", $J21), U21="Ammonia", IF($K21="", "Global", $K21), TRUE, "Global"), Table_SourceData_Scope3_InorganicFertiliser[Chemical compound],Table_SourceData_Scope3_InorganicFertiliser[Region of origin],Table_SourceData_Scope3_InorganicFertiliser[AusLCI Emissions intensity]), IF(_xlpm.result="", 0, _xlpm.result))</f>
        <v>0</v>
      </c>
      <c r="X21" s="50" t="str">
        <v/>
      </c>
      <c r="Y21" s="50" t="str">
        <v/>
      </c>
      <c r="Z21" s="50" cm="1">
        <f t="array" ref="Z21">_xlfn.LET(_xlpm.result, Common_InputFunctions.Utility_LookupValueInTableTwoColumns(X21, _xlfn.IFS(X21="Urea",IF($J21="", "Global", $J21), X21="Ammonia", IF($K21="", "Global", $K21), TRUE, "Global"), Table_SourceData_Scope3_InorganicFertiliser[Chemical compound],Table_SourceData_Scope3_InorganicFertiliser[Region of origin],Table_SourceData_Scope3_InorganicFertiliser[AusLCI Emissions intensity]), IF(_xlpm.result="", 0, _xlpm.result))</f>
        <v>0</v>
      </c>
      <c r="AA21" s="50" t="str">
        <v/>
      </c>
      <c r="AB21" s="50" t="str">
        <v/>
      </c>
      <c r="AC21" s="50" cm="1">
        <f t="array" ref="AC21">_xlfn.LET(_xlpm.result, Common_InputFunctions.Utility_LookupValueInTableTwoColumns(AA21, _xlfn.IFS(AA21="Urea",IF($J21="", "Global", $J21), AA21="Ammonia", IF($K21="", "Global", $K21), TRUE, "Global"), Table_SourceData_Scope3_InorganicFertiliser[Chemical compound],Table_SourceData_Scope3_InorganicFertiliser[Region of origin],Table_SourceData_Scope3_InorganicFertiliser[AusLCI Emissions intensity]), IF(_xlpm.result="", 0, _xlpm.result))</f>
        <v>0</v>
      </c>
    </row>
    <row r="22" spans="4:29" ht="20.100000000000001" customHeight="1" x14ac:dyDescent="0.25">
      <c r="D22" s="50" t="str">
        <v/>
      </c>
      <c r="E22" s="50" t="str">
        <v/>
      </c>
      <c r="F22" s="50">
        <f t="shared" si="0"/>
        <v>0</v>
      </c>
      <c r="G22" s="212">
        <f t="shared" si="1"/>
        <v>0</v>
      </c>
      <c r="H22" s="50" t="str">
        <v/>
      </c>
      <c r="I22" s="212">
        <f t="shared" si="2"/>
        <v>0</v>
      </c>
      <c r="J22" s="50" t="str">
        <v/>
      </c>
      <c r="K22" s="50" t="str">
        <v/>
      </c>
      <c r="L22" s="50" t="str">
        <v/>
      </c>
      <c r="M22" s="50" t="str">
        <v/>
      </c>
      <c r="N22" s="50" cm="1">
        <f t="array" ref="N22">_xlfn.LET(_xlpm.result, Common_InputFunctions.Utility_LookupValueInTableTwoColumns(L22, _xlfn.IFS(L22="Urea",IF($J22="", "Global", $J22), L22="Ammonia", IF($K22="", "Global", $K22), TRUE, "Global"), Table_SourceData_Scope3_InorganicFertiliser[Chemical compound],Table_SourceData_Scope3_InorganicFertiliser[Region of origin],Table_SourceData_Scope3_InorganicFertiliser[AusLCI Emissions intensity]), IF(_xlpm.result="", 0, _xlpm.result))</f>
        <v>0</v>
      </c>
      <c r="O22" s="50" t="str">
        <v/>
      </c>
      <c r="P22" s="50" t="str">
        <v/>
      </c>
      <c r="Q22" s="50" cm="1">
        <f t="array" ref="Q22">_xlfn.LET(_xlpm.result, Common_InputFunctions.Utility_LookupValueInTableTwoColumns(O22, _xlfn.IFS(O22="Urea",IF($J22="", "Global", $J22), O22="Ammonia", IF($K22="", "Global", $K22), TRUE, "Global"), Table_SourceData_Scope3_InorganicFertiliser[Chemical compound],Table_SourceData_Scope3_InorganicFertiliser[Region of origin],Table_SourceData_Scope3_InorganicFertiliser[AusLCI Emissions intensity]), IF(_xlpm.result="", 0, _xlpm.result))</f>
        <v>0</v>
      </c>
      <c r="R22" s="50" t="str">
        <v/>
      </c>
      <c r="S22" s="50" t="str">
        <v/>
      </c>
      <c r="T22" s="50" cm="1">
        <f t="array" ref="T22">_xlfn.LET(_xlpm.result, Common_InputFunctions.Utility_LookupValueInTableTwoColumns(R22, _xlfn.IFS(R22="Urea",IF($J22="", "Global", $J22), R22="Ammonia", IF($K22="", "Global", $K22), TRUE, "Global"), Table_SourceData_Scope3_InorganicFertiliser[Chemical compound],Table_SourceData_Scope3_InorganicFertiliser[Region of origin],Table_SourceData_Scope3_InorganicFertiliser[AusLCI Emissions intensity]), IF(_xlpm.result="", 0, _xlpm.result))</f>
        <v>0</v>
      </c>
      <c r="U22" s="50" t="str">
        <v/>
      </c>
      <c r="V22" s="50" t="str">
        <v/>
      </c>
      <c r="W22" s="50" cm="1">
        <f t="array" ref="W22">_xlfn.LET(_xlpm.result, Common_InputFunctions.Utility_LookupValueInTableTwoColumns(U22, _xlfn.IFS(U22="Urea",IF($J22="", "Global", $J22), U22="Ammonia", IF($K22="", "Global", $K22), TRUE, "Global"), Table_SourceData_Scope3_InorganicFertiliser[Chemical compound],Table_SourceData_Scope3_InorganicFertiliser[Region of origin],Table_SourceData_Scope3_InorganicFertiliser[AusLCI Emissions intensity]), IF(_xlpm.result="", 0, _xlpm.result))</f>
        <v>0</v>
      </c>
      <c r="X22" s="50" t="str">
        <v/>
      </c>
      <c r="Y22" s="50" t="str">
        <v/>
      </c>
      <c r="Z22" s="50" cm="1">
        <f t="array" ref="Z22">_xlfn.LET(_xlpm.result, Common_InputFunctions.Utility_LookupValueInTableTwoColumns(X22, _xlfn.IFS(X22="Urea",IF($J22="", "Global", $J22), X22="Ammonia", IF($K22="", "Global", $K22), TRUE, "Global"), Table_SourceData_Scope3_InorganicFertiliser[Chemical compound],Table_SourceData_Scope3_InorganicFertiliser[Region of origin],Table_SourceData_Scope3_InorganicFertiliser[AusLCI Emissions intensity]), IF(_xlpm.result="", 0, _xlpm.result))</f>
        <v>0</v>
      </c>
      <c r="AA22" s="50" t="str">
        <v/>
      </c>
      <c r="AB22" s="50" t="str">
        <v/>
      </c>
      <c r="AC22" s="50" cm="1">
        <f t="array" ref="AC22">_xlfn.LET(_xlpm.result, Common_InputFunctions.Utility_LookupValueInTableTwoColumns(AA22, _xlfn.IFS(AA22="Urea",IF($J22="", "Global", $J22), AA22="Ammonia", IF($K22="", "Global", $K22), TRUE, "Global"), Table_SourceData_Scope3_InorganicFertiliser[Chemical compound],Table_SourceData_Scope3_InorganicFertiliser[Region of origin],Table_SourceData_Scope3_InorganicFertiliser[AusLCI Emissions intensity]), IF(_xlpm.result="", 0, _xlpm.result))</f>
        <v>0</v>
      </c>
    </row>
    <row r="23" spans="4:29" ht="20.100000000000001" customHeight="1" x14ac:dyDescent="0.25">
      <c r="D23" s="50" t="str">
        <v/>
      </c>
      <c r="E23" s="50" t="str">
        <v/>
      </c>
      <c r="F23" s="50">
        <f t="shared" si="0"/>
        <v>0</v>
      </c>
      <c r="G23" s="212">
        <f t="shared" si="1"/>
        <v>0</v>
      </c>
      <c r="H23" s="50" t="str">
        <v/>
      </c>
      <c r="I23" s="212">
        <f t="shared" si="2"/>
        <v>0</v>
      </c>
      <c r="J23" s="50" t="str">
        <v/>
      </c>
      <c r="K23" s="50" t="str">
        <v/>
      </c>
      <c r="L23" s="50" t="str">
        <v/>
      </c>
      <c r="M23" s="50" t="str">
        <v/>
      </c>
      <c r="N23" s="50" cm="1">
        <f t="array" ref="N23">_xlfn.LET(_xlpm.result, Common_InputFunctions.Utility_LookupValueInTableTwoColumns(L23, _xlfn.IFS(L23="Urea",IF($J23="", "Global", $J23), L23="Ammonia", IF($K23="", "Global", $K23), TRUE, "Global"), Table_SourceData_Scope3_InorganicFertiliser[Chemical compound],Table_SourceData_Scope3_InorganicFertiliser[Region of origin],Table_SourceData_Scope3_InorganicFertiliser[AusLCI Emissions intensity]), IF(_xlpm.result="", 0, _xlpm.result))</f>
        <v>0</v>
      </c>
      <c r="O23" s="50" t="str">
        <v/>
      </c>
      <c r="P23" s="50" t="str">
        <v/>
      </c>
      <c r="Q23" s="50" cm="1">
        <f t="array" ref="Q23">_xlfn.LET(_xlpm.result, Common_InputFunctions.Utility_LookupValueInTableTwoColumns(O23, _xlfn.IFS(O23="Urea",IF($J23="", "Global", $J23), O23="Ammonia", IF($K23="", "Global", $K23), TRUE, "Global"), Table_SourceData_Scope3_InorganicFertiliser[Chemical compound],Table_SourceData_Scope3_InorganicFertiliser[Region of origin],Table_SourceData_Scope3_InorganicFertiliser[AusLCI Emissions intensity]), IF(_xlpm.result="", 0, _xlpm.result))</f>
        <v>0</v>
      </c>
      <c r="R23" s="50" t="str">
        <v/>
      </c>
      <c r="S23" s="50" t="str">
        <v/>
      </c>
      <c r="T23" s="50" cm="1">
        <f t="array" ref="T23">_xlfn.LET(_xlpm.result, Common_InputFunctions.Utility_LookupValueInTableTwoColumns(R23, _xlfn.IFS(R23="Urea",IF($J23="", "Global", $J23), R23="Ammonia", IF($K23="", "Global", $K23), TRUE, "Global"), Table_SourceData_Scope3_InorganicFertiliser[Chemical compound],Table_SourceData_Scope3_InorganicFertiliser[Region of origin],Table_SourceData_Scope3_InorganicFertiliser[AusLCI Emissions intensity]), IF(_xlpm.result="", 0, _xlpm.result))</f>
        <v>0</v>
      </c>
      <c r="U23" s="50" t="str">
        <v/>
      </c>
      <c r="V23" s="50" t="str">
        <v/>
      </c>
      <c r="W23" s="50" cm="1">
        <f t="array" ref="W23">_xlfn.LET(_xlpm.result, Common_InputFunctions.Utility_LookupValueInTableTwoColumns(U23, _xlfn.IFS(U23="Urea",IF($J23="", "Global", $J23), U23="Ammonia", IF($K23="", "Global", $K23), TRUE, "Global"), Table_SourceData_Scope3_InorganicFertiliser[Chemical compound],Table_SourceData_Scope3_InorganicFertiliser[Region of origin],Table_SourceData_Scope3_InorganicFertiliser[AusLCI Emissions intensity]), IF(_xlpm.result="", 0, _xlpm.result))</f>
        <v>0</v>
      </c>
      <c r="X23" s="50" t="str">
        <v/>
      </c>
      <c r="Y23" s="50" t="str">
        <v/>
      </c>
      <c r="Z23" s="50" cm="1">
        <f t="array" ref="Z23">_xlfn.LET(_xlpm.result, Common_InputFunctions.Utility_LookupValueInTableTwoColumns(X23, _xlfn.IFS(X23="Urea",IF($J23="", "Global", $J23), X23="Ammonia", IF($K23="", "Global", $K23), TRUE, "Global"), Table_SourceData_Scope3_InorganicFertiliser[Chemical compound],Table_SourceData_Scope3_InorganicFertiliser[Region of origin],Table_SourceData_Scope3_InorganicFertiliser[AusLCI Emissions intensity]), IF(_xlpm.result="", 0, _xlpm.result))</f>
        <v>0</v>
      </c>
      <c r="AA23" s="50" t="str">
        <v/>
      </c>
      <c r="AB23" s="50" t="str">
        <v/>
      </c>
      <c r="AC23" s="50" cm="1">
        <f t="array" ref="AC23">_xlfn.LET(_xlpm.result, Common_InputFunctions.Utility_LookupValueInTableTwoColumns(AA23, _xlfn.IFS(AA23="Urea",IF($J23="", "Global", $J23), AA23="Ammonia", IF($K23="", "Global", $K23), TRUE, "Global"), Table_SourceData_Scope3_InorganicFertiliser[Chemical compound],Table_SourceData_Scope3_InorganicFertiliser[Region of origin],Table_SourceData_Scope3_InorganicFertiliser[AusLCI Emissions intensity]), IF(_xlpm.result="", 0, _xlpm.result))</f>
        <v>0</v>
      </c>
    </row>
    <row r="24" spans="4:29" ht="20.100000000000001" customHeight="1" x14ac:dyDescent="0.25">
      <c r="D24" s="50" t="str">
        <v/>
      </c>
      <c r="E24" s="50" t="str">
        <v/>
      </c>
      <c r="F24" s="50">
        <f t="shared" si="0"/>
        <v>0</v>
      </c>
      <c r="G24" s="212">
        <f t="shared" si="1"/>
        <v>0</v>
      </c>
      <c r="H24" s="50" t="str">
        <v/>
      </c>
      <c r="I24" s="212">
        <f t="shared" si="2"/>
        <v>0</v>
      </c>
      <c r="J24" s="50" t="str">
        <v/>
      </c>
      <c r="K24" s="50" t="str">
        <v/>
      </c>
      <c r="L24" s="50" t="str">
        <v/>
      </c>
      <c r="M24" s="50" t="str">
        <v/>
      </c>
      <c r="N24" s="50" cm="1">
        <f t="array" ref="N24">_xlfn.LET(_xlpm.result, Common_InputFunctions.Utility_LookupValueInTableTwoColumns(L24, _xlfn.IFS(L24="Urea",IF($J24="", "Global", $J24), L24="Ammonia", IF($K24="", "Global", $K24), TRUE, "Global"), Table_SourceData_Scope3_InorganicFertiliser[Chemical compound],Table_SourceData_Scope3_InorganicFertiliser[Region of origin],Table_SourceData_Scope3_InorganicFertiliser[AusLCI Emissions intensity]), IF(_xlpm.result="", 0, _xlpm.result))</f>
        <v>0</v>
      </c>
      <c r="O24" s="50" t="str">
        <v/>
      </c>
      <c r="P24" s="50" t="str">
        <v/>
      </c>
      <c r="Q24" s="50" cm="1">
        <f t="array" ref="Q24">_xlfn.LET(_xlpm.result, Common_InputFunctions.Utility_LookupValueInTableTwoColumns(O24, _xlfn.IFS(O24="Urea",IF($J24="", "Global", $J24), O24="Ammonia", IF($K24="", "Global", $K24), TRUE, "Global"), Table_SourceData_Scope3_InorganicFertiliser[Chemical compound],Table_SourceData_Scope3_InorganicFertiliser[Region of origin],Table_SourceData_Scope3_InorganicFertiliser[AusLCI Emissions intensity]), IF(_xlpm.result="", 0, _xlpm.result))</f>
        <v>0</v>
      </c>
      <c r="R24" s="50" t="str">
        <v/>
      </c>
      <c r="S24" s="50" t="str">
        <v/>
      </c>
      <c r="T24" s="50" cm="1">
        <f t="array" ref="T24">_xlfn.LET(_xlpm.result, Common_InputFunctions.Utility_LookupValueInTableTwoColumns(R24, _xlfn.IFS(R24="Urea",IF($J24="", "Global", $J24), R24="Ammonia", IF($K24="", "Global", $K24), TRUE, "Global"), Table_SourceData_Scope3_InorganicFertiliser[Chemical compound],Table_SourceData_Scope3_InorganicFertiliser[Region of origin],Table_SourceData_Scope3_InorganicFertiliser[AusLCI Emissions intensity]), IF(_xlpm.result="", 0, _xlpm.result))</f>
        <v>0</v>
      </c>
      <c r="U24" s="50" t="str">
        <v/>
      </c>
      <c r="V24" s="50" t="str">
        <v/>
      </c>
      <c r="W24" s="50" cm="1">
        <f t="array" ref="W24">_xlfn.LET(_xlpm.result, Common_InputFunctions.Utility_LookupValueInTableTwoColumns(U24, _xlfn.IFS(U24="Urea",IF($J24="", "Global", $J24), U24="Ammonia", IF($K24="", "Global", $K24), TRUE, "Global"), Table_SourceData_Scope3_InorganicFertiliser[Chemical compound],Table_SourceData_Scope3_InorganicFertiliser[Region of origin],Table_SourceData_Scope3_InorganicFertiliser[AusLCI Emissions intensity]), IF(_xlpm.result="", 0, _xlpm.result))</f>
        <v>0</v>
      </c>
      <c r="X24" s="50" t="str">
        <v/>
      </c>
      <c r="Y24" s="50" t="str">
        <v/>
      </c>
      <c r="Z24" s="50" cm="1">
        <f t="array" ref="Z24">_xlfn.LET(_xlpm.result, Common_InputFunctions.Utility_LookupValueInTableTwoColumns(X24, _xlfn.IFS(X24="Urea",IF($J24="", "Global", $J24), X24="Ammonia", IF($K24="", "Global", $K24), TRUE, "Global"), Table_SourceData_Scope3_InorganicFertiliser[Chemical compound],Table_SourceData_Scope3_InorganicFertiliser[Region of origin],Table_SourceData_Scope3_InorganicFertiliser[AusLCI Emissions intensity]), IF(_xlpm.result="", 0, _xlpm.result))</f>
        <v>0</v>
      </c>
      <c r="AA24" s="50" t="str">
        <v/>
      </c>
      <c r="AB24" s="50" t="str">
        <v/>
      </c>
      <c r="AC24" s="50" cm="1">
        <f t="array" ref="AC24">_xlfn.LET(_xlpm.result, Common_InputFunctions.Utility_LookupValueInTableTwoColumns(AA24, _xlfn.IFS(AA24="Urea",IF($J24="", "Global", $J24), AA24="Ammonia", IF($K24="", "Global", $K24), TRUE, "Global"), Table_SourceData_Scope3_InorganicFertiliser[Chemical compound],Table_SourceData_Scope3_InorganicFertiliser[Region of origin],Table_SourceData_Scope3_InorganicFertiliser[AusLCI Emissions intensity]), IF(_xlpm.result="", 0, _xlpm.result))</f>
        <v>0</v>
      </c>
    </row>
    <row r="25" spans="4:29" ht="20.100000000000001" customHeight="1" x14ac:dyDescent="0.25">
      <c r="D25" s="50" t="str">
        <v/>
      </c>
      <c r="E25" s="50" t="str">
        <v/>
      </c>
      <c r="F25" s="50">
        <f t="shared" si="0"/>
        <v>0</v>
      </c>
      <c r="G25" s="212">
        <f t="shared" si="1"/>
        <v>0</v>
      </c>
      <c r="H25" s="50" t="str">
        <v/>
      </c>
      <c r="I25" s="212">
        <f t="shared" si="2"/>
        <v>0</v>
      </c>
      <c r="J25" s="50" t="str">
        <v/>
      </c>
      <c r="K25" s="50" t="str">
        <v/>
      </c>
      <c r="L25" s="50" t="str">
        <v/>
      </c>
      <c r="M25" s="50" t="str">
        <v/>
      </c>
      <c r="N25" s="50" cm="1">
        <f t="array" ref="N25">_xlfn.LET(_xlpm.result, Common_InputFunctions.Utility_LookupValueInTableTwoColumns(L25, _xlfn.IFS(L25="Urea",IF($J25="", "Global", $J25), L25="Ammonia", IF($K25="", "Global", $K25), TRUE, "Global"), Table_SourceData_Scope3_InorganicFertiliser[Chemical compound],Table_SourceData_Scope3_InorganicFertiliser[Region of origin],Table_SourceData_Scope3_InorganicFertiliser[AusLCI Emissions intensity]), IF(_xlpm.result="", 0, _xlpm.result))</f>
        <v>0</v>
      </c>
      <c r="O25" s="50" t="str">
        <v/>
      </c>
      <c r="P25" s="50" t="str">
        <v/>
      </c>
      <c r="Q25" s="50" cm="1">
        <f t="array" ref="Q25">_xlfn.LET(_xlpm.result, Common_InputFunctions.Utility_LookupValueInTableTwoColumns(O25, _xlfn.IFS(O25="Urea",IF($J25="", "Global", $J25), O25="Ammonia", IF($K25="", "Global", $K25), TRUE, "Global"), Table_SourceData_Scope3_InorganicFertiliser[Chemical compound],Table_SourceData_Scope3_InorganicFertiliser[Region of origin],Table_SourceData_Scope3_InorganicFertiliser[AusLCI Emissions intensity]), IF(_xlpm.result="", 0, _xlpm.result))</f>
        <v>0</v>
      </c>
      <c r="R25" s="50" t="str">
        <v/>
      </c>
      <c r="S25" s="50" t="str">
        <v/>
      </c>
      <c r="T25" s="50" cm="1">
        <f t="array" ref="T25">_xlfn.LET(_xlpm.result, Common_InputFunctions.Utility_LookupValueInTableTwoColumns(R25, _xlfn.IFS(R25="Urea",IF($J25="", "Global", $J25), R25="Ammonia", IF($K25="", "Global", $K25), TRUE, "Global"), Table_SourceData_Scope3_InorganicFertiliser[Chemical compound],Table_SourceData_Scope3_InorganicFertiliser[Region of origin],Table_SourceData_Scope3_InorganicFertiliser[AusLCI Emissions intensity]), IF(_xlpm.result="", 0, _xlpm.result))</f>
        <v>0</v>
      </c>
      <c r="U25" s="50" t="str">
        <v/>
      </c>
      <c r="V25" s="50" t="str">
        <v/>
      </c>
      <c r="W25" s="50" cm="1">
        <f t="array" ref="W25">_xlfn.LET(_xlpm.result, Common_InputFunctions.Utility_LookupValueInTableTwoColumns(U25, _xlfn.IFS(U25="Urea",IF($J25="", "Global", $J25), U25="Ammonia", IF($K25="", "Global", $K25), TRUE, "Global"), Table_SourceData_Scope3_InorganicFertiliser[Chemical compound],Table_SourceData_Scope3_InorganicFertiliser[Region of origin],Table_SourceData_Scope3_InorganicFertiliser[AusLCI Emissions intensity]), IF(_xlpm.result="", 0, _xlpm.result))</f>
        <v>0</v>
      </c>
      <c r="X25" s="50" t="str">
        <v/>
      </c>
      <c r="Y25" s="50" t="str">
        <v/>
      </c>
      <c r="Z25" s="50" cm="1">
        <f t="array" ref="Z25">_xlfn.LET(_xlpm.result, Common_InputFunctions.Utility_LookupValueInTableTwoColumns(X25, _xlfn.IFS(X25="Urea",IF($J25="", "Global", $J25), X25="Ammonia", IF($K25="", "Global", $K25), TRUE, "Global"), Table_SourceData_Scope3_InorganicFertiliser[Chemical compound],Table_SourceData_Scope3_InorganicFertiliser[Region of origin],Table_SourceData_Scope3_InorganicFertiliser[AusLCI Emissions intensity]), IF(_xlpm.result="", 0, _xlpm.result))</f>
        <v>0</v>
      </c>
      <c r="AA25" s="50" t="str">
        <v/>
      </c>
      <c r="AB25" s="50" t="str">
        <v/>
      </c>
      <c r="AC25" s="50" cm="1">
        <f t="array" ref="AC25">_xlfn.LET(_xlpm.result, Common_InputFunctions.Utility_LookupValueInTableTwoColumns(AA25, _xlfn.IFS(AA25="Urea",IF($J25="", "Global", $J25), AA25="Ammonia", IF($K25="", "Global", $K25), TRUE, "Global"), Table_SourceData_Scope3_InorganicFertiliser[Chemical compound],Table_SourceData_Scope3_InorganicFertiliser[Region of origin],Table_SourceData_Scope3_InorganicFertiliser[AusLCI Emissions intensity]), IF(_xlpm.result="", 0, _xlpm.result))</f>
        <v>0</v>
      </c>
    </row>
    <row r="26" spans="4:29" ht="20.100000000000001" customHeight="1" x14ac:dyDescent="0.25"/>
    <row r="27" spans="4:29" ht="20.100000000000001" customHeight="1" x14ac:dyDescent="0.25"/>
    <row r="28" spans="4:29" ht="20.100000000000001" customHeight="1" x14ac:dyDescent="0.25">
      <c r="D28" s="8" t="s">
        <v>483</v>
      </c>
    </row>
    <row r="29" spans="4:29" ht="20.100000000000001" customHeight="1" x14ac:dyDescent="0.25">
      <c r="D29" s="194" t="s">
        <v>303</v>
      </c>
      <c r="E29" s="194" t="s">
        <v>175</v>
      </c>
      <c r="F29" s="194" t="s">
        <v>176</v>
      </c>
      <c r="G29" s="194" t="s">
        <v>304</v>
      </c>
      <c r="H29" s="8" t="s">
        <v>168</v>
      </c>
    </row>
    <row r="30" spans="4:29" ht="20.100000000000001" customHeight="1" x14ac:dyDescent="0.25">
      <c r="D30" s="208" t="str">
        <f>'Constants - Fertiliser'!$D$37</f>
        <v>Ammonia</v>
      </c>
      <c r="E30" s="208"/>
      <c r="F30" s="208" t="str">
        <f>'Constants - Fertiliser'!$V$20</f>
        <v>Global</v>
      </c>
      <c r="G30" s="50" cm="1">
        <f t="array" ref="G30">Fertiliser_InputFunctions.Fertiliser_TotalChemicalCompoundtAppliedBySourceAllIngredients(D30,F30,Table_Input_InorganicFertiliser_Custom[Total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4500</v>
      </c>
    </row>
    <row r="31" spans="4:29" ht="20.100000000000001" customHeight="1" x14ac:dyDescent="0.25">
      <c r="D31" s="208" t="str">
        <f>'Constants - Fertiliser'!$D$37</f>
        <v>Ammonia</v>
      </c>
      <c r="E31" s="208"/>
      <c r="F31" s="208" t="str">
        <f>'Constants - Fertiliser'!$V$21</f>
        <v>Canada</v>
      </c>
      <c r="G31" s="50" cm="1">
        <f t="array" ref="G31">Fertiliser_InputFunctions.Fertiliser_TotalChemicalCompoundtAppliedBySourceAllIngredients(D31,F31,Table_Input_InorganicFertiliser_Custom[Total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row>
    <row r="32" spans="4:29" ht="20.100000000000001" customHeight="1" x14ac:dyDescent="0.25">
      <c r="D32" s="208" t="str">
        <f>'Constants - Fertiliser'!$D$37</f>
        <v>Ammonia</v>
      </c>
      <c r="E32" s="208"/>
      <c r="F32" s="208" t="str">
        <f>'Constants - Fertiliser'!$V$22</f>
        <v>China</v>
      </c>
      <c r="G32" s="50" cm="1">
        <f t="array" ref="G32">Fertiliser_InputFunctions.Fertiliser_TotalChemicalCompoundtAppliedBySourceAllIngredients(D32,F32,Table_Input_InorganicFertiliser_Custom[Total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3" spans="4:7" ht="20.100000000000001" customHeight="1" x14ac:dyDescent="0.25">
      <c r="D33" s="208" t="str">
        <f>'Constants - Fertiliser'!$D$37</f>
        <v>Ammonia</v>
      </c>
      <c r="E33" s="208"/>
      <c r="F33" s="208" t="str">
        <f>'Constants - Fertiliser'!$V$23</f>
        <v>Yemen</v>
      </c>
      <c r="G33" s="50" cm="1">
        <f t="array" ref="G33">Fertiliser_InputFunctions.Fertiliser_TotalChemicalCompoundtAppliedBySourceAllIngredients(D33,F33,Table_Input_InorganicFertiliser_Custom[Total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4" spans="4:7" ht="20.100000000000001" customHeight="1" x14ac:dyDescent="0.25">
      <c r="D34" s="208" t="str">
        <f>'Constants - Fertiliser'!$D$25</f>
        <v>Ammonium nitrate (AN)</v>
      </c>
      <c r="E34" s="208"/>
      <c r="F34" s="208"/>
      <c r="G34" s="50" cm="1">
        <f t="array" ref="G34">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5" spans="4:7" ht="20.100000000000001" customHeight="1" x14ac:dyDescent="0.25">
      <c r="D35" s="208" t="str">
        <f>'Constants - Fertiliser'!$D$26</f>
        <v>Calcium ammonium nitrate (CAN)</v>
      </c>
      <c r="E35" s="208"/>
      <c r="F35" s="208"/>
      <c r="G35" s="50" cm="1">
        <f t="array" ref="G35">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6" spans="4:7" ht="20.100000000000001" customHeight="1" x14ac:dyDescent="0.25">
      <c r="D36" s="208" t="str">
        <f>'Constants - Fertiliser'!$D$38</f>
        <v>Calcium nitrate</v>
      </c>
      <c r="E36" s="208"/>
      <c r="F36" s="208"/>
      <c r="G36" s="50" cm="1">
        <f t="array" ref="G36">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3000</v>
      </c>
    </row>
    <row r="37" spans="4:7" ht="20.100000000000001" customHeight="1" x14ac:dyDescent="0.25">
      <c r="D37" s="208" t="str">
        <f>'Constants - Fertiliser'!$D$21</f>
        <v>Diammonium phosphate (DAP)</v>
      </c>
      <c r="E37" s="208"/>
      <c r="F37" s="208"/>
      <c r="G37" s="50" cm="1">
        <f t="array" ref="G37">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8" spans="4:7" ht="20.100000000000001" customHeight="1" x14ac:dyDescent="0.25">
      <c r="D38" s="208" t="str">
        <f>'Constants - Fertiliser'!$D$35</f>
        <v>Double superphosphate</v>
      </c>
      <c r="E38" s="208"/>
      <c r="F38" s="208"/>
      <c r="G38" s="50" cm="1">
        <f t="array" ref="G38">Fertiliser_InputFunctions.Fertiliser_TotalChemicalCompoundAppliedAllIngredients(D38,Table_Input_InorganicFertiliser_Custom[Total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9" spans="4:7" ht="20.100000000000001" customHeight="1" x14ac:dyDescent="0.25">
      <c r="D39" s="208" t="str">
        <f>'Constants - Fertiliser'!$D$20</f>
        <v>Monoammonium phosphate (MAP)</v>
      </c>
      <c r="E39" s="208"/>
      <c r="F39" s="208"/>
      <c r="G39" s="50" cm="1">
        <f t="array" ref="G39">Fertiliser_InputFunctions.Fertiliser_TotalChemicalCompoundAppliedAllIngredients(D39,Table_Input_InorganicFertiliser_Custom[Total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0" spans="4:7" ht="20.100000000000001" customHeight="1" x14ac:dyDescent="0.25">
      <c r="D40" s="208" t="str">
        <f>'Constants - Fertiliser'!$D$34</f>
        <v>Muriate of potash (MOP)</v>
      </c>
      <c r="E40" s="208"/>
      <c r="F40" s="208"/>
      <c r="G40" s="50" cm="1">
        <f t="array" ref="G40">Fertiliser_InputFunctions.Fertiliser_TotalChemicalCompoundAppliedAllIngredients(D40,Table_Input_InorganicFertiliser_Custom[Total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1" spans="4:7" ht="20.100000000000001" customHeight="1" x14ac:dyDescent="0.25">
      <c r="D41" s="208" t="str">
        <f>'Constants - Fertiliser'!$D$27</f>
        <v>Nitrogen - Ammoniacal</v>
      </c>
      <c r="E41" s="208"/>
      <c r="F41" s="208"/>
      <c r="G41" s="50" cm="1">
        <f t="array" ref="G41">Fertiliser_InputFunctions.Fertiliser_TotalChemicalCompoundAppliedAllIngredients(D41,Table_Input_InorganicFertiliser_Custom[Total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2" spans="4:7" ht="20.100000000000001" customHeight="1" x14ac:dyDescent="0.25">
      <c r="D42" s="208" t="str">
        <f>'Constants - Fertiliser'!$D$29</f>
        <v>Nitrogen - Generic</v>
      </c>
      <c r="E42" s="208"/>
      <c r="F42" s="208"/>
      <c r="G42" s="50" cm="1">
        <f t="array" ref="G42">Fertiliser_InputFunctions.Fertiliser_TotalChemicalCompoundAppliedAllIngredients(D42,Table_Input_InorganicFertiliser_Custom[Total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3" spans="4:7" ht="20.100000000000001" customHeight="1" x14ac:dyDescent="0.25">
      <c r="D43" s="208" t="str">
        <f>'Constants - Fertiliser'!$D$28</f>
        <v>Nitrogen - Nitrate</v>
      </c>
      <c r="E43" s="208"/>
      <c r="F43" s="208"/>
      <c r="G43" s="50" cm="1">
        <f t="array" ref="G43">Fertiliser_InputFunctions.Fertiliser_TotalChemicalCompoundAppliedAllIngredients(D43,Table_Input_InorganicFertiliser_Custom[Total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4" spans="4:7" ht="20.100000000000001" customHeight="1" x14ac:dyDescent="0.25">
      <c r="D44" s="208" t="str">
        <f>'Constants - Fertiliser'!$D$30</f>
        <v>Phosphorus - Generic</v>
      </c>
      <c r="E44" s="208"/>
      <c r="F44" s="208"/>
      <c r="G44" s="50" cm="1">
        <f t="array" ref="G44">Fertiliser_InputFunctions.Fertiliser_TotalChemicalCompoundAppliedAllIngredients(D44,Table_Input_InorganicFertiliser_Custom[Total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5" spans="4:7" ht="20.100000000000001" customHeight="1" x14ac:dyDescent="0.25">
      <c r="D45" s="208" t="str">
        <f>'Constants - Fertiliser'!$D$31</f>
        <v>Potassium - Generic</v>
      </c>
      <c r="E45" s="208"/>
      <c r="F45" s="208"/>
      <c r="G45" s="50" cm="1">
        <f t="array" ref="G45">Fertiliser_InputFunctions.Fertiliser_TotalChemicalCompoundAppliedAllIngredients(D45,Table_Input_InorganicFertiliser_Custom[Total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row>
    <row r="46" spans="4:7" ht="20.100000000000001" customHeight="1" x14ac:dyDescent="0.25">
      <c r="D46" s="208" t="str">
        <f>'Constants - Fertiliser'!$D$36</f>
        <v>Single superphosphate (SSP)</v>
      </c>
      <c r="E46" s="208"/>
      <c r="F46" s="208"/>
      <c r="G46" s="50" cm="1">
        <f t="array" ref="G46">Fertiliser_InputFunctions.Fertiliser_TotalChemicalCompoundAppliedAllIngredients(D46,Table_Input_InorganicFertiliser_Custom[Total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7" spans="4:7" ht="20.100000000000001" customHeight="1" x14ac:dyDescent="0.25">
      <c r="D47" s="208" t="str">
        <f>'Constants - Fertiliser'!$D$32</f>
        <v>Sulfur - Generic</v>
      </c>
      <c r="E47" s="208"/>
      <c r="F47" s="208"/>
      <c r="G47" s="50" cm="1">
        <f t="array" ref="G47">Fertiliser_InputFunctions.Fertiliser_TotalChemicalCompoundAppliedAllIngredients(D47,Table_Input_InorganicFertiliser_Custom[Total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row>
    <row r="48" spans="4:7" ht="20.100000000000001" customHeight="1" x14ac:dyDescent="0.25">
      <c r="D48" s="208" t="str">
        <f>'Constants - Fertiliser'!$D$23</f>
        <v>Sulphate of ammonia (SOA)</v>
      </c>
      <c r="E48" s="208"/>
      <c r="F48" s="208"/>
      <c r="G48" s="50" cm="1">
        <f t="array" ref="G48">Fertiliser_InputFunctions.Fertiliser_TotalChemicalCompoundAppliedAllIngredients(D48,Table_Input_InorganicFertiliser_Custom[Total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9" spans="4:7" ht="20.100000000000001" customHeight="1" x14ac:dyDescent="0.25">
      <c r="D49" s="208" t="str">
        <f>'Constants - Fertiliser'!$D$24</f>
        <v>Urea-ammonium nitrate (UAN)</v>
      </c>
      <c r="E49" s="208"/>
      <c r="F49" s="208"/>
      <c r="G49" s="50" cm="1">
        <f t="array" ref="G49">Fertiliser_InputFunctions.Fertiliser_TotalChemicalCompoundAppliedAllIngredients(D49,Table_Input_InorganicFertiliser_Custom[Total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50" spans="4:7" ht="20.100000000000001" customHeight="1" x14ac:dyDescent="0.25">
      <c r="D50" s="208" t="str">
        <f>'Constants - Fertiliser'!$D$22</f>
        <v>Urea</v>
      </c>
      <c r="E50" s="208" t="str">
        <f>'Constants - Fertiliser'!$V$20</f>
        <v>Global</v>
      </c>
      <c r="F50" s="208"/>
      <c r="G50" s="50" cm="1">
        <f t="array" ref="G50">Fertiliser_InputFunctions.Fertiliser_TotalChemicalCompoundtAppliedBySourceAllIngredients(D50,E50,Table_Input_InorganicFertiliser_Custom[Total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51" spans="4:7" ht="20.100000000000001" customHeight="1" x14ac:dyDescent="0.25">
      <c r="D51" s="208" t="str">
        <f>'Constants - Fertiliser'!$D$22</f>
        <v>Urea</v>
      </c>
      <c r="E51" s="208" t="str">
        <f>'Constants - Fertiliser'!$V$21</f>
        <v>Canada</v>
      </c>
      <c r="F51" s="208"/>
      <c r="G51" s="50" cm="1">
        <f t="array" ref="G51">Fertiliser_InputFunctions.Fertiliser_TotalChemicalCompoundtAppliedBySourceAllIngredients(D51,E51,Table_Input_InorganicFertiliser_Custom[Total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9000</v>
      </c>
    </row>
    <row r="52" spans="4:7" ht="20.100000000000001" customHeight="1" x14ac:dyDescent="0.25">
      <c r="D52" s="208" t="str">
        <f>'Constants - Fertiliser'!$D$22</f>
        <v>Urea</v>
      </c>
      <c r="E52" s="208" t="str">
        <f>'Constants - Fertiliser'!$V$22</f>
        <v>China</v>
      </c>
      <c r="F52" s="208"/>
      <c r="G52" s="50" cm="1">
        <f t="array" ref="G52">Fertiliser_InputFunctions.Fertiliser_TotalChemicalCompoundtAppliedBySourceAllIngredients(D52,E52,Table_Input_InorganicFertiliser_Custom[Total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53" spans="4:7" ht="20.100000000000001" customHeight="1" x14ac:dyDescent="0.25">
      <c r="D53" s="208" t="str">
        <f>'Constants - Fertiliser'!$D$22</f>
        <v>Urea</v>
      </c>
      <c r="E53" s="208" t="str">
        <f>'Constants - Fertiliser'!$V$23</f>
        <v>Yemen</v>
      </c>
      <c r="F53" s="208"/>
      <c r="G53" s="50" cm="1">
        <f t="array" ref="G53">Fertiliser_InputFunctions.Fertiliser_TotalChemicalCompoundtAppliedBySourceAllIngredients(D53,E53,Table_Input_InorganicFertiliser_Custom[Total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54" spans="4:7" ht="20.100000000000001" customHeight="1" x14ac:dyDescent="0.25">
      <c r="D54" s="208" t="str">
        <f>'Constants - Fertiliser'!$D$33</f>
        <v>Zinc - Generic</v>
      </c>
      <c r="E54" s="208"/>
      <c r="F54" s="208"/>
      <c r="G54" s="50" cm="1">
        <f t="array" ref="G54">Fertiliser_InputFunctions.Fertiliser_TotalChemicalCompoundAppliedAllIngredients(D54,Table_Input_InorganicFertiliser_Custom[Total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55" spans="4:7" ht="20.100000000000001" customHeight="1" x14ac:dyDescent="0.25"/>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dimension ref="C1:K74"/>
  <sheetViews>
    <sheetView showGridLines="0" topLeftCell="A29" workbookViewId="0">
      <selection activeCell="E62" sqref="E62"/>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30" customHeight="1" x14ac:dyDescent="0.35">
      <c r="C1" s="1"/>
      <c r="D1" s="1"/>
      <c r="E1" s="1"/>
      <c r="F1" s="1"/>
      <c r="G1" s="1"/>
      <c r="H1" s="1"/>
      <c r="I1" s="1"/>
      <c r="J1" s="1"/>
      <c r="K1" s="1"/>
    </row>
    <row r="2" spans="3:11" ht="20.100000000000001" customHeight="1" x14ac:dyDescent="0.25">
      <c r="C2" s="5"/>
      <c r="D2" s="5"/>
      <c r="E2" s="5"/>
      <c r="F2" s="5"/>
      <c r="G2" s="5"/>
      <c r="H2" s="5"/>
      <c r="I2" s="5"/>
      <c r="J2" s="5"/>
      <c r="K2" s="5"/>
    </row>
    <row r="3" spans="3:11" ht="20.100000000000001" customHeight="1" x14ac:dyDescent="0.25"/>
    <row r="4" spans="3:11" ht="20.100000000000001" customHeight="1" x14ac:dyDescent="0.25">
      <c r="D4" s="9" t="str" cm="1">
        <f t="array" ref="D4">CommonLivestock_SourceData.SourceData_Livestock_Common_SymbolsMMS_Title()</f>
        <v>Table 5.12 Additional symbols used in algorithms for manure related emissions</v>
      </c>
    </row>
    <row r="5" spans="3:11" ht="20.100000000000001" customHeight="1" x14ac:dyDescent="0.25">
      <c r="D5" s="11" t="str" cm="1">
        <f t="array" ref="D5">CommonLivestock_SourceData.SourceData_Livestock_Common_SymbolsMMS_Source()</f>
        <v>National Inventory Report 2023 Volume 1: Table 5.12</v>
      </c>
    </row>
    <row r="6" spans="3:11" ht="20.100000000000001" customHeight="1" x14ac:dyDescent="0.25">
      <c r="D6" s="201" t="s">
        <v>437</v>
      </c>
      <c r="E6" s="201" t="s">
        <v>438</v>
      </c>
      <c r="F6" s="201" t="s">
        <v>439</v>
      </c>
    </row>
    <row r="7" spans="3:11" ht="20.100000000000001" customHeight="1" x14ac:dyDescent="0.25">
      <c r="D7" s="201" t="str" cm="1">
        <f t="array" ref="D7">Common_InputFunctions.Utility_DisplayArrayInTable(CommonLivestock_SourceData.SourceData_Livestock_Common_SymbolsMMS_Data(), Table_Data_MMSSymbols[[#Headers],[Symbol]], 0)</f>
        <v>1</v>
      </c>
      <c r="E7" s="201" t="str" cm="1">
        <f t="array" ref="E7">Common_InputFunctions.Utility_DisplayArrayInTable(CommonLivestock_SourceData.SourceData_Livestock_Common_SymbolsMMS_Data(), Table_Data_MMSSymbols[[#Headers],[Symbol]], 0)</f>
        <v>Anaerobic lagoon</v>
      </c>
      <c r="F7" s="201" t="str" cm="1">
        <f t="array" ref="F7">Common_InputFunctions.Utility_DisplayArrayInTable(CommonLivestock_SourceData.SourceData_Livestock_Common_SymbolsMMS_Data(), Table_Data_MMSSymbols[[#Headers],[Symbol]], 0)</f>
        <v>Anaerobic lagoon (m=1)</v>
      </c>
    </row>
    <row r="8" spans="3:11" ht="20.100000000000001" customHeight="1" x14ac:dyDescent="0.25">
      <c r="D8" s="201" t="str" cm="1">
        <f t="array" ref="D8">Common_InputFunctions.Utility_DisplayArrayInTable(CommonLivestock_SourceData.SourceData_Livestock_Common_SymbolsMMS_Data(), Table_Data_MMSSymbols[[#Headers],[Symbol]], 0)</f>
        <v>2</v>
      </c>
      <c r="E8" s="201" t="str" cm="1">
        <f t="array" ref="E8">Common_InputFunctions.Utility_DisplayArrayInTable(CommonLivestock_SourceData.SourceData_Livestock_Common_SymbolsMMS_Data(), Table_Data_MMSSymbols[[#Headers],[Symbol]], 0)</f>
        <v>Liquid systems</v>
      </c>
      <c r="F8" s="201" t="str" cm="1">
        <f t="array" ref="F8">Common_InputFunctions.Utility_DisplayArrayInTable(CommonLivestock_SourceData.SourceData_Livestock_Common_SymbolsMMS_Data(), Table_Data_MMSSymbols[[#Headers],[Symbol]], 0)</f>
        <v>Liquid systems (m=2)</v>
      </c>
    </row>
    <row r="9" spans="3:11" ht="20.100000000000001" customHeight="1" x14ac:dyDescent="0.25">
      <c r="D9" s="201" t="str" cm="1">
        <f t="array" ref="D9">Common_InputFunctions.Utility_DisplayArrayInTable(CommonLivestock_SourceData.SourceData_Livestock_Common_SymbolsMMS_Data(), Table_Data_MMSSymbols[[#Headers],[Symbol]], 0)</f>
        <v>3</v>
      </c>
      <c r="E9" s="201" t="str" cm="1">
        <f t="array" ref="E9">Common_InputFunctions.Utility_DisplayArrayInTable(CommonLivestock_SourceData.SourceData_Livestock_Common_SymbolsMMS_Data(), Table_Data_MMSSymbols[[#Headers],[Symbol]], 0)</f>
        <v>Daily spread</v>
      </c>
      <c r="F9" s="201" t="str" cm="1">
        <f t="array" ref="F9">Common_InputFunctions.Utility_DisplayArrayInTable(CommonLivestock_SourceData.SourceData_Livestock_Common_SymbolsMMS_Data(), Table_Data_MMSSymbols[[#Headers],[Symbol]], 0)</f>
        <v>Daily spread (m=3)</v>
      </c>
    </row>
    <row r="10" spans="3:11" ht="20.100000000000001" customHeight="1" x14ac:dyDescent="0.25">
      <c r="D10" s="201" t="str" cm="1">
        <f t="array" ref="D10">Common_InputFunctions.Utility_DisplayArrayInTable(CommonLivestock_SourceData.SourceData_Livestock_Common_SymbolsMMS_Data(), Table_Data_MMSSymbols[[#Headers],[Symbol]], 0)</f>
        <v>3a</v>
      </c>
      <c r="E10" s="201" t="str" cm="1">
        <f t="array" ref="E10">Common_InputFunctions.Utility_DisplayArrayInTable(CommonLivestock_SourceData.SourceData_Livestock_Common_SymbolsMMS_Data(), Table_Data_MMSSymbols[[#Headers],[Symbol]], 0)</f>
        <v>Sump and dispersal system</v>
      </c>
      <c r="F10" s="201" t="str" cm="1">
        <f t="array" ref="F10">Common_InputFunctions.Utility_DisplayArrayInTable(CommonLivestock_SourceData.SourceData_Livestock_Common_SymbolsMMS_Data(), Table_Data_MMSSymbols[[#Headers],[Symbol]], 0)</f>
        <v>Sump and dispersal system (m=3a)</v>
      </c>
    </row>
    <row r="11" spans="3:11" ht="20.100000000000001" customHeight="1" x14ac:dyDescent="0.25">
      <c r="D11" s="201" t="str" cm="1">
        <f t="array" ref="D11">Common_InputFunctions.Utility_DisplayArrayInTable(CommonLivestock_SourceData.SourceData_Livestock_Common_SymbolsMMS_Data(), Table_Data_MMSSymbols[[#Headers],[Symbol]], 0)</f>
        <v>3b</v>
      </c>
      <c r="E11" s="201" t="str" cm="1">
        <f t="array" ref="E11">Common_InputFunctions.Utility_DisplayArrayInTable(CommonLivestock_SourceData.SourceData_Livestock_Common_SymbolsMMS_Data(), Table_Data_MMSSymbols[[#Headers],[Symbol]], 0)</f>
        <v>Drains to paddock</v>
      </c>
      <c r="F11" s="201" t="str" cm="1">
        <f t="array" ref="F11">Common_InputFunctions.Utility_DisplayArrayInTable(CommonLivestock_SourceData.SourceData_Livestock_Common_SymbolsMMS_Data(), Table_Data_MMSSymbols[[#Headers],[Symbol]], 0)</f>
        <v>Drains to paddock (m=3b)</v>
      </c>
    </row>
    <row r="12" spans="3:11" ht="20.100000000000001" customHeight="1" x14ac:dyDescent="0.25">
      <c r="D12" s="201" t="str" cm="1">
        <f t="array" ref="D12">Common_InputFunctions.Utility_DisplayArrayInTable(CommonLivestock_SourceData.SourceData_Livestock_Common_SymbolsMMS_Data(), Table_Data_MMSSymbols[[#Headers],[Symbol]], 0)</f>
        <v>4</v>
      </c>
      <c r="E12" s="201" t="str" cm="1">
        <f t="array" ref="E12">Common_InputFunctions.Utility_DisplayArrayInTable(CommonLivestock_SourceData.SourceData_Livestock_Common_SymbolsMMS_Data(), Table_Data_MMSSymbols[[#Headers],[Symbol]], 0)</f>
        <v>Solid storage</v>
      </c>
      <c r="F12" s="201" t="str" cm="1">
        <f t="array" ref="F12">Common_InputFunctions.Utility_DisplayArrayInTable(CommonLivestock_SourceData.SourceData_Livestock_Common_SymbolsMMS_Data(), Table_Data_MMSSymbols[[#Headers],[Symbol]], 0)</f>
        <v>Solid storage (m=4)</v>
      </c>
    </row>
    <row r="13" spans="3:11" ht="20.100000000000001" customHeight="1" x14ac:dyDescent="0.25">
      <c r="D13" s="201" t="str" cm="1">
        <f t="array" ref="D13">Common_InputFunctions.Utility_DisplayArrayInTable(CommonLivestock_SourceData.SourceData_Livestock_Common_SymbolsMMS_Data(), Table_Data_MMSSymbols[[#Headers],[Symbol]], 0)</f>
        <v>5</v>
      </c>
      <c r="E13" s="201" t="str" cm="1">
        <f t="array" ref="E13">Common_InputFunctions.Utility_DisplayArrayInTable(CommonLivestock_SourceData.SourceData_Livestock_Common_SymbolsMMS_Data(), Table_Data_MMSSymbols[[#Headers],[Symbol]], 0)</f>
        <v>Drylot (feed pad)</v>
      </c>
      <c r="F13" s="201" t="str" cm="1">
        <f t="array" ref="F13">Common_InputFunctions.Utility_DisplayArrayInTable(CommonLivestock_SourceData.SourceData_Livestock_Common_SymbolsMMS_Data(), Table_Data_MMSSymbols[[#Headers],[Symbol]], 0)</f>
        <v>Drylot (feed pad) (m=5)</v>
      </c>
    </row>
    <row r="14" spans="3:11" ht="20.100000000000001" customHeight="1" x14ac:dyDescent="0.25">
      <c r="D14" s="201" t="str" cm="1">
        <f t="array" ref="D14">Common_InputFunctions.Utility_DisplayArrayInTable(CommonLivestock_SourceData.SourceData_Livestock_Common_SymbolsMMS_Data(), Table_Data_MMSSymbols[[#Headers],[Symbol]], 0)</f>
        <v>6</v>
      </c>
      <c r="E14" s="201" t="str" cm="1">
        <f t="array" ref="E14">Common_InputFunctions.Utility_DisplayArrayInTable(CommonLivestock_SourceData.SourceData_Livestock_Common_SymbolsMMS_Data(), Table_Data_MMSSymbols[[#Headers],[Symbol]], 0)</f>
        <v>Composting (passive windrow)</v>
      </c>
      <c r="F14" s="201" t="str" cm="1">
        <f t="array" ref="F14">Common_InputFunctions.Utility_DisplayArrayInTable(CommonLivestock_SourceData.SourceData_Livestock_Common_SymbolsMMS_Data(), Table_Data_MMSSymbols[[#Headers],[Symbol]], 0)</f>
        <v>Composting (passive windrow) (m=6)</v>
      </c>
    </row>
    <row r="15" spans="3:11" ht="20.100000000000001" customHeight="1" x14ac:dyDescent="0.25">
      <c r="D15" s="201" t="str" cm="1">
        <f t="array" ref="D15">Common_InputFunctions.Utility_DisplayArrayInTable(CommonLivestock_SourceData.SourceData_Livestock_Common_SymbolsMMS_Data(), Table_Data_MMSSymbols[[#Headers],[Symbol]], 0)</f>
        <v>7</v>
      </c>
      <c r="E15" s="201" t="str" cm="1">
        <f t="array" ref="E15">Common_InputFunctions.Utility_DisplayArrayInTable(CommonLivestock_SourceData.SourceData_Livestock_Common_SymbolsMMS_Data(), Table_Data_MMSSymbols[[#Headers],[Symbol]], 0)</f>
        <v>Digester / covered lagoons</v>
      </c>
      <c r="F15" s="201" t="str" cm="1">
        <f t="array" ref="F15">Common_InputFunctions.Utility_DisplayArrayInTable(CommonLivestock_SourceData.SourceData_Livestock_Common_SymbolsMMS_Data(), Table_Data_MMSSymbols[[#Headers],[Symbol]], 0)</f>
        <v>Digester / covered lagoons (m=7)</v>
      </c>
    </row>
    <row r="16" spans="3:11" ht="20.100000000000001" customHeight="1" x14ac:dyDescent="0.25">
      <c r="D16" s="201" t="str" cm="1">
        <f t="array" ref="D16">Common_InputFunctions.Utility_DisplayArrayInTable(CommonLivestock_SourceData.SourceData_Livestock_Common_SymbolsMMS_Data(), Table_Data_MMSSymbols[[#Headers],[Symbol]], 0)</f>
        <v>8</v>
      </c>
      <c r="E16" s="201" t="str" cm="1">
        <f t="array" ref="E16">Common_InputFunctions.Utility_DisplayArrayInTable(CommonLivestock_SourceData.SourceData_Livestock_Common_SymbolsMMS_Data(), Table_Data_MMSSymbols[[#Headers],[Symbol]], 0)</f>
        <v>Deep litter</v>
      </c>
      <c r="F16" s="201" t="str" cm="1">
        <f t="array" ref="F16">Common_InputFunctions.Utility_DisplayArrayInTable(CommonLivestock_SourceData.SourceData_Livestock_Common_SymbolsMMS_Data(), Table_Data_MMSSymbols[[#Headers],[Symbol]], 0)</f>
        <v>Deep litter (m=8)</v>
      </c>
    </row>
    <row r="17" spans="4:6" ht="20.100000000000001" customHeight="1" x14ac:dyDescent="0.25">
      <c r="D17" s="201" t="str" cm="1">
        <f t="array" ref="D17">Common_InputFunctions.Utility_DisplayArrayInTable(CommonLivestock_SourceData.SourceData_Livestock_Common_SymbolsMMS_Data(), Table_Data_MMSSymbols[[#Headers],[Symbol]], 0)</f>
        <v>9</v>
      </c>
      <c r="E17" s="201" t="str" cm="1">
        <f t="array" ref="E17">Common_InputFunctions.Utility_DisplayArrayInTable(CommonLivestock_SourceData.SourceData_Livestock_Common_SymbolsMMS_Data(), Table_Data_MMSSymbols[[#Headers],[Symbol]], 0)</f>
        <v>Pit storage</v>
      </c>
      <c r="F17" s="201" t="str" cm="1">
        <f t="array" ref="F17">Common_InputFunctions.Utility_DisplayArrayInTable(CommonLivestock_SourceData.SourceData_Livestock_Common_SymbolsMMS_Data(), Table_Data_MMSSymbols[[#Headers],[Symbol]], 0)</f>
        <v>Pit storage (m=9)</v>
      </c>
    </row>
    <row r="18" spans="4:6" ht="20.100000000000001" customHeight="1" x14ac:dyDescent="0.25">
      <c r="D18" s="201" t="str" cm="1">
        <f t="array" ref="D18">Common_InputFunctions.Utility_DisplayArrayInTable(CommonLivestock_SourceData.SourceData_Livestock_Common_SymbolsMMS_Data(), Table_Data_MMSSymbols[[#Headers],[Symbol]], 0)</f>
        <v>10</v>
      </c>
      <c r="E18" s="201" t="str" cm="1">
        <f t="array" ref="E18">Common_InputFunctions.Utility_DisplayArrayInTable(CommonLivestock_SourceData.SourceData_Livestock_Common_SymbolsMMS_Data(), Table_Data_MMSSymbols[[#Headers],[Symbol]], 0)</f>
        <v>Poultry manure with bedding</v>
      </c>
      <c r="F18" s="201" t="str" cm="1">
        <f t="array" ref="F18">Common_InputFunctions.Utility_DisplayArrayInTable(CommonLivestock_SourceData.SourceData_Livestock_Common_SymbolsMMS_Data(), Table_Data_MMSSymbols[[#Headers],[Symbol]], 0)</f>
        <v>Poultry manure with bedding (m=10)</v>
      </c>
    </row>
    <row r="19" spans="4:6" ht="20.100000000000001" customHeight="1" x14ac:dyDescent="0.25">
      <c r="D19" s="201" t="str" cm="1">
        <f t="array" ref="D19">Common_InputFunctions.Utility_DisplayArrayInTable(CommonLivestock_SourceData.SourceData_Livestock_Common_SymbolsMMS_Data(), Table_Data_MMSSymbols[[#Headers],[Symbol]], 0)</f>
        <v>11</v>
      </c>
      <c r="E19" s="201" t="str" cm="1">
        <f t="array" ref="E19">Common_InputFunctions.Utility_DisplayArrayInTable(CommonLivestock_SourceData.SourceData_Livestock_Common_SymbolsMMS_Data(), Table_Data_MMSSymbols[[#Headers],[Symbol]], 0)</f>
        <v>Poultry manure without bedding</v>
      </c>
      <c r="F19" s="201" t="str" cm="1">
        <f t="array" ref="F19">Common_InputFunctions.Utility_DisplayArrayInTable(CommonLivestock_SourceData.SourceData_Livestock_Common_SymbolsMMS_Data(), Table_Data_MMSSymbols[[#Headers],[Symbol]], 0)</f>
        <v>Poultry manure without bedding (m=11)</v>
      </c>
    </row>
    <row r="20" spans="4:6" ht="20.100000000000001" customHeight="1" x14ac:dyDescent="0.25">
      <c r="D20" s="201" t="str" cm="1">
        <f t="array" ref="D20">Common_InputFunctions.Utility_DisplayArrayInTable(CommonLivestock_SourceData.SourceData_Livestock_Common_SymbolsMMS_Data(), Table_Data_MMSSymbols[[#Headers],[Symbol]], 0)</f>
        <v>11a</v>
      </c>
      <c r="E20" s="201" t="str" cm="1">
        <f t="array" ref="E20">Common_InputFunctions.Utility_DisplayArrayInTable(CommonLivestock_SourceData.SourceData_Livestock_Common_SymbolsMMS_Data(), Table_Data_MMSSymbols[[#Headers],[Symbol]], 0)</f>
        <v>Belt manure removal</v>
      </c>
      <c r="F20" s="201" t="str" cm="1">
        <f t="array" ref="F20">Common_InputFunctions.Utility_DisplayArrayInTable(CommonLivestock_SourceData.SourceData_Livestock_Common_SymbolsMMS_Data(), Table_Data_MMSSymbols[[#Headers],[Symbol]], 0)</f>
        <v>Belt manure removal (m=11a)</v>
      </c>
    </row>
    <row r="21" spans="4:6" ht="20.100000000000001" customHeight="1" x14ac:dyDescent="0.25">
      <c r="D21" s="201" t="str" cm="1">
        <f t="array" ref="D21">Common_InputFunctions.Utility_DisplayArrayInTable(CommonLivestock_SourceData.SourceData_Livestock_Common_SymbolsMMS_Data(), Table_Data_MMSSymbols[[#Headers],[Symbol]], 0)</f>
        <v>11b</v>
      </c>
      <c r="E21" s="201" t="str" cm="1">
        <f t="array" ref="E21">Common_InputFunctions.Utility_DisplayArrayInTable(CommonLivestock_SourceData.SourceData_Livestock_Common_SymbolsMMS_Data(), Table_Data_MMSSymbols[[#Headers],[Symbol]], 0)</f>
        <v>Manure stored in house</v>
      </c>
      <c r="F21" s="201" t="str" cm="1">
        <f t="array" ref="F21">Common_InputFunctions.Utility_DisplayArrayInTable(CommonLivestock_SourceData.SourceData_Livestock_Common_SymbolsMMS_Data(), Table_Data_MMSSymbols[[#Headers],[Symbol]], 0)</f>
        <v>Manure stored in house (m=11b)</v>
      </c>
    </row>
    <row r="22" spans="4:6" ht="20.100000000000001" customHeight="1" x14ac:dyDescent="0.25">
      <c r="D22" s="201" t="str" cm="1">
        <f t="array" ref="D22">Common_InputFunctions.Utility_DisplayArrayInTable(CommonLivestock_SourceData.SourceData_Livestock_Common_SymbolsMMS_Data(), Table_Data_MMSSymbols[[#Headers],[Symbol]], 0)</f>
        <v>12</v>
      </c>
      <c r="E22" s="201" t="str" cm="1">
        <f t="array" ref="E22">Common_InputFunctions.Utility_DisplayArrayInTable(CommonLivestock_SourceData.SourceData_Livestock_Common_SymbolsMMS_Data(), Table_Data_MMSSymbols[[#Headers],[Symbol]], 0)</f>
        <v>Direct processing</v>
      </c>
      <c r="F22" s="201" t="str" cm="1">
        <f t="array" ref="F22">Common_InputFunctions.Utility_DisplayArrayInTable(CommonLivestock_SourceData.SourceData_Livestock_Common_SymbolsMMS_Data(), Table_Data_MMSSymbols[[#Headers],[Symbol]], 0)</f>
        <v>Direct processing (m=12)</v>
      </c>
    </row>
    <row r="23" spans="4:6" ht="20.100000000000001" customHeight="1" x14ac:dyDescent="0.25">
      <c r="D23" s="201" t="str" cm="1">
        <f t="array" ref="D23">Common_InputFunctions.Utility_DisplayArrayInTable(CommonLivestock_SourceData.SourceData_Livestock_Common_SymbolsMMS_Data(), Table_Data_MMSSymbols[[#Headers],[Symbol]], 0)</f>
        <v>13</v>
      </c>
      <c r="E23" s="201" t="str" cm="1">
        <f t="array" ref="E23">Common_InputFunctions.Utility_DisplayArrayInTable(CommonLivestock_SourceData.SourceData_Livestock_Common_SymbolsMMS_Data(), Table_Data_MMSSymbols[[#Headers],[Symbol]], 0)</f>
        <v>Direct application</v>
      </c>
      <c r="F23" s="201" t="str" cm="1">
        <f t="array" ref="F23">Common_InputFunctions.Utility_DisplayArrayInTable(CommonLivestock_SourceData.SourceData_Livestock_Common_SymbolsMMS_Data(), Table_Data_MMSSymbols[[#Headers],[Symbol]], 0)</f>
        <v>Direct application (m=13)</v>
      </c>
    </row>
    <row r="24" spans="4:6" ht="20.100000000000001" customHeight="1" x14ac:dyDescent="0.25">
      <c r="D24" s="201" t="str" cm="1">
        <f t="array" ref="D24">Common_InputFunctions.Utility_DisplayArrayInTable(CommonLivestock_SourceData.SourceData_Livestock_Common_SymbolsMMS_Data(), Table_Data_MMSSymbols[[#Headers],[Symbol]], 0)</f>
        <v>14</v>
      </c>
      <c r="E24" s="201" t="str" cm="1">
        <f t="array" ref="E24">Common_InputFunctions.Utility_DisplayArrayInTable(CommonLivestock_SourceData.SourceData_Livestock_Common_SymbolsMMS_Data(), Table_Data_MMSSymbols[[#Headers],[Symbol]], 0)</f>
        <v>Pasture range and paddock</v>
      </c>
      <c r="F24" s="201" t="str" cm="1">
        <f t="array" ref="F24">Common_InputFunctions.Utility_DisplayArrayInTable(CommonLivestock_SourceData.SourceData_Livestock_Common_SymbolsMMS_Data(), Table_Data_MMSSymbols[[#Headers],[Symbol]], 0)</f>
        <v>Pasture range and paddock (m=14)</v>
      </c>
    </row>
    <row r="25" spans="4:6" ht="20.100000000000001" customHeight="1" x14ac:dyDescent="0.25"/>
    <row r="26" spans="4:6" ht="20.100000000000001" customHeight="1" x14ac:dyDescent="0.25">
      <c r="D26" s="9" t="str" cm="1">
        <f t="array" ref="D26">CommonLivestock_SourceData.SourceData_Livestock_Product_BeefCattle_Title()</f>
        <v>Beef cattle products for scope 3</v>
      </c>
    </row>
    <row r="27" spans="4:6" ht="20.100000000000001" customHeight="1" x14ac:dyDescent="0.25">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4:6" ht="20.100000000000001" customHeight="1" x14ac:dyDescent="0.25">
      <c r="D28" s="201" t="s">
        <v>222</v>
      </c>
      <c r="E28" s="201" t="s">
        <v>440</v>
      </c>
      <c r="F28" s="8" t="s">
        <v>441</v>
      </c>
    </row>
    <row r="29" spans="4:6" ht="20.100000000000001" customHeight="1" x14ac:dyDescent="0.25">
      <c r="D29" s="201" t="str" cm="1">
        <f t="array" ref="D29">Common_InputFunctions.Utility_DisplayArrayInTable(CommonLivestock_SourceData.SourceData_Livestock_Product_BeefCattle_Data(),Table_SourceData_LivestockProduct_Beefcattle[[#Headers],[Product]],0)</f>
        <v>Cattle, for manufacturing beef</v>
      </c>
      <c r="E29" s="201" t="str" cm="1">
        <f t="array" ref="E29">Common_InputFunctions.Utility_DisplayArrayInTable(CommonLivestock_SourceData.SourceData_Livestock_Product_BeefCattle_Data(),Table_SourceData_LivestockProduct_Beefcattle[[#Headers],[Product]],0)</f>
        <v>Australia</v>
      </c>
    </row>
    <row r="30" spans="4:6" ht="20.100000000000001" customHeight="1" x14ac:dyDescent="0.25">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4:6" ht="20.100000000000001" customHeight="1" x14ac:dyDescent="0.25">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4:6" ht="20.100000000000001" customHeight="1" x14ac:dyDescent="0.25">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4:6" ht="20.100000000000001" customHeight="1" x14ac:dyDescent="0.25">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4:6" ht="20.100000000000001" customHeight="1" x14ac:dyDescent="0.25">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4:6" ht="20.100000000000001" customHeight="1" x14ac:dyDescent="0.2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4:6" ht="20.100000000000001" customHeight="1" x14ac:dyDescent="0.25">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4:6" ht="20.100000000000001" customHeight="1" x14ac:dyDescent="0.25"/>
    <row r="38" spans="4:6" ht="20.100000000000001" customHeight="1" x14ac:dyDescent="0.25">
      <c r="D38" s="9" t="str" cm="1">
        <f t="array" ref="D38">CommonLivestock_SourceData.SourceData_Livestock_Product_Sheep_Title()</f>
        <v>Sheep products for scope 3</v>
      </c>
    </row>
    <row r="39" spans="4: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4:6" ht="20.100000000000001" customHeight="1" x14ac:dyDescent="0.25">
      <c r="D40" s="201" t="s">
        <v>222</v>
      </c>
      <c r="E40" s="201" t="s">
        <v>440</v>
      </c>
      <c r="F40" s="8" t="s">
        <v>442</v>
      </c>
    </row>
    <row r="41" spans="4:6" ht="20.100000000000001" customHeight="1" x14ac:dyDescent="0.25">
      <c r="D41" s="201" t="str" cm="1">
        <f t="array" ref="D41">Common_InputFunctions.Utility_DisplayArrayInTable(CommonLivestock_SourceData.SourceData_Livestock_Product_Sheep_Data(),Table_SourceData_LivestockProduct_Sheep[[#Headers],[Product]],0)</f>
        <v>Sheep, for mutton</v>
      </c>
      <c r="E41" s="201" t="str" cm="1">
        <f t="array" ref="E41">Common_InputFunctions.Utility_DisplayArrayInTable(CommonLivestock_SourceData.SourceData_Livestock_Product_Sheep_Data(),Table_SourceData_LivestockProduct_Sheep[[#Headers],[Product]],0)</f>
        <v>Australia</v>
      </c>
    </row>
    <row r="42" spans="4:6" ht="20.100000000000001" customHeight="1" x14ac:dyDescent="0.25">
      <c r="D42" s="201" t="str" cm="1">
        <f t="array" ref="D42">Common_InputFunctions.Utility_DisplayArrayInTable(CommonLivestock_SourceData.SourceData_Livestock_Product_Sheep_Data(),Table_SourceData_LivestockProduct_Sheep[[#Headers],[Product]],0)</f>
        <v>Sheep, for prime lamb</v>
      </c>
      <c r="E42" s="201" t="str" cm="1">
        <f t="array" ref="E42">Common_InputFunctions.Utility_DisplayArrayInTable(CommonLivestock_SourceData.SourceData_Livestock_Product_Sheep_Data(),Table_SourceData_LivestockProduct_Sheep[[#Headers],[Product]],0)</f>
        <v>NSW</v>
      </c>
    </row>
    <row r="43" spans="4:6" ht="20.100000000000001" customHeight="1" x14ac:dyDescent="0.25">
      <c r="D43" s="201" t="str" cm="1">
        <f t="array" ref="D43">Common_InputFunctions.Utility_DisplayArrayInTable(CommonLivestock_SourceData.SourceData_Livestock_Product_Sheep_Data(),Table_SourceData_LivestockProduct_Sheep[[#Headers],[Product]],0)</f>
        <v/>
      </c>
      <c r="E43" s="201" t="str" cm="1">
        <f t="array" ref="E43">Common_InputFunctions.Utility_DisplayArrayInTable(CommonLivestock_SourceData.SourceData_Livestock_Product_Sheep_Data(),Table_SourceData_LivestockProduct_Sheep[[#Headers],[Product]],0)</f>
        <v>QLD</v>
      </c>
    </row>
    <row r="44" spans="4:6" ht="20.100000000000001" customHeight="1" x14ac:dyDescent="0.25">
      <c r="D44" s="201" t="str" cm="1">
        <f t="array" ref="D44">Common_InputFunctions.Utility_DisplayArrayInTable(CommonLivestock_SourceData.SourceData_Livestock_Product_Sheep_Data(),Table_SourceData_LivestockProduct_Sheep[[#Headers],[Product]],0)</f>
        <v/>
      </c>
      <c r="E44" s="201" t="str" cm="1">
        <f t="array" ref="E44">Common_InputFunctions.Utility_DisplayArrayInTable(CommonLivestock_SourceData.SourceData_Livestock_Product_Sheep_Data(),Table_SourceData_LivestockProduct_Sheep[[#Headers],[Product]],0)</f>
        <v>SA</v>
      </c>
    </row>
    <row r="45" spans="4:6" ht="20.100000000000001" customHeight="1" x14ac:dyDescent="0.25">
      <c r="D45" s="201" t="str" cm="1">
        <f t="array" ref="D45">Common_InputFunctions.Utility_DisplayArrayInTable(CommonLivestock_SourceData.SourceData_Livestock_Product_Sheep_Data(),Table_SourceData_LivestockProduct_Sheep[[#Headers],[Product]],0)</f>
        <v/>
      </c>
      <c r="E45" s="201" t="str" cm="1">
        <f t="array" ref="E45">Common_InputFunctions.Utility_DisplayArrayInTable(CommonLivestock_SourceData.SourceData_Livestock_Product_Sheep_Data(),Table_SourceData_LivestockProduct_Sheep[[#Headers],[Product]],0)</f>
        <v>TAS</v>
      </c>
    </row>
    <row r="46" spans="4:6" ht="20.100000000000001" customHeight="1" x14ac:dyDescent="0.25">
      <c r="D46" s="201" t="str" cm="1">
        <f t="array" ref="D46">Common_InputFunctions.Utility_DisplayArrayInTable(CommonLivestock_SourceData.SourceData_Livestock_Product_Sheep_Data(),Table_SourceData_LivestockProduct_Sheep[[#Headers],[Product]],0)</f>
        <v/>
      </c>
      <c r="E46" s="201" t="str" cm="1">
        <f t="array" ref="E46">Common_InputFunctions.Utility_DisplayArrayInTable(CommonLivestock_SourceData.SourceData_Livestock_Product_Sheep_Data(),Table_SourceData_LivestockProduct_Sheep[[#Headers],[Product]],0)</f>
        <v>VIC</v>
      </c>
    </row>
    <row r="47" spans="4:6" ht="20.100000000000001" customHeight="1" x14ac:dyDescent="0.25">
      <c r="D47" s="201" t="str" cm="1">
        <f t="array" ref="D47">Common_InputFunctions.Utility_DisplayArrayInTable(CommonLivestock_SourceData.SourceData_Livestock_Product_Sheep_Data(),Table_SourceData_LivestockProduct_Sheep[[#Headers],[Product]],0)</f>
        <v/>
      </c>
      <c r="E47" s="201" t="str" cm="1">
        <f t="array" ref="E47">Common_InputFunctions.Utility_DisplayArrayInTable(CommonLivestock_SourceData.SourceData_Livestock_Product_Sheep_Data(),Table_SourceData_LivestockProduct_Sheep[[#Headers],[Product]],0)</f>
        <v>WA</v>
      </c>
    </row>
    <row r="48" spans="4: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201" t="s">
        <v>222</v>
      </c>
      <c r="E51" s="201" t="s">
        <v>440</v>
      </c>
      <c r="F51" s="206" t="s">
        <v>446</v>
      </c>
    </row>
    <row r="52" spans="4:6" ht="20.100000000000001" customHeight="1" x14ac:dyDescent="0.25">
      <c r="D52" s="201" t="str" cm="1">
        <f t="array" ref="D52">Common_InputFunctions.Utility_DisplayArrayInTable(CommonLivestock_SourceData.SourceData_Livestock_Product_Chickens_Data(),Table_SourceData_LivestockProduct_Chickens[[#Headers],[Product]],0)</f>
        <v>Chickens</v>
      </c>
      <c r="E52" s="201"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201" t="s">
        <v>222</v>
      </c>
      <c r="E56" s="201" t="s">
        <v>440</v>
      </c>
      <c r="F56" s="8" t="s">
        <v>448</v>
      </c>
    </row>
    <row r="57" spans="4:6" ht="20.100000000000001" customHeight="1" x14ac:dyDescent="0.25">
      <c r="D57" s="201" t="str" cm="1">
        <f t="array" ref="D57">Common_InputFunctions.Utility_DisplayArrayInTable(CommonLivestock_SourceData.SourceData_Livestock_Product_Dairycattle_Data(),Table_SourceData_LivestockProduct_Dairycattle[[#Headers],[Product]],0)</f>
        <v>Dairy cows</v>
      </c>
      <c r="E57" s="201"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201" t="s">
        <v>222</v>
      </c>
      <c r="E61" s="201" t="s">
        <v>440</v>
      </c>
      <c r="F61" s="8" t="s">
        <v>449</v>
      </c>
    </row>
    <row r="62" spans="4:6" ht="20.100000000000001" customHeight="1" x14ac:dyDescent="0.25">
      <c r="D62" s="201" t="str" cm="1">
        <f t="array" ref="D62">Common_InputFunctions.Utility_DisplayArrayInTable(CommonLivestock_SourceData.SourceData_Livestock_Product_Pigs_Data(),Table_SourceData_LivestockProduct_Pigs[[#Headers],[Product]],0)</f>
        <v>Pigs</v>
      </c>
      <c r="E62" s="201"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sheetData>
  <phoneticPr fontId="63" type="noConversion"/>
  <pageMargins left="0.7" right="0.7" top="0.75" bottom="0.75" header="0.3" footer="0.3"/>
  <tableParts count="6">
    <tablePart r:id="rId1"/>
    <tablePart r:id="rId2"/>
    <tablePart r:id="rId3"/>
    <tablePart r:id="rId4"/>
    <tablePart r:id="rId5"/>
    <tablePart r:id="rId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B47D-1432-4DA7-9DEF-464E02E6C39D}">
  <dimension ref="D2:H46"/>
  <sheetViews>
    <sheetView workbookViewId="0">
      <selection activeCell="E25" sqref="E25"/>
    </sheetView>
  </sheetViews>
  <sheetFormatPr defaultRowHeight="15.75" x14ac:dyDescent="0.25"/>
  <cols>
    <col min="4" max="4" width="39" customWidth="1"/>
    <col min="5" max="5" width="33.75" customWidth="1"/>
    <col min="6" max="6" width="37.375" customWidth="1"/>
  </cols>
  <sheetData>
    <row r="2" spans="4:8" x14ac:dyDescent="0.25">
      <c r="D2" t="s">
        <v>296</v>
      </c>
    </row>
    <row r="3" spans="4:8" x14ac:dyDescent="0.25">
      <c r="D3" s="58" t="s">
        <v>131</v>
      </c>
      <c r="E3" s="8"/>
      <c r="F3" s="8"/>
    </row>
    <row r="4" spans="4:8" x14ac:dyDescent="0.25">
      <c r="D4" s="59" t="s">
        <v>132</v>
      </c>
      <c r="E4" s="8"/>
      <c r="F4" s="8"/>
    </row>
    <row r="5" spans="4:8" x14ac:dyDescent="0.25">
      <c r="D5" s="60" t="s">
        <v>133</v>
      </c>
      <c r="E5" s="60" t="s">
        <v>134</v>
      </c>
      <c r="F5" s="60" t="s">
        <v>135</v>
      </c>
      <c r="H5" s="47" t="s">
        <v>136</v>
      </c>
    </row>
    <row r="6" spans="4:8" x14ac:dyDescent="0.25">
      <c r="D6" s="7" t="str">
        <f>Table_FuelTypesPerUse[[#Headers],[Cars and light commercial vehicles]]</f>
        <v>Cars and light commercial vehicles</v>
      </c>
      <c r="E6" s="61" t="str">
        <f>'Constants - Fuel'!$E$10</f>
        <v>Gasoline</v>
      </c>
      <c r="F6" s="61" t="str">
        <f>'Constants - Fuel'!$G$131</f>
        <v>Petrol</v>
      </c>
      <c r="H6" cm="1">
        <f t="array" ref="H6">Fuel_InputFunctions.Fuel_TotalConsumption(Table_Input_Fuel[Amount consumed],Table_Input_Fuel[Fuel use (select)],D6,Table_Input_Fuel[Fuel type (select)],F6)</f>
        <v>2</v>
      </c>
    </row>
    <row r="7" spans="4:8" x14ac:dyDescent="0.25">
      <c r="D7" s="62" t="str">
        <f>$D$6</f>
        <v>Cars and light commercial vehicles</v>
      </c>
      <c r="E7" s="61" t="str">
        <f>'Constants - Fuel'!$E$11</f>
        <v>Diesel oil</v>
      </c>
      <c r="F7" s="61" t="str">
        <f>'Constants - Fuel'!$G$132</f>
        <v>Diesel</v>
      </c>
      <c r="H7" cm="1">
        <f t="array" ref="H7">Fuel_InputFunctions.Fuel_TotalConsumption(Table_Input_Fuel[Amount consumed],Table_Input_Fuel[Fuel use (select)],D7,Table_Input_Fuel[Fuel type (select)],F7)</f>
        <v>0</v>
      </c>
    </row>
    <row r="8" spans="4:8" x14ac:dyDescent="0.25">
      <c r="D8" s="62" t="str">
        <f t="shared" ref="D8:D13" si="0">$D$6</f>
        <v>Cars and light commercial vehicles</v>
      </c>
      <c r="E8" s="61" t="str">
        <f>'Constants - Fuel'!$E$12</f>
        <v>Liquefied petroleum gas (LPG)</v>
      </c>
      <c r="F8" s="61" t="str">
        <f>'Constants - Fuel'!$G$133</f>
        <v>Liquefied petroleum gas (LPG)</v>
      </c>
      <c r="H8" cm="1">
        <f t="array" ref="H8">Fuel_InputFunctions.Fuel_TotalConsumption(Table_Input_Fuel[Amount consumed],Table_Input_Fuel[Fuel use (select)],D8,Table_Input_Fuel[Fuel type (select)],F8)</f>
        <v>0</v>
      </c>
    </row>
    <row r="9" spans="4:8" x14ac:dyDescent="0.25">
      <c r="D9" s="62" t="str">
        <f t="shared" si="0"/>
        <v>Cars and light commercial vehicles</v>
      </c>
      <c r="E9" s="61" t="str">
        <f>'Constants - Fuel'!$E$13</f>
        <v>Fuel oil</v>
      </c>
      <c r="F9" s="61" t="str">
        <f>'Constants - Fuel'!$G$134</f>
        <v>Fuel oil</v>
      </c>
      <c r="H9" cm="1">
        <f t="array" ref="H9">Fuel_InputFunctions.Fuel_TotalConsumption(Table_Input_Fuel[Amount consumed],Table_Input_Fuel[Fuel use (select)],D9,Table_Input_Fuel[Fuel type (select)],F9)</f>
        <v>0</v>
      </c>
    </row>
    <row r="10" spans="4:8" x14ac:dyDescent="0.25">
      <c r="D10" s="62" t="str">
        <f t="shared" si="0"/>
        <v>Cars and light commercial vehicles</v>
      </c>
      <c r="E10" s="61" t="str">
        <f>'Constants - Fuel'!$E$14</f>
        <v>Ethanol</v>
      </c>
      <c r="F10" s="61" t="str">
        <f>'Constants - Fuel'!$G$135</f>
        <v>Ethanol</v>
      </c>
      <c r="H10" cm="1">
        <f t="array" ref="H10">Fuel_InputFunctions.Fuel_TotalConsumption(Table_Input_Fuel[Amount consumed],Table_Input_Fuel[Fuel use (select)],D10,Table_Input_Fuel[Fuel type (select)],F10)</f>
        <v>0</v>
      </c>
    </row>
    <row r="11" spans="4:8" x14ac:dyDescent="0.25">
      <c r="D11" s="62" t="str">
        <f t="shared" si="0"/>
        <v>Cars and light commercial vehicles</v>
      </c>
      <c r="E11" s="61" t="str">
        <f>'Constants - Fuel'!$E$15</f>
        <v>Biodiesel</v>
      </c>
      <c r="F11" s="61" t="str">
        <f>'Constants - Fuel'!$G$136</f>
        <v>Biodiesel</v>
      </c>
      <c r="H11" cm="1">
        <f t="array" ref="H11">Fuel_InputFunctions.Fuel_TotalConsumption(Table_Input_Fuel[Amount consumed],Table_Input_Fuel[Fuel use (select)],D11,Table_Input_Fuel[Fuel type (select)],F11)</f>
        <v>0</v>
      </c>
    </row>
    <row r="12" spans="4:8" x14ac:dyDescent="0.25">
      <c r="D12" s="62" t="str">
        <f t="shared" si="0"/>
        <v>Cars and light commercial vehicles</v>
      </c>
      <c r="E12" s="61" t="str">
        <f>'Constants - Fuel'!$E$16</f>
        <v>Renewable diesel</v>
      </c>
      <c r="F12" s="61" t="str">
        <f>'Constants - Fuel'!$G$137</f>
        <v>Renewable diesel</v>
      </c>
      <c r="H12" cm="1">
        <f t="array" ref="H12">Fuel_InputFunctions.Fuel_TotalConsumption(Table_Input_Fuel[Amount consumed],Table_Input_Fuel[Fuel use (select)],D12,Table_Input_Fuel[Fuel type (select)],F12)</f>
        <v>0</v>
      </c>
    </row>
    <row r="13" spans="4:8" x14ac:dyDescent="0.25">
      <c r="D13" s="62" t="str">
        <f t="shared" si="0"/>
        <v>Cars and light commercial vehicles</v>
      </c>
      <c r="E13" s="61" t="str">
        <f>'Constants - Fuel'!$E$17</f>
        <v>Other biofuels</v>
      </c>
      <c r="F13" s="61" t="str">
        <f>'Constants - Fuel'!$G$138</f>
        <v>Other biofuels</v>
      </c>
      <c r="H13" cm="1">
        <f t="array" ref="H13">Fuel_InputFunctions.Fuel_TotalConsumption(Table_Input_Fuel[Amount consumed],Table_Input_Fuel[Fuel use (select)],D13,Table_Input_Fuel[Fuel type (select)],F13)</f>
        <v>0</v>
      </c>
    </row>
    <row r="14" spans="4:8" x14ac:dyDescent="0.25">
      <c r="D14" s="63" t="str">
        <f>Table_FuelTypesPerUse[[#Headers],[Off-road Agriculture and forestry equipment]]</f>
        <v>Off-road Agriculture and forestry equipment</v>
      </c>
      <c r="E14" s="64" t="str">
        <f>'Constants - Fuel'!$E$11</f>
        <v>Diesel oil</v>
      </c>
      <c r="F14" s="64" t="str">
        <f>'Constants - Fuel'!$H$131</f>
        <v>Diesel</v>
      </c>
      <c r="H14" cm="1">
        <f t="array" ref="H14">Fuel_InputFunctions.Fuel_TotalConsumption(Table_Input_Fuel[Amount consumed],Table_Input_Fuel[Fuel use (select)],D14,Table_Input_Fuel[Fuel type (select)],F14)</f>
        <v>0</v>
      </c>
    </row>
    <row r="15" spans="4:8" x14ac:dyDescent="0.25">
      <c r="D15" s="63" t="str">
        <f>Table_FuelTypesPerUse[[#Headers],[Aviation]]</f>
        <v>Aviation</v>
      </c>
      <c r="E15" s="64" t="str">
        <f>'Constants - Fuel'!$E$28</f>
        <v>Gasoline for use as fuel in an aircraft</v>
      </c>
      <c r="F15" s="64" t="str">
        <f>'Constants - Fuel'!$F$131</f>
        <v>Avgas</v>
      </c>
      <c r="H15" cm="1">
        <f t="array" ref="H15">Fuel_InputFunctions.Fuel_TotalConsumption(Table_Input_Fuel[Amount consumed],Table_Input_Fuel[Fuel use (select)],D15,Table_Input_Fuel[Fuel type (select)],F15)</f>
        <v>0</v>
      </c>
    </row>
    <row r="16" spans="4:8" x14ac:dyDescent="0.25">
      <c r="D16" s="62" t="str">
        <f>$D$15</f>
        <v>Aviation</v>
      </c>
      <c r="E16" s="61" t="str">
        <f>'Constants - Fuel'!$E$29</f>
        <v>Kerosene for use as fuel in an aircraft</v>
      </c>
      <c r="F16" s="61" t="str">
        <f>'Constants - Fuel'!$F$132</f>
        <v>Jet A1, Jet B</v>
      </c>
      <c r="H16" cm="1">
        <f t="array" ref="H16">Fuel_InputFunctions.Fuel_TotalConsumption(Table_Input_Fuel[Amount consumed],Table_Input_Fuel[Fuel use (select)],D16,Table_Input_Fuel[Fuel type (select)],F16)</f>
        <v>0</v>
      </c>
    </row>
    <row r="17" spans="4:8" x14ac:dyDescent="0.25">
      <c r="D17" s="62" t="str">
        <f>$D$15</f>
        <v>Aviation</v>
      </c>
      <c r="E17" s="61" t="str">
        <f>'Constants - Fuel'!$E$30</f>
        <v>Renewable aviation kerosene</v>
      </c>
      <c r="F17" s="61" t="str">
        <f>'Constants - Fuel'!$F$133</f>
        <v>Renewable aviation kerosene</v>
      </c>
      <c r="H17" cm="1">
        <f t="array" ref="H17">Fuel_InputFunctions.Fuel_TotalConsumption(Table_Input_Fuel[Amount consumed],Table_Input_Fuel[Fuel use (select)],D17,Table_Input_Fuel[Fuel type (select)],F17)</f>
        <v>0</v>
      </c>
    </row>
    <row r="18" spans="4:8" x14ac:dyDescent="0.25">
      <c r="D18" s="63" t="str">
        <f>Table_FuelTypesPerUse[[#Headers],[Vessels]]</f>
        <v>Vessels</v>
      </c>
      <c r="E18" s="64" t="str">
        <f>'Constants - Fuel'!$E$10</f>
        <v>Gasoline</v>
      </c>
      <c r="F18" s="64" t="str">
        <f>'Constants - Fuel'!$I$131</f>
        <v>Petrol</v>
      </c>
      <c r="H18" cm="1">
        <f t="array" ref="H18">Fuel_InputFunctions.Fuel_TotalConsumption(Table_Input_Fuel[Amount consumed],Table_Input_Fuel[Fuel use (select)],D18,Table_Input_Fuel[Fuel type (select)],F18)</f>
        <v>0</v>
      </c>
    </row>
    <row r="19" spans="4:8" x14ac:dyDescent="0.25">
      <c r="D19" s="62" t="str">
        <f>$D$18</f>
        <v>Vessels</v>
      </c>
      <c r="E19" s="61" t="str">
        <f>'Constants - Fuel'!$E$11</f>
        <v>Diesel oil</v>
      </c>
      <c r="F19" s="61" t="str">
        <f>'Constants - Fuel'!$I$132</f>
        <v>Diesel</v>
      </c>
      <c r="H19" cm="1">
        <f t="array" ref="H19">Fuel_InputFunctions.Fuel_TotalConsumption(Table_Input_Fuel[Amount consumed],Table_Input_Fuel[Fuel use (select)],D19,Table_Input_Fuel[Fuel type (select)],F19)</f>
        <v>0</v>
      </c>
    </row>
    <row r="20" spans="4:8" x14ac:dyDescent="0.25">
      <c r="D20" s="62" t="str">
        <f>$D$18</f>
        <v>Vessels</v>
      </c>
      <c r="E20" s="61" t="str">
        <f>'Constants - Fuel'!$E$33</f>
        <v>Fuel Oil</v>
      </c>
      <c r="F20" s="61" t="str">
        <f>'Constants - Fuel'!$I$133</f>
        <v>Fuel oil</v>
      </c>
      <c r="H20" cm="1">
        <f t="array" ref="H20">Fuel_InputFunctions.Fuel_TotalConsumption(Table_Input_Fuel[Amount consumed],Table_Input_Fuel[Fuel use (select)],D20,Table_Input_Fuel[Fuel type (select)],F20)</f>
        <v>0</v>
      </c>
    </row>
    <row r="23" spans="4:8" x14ac:dyDescent="0.25">
      <c r="D23" t="s">
        <v>297</v>
      </c>
    </row>
    <row r="24" spans="4:8" ht="17.25" x14ac:dyDescent="0.25">
      <c r="D24" s="60" t="s">
        <v>138</v>
      </c>
      <c r="E24" s="47" t="s">
        <v>239</v>
      </c>
    </row>
    <row r="25" spans="4:8" x14ac:dyDescent="0.25">
      <c r="D25" s="50" t="str" cm="1">
        <f t="array" ref="D25:D43">Table_Fertiliser_ChemicalCompounds[Fertiliser type f]</f>
        <v>Monoammonium phosphate (MAP)</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6" spans="4:8" x14ac:dyDescent="0.25">
      <c r="D26" s="50" t="str">
        <v>Diammonium phosphate (DAP)</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7" spans="4:8" x14ac:dyDescent="0.25">
      <c r="D27" s="50" t="str">
        <v>Urea</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24189.130428200002</v>
      </c>
    </row>
    <row r="28" spans="4:8" x14ac:dyDescent="0.25">
      <c r="D28" s="50" t="str">
        <v>Sulphate of ammonia (SOA)</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9" spans="4:8" x14ac:dyDescent="0.25">
      <c r="D29" s="50" t="str">
        <v>Urea-ammonium nitrate (UAN)</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0" spans="4:8" x14ac:dyDescent="0.25">
      <c r="D30" s="50" t="str">
        <v>Ammonium nitrate (AN)</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1" spans="4:8" x14ac:dyDescent="0.25">
      <c r="D31" s="50" t="str">
        <v>Calcium ammonium nitrate (CAN)</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2" spans="4:8" x14ac:dyDescent="0.25">
      <c r="D32" s="50" t="str">
        <v>Nitrogen - Ammoniacal</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3" spans="4:5" x14ac:dyDescent="0.25">
      <c r="D33" s="50" t="str">
        <v>Nitrogen - Nitrate</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4" spans="4:5" x14ac:dyDescent="0.25">
      <c r="D34" s="50" t="str">
        <v>Nitrogen - Generic</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729.00000000000011</v>
      </c>
    </row>
    <row r="35" spans="4:5" x14ac:dyDescent="0.25">
      <c r="D35" s="50" t="str">
        <v>Phosphorus - Generic</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1040</v>
      </c>
    </row>
    <row r="36" spans="4:5" x14ac:dyDescent="0.25">
      <c r="D36" s="50" t="str">
        <v>Potassium - Generic</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5030</v>
      </c>
    </row>
    <row r="37" spans="4:5" x14ac:dyDescent="0.25">
      <c r="D37" s="50" t="str">
        <v>Sulfur - Generic</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2060</v>
      </c>
    </row>
    <row r="38" spans="4:5" x14ac:dyDescent="0.25">
      <c r="D38" s="50" t="str">
        <v>Zinc - Generic</v>
      </c>
      <c r="E38" s="50" cm="1">
        <f t="array" ref="E38">Fertiliser_InputFunctions.Fertiliser_TotalChemicalCompoundAppliedAllIngredients($D38,Table_Input_InorganicFertiliser_Brands[Total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9" spans="4:5" x14ac:dyDescent="0.25">
      <c r="D39" s="50" t="str">
        <v>Muriate of potash (MOP)</v>
      </c>
      <c r="E39" s="50" cm="1">
        <f t="array" ref="E39">Fertiliser_InputFunctions.Fertiliser_TotalChemicalCompoundAppliedAllIngredients($D39,Table_Input_InorganicFertiliser_Brands[Total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0" spans="4:5" x14ac:dyDescent="0.25">
      <c r="D40" s="50" t="str">
        <v>Double superphosphate</v>
      </c>
      <c r="E40" s="50" cm="1">
        <f t="array" ref="E40">Fertiliser_InputFunctions.Fertiliser_TotalChemicalCompoundAppliedAllIngredients($D40,Table_Input_InorganicFertiliser_Brands[Total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1" spans="4:5" x14ac:dyDescent="0.25">
      <c r="D41" s="50" t="str">
        <v>Single superphosphate (SSP)</v>
      </c>
      <c r="E41" s="50" cm="1">
        <f t="array" ref="E41">Fertiliser_InputFunctions.Fertiliser_TotalChemicalCompoundAppliedAllIngredients($D41,Table_Input_InorganicFertiliser_Brands[Total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2" spans="4:5" x14ac:dyDescent="0.25">
      <c r="D42" s="50" t="str">
        <v>Ammonia</v>
      </c>
      <c r="E42" s="50" cm="1">
        <f t="array" ref="E42">Fertiliser_InputFunctions.Fertiliser_TotalChemicalCompoundAppliedAllIngredients($D42,Table_Input_InorganicFertiliser_Brands[Total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row>
    <row r="43" spans="4:5" x14ac:dyDescent="0.25">
      <c r="D43" t="str">
        <v>Calcium nitrate</v>
      </c>
    </row>
    <row r="44" spans="4:5" x14ac:dyDescent="0.25">
      <c r="D44" t="s">
        <v>298</v>
      </c>
    </row>
    <row r="45" spans="4:5" x14ac:dyDescent="0.25">
      <c r="D45" t="s">
        <v>299</v>
      </c>
      <c r="E45" s="149">
        <f>'Input - Electricity'!E11</f>
        <v>500</v>
      </c>
    </row>
    <row r="46" spans="4:5" x14ac:dyDescent="0.25">
      <c r="D46" t="s">
        <v>300</v>
      </c>
      <c r="E46" t="str">
        <f>'Input - Electricity'!E13</f>
        <v>Western Australia - South West Interconnected System (SWIS)</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dimension ref="A1:AI165"/>
  <sheetViews>
    <sheetView showGridLines="0" zoomScaleNormal="100" workbookViewId="0">
      <selection activeCell="V23" sqref="V23"/>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137</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1"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3" t="s">
        <v>78</v>
      </c>
      <c r="D19" s="3" t="s">
        <v>138</v>
      </c>
      <c r="E19" s="3" t="s">
        <v>139</v>
      </c>
      <c r="F19" s="3" t="s">
        <v>140</v>
      </c>
      <c r="G19" s="3" t="s">
        <v>141</v>
      </c>
      <c r="H19" s="3" t="s">
        <v>142</v>
      </c>
      <c r="I19" s="3" t="s">
        <v>143</v>
      </c>
      <c r="K19" s="10" t="s">
        <v>138</v>
      </c>
      <c r="L19" s="10" t="s">
        <v>139</v>
      </c>
      <c r="Q19" s="10" t="s">
        <v>138</v>
      </c>
      <c r="R19" s="10" t="s">
        <v>139</v>
      </c>
      <c r="V19" s="10" t="s">
        <v>143</v>
      </c>
    </row>
    <row r="20" spans="1:22" ht="20.100000000000001" customHeight="1" x14ac:dyDescent="0.25">
      <c r="A20" s="24" t="str">
        <f>HYPERLINK("#'Constants - Fertiliser'!A1", "Constants - Fertiliser")</f>
        <v>Constants - Fertiliser</v>
      </c>
      <c r="D20" s="65" t="str" cm="1">
        <f t="array" ref="D20">Common_InputFunctions.Utility_DisplayArrayInTable(Fertiliser_SourceData.Fertiliser_ChemicalCompoundElements_Data(),Table_Fertiliser_ChemicalCompounds[[#Headers],[Fertiliser type f]], 0)</f>
        <v>Monoammonium phosphate (MAP)</v>
      </c>
      <c r="E20" s="65" cm="1">
        <f t="array" ref="E20">Common_InputFunctions.Utility_DisplayArrayInTable(Fertiliser_SourceData.Fertiliser_ChemicalCompoundElements_Data(),Table_Fertiliser_ChemicalCompounds[[#Headers],[Fertiliser type f]], 0)</f>
        <v>0.1</v>
      </c>
      <c r="F20" s="65" cm="1">
        <f t="array" ref="F20">Common_InputFunctions.Utility_DisplayArrayInTable(Fertiliser_SourceData.Fertiliser_ChemicalCompoundElements_Data(),Table_Fertiliser_ChemicalCompounds[[#Headers],[Fertiliser type f]], 0)</f>
        <v>0</v>
      </c>
      <c r="G20" s="65" t="str" cm="1">
        <f t="array" ref="G20">Common_InputFunctions.Utility_DisplayArrayInTable(Fertiliser_SourceData.Fertiliser_ChemicalCompoundElements_Data(),Table_Fertiliser_ChemicalCompounds[[#Headers],[Fertiliser type f]], 0)</f>
        <v>Ammonium-based fertilisers</v>
      </c>
      <c r="H20" s="65" t="str" cm="1">
        <f t="array" ref="H20">Common_InputFunctions.Utility_DisplayArrayInTable(Fertiliser_SourceData.Fertiliser_ChemicalCompoundElements_Data(),Table_Fertiliser_ChemicalCompounds[[#Headers],[Fertiliser type f]], 0)</f>
        <v>Monoammonium phosphate (MAP)</v>
      </c>
      <c r="I20" s="65"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65" t="str" cm="1">
        <f t="array" ref="D21">Common_InputFunctions.Utility_DisplayArrayInTable(Fertiliser_SourceData.Fertiliser_ChemicalCompoundElements_Data(),Table_Fertiliser_ChemicalCompounds[[#Headers],[Fertiliser type f]], 0)</f>
        <v>Diammonium phosphate (DAP)</v>
      </c>
      <c r="E21" s="65" cm="1">
        <f t="array" ref="E21">Common_InputFunctions.Utility_DisplayArrayInTable(Fertiliser_SourceData.Fertiliser_ChemicalCompoundElements_Data(),Table_Fertiliser_ChemicalCompounds[[#Headers],[Fertiliser type f]], 0)</f>
        <v>0.18</v>
      </c>
      <c r="F21" s="65" cm="1">
        <f t="array" ref="F21">Common_InputFunctions.Utility_DisplayArrayInTable(Fertiliser_SourceData.Fertiliser_ChemicalCompoundElements_Data(),Table_Fertiliser_ChemicalCompounds[[#Headers],[Fertiliser type f]], 0)</f>
        <v>0</v>
      </c>
      <c r="G21" s="65" t="str" cm="1">
        <f t="array" ref="G21">Common_InputFunctions.Utility_DisplayArrayInTable(Fertiliser_SourceData.Fertiliser_ChemicalCompoundElements_Data(),Table_Fertiliser_ChemicalCompounds[[#Headers],[Fertiliser type f]], 0)</f>
        <v>Ammonium-based fertilisers</v>
      </c>
      <c r="H21" s="65" t="str" cm="1">
        <f t="array" ref="H21">Common_InputFunctions.Utility_DisplayArrayInTable(Fertiliser_SourceData.Fertiliser_ChemicalCompoundElements_Data(),Table_Fertiliser_ChemicalCompounds[[#Headers],[Fertiliser type f]], 0)</f>
        <v>Diammonium phosphate (DAP)</v>
      </c>
      <c r="I21" s="65"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65" t="str" cm="1">
        <f t="array" ref="D22">Common_InputFunctions.Utility_DisplayArrayInTable(Fertiliser_SourceData.Fertiliser_ChemicalCompoundElements_Data(),Table_Fertiliser_ChemicalCompounds[[#Headers],[Fertiliser type f]], 0)</f>
        <v>Urea</v>
      </c>
      <c r="E22" s="65" cm="1">
        <f t="array" ref="E22">Common_InputFunctions.Utility_DisplayArrayInTable(Fertiliser_SourceData.Fertiliser_ChemicalCompoundElements_Data(),Table_Fertiliser_ChemicalCompounds[[#Headers],[Fertiliser type f]], 0)</f>
        <v>0.46</v>
      </c>
      <c r="F22" s="65" cm="1">
        <f t="array" ref="F22">Common_InputFunctions.Utility_DisplayArrayInTable(Fertiliser_SourceData.Fertiliser_ChemicalCompoundElements_Data(),Table_Fertiliser_ChemicalCompounds[[#Headers],[Fertiliser type f]], 0)</f>
        <v>1</v>
      </c>
      <c r="G22" s="65" t="str" cm="1">
        <f t="array" ref="G22">Common_InputFunctions.Utility_DisplayArrayInTable(Fertiliser_SourceData.Fertiliser_ChemicalCompoundElements_Data(),Table_Fertiliser_ChemicalCompounds[[#Headers],[Fertiliser type f]], 0)</f>
        <v>Urea-based fertilisers</v>
      </c>
      <c r="H22" s="65" t="str" cm="1">
        <f t="array" ref="H22">Common_InputFunctions.Utility_DisplayArrayInTable(Fertiliser_SourceData.Fertiliser_ChemicalCompoundElements_Data(),Table_Fertiliser_ChemicalCompounds[[#Headers],[Fertiliser type f]], 0)</f>
        <v>Urea</v>
      </c>
      <c r="I22" s="65"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65" t="str" cm="1">
        <f t="array" ref="D23">Common_InputFunctions.Utility_DisplayArrayInTable(Fertiliser_SourceData.Fertiliser_ChemicalCompoundElements_Data(),Table_Fertiliser_ChemicalCompounds[[#Headers],[Fertiliser type f]], 0)</f>
        <v>Sulphate of ammonia (SOA)</v>
      </c>
      <c r="E23" s="65" cm="1">
        <f t="array" ref="E23">Common_InputFunctions.Utility_DisplayArrayInTable(Fertiliser_SourceData.Fertiliser_ChemicalCompoundElements_Data(),Table_Fertiliser_ChemicalCompounds[[#Headers],[Fertiliser type f]], 0)</f>
        <v>0.21</v>
      </c>
      <c r="F23" s="65" cm="1">
        <f t="array" ref="F23">Common_InputFunctions.Utility_DisplayArrayInTable(Fertiliser_SourceData.Fertiliser_ChemicalCompoundElements_Data(),Table_Fertiliser_ChemicalCompounds[[#Headers],[Fertiliser type f]], 0)</f>
        <v>0</v>
      </c>
      <c r="G23" s="65" t="str" cm="1">
        <f t="array" ref="G23">Common_InputFunctions.Utility_DisplayArrayInTable(Fertiliser_SourceData.Fertiliser_ChemicalCompoundElements_Data(),Table_Fertiliser_ChemicalCompounds[[#Headers],[Fertiliser type f]], 0)</f>
        <v>Ammonium-based fertilisers</v>
      </c>
      <c r="H23" s="65" t="str" cm="1">
        <f t="array" ref="H23">Common_InputFunctions.Utility_DisplayArrayInTable(Fertiliser_SourceData.Fertiliser_ChemicalCompoundElements_Data(),Table_Fertiliser_ChemicalCompounds[[#Headers],[Fertiliser type f]], 0)</f>
        <v>Sulphate of ammonia (SOA)</v>
      </c>
      <c r="I23" s="65"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65" t="str" cm="1">
        <f t="array" ref="D24">Common_InputFunctions.Utility_DisplayArrayInTable(Fertiliser_SourceData.Fertiliser_ChemicalCompoundElements_Data(),Table_Fertiliser_ChemicalCompounds[[#Headers],[Fertiliser type f]], 0)</f>
        <v>Urea-ammonium nitrate (UAN)</v>
      </c>
      <c r="E24" s="65" cm="1">
        <f t="array" ref="E24">Common_InputFunctions.Utility_DisplayArrayInTable(Fertiliser_SourceData.Fertiliser_ChemicalCompoundElements_Data(),Table_Fertiliser_ChemicalCompounds[[#Headers],[Fertiliser type f]], 0)</f>
        <v>0.32</v>
      </c>
      <c r="F24" s="65" cm="1">
        <f t="array" ref="F24">Common_InputFunctions.Utility_DisplayArrayInTable(Fertiliser_SourceData.Fertiliser_ChemicalCompoundElements_Data(),Table_Fertiliser_ChemicalCompounds[[#Headers],[Fertiliser type f]], 0)</f>
        <v>0.35</v>
      </c>
      <c r="G24" s="65" t="str" cm="1">
        <f t="array" ref="G24">Common_InputFunctions.Utility_DisplayArrayInTable(Fertiliser_SourceData.Fertiliser_ChemicalCompoundElements_Data(),Table_Fertiliser_ChemicalCompounds[[#Headers],[Fertiliser type f]], 0)</f>
        <v>Urea-based fertilisers</v>
      </c>
      <c r="H24" s="65" t="str" cm="1">
        <f t="array" ref="H24">Common_InputFunctions.Utility_DisplayArrayInTable(Fertiliser_SourceData.Fertiliser_ChemicalCompoundElements_Data(),Table_Fertiliser_ChemicalCompounds[[#Headers],[Fertiliser type f]], 0)</f>
        <v>Urea-ammonium nitrate (UAN)</v>
      </c>
      <c r="I24" s="65"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65" t="str" cm="1">
        <f t="array" ref="D25">Common_InputFunctions.Utility_DisplayArrayInTable(Fertiliser_SourceData.Fertiliser_ChemicalCompoundElements_Data(),Table_Fertiliser_ChemicalCompounds[[#Headers],[Fertiliser type f]], 0)</f>
        <v>Ammonium nitrate (AN)</v>
      </c>
      <c r="E25" s="65" cm="1">
        <f t="array" ref="E25">Common_InputFunctions.Utility_DisplayArrayInTable(Fertiliser_SourceData.Fertiliser_ChemicalCompoundElements_Data(),Table_Fertiliser_ChemicalCompounds[[#Headers],[Fertiliser type f]], 0)</f>
        <v>0.33700000000000002</v>
      </c>
      <c r="F25" s="65" cm="1">
        <f t="array" ref="F25">Common_InputFunctions.Utility_DisplayArrayInTable(Fertiliser_SourceData.Fertiliser_ChemicalCompoundElements_Data(),Table_Fertiliser_ChemicalCompounds[[#Headers],[Fertiliser type f]], 0)</f>
        <v>0</v>
      </c>
      <c r="G25" s="65" t="str" cm="1">
        <f t="array" ref="G25">Common_InputFunctions.Utility_DisplayArrayInTable(Fertiliser_SourceData.Fertiliser_ChemicalCompoundElements_Data(),Table_Fertiliser_ChemicalCompounds[[#Headers],[Fertiliser type f]], 0)</f>
        <v>Ammonium-nitrate based fertilisers</v>
      </c>
      <c r="H25" s="65" t="str" cm="1">
        <f t="array" ref="H25">Common_InputFunctions.Utility_DisplayArrayInTable(Fertiliser_SourceData.Fertiliser_ChemicalCompoundElements_Data(),Table_Fertiliser_ChemicalCompounds[[#Headers],[Fertiliser type f]], 0)</f>
        <v>Ammonium nitrate (AN)</v>
      </c>
      <c r="I25" s="65"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65" t="str" cm="1">
        <f t="array" ref="D26">Common_InputFunctions.Utility_DisplayArrayInTable(Fertiliser_SourceData.Fertiliser_ChemicalCompoundElements_Data(),Table_Fertiliser_ChemicalCompounds[[#Headers],[Fertiliser type f]], 0)</f>
        <v>Calcium ammonium nitrate (CAN)</v>
      </c>
      <c r="E26" s="65" cm="1">
        <f t="array" ref="E26">Common_InputFunctions.Utility_DisplayArrayInTable(Fertiliser_SourceData.Fertiliser_ChemicalCompoundElements_Data(),Table_Fertiliser_ChemicalCompounds[[#Headers],[Fertiliser type f]], 0)</f>
        <v>0.27</v>
      </c>
      <c r="F26" s="65" cm="1">
        <f t="array" ref="F26">Common_InputFunctions.Utility_DisplayArrayInTable(Fertiliser_SourceData.Fertiliser_ChemicalCompoundElements_Data(),Table_Fertiliser_ChemicalCompounds[[#Headers],[Fertiliser type f]], 0)</f>
        <v>0</v>
      </c>
      <c r="G26" s="65" t="str" cm="1">
        <f t="array" ref="G26">Common_InputFunctions.Utility_DisplayArrayInTable(Fertiliser_SourceData.Fertiliser_ChemicalCompoundElements_Data(),Table_Fertiliser_ChemicalCompounds[[#Headers],[Fertiliser type f]], 0)</f>
        <v>Ammonium-nitrate based fertilisers</v>
      </c>
      <c r="H26" s="65" t="str" cm="1">
        <f t="array" ref="H26">Common_InputFunctions.Utility_DisplayArrayInTable(Fertiliser_SourceData.Fertiliser_ChemicalCompoundElements_Data(),Table_Fertiliser_ChemicalCompounds[[#Headers],[Fertiliser type f]], 0)</f>
        <v>Calcium ammonium nitrate (CAN)</v>
      </c>
      <c r="I26" s="65"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65" t="str" cm="1">
        <f t="array" ref="D27">Common_InputFunctions.Utility_DisplayArrayInTable(Fertiliser_SourceData.Fertiliser_ChemicalCompoundElements_Data(),Table_Fertiliser_ChemicalCompounds[[#Headers],[Fertiliser type f]], 0)</f>
        <v>Nitrogen - Ammoniacal</v>
      </c>
      <c r="E27" s="65" cm="1">
        <f t="array" ref="E27">Common_InputFunctions.Utility_DisplayArrayInTable(Fertiliser_SourceData.Fertiliser_ChemicalCompoundElements_Data(),Table_Fertiliser_ChemicalCompounds[[#Headers],[Fertiliser type f]], 0)</f>
        <v>1</v>
      </c>
      <c r="F27" s="65" cm="1">
        <f t="array" ref="F27">Common_InputFunctions.Utility_DisplayArrayInTable(Fertiliser_SourceData.Fertiliser_ChemicalCompoundElements_Data(),Table_Fertiliser_ChemicalCompounds[[#Headers],[Fertiliser type f]], 0)</f>
        <v>0</v>
      </c>
      <c r="G27" s="65" t="str" cm="1">
        <f t="array" ref="G27">Common_InputFunctions.Utility_DisplayArrayInTable(Fertiliser_SourceData.Fertiliser_ChemicalCompoundElements_Data(),Table_Fertiliser_ChemicalCompounds[[#Headers],[Fertiliser type f]], 0)</f>
        <v>Ammonium-based fertilisers</v>
      </c>
      <c r="H27" s="65" t="str" cm="1">
        <f t="array" ref="H27">Common_InputFunctions.Utility_DisplayArrayInTable(Fertiliser_SourceData.Fertiliser_ChemicalCompoundElements_Data(),Table_Fertiliser_ChemicalCompounds[[#Headers],[Fertiliser type f]], 0)</f>
        <v>Nitrogen - Ammoniacal</v>
      </c>
      <c r="I27" s="65"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65" t="str" cm="1">
        <f t="array" ref="D28">Common_InputFunctions.Utility_DisplayArrayInTable(Fertiliser_SourceData.Fertiliser_ChemicalCompoundElements_Data(),Table_Fertiliser_ChemicalCompounds[[#Headers],[Fertiliser type f]], 0)</f>
        <v>Nitrogen - Nitrate</v>
      </c>
      <c r="E28" s="65" cm="1">
        <f t="array" ref="E28">Common_InputFunctions.Utility_DisplayArrayInTable(Fertiliser_SourceData.Fertiliser_ChemicalCompoundElements_Data(),Table_Fertiliser_ChemicalCompounds[[#Headers],[Fertiliser type f]], 0)</f>
        <v>1</v>
      </c>
      <c r="F28" s="65" cm="1">
        <f t="array" ref="F28">Common_InputFunctions.Utility_DisplayArrayInTable(Fertiliser_SourceData.Fertiliser_ChemicalCompoundElements_Data(),Table_Fertiliser_ChemicalCompounds[[#Headers],[Fertiliser type f]], 0)</f>
        <v>0</v>
      </c>
      <c r="G28" s="65" t="str" cm="1">
        <f t="array" ref="G28">Common_InputFunctions.Utility_DisplayArrayInTable(Fertiliser_SourceData.Fertiliser_ChemicalCompoundElements_Data(),Table_Fertiliser_ChemicalCompounds[[#Headers],[Fertiliser type f]], 0)</f>
        <v>Nitrate-based fertilisers</v>
      </c>
      <c r="H28" s="65" t="str" cm="1">
        <f t="array" ref="H28">Common_InputFunctions.Utility_DisplayArrayInTable(Fertiliser_SourceData.Fertiliser_ChemicalCompoundElements_Data(),Table_Fertiliser_ChemicalCompounds[[#Headers],[Fertiliser type f]], 0)</f>
        <v>Nitrogen from Nitrate</v>
      </c>
      <c r="I28" s="65"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65" t="str" cm="1">
        <f t="array" ref="D29">Common_InputFunctions.Utility_DisplayArrayInTable(Fertiliser_SourceData.Fertiliser_ChemicalCompoundElements_Data(),Table_Fertiliser_ChemicalCompounds[[#Headers],[Fertiliser type f]], 0)</f>
        <v>Nitrogen - Generic</v>
      </c>
      <c r="E29" s="65" cm="1">
        <f t="array" ref="E29">Common_InputFunctions.Utility_DisplayArrayInTable(Fertiliser_SourceData.Fertiliser_ChemicalCompoundElements_Data(),Table_Fertiliser_ChemicalCompounds[[#Headers],[Fertiliser type f]], 0)</f>
        <v>1</v>
      </c>
      <c r="F29" s="65" cm="1">
        <f t="array" ref="F29">Common_InputFunctions.Utility_DisplayArrayInTable(Fertiliser_SourceData.Fertiliser_ChemicalCompoundElements_Data(),Table_Fertiliser_ChemicalCompounds[[#Headers],[Fertiliser type f]], 0)</f>
        <v>0</v>
      </c>
      <c r="G29" s="65" t="str" cm="1">
        <f t="array" ref="G29">Common_InputFunctions.Utility_DisplayArrayInTable(Fertiliser_SourceData.Fertiliser_ChemicalCompoundElements_Data(),Table_Fertiliser_ChemicalCompounds[[#Headers],[Fertiliser type f]], 0)</f>
        <v>Urea-based fertilisers</v>
      </c>
      <c r="H29" s="65" t="str" cm="1">
        <f t="array" ref="H29">Common_InputFunctions.Utility_DisplayArrayInTable(Fertiliser_SourceData.Fertiliser_ChemicalCompoundElements_Data(),Table_Fertiliser_ChemicalCompounds[[#Headers],[Fertiliser type f]], 0)</f>
        <v>Nitrogen from fertiliser</v>
      </c>
      <c r="I29" s="65"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65" t="str" cm="1">
        <f t="array" ref="D30">Common_InputFunctions.Utility_DisplayArrayInTable(Fertiliser_SourceData.Fertiliser_ChemicalCompoundElements_Data(),Table_Fertiliser_ChemicalCompounds[[#Headers],[Fertiliser type f]], 0)</f>
        <v>Phosphorus - Generic</v>
      </c>
      <c r="E30" s="65" cm="1">
        <f t="array" ref="E30">Common_InputFunctions.Utility_DisplayArrayInTable(Fertiliser_SourceData.Fertiliser_ChemicalCompoundElements_Data(),Table_Fertiliser_ChemicalCompounds[[#Headers],[Fertiliser type f]], 0)</f>
        <v>0</v>
      </c>
      <c r="F30" s="65" cm="1">
        <f t="array" ref="F30">Common_InputFunctions.Utility_DisplayArrayInTable(Fertiliser_SourceData.Fertiliser_ChemicalCompoundElements_Data(),Table_Fertiliser_ChemicalCompounds[[#Headers],[Fertiliser type f]], 0)</f>
        <v>0</v>
      </c>
      <c r="G30" s="65" t="str" cm="1">
        <f t="array" ref="G30">Common_InputFunctions.Utility_DisplayArrayInTable(Fertiliser_SourceData.Fertiliser_ChemicalCompoundElements_Data(),Table_Fertiliser_ChemicalCompounds[[#Headers],[Fertiliser type f]], 0)</f>
        <v>Other fertilisers</v>
      </c>
      <c r="H30" s="65" t="str" cm="1">
        <f t="array" ref="H30">Common_InputFunctions.Utility_DisplayArrayInTable(Fertiliser_SourceData.Fertiliser_ChemicalCompoundElements_Data(),Table_Fertiliser_ChemicalCompounds[[#Headers],[Fertiliser type f]], 0)</f>
        <v>Phosphorus from fertiliser</v>
      </c>
      <c r="I30" s="65"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65" t="str" cm="1">
        <f t="array" ref="D31">Common_InputFunctions.Utility_DisplayArrayInTable(Fertiliser_SourceData.Fertiliser_ChemicalCompoundElements_Data(),Table_Fertiliser_ChemicalCompounds[[#Headers],[Fertiliser type f]], 0)</f>
        <v>Potassium - Generic</v>
      </c>
      <c r="E31" s="65" cm="1">
        <f t="array" ref="E31">Common_InputFunctions.Utility_DisplayArrayInTable(Fertiliser_SourceData.Fertiliser_ChemicalCompoundElements_Data(),Table_Fertiliser_ChemicalCompounds[[#Headers],[Fertiliser type f]], 0)</f>
        <v>0</v>
      </c>
      <c r="F31" s="65" cm="1">
        <f t="array" ref="F31">Common_InputFunctions.Utility_DisplayArrayInTable(Fertiliser_SourceData.Fertiliser_ChemicalCompoundElements_Data(),Table_Fertiliser_ChemicalCompounds[[#Headers],[Fertiliser type f]], 0)</f>
        <v>0</v>
      </c>
      <c r="G31" s="65" t="str" cm="1">
        <f t="array" ref="G31">Common_InputFunctions.Utility_DisplayArrayInTable(Fertiliser_SourceData.Fertiliser_ChemicalCompoundElements_Data(),Table_Fertiliser_ChemicalCompounds[[#Headers],[Fertiliser type f]], 0)</f>
        <v>Other fertilisers</v>
      </c>
      <c r="H31" s="65" t="str" cm="1">
        <f t="array" ref="H31">Common_InputFunctions.Utility_DisplayArrayInTable(Fertiliser_SourceData.Fertiliser_ChemicalCompoundElements_Data(),Table_Fertiliser_ChemicalCompounds[[#Headers],[Fertiliser type f]], 0)</f>
        <v>Potassium from fertiliser</v>
      </c>
      <c r="I31" s="65"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65" t="str" cm="1">
        <f t="array" ref="D32">Common_InputFunctions.Utility_DisplayArrayInTable(Fertiliser_SourceData.Fertiliser_ChemicalCompoundElements_Data(),Table_Fertiliser_ChemicalCompounds[[#Headers],[Fertiliser type f]], 0)</f>
        <v>Sulfur - Generic</v>
      </c>
      <c r="E32" s="65" cm="1">
        <f t="array" ref="E32">Common_InputFunctions.Utility_DisplayArrayInTable(Fertiliser_SourceData.Fertiliser_ChemicalCompoundElements_Data(),Table_Fertiliser_ChemicalCompounds[[#Headers],[Fertiliser type f]], 0)</f>
        <v>0</v>
      </c>
      <c r="F32" s="65" cm="1">
        <f t="array" ref="F32">Common_InputFunctions.Utility_DisplayArrayInTable(Fertiliser_SourceData.Fertiliser_ChemicalCompoundElements_Data(),Table_Fertiliser_ChemicalCompounds[[#Headers],[Fertiliser type f]], 0)</f>
        <v>0</v>
      </c>
      <c r="G32" s="65" t="str" cm="1">
        <f t="array" ref="G32">Common_InputFunctions.Utility_DisplayArrayInTable(Fertiliser_SourceData.Fertiliser_ChemicalCompoundElements_Data(),Table_Fertiliser_ChemicalCompounds[[#Headers],[Fertiliser type f]], 0)</f>
        <v>Other fertilisers</v>
      </c>
      <c r="H32" s="65" t="str" cm="1">
        <f t="array" ref="H32">Common_InputFunctions.Utility_DisplayArrayInTable(Fertiliser_SourceData.Fertiliser_ChemicalCompoundElements_Data(),Table_Fertiliser_ChemicalCompounds[[#Headers],[Fertiliser type f]], 0)</f>
        <v>Sulfur from fertiliser</v>
      </c>
      <c r="I32" s="65"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65" t="str" cm="1">
        <f t="array" ref="D33">Common_InputFunctions.Utility_DisplayArrayInTable(Fertiliser_SourceData.Fertiliser_ChemicalCompoundElements_Data(),Table_Fertiliser_ChemicalCompounds[[#Headers],[Fertiliser type f]], 0)</f>
        <v>Zinc - Generic</v>
      </c>
      <c r="E33" s="65" cm="1">
        <f t="array" ref="E33">Common_InputFunctions.Utility_DisplayArrayInTable(Fertiliser_SourceData.Fertiliser_ChemicalCompoundElements_Data(),Table_Fertiliser_ChemicalCompounds[[#Headers],[Fertiliser type f]], 0)</f>
        <v>0</v>
      </c>
      <c r="F33" s="65" cm="1">
        <f t="array" ref="F33">Common_InputFunctions.Utility_DisplayArrayInTable(Fertiliser_SourceData.Fertiliser_ChemicalCompoundElements_Data(),Table_Fertiliser_ChemicalCompounds[[#Headers],[Fertiliser type f]], 0)</f>
        <v>0</v>
      </c>
      <c r="G33" s="65" t="str" cm="1">
        <f t="array" ref="G33">Common_InputFunctions.Utility_DisplayArrayInTable(Fertiliser_SourceData.Fertiliser_ChemicalCompoundElements_Data(),Table_Fertiliser_ChemicalCompounds[[#Headers],[Fertiliser type f]], 0)</f>
        <v>Other fertilisers</v>
      </c>
      <c r="H33" s="65" t="str" cm="1">
        <f t="array" ref="H33">Common_InputFunctions.Utility_DisplayArrayInTable(Fertiliser_SourceData.Fertiliser_ChemicalCompoundElements_Data(),Table_Fertiliser_ChemicalCompounds[[#Headers],[Fertiliser type f]], 0)</f>
        <v>Zinc from fertiliser</v>
      </c>
      <c r="I33" s="65"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65" t="str" cm="1">
        <f t="array" ref="D34">Common_InputFunctions.Utility_DisplayArrayInTable(Fertiliser_SourceData.Fertiliser_ChemicalCompoundElements_Data(),Table_Fertiliser_ChemicalCompounds[[#Headers],[Fertiliser type f]], 0)</f>
        <v>Muriate of potash (MOP)</v>
      </c>
      <c r="E34" s="65" cm="1">
        <f t="array" ref="E34">Common_InputFunctions.Utility_DisplayArrayInTable(Fertiliser_SourceData.Fertiliser_ChemicalCompoundElements_Data(),Table_Fertiliser_ChemicalCompounds[[#Headers],[Fertiliser type f]], 0)</f>
        <v>0</v>
      </c>
      <c r="F34" s="65" cm="1">
        <f t="array" ref="F34">Common_InputFunctions.Utility_DisplayArrayInTable(Fertiliser_SourceData.Fertiliser_ChemicalCompoundElements_Data(),Table_Fertiliser_ChemicalCompounds[[#Headers],[Fertiliser type f]], 0)</f>
        <v>0</v>
      </c>
      <c r="G34" s="65" t="str" cm="1">
        <f t="array" ref="G34">Common_InputFunctions.Utility_DisplayArrayInTable(Fertiliser_SourceData.Fertiliser_ChemicalCompoundElements_Data(),Table_Fertiliser_ChemicalCompounds[[#Headers],[Fertiliser type f]], 0)</f>
        <v>Other fertilisers</v>
      </c>
      <c r="H34" s="65" t="str" cm="1">
        <f t="array" ref="H34">Common_InputFunctions.Utility_DisplayArrayInTable(Fertiliser_SourceData.Fertiliser_ChemicalCompoundElements_Data(),Table_Fertiliser_ChemicalCompounds[[#Headers],[Fertiliser type f]], 0)</f>
        <v>Muriate of potash (MOP)</v>
      </c>
      <c r="I34" s="65"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65" t="str" cm="1">
        <f t="array" ref="D35">Common_InputFunctions.Utility_DisplayArrayInTable(Fertiliser_SourceData.Fertiliser_ChemicalCompoundElements_Data(),Table_Fertiliser_ChemicalCompounds[[#Headers],[Fertiliser type f]], 0)</f>
        <v>Double superphosphate</v>
      </c>
      <c r="E35" s="65" cm="1">
        <f t="array" ref="E35">Common_InputFunctions.Utility_DisplayArrayInTable(Fertiliser_SourceData.Fertiliser_ChemicalCompoundElements_Data(),Table_Fertiliser_ChemicalCompounds[[#Headers],[Fertiliser type f]], 0)</f>
        <v>0</v>
      </c>
      <c r="F35" s="65" cm="1">
        <f t="array" ref="F35">Common_InputFunctions.Utility_DisplayArrayInTable(Fertiliser_SourceData.Fertiliser_ChemicalCompoundElements_Data(),Table_Fertiliser_ChemicalCompounds[[#Headers],[Fertiliser type f]], 0)</f>
        <v>0</v>
      </c>
      <c r="G35" s="65" t="str" cm="1">
        <f t="array" ref="G35">Common_InputFunctions.Utility_DisplayArrayInTable(Fertiliser_SourceData.Fertiliser_ChemicalCompoundElements_Data(),Table_Fertiliser_ChemicalCompounds[[#Headers],[Fertiliser type f]], 0)</f>
        <v>Other fertilisers</v>
      </c>
      <c r="H35" s="65" t="str" cm="1">
        <f t="array" ref="H35">Common_InputFunctions.Utility_DisplayArrayInTable(Fertiliser_SourceData.Fertiliser_ChemicalCompoundElements_Data(),Table_Fertiliser_ChemicalCompounds[[#Headers],[Fertiliser type f]], 0)</f>
        <v>Double superphosphate</v>
      </c>
      <c r="I35" s="65"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65" t="str" cm="1">
        <f t="array" ref="D36">Common_InputFunctions.Utility_DisplayArrayInTable(Fertiliser_SourceData.Fertiliser_ChemicalCompoundElements_Data(),Table_Fertiliser_ChemicalCompounds[[#Headers],[Fertiliser type f]], 0)</f>
        <v>Single superphosphate (SSP)</v>
      </c>
      <c r="E36" s="65" cm="1">
        <f t="array" ref="E36">Common_InputFunctions.Utility_DisplayArrayInTable(Fertiliser_SourceData.Fertiliser_ChemicalCompoundElements_Data(),Table_Fertiliser_ChemicalCompounds[[#Headers],[Fertiliser type f]], 0)</f>
        <v>0</v>
      </c>
      <c r="F36" s="65" cm="1">
        <f t="array" ref="F36">Common_InputFunctions.Utility_DisplayArrayInTable(Fertiliser_SourceData.Fertiliser_ChemicalCompoundElements_Data(),Table_Fertiliser_ChemicalCompounds[[#Headers],[Fertiliser type f]], 0)</f>
        <v>0</v>
      </c>
      <c r="G36" s="65" t="str" cm="1">
        <f t="array" ref="G36">Common_InputFunctions.Utility_DisplayArrayInTable(Fertiliser_SourceData.Fertiliser_ChemicalCompoundElements_Data(),Table_Fertiliser_ChemicalCompounds[[#Headers],[Fertiliser type f]], 0)</f>
        <v>Other fertilisers</v>
      </c>
      <c r="H36" s="65" t="str" cm="1">
        <f t="array" ref="H36">Common_InputFunctions.Utility_DisplayArrayInTable(Fertiliser_SourceData.Fertiliser_ChemicalCompoundElements_Data(),Table_Fertiliser_ChemicalCompounds[[#Headers],[Fertiliser type f]], 0)</f>
        <v>Single superphosphate (SSP)</v>
      </c>
      <c r="I36" s="65"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65" t="str" cm="1">
        <f t="array" ref="D37">Common_InputFunctions.Utility_DisplayArrayInTable(Fertiliser_SourceData.Fertiliser_ChemicalCompoundElements_Data(),Table_Fertiliser_ChemicalCompounds[[#Headers],[Fertiliser type f]], 0)</f>
        <v>Ammonia</v>
      </c>
      <c r="E37" s="65" cm="1">
        <f t="array" ref="E37">Common_InputFunctions.Utility_DisplayArrayInTable(Fertiliser_SourceData.Fertiliser_ChemicalCompoundElements_Data(),Table_Fertiliser_ChemicalCompounds[[#Headers],[Fertiliser type f]], 0)</f>
        <v>0.82350000000000001</v>
      </c>
      <c r="F37" s="65" cm="1">
        <f t="array" ref="F37">Common_InputFunctions.Utility_DisplayArrayInTable(Fertiliser_SourceData.Fertiliser_ChemicalCompoundElements_Data(),Table_Fertiliser_ChemicalCompounds[[#Headers],[Fertiliser type f]], 0)</f>
        <v>0</v>
      </c>
      <c r="G37" s="65" t="str" cm="1">
        <f t="array" ref="G37">Common_InputFunctions.Utility_DisplayArrayInTable(Fertiliser_SourceData.Fertiliser_ChemicalCompoundElements_Data(),Table_Fertiliser_ChemicalCompounds[[#Headers],[Fertiliser type f]], 0)</f>
        <v>Ammonium-based fertilisers</v>
      </c>
      <c r="H37" s="65" t="str" cm="1">
        <f t="array" ref="H37">Common_InputFunctions.Utility_DisplayArrayInTable(Fertiliser_SourceData.Fertiliser_ChemicalCompoundElements_Data(),Table_Fertiliser_ChemicalCompounds[[#Headers],[Fertiliser type f]], 0)</f>
        <v>Ammonia</v>
      </c>
      <c r="I37" s="65"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144</v>
      </c>
      <c r="F40" s="9" t="s">
        <v>145</v>
      </c>
      <c r="H40" s="9" t="s">
        <v>146</v>
      </c>
      <c r="J40" s="9" t="s">
        <v>147</v>
      </c>
    </row>
    <row r="41" spans="4:10" ht="20.100000000000001" customHeight="1" x14ac:dyDescent="0.25">
      <c r="D41" s="10" t="s">
        <v>148</v>
      </c>
      <c r="F41" s="10" t="s">
        <v>148</v>
      </c>
      <c r="H41" s="10" t="s">
        <v>43</v>
      </c>
      <c r="J41" s="10" t="s">
        <v>149</v>
      </c>
    </row>
    <row r="42" spans="4:10" ht="20.100000000000001" customHeight="1" x14ac:dyDescent="0.25">
      <c r="D42" s="10" t="s">
        <v>150</v>
      </c>
      <c r="F42" s="10" t="s">
        <v>150</v>
      </c>
      <c r="H42" s="10" t="s">
        <v>151</v>
      </c>
      <c r="J42" s="10" t="s">
        <v>152</v>
      </c>
    </row>
    <row r="43" spans="4:10" ht="20.100000000000001" customHeight="1" x14ac:dyDescent="0.25">
      <c r="D43" s="8" t="s">
        <v>153</v>
      </c>
      <c r="F43" s="8" t="s">
        <v>154</v>
      </c>
      <c r="H43" s="10" t="s">
        <v>155</v>
      </c>
      <c r="J43" s="8" t="s">
        <v>156</v>
      </c>
    </row>
    <row r="44" spans="4:10" ht="20.100000000000001" customHeight="1" x14ac:dyDescent="0.25">
      <c r="F44" s="8" t="s">
        <v>157</v>
      </c>
      <c r="H44" s="8" t="s">
        <v>158</v>
      </c>
      <c r="J44" s="8" t="s">
        <v>159</v>
      </c>
    </row>
    <row r="45" spans="4:10" ht="20.100000000000001" customHeight="1" x14ac:dyDescent="0.25">
      <c r="F45" s="8" t="s">
        <v>160</v>
      </c>
      <c r="H45" s="8" t="s">
        <v>161</v>
      </c>
      <c r="J45" s="8" t="s">
        <v>162</v>
      </c>
    </row>
    <row r="46" spans="4:10" ht="20.100000000000001" customHeight="1" x14ac:dyDescent="0.25">
      <c r="H46" s="8" t="s">
        <v>163</v>
      </c>
      <c r="J46" s="8" t="s">
        <v>164</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NH3–N + NOx–N)/kg N) (FracGASFf)</v>
      </c>
      <c r="G49" s="17"/>
    </row>
    <row r="50" spans="4:8" ht="20.100000000000001" customHeight="1" x14ac:dyDescent="0.25">
      <c r="D50" s="10" t="s">
        <v>138</v>
      </c>
      <c r="E50" s="10" t="s">
        <v>165</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8"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166</v>
      </c>
      <c r="E65" s="10" t="s">
        <v>167</v>
      </c>
      <c r="F65" s="10" t="s">
        <v>168</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8"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8"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8"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9" t="s">
        <v>169</v>
      </c>
      <c r="E87" s="17"/>
      <c r="F87" s="17"/>
      <c r="G87" s="17"/>
      <c r="H87" s="17"/>
      <c r="I87" s="17"/>
      <c r="J87" s="17"/>
      <c r="K87" s="17"/>
      <c r="L87" s="17"/>
      <c r="N87" s="17"/>
      <c r="O87" s="17"/>
      <c r="P87" s="17"/>
      <c r="Q87" s="17"/>
      <c r="R87" s="17"/>
      <c r="S87" s="17"/>
      <c r="T87" s="17"/>
      <c r="U87" s="17"/>
    </row>
    <row r="88" spans="4:31" ht="20.100000000000001" customHeight="1" x14ac:dyDescent="0.25">
      <c r="D88" s="17"/>
    </row>
    <row r="89" spans="4:31" ht="20.100000000000001" customHeight="1" x14ac:dyDescent="0.25">
      <c r="D89" s="66" t="s">
        <v>170</v>
      </c>
      <c r="E89" s="10" t="s">
        <v>171</v>
      </c>
      <c r="F89" s="10" t="s">
        <v>172</v>
      </c>
      <c r="G89" s="67" t="s">
        <v>173</v>
      </c>
      <c r="H89" s="67" t="s">
        <v>99</v>
      </c>
      <c r="I89" s="67" t="s">
        <v>174</v>
      </c>
      <c r="J89" s="67" t="s">
        <v>175</v>
      </c>
      <c r="K89" s="67" t="s">
        <v>176</v>
      </c>
      <c r="L89" s="67" t="s">
        <v>177</v>
      </c>
      <c r="M89" s="67" t="s">
        <v>178</v>
      </c>
      <c r="N89" s="67" t="s">
        <v>179</v>
      </c>
      <c r="O89" s="10" t="s">
        <v>180</v>
      </c>
      <c r="P89" s="10" t="s">
        <v>181</v>
      </c>
      <c r="Q89" s="10" t="s">
        <v>182</v>
      </c>
      <c r="R89" s="67" t="s">
        <v>183</v>
      </c>
      <c r="S89" s="67" t="s">
        <v>184</v>
      </c>
      <c r="T89" s="10" t="s">
        <v>185</v>
      </c>
      <c r="U89" s="67" t="s">
        <v>186</v>
      </c>
      <c r="V89" s="67" t="s">
        <v>187</v>
      </c>
      <c r="W89" s="67" t="s">
        <v>188</v>
      </c>
      <c r="X89" s="67" t="s">
        <v>189</v>
      </c>
      <c r="Y89" s="67" t="s">
        <v>190</v>
      </c>
      <c r="Z89" s="10" t="s">
        <v>191</v>
      </c>
      <c r="AA89" s="10" t="s">
        <v>192</v>
      </c>
      <c r="AB89" s="10" t="s">
        <v>193</v>
      </c>
      <c r="AC89" s="10" t="s">
        <v>194</v>
      </c>
      <c r="AD89" s="10" t="s">
        <v>195</v>
      </c>
      <c r="AE89" s="10" t="s">
        <v>196</v>
      </c>
    </row>
    <row r="90" spans="4:31" ht="20.100000000000001" customHeight="1" x14ac:dyDescent="0.25">
      <c r="D90" s="65" t="str" cm="1">
        <f t="array" ref="D90">Common_InputFunctions.Utility_DisplayArrayInTable(Fertiliser_SourceData.Fertiliser_Products_Data1(),FertiliserProducts[[#Headers],[Include or Exclude]], -1)</f>
        <v>Include</v>
      </c>
      <c r="E90" s="65" t="str" cm="1">
        <f t="array" ref="E90">Common_InputFunctions.Utility_DisplayArrayInTable(Fertiliser_SourceData.Fertiliser_Products_Data1(),FertiliserProducts[[#Headers],[Include or Exclude]], 0)</f>
        <v/>
      </c>
      <c r="F90" s="65" t="str" cm="1">
        <f t="array" ref="F90">Common_InputFunctions.Utility_DisplayArrayInTable(Fertiliser_SourceData.Fertiliser_Products_Data1(),FertiliserProducts[[#Headers],[Include or Exclude]], 0)</f>
        <v>Campbells fertilisers Australia</v>
      </c>
      <c r="G90" s="65" t="str" cm="1">
        <f t="array" ref="G90">Common_InputFunctions.Utility_DisplayArrayInTable(Fertiliser_SourceData.Fertiliser_Products_Data1(),FertiliserProducts[[#Headers],[Include or Exclude]], 0)</f>
        <v>Aqua Finish</v>
      </c>
      <c r="H90" s="65" t="str" cm="1">
        <f t="array" ref="H90">Common_InputFunctions.Utility_DisplayArrayInTable(Fertiliser_SourceData.Fertiliser_Products_Data1(),FertiliserProducts[[#Headers],[Include or Exclude]], 0)</f>
        <v>L</v>
      </c>
      <c r="I90" s="65" cm="1">
        <f t="array" ref="I90">Common_InputFunctions.Utility_DisplayArrayInTable(Fertiliser_SourceData.Fertiliser_Products_Data1(),FertiliserProducts[[#Headers],[Include or Exclude]], 0)</f>
        <v>1.26</v>
      </c>
      <c r="J90" s="65" t="str" cm="1">
        <f t="array" ref="J90">Common_InputFunctions.Utility_DisplayArrayInTable(Fertiliser_SourceData.Fertiliser_Products_Data1(),FertiliserProducts[[#Headers],[Include or Exclude]], 0)</f>
        <v/>
      </c>
      <c r="K90" s="65" t="str" cm="1">
        <f t="array" ref="K90">Common_InputFunctions.Utility_DisplayArrayInTable(Fertiliser_SourceData.Fertiliser_Products_Data1(),FertiliserProducts[[#Headers],[Include or Exclude]], 0)</f>
        <v/>
      </c>
      <c r="L90" s="65" t="str" cm="1">
        <f t="array" ref="L90">Common_InputFunctions.Utility_DisplayArrayInTable(Fertiliser_SourceData.Fertiliser_Products_Data1(),FertiliserProducts[[#Headers],[Include or Exclude]], 0)</f>
        <v>Potassium - Generic</v>
      </c>
      <c r="M90" s="10" cm="1">
        <f t="array" ref="M90">Common_InputFunctions.Utility_DisplayArrayInTable(Fertiliser_SourceData.Fertiliser_Products_Data1(),FertiliserProducts[[#Headers],[Include or Exclude]], 0)</f>
        <v>0.22500000000000001</v>
      </c>
      <c r="N90" s="65" t="str" cm="1">
        <f t="array" ref="N90">Common_InputFunctions.Utility_DisplayArrayInTable(Fertiliser_SourceData.Fertiliser_Products_Data1(),FertiliserProducts[[#Headers],[Include or Exclude]], 0)</f>
        <v>Phosphorus - Generic</v>
      </c>
      <c r="O90" s="65" cm="1">
        <f t="array" ref="O90">Common_InputFunctions.Utility_DisplayArrayInTable(Fertiliser_SourceData.Fertiliser_Products_Data1(),FertiliserProducts[[#Headers],[Include or Exclude]], 0)</f>
        <v>0.04</v>
      </c>
      <c r="P90" s="65" t="str" cm="1">
        <f t="array" ref="P90">Common_InputFunctions.Utility_DisplayArrayInTable(Fertiliser_SourceData.Fertiliser_Products_Data1(),FertiliserProducts[[#Headers],[Include or Exclude]], 0)</f>
        <v>Nitrogen - Generic</v>
      </c>
      <c r="Q90" s="65" cm="1">
        <f t="array" ref="Q90">Common_InputFunctions.Utility_DisplayArrayInTable(Fertiliser_SourceData.Fertiliser_Products_Data1(),FertiliserProducts[[#Headers],[Include or Exclude]], 0)</f>
        <v>2.5999999999999999E-2</v>
      </c>
      <c r="R90" s="65" t="str" cm="1">
        <f t="array" ref="R90">Common_InputFunctions.Utility_DisplayArrayInTable(Fertiliser_SourceData.Fertiliser_Products_Data1(),FertiliserProducts[[#Headers],[Include or Exclude]], 0)</f>
        <v/>
      </c>
      <c r="S90" s="65" t="str" cm="1">
        <f t="array" ref="S90">Common_InputFunctions.Utility_DisplayArrayInTable(Fertiliser_SourceData.Fertiliser_Products_Data1(),FertiliserProducts[[#Headers],[Include or Exclude]], 0)</f>
        <v/>
      </c>
      <c r="T90" s="65" t="str" cm="1">
        <f t="array" ref="T90">Common_InputFunctions.Utility_DisplayArrayInTable(Fertiliser_SourceData.Fertiliser_Products_Data1(),FertiliserProducts[[#Headers],[Include or Exclude]], 0)</f>
        <v/>
      </c>
      <c r="U90" s="65"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4:31" ht="20.100000000000001" customHeight="1" x14ac:dyDescent="0.25">
      <c r="D91" s="65" t="str" cm="1">
        <f t="array" ref="D91">Common_InputFunctions.Utility_DisplayArrayInTable(Fertiliser_SourceData.Fertiliser_Products_Data1(),FertiliserProducts[[#Headers],[Include or Exclude]], 0)</f>
        <v>Include</v>
      </c>
      <c r="E91" s="65" t="str" cm="1">
        <f t="array" ref="E91">Common_InputFunctions.Utility_DisplayArrayInTable(Fertiliser_SourceData.Fertiliser_Products_Data1(),FertiliserProducts[[#Headers],[Include or Exclude]], 0)</f>
        <v/>
      </c>
      <c r="F91" s="65" t="str" cm="1">
        <f t="array" ref="F91">Common_InputFunctions.Utility_DisplayArrayInTable(Fertiliser_SourceData.Fertiliser_Products_Data1(),FertiliserProducts[[#Headers],[Include or Exclude]], 0)</f>
        <v>Campbells fertilisers Australia</v>
      </c>
      <c r="G91" s="65" t="str" cm="1">
        <f t="array" ref="G91">Common_InputFunctions.Utility_DisplayArrayInTable(Fertiliser_SourceData.Fertiliser_Products_Data1(),FertiliserProducts[[#Headers],[Include or Exclude]], 0)</f>
        <v>Aqua Grow</v>
      </c>
      <c r="H91" s="65" t="str" cm="1">
        <f t="array" ref="H91">Common_InputFunctions.Utility_DisplayArrayInTable(Fertiliser_SourceData.Fertiliser_Products_Data1(),FertiliserProducts[[#Headers],[Include or Exclude]], 0)</f>
        <v>L</v>
      </c>
      <c r="I91" s="65" cm="1">
        <f t="array" ref="I91">Common_InputFunctions.Utility_DisplayArrayInTable(Fertiliser_SourceData.Fertiliser_Products_Data1(),FertiliserProducts[[#Headers],[Include or Exclude]], 0)</f>
        <v>1.26</v>
      </c>
      <c r="J91" s="65" t="str" cm="1">
        <f t="array" ref="J91">Common_InputFunctions.Utility_DisplayArrayInTable(Fertiliser_SourceData.Fertiliser_Products_Data1(),FertiliserProducts[[#Headers],[Include or Exclude]], 0)</f>
        <v/>
      </c>
      <c r="K91" s="65" t="str" cm="1">
        <f t="array" ref="K91">Common_InputFunctions.Utility_DisplayArrayInTable(Fertiliser_SourceData.Fertiliser_Products_Data1(),FertiliserProducts[[#Headers],[Include or Exclude]], 0)</f>
        <v/>
      </c>
      <c r="L91" s="65" t="str" cm="1">
        <f t="array" ref="L91">Common_InputFunctions.Utility_DisplayArrayInTable(Fertiliser_SourceData.Fertiliser_Products_Data1(),FertiliserProducts[[#Headers],[Include or Exclude]], 0)</f>
        <v>Potassium - Generic</v>
      </c>
      <c r="M91" s="10" cm="1">
        <f t="array" ref="M91">Common_InputFunctions.Utility_DisplayArrayInTable(Fertiliser_SourceData.Fertiliser_Products_Data1(),FertiliserProducts[[#Headers],[Include or Exclude]], 0)</f>
        <v>0.105</v>
      </c>
      <c r="N91" s="65" t="str" cm="1">
        <f t="array" ref="N91">Common_InputFunctions.Utility_DisplayArrayInTable(Fertiliser_SourceData.Fertiliser_Products_Data1(),FertiliserProducts[[#Headers],[Include or Exclude]], 0)</f>
        <v>Nitrogen - Generic</v>
      </c>
      <c r="O91" s="65" cm="1">
        <f t="array" ref="O91">Common_InputFunctions.Utility_DisplayArrayInTable(Fertiliser_SourceData.Fertiliser_Products_Data1(),FertiliserProducts[[#Headers],[Include or Exclude]], 0)</f>
        <v>9.6000000000000002E-2</v>
      </c>
      <c r="P91" s="65" t="str" cm="1">
        <f t="array" ref="P91">Common_InputFunctions.Utility_DisplayArrayInTable(Fertiliser_SourceData.Fertiliser_Products_Data1(),FertiliserProducts[[#Headers],[Include or Exclude]], 0)</f>
        <v>Phosphorus - Generic</v>
      </c>
      <c r="Q91" s="65" cm="1">
        <f t="array" ref="Q91">Common_InputFunctions.Utility_DisplayArrayInTable(Fertiliser_SourceData.Fertiliser_Products_Data1(),FertiliserProducts[[#Headers],[Include or Exclude]], 0)</f>
        <v>0.05</v>
      </c>
      <c r="R91" s="65" t="str" cm="1">
        <f t="array" ref="R91">Common_InputFunctions.Utility_DisplayArrayInTable(Fertiliser_SourceData.Fertiliser_Products_Data1(),FertiliserProducts[[#Headers],[Include or Exclude]], 0)</f>
        <v/>
      </c>
      <c r="S91" s="65" t="str" cm="1">
        <f t="array" ref="S91">Common_InputFunctions.Utility_DisplayArrayInTable(Fertiliser_SourceData.Fertiliser_Products_Data1(),FertiliserProducts[[#Headers],[Include or Exclude]], 0)</f>
        <v/>
      </c>
      <c r="T91" s="65" t="str" cm="1">
        <f t="array" ref="T91">Common_InputFunctions.Utility_DisplayArrayInTable(Fertiliser_SourceData.Fertiliser_Products_Data1(),FertiliserProducts[[#Headers],[Include or Exclude]], 0)</f>
        <v/>
      </c>
      <c r="U91" s="65"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4:31" ht="20.100000000000001" customHeight="1" x14ac:dyDescent="0.25">
      <c r="D92" s="65" t="str" cm="1">
        <f t="array" ref="D92">Common_InputFunctions.Utility_DisplayArrayInTable(Fertiliser_SourceData.Fertiliser_Products_Data1(),FertiliserProducts[[#Headers],[Include or Exclude]], 0)</f>
        <v>Include</v>
      </c>
      <c r="E92" s="65" t="str" cm="1">
        <f t="array" ref="E92">Common_InputFunctions.Utility_DisplayArrayInTable(Fertiliser_SourceData.Fertiliser_Products_Data1(),FertiliserProducts[[#Headers],[Include or Exclude]], 0)</f>
        <v/>
      </c>
      <c r="F92" s="65" t="str" cm="1">
        <f t="array" ref="F92">Common_InputFunctions.Utility_DisplayArrayInTable(Fertiliser_SourceData.Fertiliser_Products_Data1(),FertiliserProducts[[#Headers],[Include or Exclude]], 0)</f>
        <v>Campbells fertilisers Australia</v>
      </c>
      <c r="G92" s="65" t="str" cm="1">
        <f t="array" ref="G92">Common_InputFunctions.Utility_DisplayArrayInTable(Fertiliser_SourceData.Fertiliser_Products_Data1(),FertiliserProducts[[#Headers],[Include or Exclude]], 0)</f>
        <v>Aqua Nitro AN</v>
      </c>
      <c r="H92" s="65" t="str" cm="1">
        <f t="array" ref="H92">Common_InputFunctions.Utility_DisplayArrayInTable(Fertiliser_SourceData.Fertiliser_Products_Data1(),FertiliserProducts[[#Headers],[Include or Exclude]], 0)</f>
        <v>L</v>
      </c>
      <c r="I92" s="65" cm="1">
        <f t="array" ref="I92">Common_InputFunctions.Utility_DisplayArrayInTable(Fertiliser_SourceData.Fertiliser_Products_Data1(),FertiliserProducts[[#Headers],[Include or Exclude]], 0)</f>
        <v>1.24</v>
      </c>
      <c r="J92" s="65" t="str" cm="1">
        <f t="array" ref="J92">Common_InputFunctions.Utility_DisplayArrayInTable(Fertiliser_SourceData.Fertiliser_Products_Data1(),FertiliserProducts[[#Headers],[Include or Exclude]], 0)</f>
        <v/>
      </c>
      <c r="K92" s="65" t="str" cm="1">
        <f t="array" ref="K92">Common_InputFunctions.Utility_DisplayArrayInTable(Fertiliser_SourceData.Fertiliser_Products_Data1(),FertiliserProducts[[#Headers],[Include or Exclude]], 0)</f>
        <v/>
      </c>
      <c r="L92" s="65" t="str" cm="1">
        <f t="array" ref="L92">Common_InputFunctions.Utility_DisplayArrayInTable(Fertiliser_SourceData.Fertiliser_Products_Data1(),FertiliserProducts[[#Headers],[Include or Exclude]], 0)</f>
        <v>Nitrogen - Ammoniacal</v>
      </c>
      <c r="M92" s="10" cm="1">
        <f t="array" ref="M92">Common_InputFunctions.Utility_DisplayArrayInTable(Fertiliser_SourceData.Fertiliser_Products_Data1(),FertiliserProducts[[#Headers],[Include or Exclude]], 0)</f>
        <v>0.223</v>
      </c>
      <c r="N92" s="65" t="str" cm="1">
        <f t="array" ref="N92">Common_InputFunctions.Utility_DisplayArrayInTable(Fertiliser_SourceData.Fertiliser_Products_Data1(),FertiliserProducts[[#Headers],[Include or Exclude]], 0)</f>
        <v/>
      </c>
      <c r="O92" s="65" t="str" cm="1">
        <f t="array" ref="O92">Common_InputFunctions.Utility_DisplayArrayInTable(Fertiliser_SourceData.Fertiliser_Products_Data1(),FertiliserProducts[[#Headers],[Include or Exclude]], 0)</f>
        <v/>
      </c>
      <c r="P92" s="65" t="str" cm="1">
        <f t="array" ref="P92">Common_InputFunctions.Utility_DisplayArrayInTable(Fertiliser_SourceData.Fertiliser_Products_Data1(),FertiliserProducts[[#Headers],[Include or Exclude]], 0)</f>
        <v/>
      </c>
      <c r="Q92" s="65" t="str" cm="1">
        <f t="array" ref="Q92">Common_InputFunctions.Utility_DisplayArrayInTable(Fertiliser_SourceData.Fertiliser_Products_Data1(),FertiliserProducts[[#Headers],[Include or Exclude]], 0)</f>
        <v/>
      </c>
      <c r="R92" s="65" t="str" cm="1">
        <f t="array" ref="R92">Common_InputFunctions.Utility_DisplayArrayInTable(Fertiliser_SourceData.Fertiliser_Products_Data1(),FertiliserProducts[[#Headers],[Include or Exclude]], 0)</f>
        <v/>
      </c>
      <c r="S92" s="65" t="str" cm="1">
        <f t="array" ref="S92">Common_InputFunctions.Utility_DisplayArrayInTable(Fertiliser_SourceData.Fertiliser_Products_Data1(),FertiliserProducts[[#Headers],[Include or Exclude]], 0)</f>
        <v/>
      </c>
      <c r="T92" s="65" t="str" cm="1">
        <f t="array" ref="T92">Common_InputFunctions.Utility_DisplayArrayInTable(Fertiliser_SourceData.Fertiliser_Products_Data1(),FertiliserProducts[[#Headers],[Include or Exclude]], 0)</f>
        <v/>
      </c>
      <c r="U92" s="65"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4:31" ht="20.100000000000001" customHeight="1" x14ac:dyDescent="0.25">
      <c r="D93" s="65" t="str" cm="1">
        <f t="array" ref="D93">Common_InputFunctions.Utility_DisplayArrayInTable(Fertiliser_SourceData.Fertiliser_Products_Data1(),FertiliserProducts[[#Headers],[Include or Exclude]], 0)</f>
        <v>Include</v>
      </c>
      <c r="E93" s="65" t="str" cm="1">
        <f t="array" ref="E93">Common_InputFunctions.Utility_DisplayArrayInTable(Fertiliser_SourceData.Fertiliser_Products_Data1(),FertiliserProducts[[#Headers],[Include or Exclude]], 0)</f>
        <v/>
      </c>
      <c r="F93" s="65" t="str" cm="1">
        <f t="array" ref="F93">Common_InputFunctions.Utility_DisplayArrayInTable(Fertiliser_SourceData.Fertiliser_Products_Data1(),FertiliserProducts[[#Headers],[Include or Exclude]], 0)</f>
        <v>Campbells fertilisers Australia</v>
      </c>
      <c r="G93" s="65" t="str" cm="1">
        <f t="array" ref="G93">Common_InputFunctions.Utility_DisplayArrayInTable(Fertiliser_SourceData.Fertiliser_Products_Data1(),FertiliserProducts[[#Headers],[Include or Exclude]], 0)</f>
        <v>Aqua Start</v>
      </c>
      <c r="H93" s="65" t="str" cm="1">
        <f t="array" ref="H93">Common_InputFunctions.Utility_DisplayArrayInTable(Fertiliser_SourceData.Fertiliser_Products_Data1(),FertiliserProducts[[#Headers],[Include or Exclude]], 0)</f>
        <v>L</v>
      </c>
      <c r="I93" s="65" cm="1">
        <f t="array" ref="I93">Common_InputFunctions.Utility_DisplayArrayInTable(Fertiliser_SourceData.Fertiliser_Products_Data1(),FertiliserProducts[[#Headers],[Include or Exclude]], 0)</f>
        <v>1.25</v>
      </c>
      <c r="J93" s="65" t="str" cm="1">
        <f t="array" ref="J93">Common_InputFunctions.Utility_DisplayArrayInTable(Fertiliser_SourceData.Fertiliser_Products_Data1(),FertiliserProducts[[#Headers],[Include or Exclude]], 0)</f>
        <v/>
      </c>
      <c r="K93" s="65" t="str" cm="1">
        <f t="array" ref="K93">Common_InputFunctions.Utility_DisplayArrayInTable(Fertiliser_SourceData.Fertiliser_Products_Data1(),FertiliserProducts[[#Headers],[Include or Exclude]], 0)</f>
        <v/>
      </c>
      <c r="L93" s="65" t="str" cm="1">
        <f t="array" ref="L93">Common_InputFunctions.Utility_DisplayArrayInTable(Fertiliser_SourceData.Fertiliser_Products_Data1(),FertiliserProducts[[#Headers],[Include or Exclude]], 0)</f>
        <v>Nitrogen - Generic</v>
      </c>
      <c r="M93" s="10" cm="1">
        <f t="array" ref="M93">Common_InputFunctions.Utility_DisplayArrayInTable(Fertiliser_SourceData.Fertiliser_Products_Data1(),FertiliserProducts[[#Headers],[Include or Exclude]], 0)</f>
        <v>0.10299999999999999</v>
      </c>
      <c r="N93" s="65" t="str" cm="1">
        <f t="array" ref="N93">Common_InputFunctions.Utility_DisplayArrayInTable(Fertiliser_SourceData.Fertiliser_Products_Data1(),FertiliserProducts[[#Headers],[Include or Exclude]], 0)</f>
        <v>Phosphorus - Generic</v>
      </c>
      <c r="O93" s="65" cm="1">
        <f t="array" ref="O93">Common_InputFunctions.Utility_DisplayArrayInTable(Fertiliser_SourceData.Fertiliser_Products_Data1(),FertiliserProducts[[#Headers],[Include or Exclude]], 0)</f>
        <v>0.1</v>
      </c>
      <c r="P93" s="65" t="str" cm="1">
        <f t="array" ref="P93">Common_InputFunctions.Utility_DisplayArrayInTable(Fertiliser_SourceData.Fertiliser_Products_Data1(),FertiliserProducts[[#Headers],[Include or Exclude]], 0)</f>
        <v>Potassium - Generic</v>
      </c>
      <c r="Q93" s="65" cm="1">
        <f t="array" ref="Q93">Common_InputFunctions.Utility_DisplayArrayInTable(Fertiliser_SourceData.Fertiliser_Products_Data1(),FertiliserProducts[[#Headers],[Include or Exclude]], 0)</f>
        <v>3.4000000000000002E-2</v>
      </c>
      <c r="R93" s="65" t="str" cm="1">
        <f t="array" ref="R93">Common_InputFunctions.Utility_DisplayArrayInTable(Fertiliser_SourceData.Fertiliser_Products_Data1(),FertiliserProducts[[#Headers],[Include or Exclude]], 0)</f>
        <v/>
      </c>
      <c r="S93" s="65" t="str" cm="1">
        <f t="array" ref="S93">Common_InputFunctions.Utility_DisplayArrayInTable(Fertiliser_SourceData.Fertiliser_Products_Data1(),FertiliserProducts[[#Headers],[Include or Exclude]], 0)</f>
        <v/>
      </c>
      <c r="T93" s="65" t="str" cm="1">
        <f t="array" ref="T93">Common_InputFunctions.Utility_DisplayArrayInTable(Fertiliser_SourceData.Fertiliser_Products_Data1(),FertiliserProducts[[#Headers],[Include or Exclude]], 0)</f>
        <v/>
      </c>
      <c r="U93" s="65"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4:31" ht="20.100000000000001" customHeight="1" x14ac:dyDescent="0.25">
      <c r="D94" s="65" t="str" cm="1">
        <f t="array" ref="D94">Common_InputFunctions.Utility_DisplayArrayInTable(Fertiliser_SourceData.Fertiliser_Products_Data1(),FertiliserProducts[[#Headers],[Include or Exclude]], 0)</f>
        <v>Include</v>
      </c>
      <c r="E94" s="65" t="str" cm="1">
        <f t="array" ref="E94">Common_InputFunctions.Utility_DisplayArrayInTable(Fertiliser_SourceData.Fertiliser_Products_Data1(),FertiliserProducts[[#Headers],[Include or Exclude]], 0)</f>
        <v/>
      </c>
      <c r="F94" s="65" t="str" cm="1">
        <f t="array" ref="F94">Common_InputFunctions.Utility_DisplayArrayInTable(Fertiliser_SourceData.Fertiliser_Products_Data1(),FertiliserProducts[[#Headers],[Include or Exclude]], 0)</f>
        <v>Campbells fertilisers Australia</v>
      </c>
      <c r="G94" s="65" t="str" cm="1">
        <f t="array" ref="G94">Common_InputFunctions.Utility_DisplayArrayInTable(Fertiliser_SourceData.Fertiliser_Products_Data1(),FertiliserProducts[[#Headers],[Include or Exclude]], 0)</f>
        <v>Aqua Thio-Complete</v>
      </c>
      <c r="H94" s="65" t="str" cm="1">
        <f t="array" ref="H94">Common_InputFunctions.Utility_DisplayArrayInTable(Fertiliser_SourceData.Fertiliser_Products_Data1(),FertiliserProducts[[#Headers],[Include or Exclude]], 0)</f>
        <v>L</v>
      </c>
      <c r="I94" s="65" cm="1">
        <f t="array" ref="I94">Common_InputFunctions.Utility_DisplayArrayInTable(Fertiliser_SourceData.Fertiliser_Products_Data1(),FertiliserProducts[[#Headers],[Include or Exclude]], 0)</f>
        <v>1.43</v>
      </c>
      <c r="J94" s="65" t="str" cm="1">
        <f t="array" ref="J94">Common_InputFunctions.Utility_DisplayArrayInTable(Fertiliser_SourceData.Fertiliser_Products_Data1(),FertiliserProducts[[#Headers],[Include or Exclude]], 0)</f>
        <v/>
      </c>
      <c r="K94" s="65" t="str" cm="1">
        <f t="array" ref="K94">Common_InputFunctions.Utility_DisplayArrayInTable(Fertiliser_SourceData.Fertiliser_Products_Data1(),FertiliserProducts[[#Headers],[Include or Exclude]], 0)</f>
        <v/>
      </c>
      <c r="L94" s="65" t="str" cm="1">
        <f t="array" ref="L94">Common_InputFunctions.Utility_DisplayArrayInTable(Fertiliser_SourceData.Fertiliser_Products_Data1(),FertiliserProducts[[#Headers],[Include or Exclude]], 0)</f>
        <v>Potassium - Generic</v>
      </c>
      <c r="M94" s="10" cm="1">
        <f t="array" ref="M94">Common_InputFunctions.Utility_DisplayArrayInTable(Fertiliser_SourceData.Fertiliser_Products_Data1(),FertiliserProducts[[#Headers],[Include or Exclude]], 0)</f>
        <v>0.22500000000000001</v>
      </c>
      <c r="N94" s="65" t="str" cm="1">
        <f t="array" ref="N94">Common_InputFunctions.Utility_DisplayArrayInTable(Fertiliser_SourceData.Fertiliser_Products_Data1(),FertiliserProducts[[#Headers],[Include or Exclude]], 0)</f>
        <v>Phosphorus - Generic</v>
      </c>
      <c r="O94" s="65" cm="1">
        <f t="array" ref="O94">Common_InputFunctions.Utility_DisplayArrayInTable(Fertiliser_SourceData.Fertiliser_Products_Data1(),FertiliserProducts[[#Headers],[Include or Exclude]], 0)</f>
        <v>3.7999999999999999E-2</v>
      </c>
      <c r="P94" s="65" t="str" cm="1">
        <f t="array" ref="P94">Common_InputFunctions.Utility_DisplayArrayInTable(Fertiliser_SourceData.Fertiliser_Products_Data1(),FertiliserProducts[[#Headers],[Include or Exclude]], 0)</f>
        <v>Nitrogen - Generic</v>
      </c>
      <c r="Q94" s="65" cm="1">
        <f t="array" ref="Q94">Common_InputFunctions.Utility_DisplayArrayInTable(Fertiliser_SourceData.Fertiliser_Products_Data1(),FertiliserProducts[[#Headers],[Include or Exclude]], 0)</f>
        <v>2.5000000000000001E-2</v>
      </c>
      <c r="R94" s="65" t="str" cm="1">
        <f t="array" ref="R94">Common_InputFunctions.Utility_DisplayArrayInTable(Fertiliser_SourceData.Fertiliser_Products_Data1(),FertiliserProducts[[#Headers],[Include or Exclude]], 0)</f>
        <v/>
      </c>
      <c r="S94" s="65" t="str" cm="1">
        <f t="array" ref="S94">Common_InputFunctions.Utility_DisplayArrayInTable(Fertiliser_SourceData.Fertiliser_Products_Data1(),FertiliserProducts[[#Headers],[Include or Exclude]], 0)</f>
        <v/>
      </c>
      <c r="T94" s="65" t="str" cm="1">
        <f t="array" ref="T94">Common_InputFunctions.Utility_DisplayArrayInTable(Fertiliser_SourceData.Fertiliser_Products_Data1(),FertiliserProducts[[#Headers],[Include or Exclude]], 0)</f>
        <v/>
      </c>
      <c r="U94" s="65"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4:31" ht="20.100000000000001" customHeight="1" x14ac:dyDescent="0.25">
      <c r="D95" s="65" t="str" cm="1">
        <f t="array" ref="D95">Common_InputFunctions.Utility_DisplayArrayInTable(Fertiliser_SourceData.Fertiliser_Products_Data1(),FertiliserProducts[[#Headers],[Include or Exclude]], 0)</f>
        <v>Include</v>
      </c>
      <c r="E95" s="65" t="str" cm="1">
        <f t="array" ref="E95">Common_InputFunctions.Utility_DisplayArrayInTable(Fertiliser_SourceData.Fertiliser_Products_Data1(),FertiliserProducts[[#Headers],[Include or Exclude]], 0)</f>
        <v/>
      </c>
      <c r="F95" s="65" t="str" cm="1">
        <f t="array" ref="F95">Common_InputFunctions.Utility_DisplayArrayInTable(Fertiliser_SourceData.Fertiliser_Products_Data1(),FertiliserProducts[[#Headers],[Include or Exclude]], 0)</f>
        <v>Campbells fertilisers Australia</v>
      </c>
      <c r="G95" s="65" t="str" cm="1">
        <f t="array" ref="G95">Common_InputFunctions.Utility_DisplayArrayInTable(Fertiliser_SourceData.Fertiliser_Products_Data1(),FertiliserProducts[[#Headers],[Include or Exclude]], 0)</f>
        <v>Aqua Thio-Emerge</v>
      </c>
      <c r="H95" s="65" t="str" cm="1">
        <f t="array" ref="H95">Common_InputFunctions.Utility_DisplayArrayInTable(Fertiliser_SourceData.Fertiliser_Products_Data1(),FertiliserProducts[[#Headers],[Include or Exclude]], 0)</f>
        <v>L</v>
      </c>
      <c r="I95" s="65" cm="1">
        <f t="array" ref="I95">Common_InputFunctions.Utility_DisplayArrayInTable(Fertiliser_SourceData.Fertiliser_Products_Data1(),FertiliserProducts[[#Headers],[Include or Exclude]], 0)</f>
        <v>1.29</v>
      </c>
      <c r="J95" s="65" t="str" cm="1">
        <f t="array" ref="J95">Common_InputFunctions.Utility_DisplayArrayInTable(Fertiliser_SourceData.Fertiliser_Products_Data1(),FertiliserProducts[[#Headers],[Include or Exclude]], 0)</f>
        <v/>
      </c>
      <c r="K95" s="65" t="str" cm="1">
        <f t="array" ref="K95">Common_InputFunctions.Utility_DisplayArrayInTable(Fertiliser_SourceData.Fertiliser_Products_Data1(),FertiliserProducts[[#Headers],[Include or Exclude]], 0)</f>
        <v/>
      </c>
      <c r="L95" s="65" t="str" cm="1">
        <f t="array" ref="L95">Common_InputFunctions.Utility_DisplayArrayInTable(Fertiliser_SourceData.Fertiliser_Products_Data1(),FertiliserProducts[[#Headers],[Include or Exclude]], 0)</f>
        <v>Nitrogen - Generic</v>
      </c>
      <c r="M95" s="10" cm="1">
        <f t="array" ref="M95">Common_InputFunctions.Utility_DisplayArrayInTable(Fertiliser_SourceData.Fertiliser_Products_Data1(),FertiliserProducts[[#Headers],[Include or Exclude]], 0)</f>
        <v>0.105</v>
      </c>
      <c r="N95" s="65" t="str" cm="1">
        <f t="array" ref="N95">Common_InputFunctions.Utility_DisplayArrayInTable(Fertiliser_SourceData.Fertiliser_Products_Data1(),FertiliserProducts[[#Headers],[Include or Exclude]], 0)</f>
        <v>Phosphorus - Generic</v>
      </c>
      <c r="O95" s="65" cm="1">
        <f t="array" ref="O95">Common_InputFunctions.Utility_DisplayArrayInTable(Fertiliser_SourceData.Fertiliser_Products_Data1(),FertiliserProducts[[#Headers],[Include or Exclude]], 0)</f>
        <v>9.4E-2</v>
      </c>
      <c r="P95" s="65" t="str" cm="1">
        <f t="array" ref="P95">Common_InputFunctions.Utility_DisplayArrayInTable(Fertiliser_SourceData.Fertiliser_Products_Data1(),FertiliserProducts[[#Headers],[Include or Exclude]], 0)</f>
        <v>Potassium - Generic</v>
      </c>
      <c r="Q95" s="65" cm="1">
        <f t="array" ref="Q95">Common_InputFunctions.Utility_DisplayArrayInTable(Fertiliser_SourceData.Fertiliser_Products_Data1(),FertiliserProducts[[#Headers],[Include or Exclude]], 0)</f>
        <v>0.04</v>
      </c>
      <c r="R95" s="65" t="str" cm="1">
        <f t="array" ref="R95">Common_InputFunctions.Utility_DisplayArrayInTable(Fertiliser_SourceData.Fertiliser_Products_Data1(),FertiliserProducts[[#Headers],[Include or Exclude]], 0)</f>
        <v>Sulfur - Generic</v>
      </c>
      <c r="S95" s="65" cm="1">
        <f t="array" ref="S95">Common_InputFunctions.Utility_DisplayArrayInTable(Fertiliser_SourceData.Fertiliser_Products_Data1(),FertiliserProducts[[#Headers],[Include or Exclude]], 0)</f>
        <v>0.03</v>
      </c>
      <c r="T95" s="65" t="str" cm="1">
        <f t="array" ref="T95">Common_InputFunctions.Utility_DisplayArrayInTable(Fertiliser_SourceData.Fertiliser_Products_Data1(),FertiliserProducts[[#Headers],[Include or Exclude]], 0)</f>
        <v/>
      </c>
      <c r="U95" s="65"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4:31" ht="20.100000000000001" customHeight="1" x14ac:dyDescent="0.25">
      <c r="D96" s="65" t="str" cm="1">
        <f t="array" ref="D96">Common_InputFunctions.Utility_DisplayArrayInTable(Fertiliser_SourceData.Fertiliser_Products_Data1(),FertiliserProducts[[#Headers],[Include or Exclude]], 0)</f>
        <v>Include</v>
      </c>
      <c r="E96" s="65" t="str" cm="1">
        <f t="array" ref="E96">Common_InputFunctions.Utility_DisplayArrayInTable(Fertiliser_SourceData.Fertiliser_Products_Data1(),FertiliserProducts[[#Headers],[Include or Exclude]], 0)</f>
        <v/>
      </c>
      <c r="F96" s="65" t="str" cm="1">
        <f t="array" ref="F96">Common_InputFunctions.Utility_DisplayArrayInTable(Fertiliser_SourceData.Fertiliser_Products_Data1(),FertiliserProducts[[#Headers],[Include or Exclude]], 0)</f>
        <v>Campbells fertilisers Australia</v>
      </c>
      <c r="G96" s="65" t="str" cm="1">
        <f t="array" ref="G96">Common_InputFunctions.Utility_DisplayArrayInTable(Fertiliser_SourceData.Fertiliser_Products_Data1(),FertiliserProducts[[#Headers],[Include or Exclude]], 0)</f>
        <v>Aqua Thio-Flourish</v>
      </c>
      <c r="H96" s="65" t="str" cm="1">
        <f t="array" ref="H96">Common_InputFunctions.Utility_DisplayArrayInTable(Fertiliser_SourceData.Fertiliser_Products_Data1(),FertiliserProducts[[#Headers],[Include or Exclude]], 0)</f>
        <v>L</v>
      </c>
      <c r="I96" s="65" cm="1">
        <f t="array" ref="I96">Common_InputFunctions.Utility_DisplayArrayInTable(Fertiliser_SourceData.Fertiliser_Products_Data1(),FertiliserProducts[[#Headers],[Include or Exclude]], 0)</f>
        <v>1.32</v>
      </c>
      <c r="J96" s="65" t="str" cm="1">
        <f t="array" ref="J96">Common_InputFunctions.Utility_DisplayArrayInTable(Fertiliser_SourceData.Fertiliser_Products_Data1(),FertiliserProducts[[#Headers],[Include or Exclude]], 0)</f>
        <v/>
      </c>
      <c r="K96" s="65" t="str" cm="1">
        <f t="array" ref="K96">Common_InputFunctions.Utility_DisplayArrayInTable(Fertiliser_SourceData.Fertiliser_Products_Data1(),FertiliserProducts[[#Headers],[Include or Exclude]], 0)</f>
        <v/>
      </c>
      <c r="L96" s="65" t="str" cm="1">
        <f t="array" ref="L96">Common_InputFunctions.Utility_DisplayArrayInTable(Fertiliser_SourceData.Fertiliser_Products_Data1(),FertiliserProducts[[#Headers],[Include or Exclude]], 0)</f>
        <v>Potassium - Generic</v>
      </c>
      <c r="M96" s="10" cm="1">
        <f t="array" ref="M96">Common_InputFunctions.Utility_DisplayArrayInTable(Fertiliser_SourceData.Fertiliser_Products_Data1(),FertiliserProducts[[#Headers],[Include or Exclude]], 0)</f>
        <v>0.108</v>
      </c>
      <c r="N96" s="65" t="str" cm="1">
        <f t="array" ref="N96">Common_InputFunctions.Utility_DisplayArrayInTable(Fertiliser_SourceData.Fertiliser_Products_Data1(),FertiliserProducts[[#Headers],[Include or Exclude]], 0)</f>
        <v>Nitrogen - Generic</v>
      </c>
      <c r="O96" s="65" cm="1">
        <f t="array" ref="O96">Common_InputFunctions.Utility_DisplayArrayInTable(Fertiliser_SourceData.Fertiliser_Products_Data1(),FertiliserProducts[[#Headers],[Include or Exclude]], 0)</f>
        <v>9.5000000000000001E-2</v>
      </c>
      <c r="P96" s="65" t="str" cm="1">
        <f t="array" ref="P96">Common_InputFunctions.Utility_DisplayArrayInTable(Fertiliser_SourceData.Fertiliser_Products_Data1(),FertiliserProducts[[#Headers],[Include or Exclude]], 0)</f>
        <v>Sulfur - Generic</v>
      </c>
      <c r="Q96" s="65" cm="1">
        <f t="array" ref="Q96">Common_InputFunctions.Utility_DisplayArrayInTable(Fertiliser_SourceData.Fertiliser_Products_Data1(),FertiliserProducts[[#Headers],[Include or Exclude]], 0)</f>
        <v>8.1000000000000003E-2</v>
      </c>
      <c r="R96" s="65" t="str" cm="1">
        <f t="array" ref="R96">Common_InputFunctions.Utility_DisplayArrayInTable(Fertiliser_SourceData.Fertiliser_Products_Data1(),FertiliserProducts[[#Headers],[Include or Exclude]], 0)</f>
        <v>Phosphorus - Generic</v>
      </c>
      <c r="S96" s="65" cm="1">
        <f t="array" ref="S96">Common_InputFunctions.Utility_DisplayArrayInTable(Fertiliser_SourceData.Fertiliser_Products_Data1(),FertiliserProducts[[#Headers],[Include or Exclude]], 0)</f>
        <v>4.7E-2</v>
      </c>
      <c r="T96" s="65" t="str" cm="1">
        <f t="array" ref="T96">Common_InputFunctions.Utility_DisplayArrayInTable(Fertiliser_SourceData.Fertiliser_Products_Data1(),FertiliserProducts[[#Headers],[Include or Exclude]], 0)</f>
        <v/>
      </c>
      <c r="U96" s="65"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4:31" ht="20.100000000000001" customHeight="1" x14ac:dyDescent="0.25">
      <c r="D97" s="65" t="str" cm="1">
        <f t="array" ref="D97">Common_InputFunctions.Utility_DisplayArrayInTable(Fertiliser_SourceData.Fertiliser_Products_Data1(),FertiliserProducts[[#Headers],[Include or Exclude]], 0)</f>
        <v>Include - Absent ingredients &lt; 2%</v>
      </c>
      <c r="E97" s="65" t="str" cm="1">
        <f t="array" ref="E97">Common_InputFunctions.Utility_DisplayArrayInTable(Fertiliser_SourceData.Fertiliser_Products_Data1(),FertiliserProducts[[#Headers],[Include or Exclude]], 0)</f>
        <v>Amount of urea calculated from urea nitrogen amount</v>
      </c>
      <c r="F97" s="65" t="str" cm="1">
        <f t="array" ref="F97">Common_InputFunctions.Utility_DisplayArrayInTable(Fertiliser_SourceData.Fertiliser_Products_Data1(),FertiliserProducts[[#Headers],[Include or Exclude]], 0)</f>
        <v>Campbells fertilisers Australia</v>
      </c>
      <c r="G97" s="65" t="str" cm="1">
        <f t="array" ref="G97">Common_InputFunctions.Utility_DisplayArrayInTable(Fertiliser_SourceData.Fertiliser_Products_Data1(),FertiliserProducts[[#Headers],[Include or Exclude]], 0)</f>
        <v>Boost-It</v>
      </c>
      <c r="H97" s="65" t="str" cm="1">
        <f t="array" ref="H97">Common_InputFunctions.Utility_DisplayArrayInTable(Fertiliser_SourceData.Fertiliser_Products_Data1(),FertiliserProducts[[#Headers],[Include or Exclude]], 0)</f>
        <v>kg</v>
      </c>
      <c r="I97" s="65" cm="1">
        <f t="array" ref="I97">Common_InputFunctions.Utility_DisplayArrayInTable(Fertiliser_SourceData.Fertiliser_Products_Data1(),FertiliserProducts[[#Headers],[Include or Exclude]], 0)</f>
        <v>1</v>
      </c>
      <c r="J97" s="65" t="str" cm="1">
        <f t="array" ref="J97">Common_InputFunctions.Utility_DisplayArrayInTable(Fertiliser_SourceData.Fertiliser_Products_Data1(),FertiliserProducts[[#Headers],[Include or Exclude]], 0)</f>
        <v/>
      </c>
      <c r="K97" s="65" t="str" cm="1">
        <f t="array" ref="K97">Common_InputFunctions.Utility_DisplayArrayInTable(Fertiliser_SourceData.Fertiliser_Products_Data1(),FertiliserProducts[[#Headers],[Include or Exclude]], 0)</f>
        <v/>
      </c>
      <c r="L97" s="65" t="str" cm="1">
        <f t="array" ref="L97">Common_InputFunctions.Utility_DisplayArrayInTable(Fertiliser_SourceData.Fertiliser_Products_Data1(),FertiliserProducts[[#Headers],[Include or Exclude]], 0)</f>
        <v>Urea</v>
      </c>
      <c r="M97" s="10" cm="1">
        <f t="array" ref="M97">Common_InputFunctions.Utility_DisplayArrayInTable(Fertiliser_SourceData.Fertiliser_Products_Data1(),FertiliserProducts[[#Headers],[Include or Exclude]], 0)</f>
        <v>0.52173913000000005</v>
      </c>
      <c r="N97" s="65" t="str" cm="1">
        <f t="array" ref="N97">Common_InputFunctions.Utility_DisplayArrayInTable(Fertiliser_SourceData.Fertiliser_Products_Data1(),FertiliserProducts[[#Headers],[Include or Exclude]], 0)</f>
        <v>Potassium - Generic</v>
      </c>
      <c r="O97" s="65" cm="1">
        <f t="array" ref="O97">Common_InputFunctions.Utility_DisplayArrayInTable(Fertiliser_SourceData.Fertiliser_Products_Data1(),FertiliserProducts[[#Headers],[Include or Exclude]], 0)</f>
        <v>0.08</v>
      </c>
      <c r="P97" s="65" t="str" cm="1">
        <f t="array" ref="P97">Common_InputFunctions.Utility_DisplayArrayInTable(Fertiliser_SourceData.Fertiliser_Products_Data1(),FertiliserProducts[[#Headers],[Include or Exclude]], 0)</f>
        <v>Sulfur - Generic</v>
      </c>
      <c r="Q97" s="65" cm="1">
        <f t="array" ref="Q97">Common_InputFunctions.Utility_DisplayArrayInTable(Fertiliser_SourceData.Fertiliser_Products_Data1(),FertiliserProducts[[#Headers],[Include or Exclude]], 0)</f>
        <v>5.2999999999999999E-2</v>
      </c>
      <c r="R97" s="65" t="str" cm="1">
        <f t="array" ref="R97">Common_InputFunctions.Utility_DisplayArrayInTable(Fertiliser_SourceData.Fertiliser_Products_Data1(),FertiliserProducts[[#Headers],[Include or Exclude]], 0)</f>
        <v>Phosphorus - Generic</v>
      </c>
      <c r="S97" s="65" cm="1">
        <f t="array" ref="S97">Common_InputFunctions.Utility_DisplayArrayInTable(Fertiliser_SourceData.Fertiliser_Products_Data1(),FertiliserProducts[[#Headers],[Include or Exclude]], 0)</f>
        <v>5.1999999999999998E-2</v>
      </c>
      <c r="T97" s="65" t="str" cm="1">
        <f t="array" ref="T97">Common_InputFunctions.Utility_DisplayArrayInTable(Fertiliser_SourceData.Fertiliser_Products_Data1(),FertiliserProducts[[#Headers],[Include or Exclude]], 0)</f>
        <v>Magnesium</v>
      </c>
      <c r="U97" s="65" cm="1">
        <f t="array" ref="U97">Common_InputFunctions.Utility_DisplayArrayInTable(Fertiliser_SourceData.Fertiliser_Products_Data1(),FertiliserProducts[[#Headers],[Include or Exclude]], 0)</f>
        <v>1.2999999999999999E-2</v>
      </c>
      <c r="V97" s="10" t="str" cm="1">
        <f t="array" ref="V97">Common_InputFunctions.Utility_DisplayArrayInTable(Fertiliser_SourceData.Fertiliser_Products_Data1(),FertiliserProducts[[#Headers],[Include or Exclude]], 0)</f>
        <v>Zinc</v>
      </c>
      <c r="W97" s="10" cm="1">
        <f t="array" ref="W97">Common_InputFunctions.Utility_DisplayArrayInTable(Fertiliser_SourceData.Fertiliser_Products_Data1(),FertiliserProducts[[#Headers],[Include or Exclude]], 0)</f>
        <v>2E-3</v>
      </c>
      <c r="X97" s="10" t="str" cm="1">
        <f t="array" ref="X97">Common_InputFunctions.Utility_DisplayArrayInTable(Fertiliser_SourceData.Fertiliser_Products_Data1(),FertiliserProducts[[#Headers],[Include or Exclude]], 0)</f>
        <v>Manganese</v>
      </c>
      <c r="Y97" s="10" cm="1">
        <f t="array" ref="Y97">Common_InputFunctions.Utility_DisplayArrayInTable(Fertiliser_SourceData.Fertiliser_Products_Data1(),FertiliserProducts[[#Headers],[Include or Exclude]], 0)</f>
        <v>3.5000000000000001E-3</v>
      </c>
      <c r="Z97" s="10" t="str" cm="1">
        <f t="array" ref="Z97">Common_InputFunctions.Utility_DisplayArrayInTable(Fertiliser_SourceData.Fertiliser_Products_Data1(),FertiliserProducts[[#Headers],[Include or Exclude]], 0)</f>
        <v>Iron</v>
      </c>
      <c r="AA97" s="10" cm="1">
        <f t="array" ref="AA97">Common_InputFunctions.Utility_DisplayArrayInTable(Fertiliser_SourceData.Fertiliser_Products_Data1(),FertiliserProducts[[#Headers],[Include or Exclude]], 0)</f>
        <v>1.2999999999999999E-3</v>
      </c>
      <c r="AB97" s="10" t="str" cm="1">
        <f t="array" ref="AB97">Common_InputFunctions.Utility_DisplayArrayInTable(Fertiliser_SourceData.Fertiliser_Products_Data1(),FertiliserProducts[[#Headers],[Include or Exclude]], 0)</f>
        <v>Copper</v>
      </c>
      <c r="AC97" s="10" cm="1">
        <f t="array" ref="AC97">Common_InputFunctions.Utility_DisplayArrayInTable(Fertiliser_SourceData.Fertiliser_Products_Data1(),FertiliserProducts[[#Headers],[Include or Exclude]], 0)</f>
        <v>6.9999999999999999E-4</v>
      </c>
      <c r="AD97" s="10" t="str" cm="1">
        <f t="array" ref="AD97">Common_InputFunctions.Utility_DisplayArrayInTable(Fertiliser_SourceData.Fertiliser_Products_Data1(),FertiliserProducts[[#Headers],[Include or Exclude]], 0)</f>
        <v>Boron</v>
      </c>
      <c r="AE97" s="10" cm="1">
        <f t="array" ref="AE97">Common_InputFunctions.Utility_DisplayArrayInTable(Fertiliser_SourceData.Fertiliser_Products_Data1(),FertiliserProducts[[#Headers],[Include or Exclude]], 0)</f>
        <v>6.9999999999999999E-4</v>
      </c>
    </row>
    <row r="98" spans="4:31" ht="20.100000000000001" customHeight="1" x14ac:dyDescent="0.25">
      <c r="D98" s="65" t="str" cm="1">
        <f t="array" ref="D98">Common_InputFunctions.Utility_DisplayArrayInTable(Fertiliser_SourceData.Fertiliser_Products_Data1(),FertiliserProducts[[#Headers],[Include or Exclude]], 0)</f>
        <v>Include</v>
      </c>
      <c r="E98" s="65" t="str" cm="1">
        <f t="array" ref="E98">Common_InputFunctions.Utility_DisplayArrayInTable(Fertiliser_SourceData.Fertiliser_Products_Data1(),FertiliserProducts[[#Headers],[Include or Exclude]], 0)</f>
        <v/>
      </c>
      <c r="F98" s="65" t="str" cm="1">
        <f t="array" ref="F98">Common_InputFunctions.Utility_DisplayArrayInTable(Fertiliser_SourceData.Fertiliser_Products_Data1(),FertiliserProducts[[#Headers],[Include or Exclude]], 0)</f>
        <v>Campbells fertilisers Australia</v>
      </c>
      <c r="G98" s="65" t="str" cm="1">
        <f t="array" ref="G98">Common_InputFunctions.Utility_DisplayArrayInTable(Fertiliser_SourceData.Fertiliser_Products_Data1(),FertiliserProducts[[#Headers],[Include or Exclude]], 0)</f>
        <v>Bronze</v>
      </c>
      <c r="H98" s="65" t="str" cm="1">
        <f t="array" ref="H98">Common_InputFunctions.Utility_DisplayArrayInTable(Fertiliser_SourceData.Fertiliser_Products_Data1(),FertiliserProducts[[#Headers],[Include or Exclude]], 0)</f>
        <v>kg</v>
      </c>
      <c r="I98" s="65" cm="1">
        <f t="array" ref="I98">Common_InputFunctions.Utility_DisplayArrayInTable(Fertiliser_SourceData.Fertiliser_Products_Data1(),FertiliserProducts[[#Headers],[Include or Exclude]], 0)</f>
        <v>1</v>
      </c>
      <c r="J98" s="65" t="str" cm="1">
        <f t="array" ref="J98">Common_InputFunctions.Utility_DisplayArrayInTable(Fertiliser_SourceData.Fertiliser_Products_Data1(),FertiliserProducts[[#Headers],[Include or Exclude]], 0)</f>
        <v/>
      </c>
      <c r="K98" s="65" t="str" cm="1">
        <f t="array" ref="K98">Common_InputFunctions.Utility_DisplayArrayInTable(Fertiliser_SourceData.Fertiliser_Products_Data1(),FertiliserProducts[[#Headers],[Include or Exclude]], 0)</f>
        <v/>
      </c>
      <c r="L98" s="65" t="str" cm="1">
        <f t="array" ref="L98">Common_InputFunctions.Utility_DisplayArrayInTable(Fertiliser_SourceData.Fertiliser_Products_Data1(),FertiliserProducts[[#Headers],[Include or Exclude]], 0)</f>
        <v>Muriate of Potash (MOP)</v>
      </c>
      <c r="M98" s="10" cm="1">
        <f t="array" ref="M98">Common_InputFunctions.Utility_DisplayArrayInTable(Fertiliser_SourceData.Fertiliser_Products_Data1(),FertiliserProducts[[#Headers],[Include or Exclude]], 0)</f>
        <v>0.23200000000000001</v>
      </c>
      <c r="N98" s="65" t="str" cm="1">
        <f t="array" ref="N98">Common_InputFunctions.Utility_DisplayArrayInTable(Fertiliser_SourceData.Fertiliser_Products_Data1(),FertiliserProducts[[#Headers],[Include or Exclude]], 0)</f>
        <v>Nitrogen - Generic</v>
      </c>
      <c r="O98" s="65" cm="1">
        <f t="array" ref="O98">Common_InputFunctions.Utility_DisplayArrayInTable(Fertiliser_SourceData.Fertiliser_Products_Data1(),FertiliserProducts[[#Headers],[Include or Exclude]], 0)</f>
        <v>0.17</v>
      </c>
      <c r="P98" s="65" t="str" cm="1">
        <f t="array" ref="P98">Common_InputFunctions.Utility_DisplayArrayInTable(Fertiliser_SourceData.Fertiliser_Products_Data1(),FertiliserProducts[[#Headers],[Include or Exclude]], 0)</f>
        <v>Sulfur - Generic</v>
      </c>
      <c r="Q98" s="65" cm="1">
        <f t="array" ref="Q98">Common_InputFunctions.Utility_DisplayArrayInTable(Fertiliser_SourceData.Fertiliser_Products_Data1(),FertiliserProducts[[#Headers],[Include or Exclude]], 0)</f>
        <v>5.0000000000000001E-3</v>
      </c>
      <c r="R98" s="65" t="str" cm="1">
        <f t="array" ref="R98">Common_InputFunctions.Utility_DisplayArrayInTable(Fertiliser_SourceData.Fertiliser_Products_Data1(),FertiliserProducts[[#Headers],[Include or Exclude]], 0)</f>
        <v>Magnesium</v>
      </c>
      <c r="S98" s="65" cm="1">
        <f t="array" ref="S98">Common_InputFunctions.Utility_DisplayArrayInTable(Fertiliser_SourceData.Fertiliser_Products_Data1(),FertiliserProducts[[#Headers],[Include or Exclude]], 0)</f>
        <v>2.3999999999999998E-3</v>
      </c>
      <c r="T98" s="65" t="str" cm="1">
        <f t="array" ref="T98">Common_InputFunctions.Utility_DisplayArrayInTable(Fertiliser_SourceData.Fertiliser_Products_Data1(),FertiliserProducts[[#Headers],[Include or Exclude]], 0)</f>
        <v>Phosphorus - Generic</v>
      </c>
      <c r="U98" s="65" cm="1">
        <f t="array" ref="U98">Common_InputFunctions.Utility_DisplayArrayInTable(Fertiliser_SourceData.Fertiliser_Products_Data1(),FertiliserProducts[[#Headers],[Include or Exclude]], 0)</f>
        <v>4.0000000000000002E-4</v>
      </c>
      <c r="V98" s="10" t="str" cm="1">
        <f t="array" ref="V98">Common_InputFunctions.Utility_DisplayArrayInTable(Fertiliser_SourceData.Fertiliser_Products_Data1(),FertiliserProducts[[#Headers],[Include or Exclude]], 0)</f>
        <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4:31" ht="20.100000000000001" customHeight="1" x14ac:dyDescent="0.25">
      <c r="D99" s="65" t="str" cm="1">
        <f t="array" ref="D99">Common_InputFunctions.Utility_DisplayArrayInTable(Fertiliser_SourceData.Fertiliser_Products_Data1(),FertiliserProducts[[#Headers],[Include or Exclude]], 0)</f>
        <v>Include</v>
      </c>
      <c r="E99" s="65" t="str" cm="1">
        <f t="array" ref="E99">Common_InputFunctions.Utility_DisplayArrayInTable(Fertiliser_SourceData.Fertiliser_Products_Data1(),FertiliserProducts[[#Headers],[Include or Exclude]], 0)</f>
        <v>50/50 nitrate and ammoniacal nitrogen (ammonium nitrate)</v>
      </c>
      <c r="F99" s="65" t="str" cm="1">
        <f t="array" ref="F99">Common_InputFunctions.Utility_DisplayArrayInTable(Fertiliser_SourceData.Fertiliser_Products_Data1(),FertiliserProducts[[#Headers],[Include or Exclude]], 0)</f>
        <v>Campbells fertilisers Australia</v>
      </c>
      <c r="G99" s="65" t="str" cm="1">
        <f t="array" ref="G99">Common_InputFunctions.Utility_DisplayArrayInTable(Fertiliser_SourceData.Fertiliser_Products_Data1(),FertiliserProducts[[#Headers],[Include or Exclude]], 0)</f>
        <v>Compass</v>
      </c>
      <c r="H99" s="65" t="str" cm="1">
        <f t="array" ref="H99">Common_InputFunctions.Utility_DisplayArrayInTable(Fertiliser_SourceData.Fertiliser_Products_Data1(),FertiliserProducts[[#Headers],[Include or Exclude]], 0)</f>
        <v>kg</v>
      </c>
      <c r="I99" s="65" cm="1">
        <f t="array" ref="I99">Common_InputFunctions.Utility_DisplayArrayInTable(Fertiliser_SourceData.Fertiliser_Products_Data1(),FertiliserProducts[[#Headers],[Include or Exclude]], 0)</f>
        <v>1</v>
      </c>
      <c r="J99" s="65" t="str" cm="1">
        <f t="array" ref="J99">Common_InputFunctions.Utility_DisplayArrayInTable(Fertiliser_SourceData.Fertiliser_Products_Data1(),FertiliserProducts[[#Headers],[Include or Exclude]], 0)</f>
        <v/>
      </c>
      <c r="K99" s="65" t="str" cm="1">
        <f t="array" ref="K99">Common_InputFunctions.Utility_DisplayArrayInTable(Fertiliser_SourceData.Fertiliser_Products_Data1(),FertiliserProducts[[#Headers],[Include or Exclude]], 0)</f>
        <v/>
      </c>
      <c r="L99" s="65" t="str" cm="1">
        <f t="array" ref="L99">Common_InputFunctions.Utility_DisplayArrayInTable(Fertiliser_SourceData.Fertiliser_Products_Data1(),FertiliserProducts[[#Headers],[Include or Exclude]], 0)</f>
        <v>Nitrogen - Ammoniacal</v>
      </c>
      <c r="M99" s="10" cm="1">
        <f t="array" ref="M99">Common_InputFunctions.Utility_DisplayArrayInTable(Fertiliser_SourceData.Fertiliser_Products_Data1(),FertiliserProducts[[#Headers],[Include or Exclude]], 0)</f>
        <v>7.4999999999999997E-2</v>
      </c>
      <c r="N99" s="65" t="str" cm="1">
        <f t="array" ref="N99">Common_InputFunctions.Utility_DisplayArrayInTable(Fertiliser_SourceData.Fertiliser_Products_Data1(),FertiliserProducts[[#Headers],[Include or Exclude]], 0)</f>
        <v>Nitrogen - Nitrate</v>
      </c>
      <c r="O99" s="65" cm="1">
        <f t="array" ref="O99">Common_InputFunctions.Utility_DisplayArrayInTable(Fertiliser_SourceData.Fertiliser_Products_Data1(),FertiliserProducts[[#Headers],[Include or Exclude]], 0)</f>
        <v>7.4999999999999997E-2</v>
      </c>
      <c r="P99" s="65" t="str" cm="1">
        <f t="array" ref="P99">Common_InputFunctions.Utility_DisplayArrayInTable(Fertiliser_SourceData.Fertiliser_Products_Data1(),FertiliserProducts[[#Headers],[Include or Exclude]], 0)</f>
        <v>Potassium - Generic</v>
      </c>
      <c r="Q99" s="65" cm="1">
        <f t="array" ref="Q99">Common_InputFunctions.Utility_DisplayArrayInTable(Fertiliser_SourceData.Fertiliser_Products_Data1(),FertiliserProducts[[#Headers],[Include or Exclude]], 0)</f>
        <v>0.125</v>
      </c>
      <c r="R99" s="65" t="str" cm="1">
        <f t="array" ref="R99">Common_InputFunctions.Utility_DisplayArrayInTable(Fertiliser_SourceData.Fertiliser_Products_Data1(),FertiliserProducts[[#Headers],[Include or Exclude]], 0)</f>
        <v>Phosphorus-Generic</v>
      </c>
      <c r="S99" s="65" cm="1">
        <f t="array" ref="S99">Common_InputFunctions.Utility_DisplayArrayInTable(Fertiliser_SourceData.Fertiliser_Products_Data1(),FertiliserProducts[[#Headers],[Include or Exclude]], 0)</f>
        <v>6.5000000000000002E-2</v>
      </c>
      <c r="T99" s="65" t="str" cm="1">
        <f t="array" ref="T99">Common_InputFunctions.Utility_DisplayArrayInTable(Fertiliser_SourceData.Fertiliser_Products_Data1(),FertiliserProducts[[#Headers],[Include or Exclude]], 0)</f>
        <v>Sulfur - Generic</v>
      </c>
      <c r="U99" s="65" cm="1">
        <f t="array" ref="U99">Common_InputFunctions.Utility_DisplayArrayInTable(Fertiliser_SourceData.Fertiliser_Products_Data1(),FertiliserProducts[[#Headers],[Include or Exclude]], 0)</f>
        <v>0.06</v>
      </c>
      <c r="V99" s="10" t="str" cm="1">
        <f t="array" ref="V99">Common_InputFunctions.Utility_DisplayArrayInTable(Fertiliser_SourceData.Fertiliser_Products_Data1(),FertiliserProducts[[#Headers],[Include or Exclude]], 0)</f>
        <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4:31" ht="20.100000000000001" customHeight="1" x14ac:dyDescent="0.25">
      <c r="D100" s="65" t="str" cm="1">
        <f t="array" ref="D100">Common_InputFunctions.Utility_DisplayArrayInTable(Fertiliser_SourceData.Fertiliser_Products_Data1(),FertiliserProducts[[#Headers],[Include or Exclude]], 0)</f>
        <v>Include - Absent ingredients &lt; 2%</v>
      </c>
      <c r="E100" s="65" t="str" cm="1">
        <f t="array" ref="E100">Common_InputFunctions.Utility_DisplayArrayInTable(Fertiliser_SourceData.Fertiliser_Products_Data1(),FertiliserProducts[[#Headers],[Include or Exclude]], 0)</f>
        <v>Controlled release N treated as generic, Amount of urea calculated from urea nitrogen amount</v>
      </c>
      <c r="F100" s="65" t="str" cm="1">
        <f t="array" ref="F100">Common_InputFunctions.Utility_DisplayArrayInTable(Fertiliser_SourceData.Fertiliser_Products_Data1(),FertiliserProducts[[#Headers],[Include or Exclude]], 0)</f>
        <v>Campbells fertilisers Australia</v>
      </c>
      <c r="G100" s="65" t="str" cm="1">
        <f t="array" ref="G100">Common_InputFunctions.Utility_DisplayArrayInTable(Fertiliser_SourceData.Fertiliser_Products_Data1(),FertiliserProducts[[#Headers],[Include or Exclude]], 0)</f>
        <v>CoRoN 12-0-10</v>
      </c>
      <c r="H100" s="65" t="str" cm="1">
        <f t="array" ref="H100">Common_InputFunctions.Utility_DisplayArrayInTable(Fertiliser_SourceData.Fertiliser_Products_Data1(),FertiliserProducts[[#Headers],[Include or Exclude]], 0)</f>
        <v>L</v>
      </c>
      <c r="I100" s="65" cm="1">
        <f t="array" ref="I100">Common_InputFunctions.Utility_DisplayArrayInTable(Fertiliser_SourceData.Fertiliser_Products_Data1(),FertiliserProducts[[#Headers],[Include or Exclude]], 0)</f>
        <v>1.2150000000000001</v>
      </c>
      <c r="J100" s="65" t="str" cm="1">
        <f t="array" ref="J100">Common_InputFunctions.Utility_DisplayArrayInTable(Fertiliser_SourceData.Fertiliser_Products_Data1(),FertiliserProducts[[#Headers],[Include or Exclude]], 0)</f>
        <v/>
      </c>
      <c r="K100" s="65" t="str" cm="1">
        <f t="array" ref="K100">Common_InputFunctions.Utility_DisplayArrayInTable(Fertiliser_SourceData.Fertiliser_Products_Data1(),FertiliserProducts[[#Headers],[Include or Exclude]], 0)</f>
        <v/>
      </c>
      <c r="L100" s="65" t="str" cm="1">
        <f t="array" ref="L100">Common_InputFunctions.Utility_DisplayArrayInTable(Fertiliser_SourceData.Fertiliser_Products_Data1(),FertiliserProducts[[#Headers],[Include or Exclude]], 0)</f>
        <v>Urea</v>
      </c>
      <c r="M100" s="10" cm="1">
        <f t="array" ref="M100">Common_InputFunctions.Utility_DisplayArrayInTable(Fertiliser_SourceData.Fertiliser_Products_Data1(),FertiliserProducts[[#Headers],[Include or Exclude]], 0)</f>
        <v>0.19565217400000001</v>
      </c>
      <c r="N100" s="65" t="str" cm="1">
        <f t="array" ref="N100">Common_InputFunctions.Utility_DisplayArrayInTable(Fertiliser_SourceData.Fertiliser_Products_Data1(),FertiliserProducts[[#Headers],[Include or Exclude]], 0)</f>
        <v>Potassium - Generic</v>
      </c>
      <c r="O100" s="65" cm="1">
        <f t="array" ref="O100">Common_InputFunctions.Utility_DisplayArrayInTable(Fertiliser_SourceData.Fertiliser_Products_Data1(),FertiliserProducts[[#Headers],[Include or Exclude]], 0)</f>
        <v>0.1</v>
      </c>
      <c r="P100" s="65" t="str" cm="1">
        <f t="array" ref="P100">Common_InputFunctions.Utility_DisplayArrayInTable(Fertiliser_SourceData.Fertiliser_Products_Data1(),FertiliserProducts[[#Headers],[Include or Exclude]], 0)</f>
        <v>Nitrogen - Generic</v>
      </c>
      <c r="Q100" s="65" cm="1">
        <f t="array" ref="Q100">Common_InputFunctions.Utility_DisplayArrayInTable(Fertiliser_SourceData.Fertiliser_Products_Data1(),FertiliserProducts[[#Headers],[Include or Exclude]], 0)</f>
        <v>0.03</v>
      </c>
      <c r="R100" s="65" t="str" cm="1">
        <f t="array" ref="R100">Common_InputFunctions.Utility_DisplayArrayInTable(Fertiliser_SourceData.Fertiliser_Products_Data1(),FertiliserProducts[[#Headers],[Include or Exclude]], 0)</f>
        <v>Boron</v>
      </c>
      <c r="S100" s="65" cm="1">
        <f t="array" ref="S100">Common_InputFunctions.Utility_DisplayArrayInTable(Fertiliser_SourceData.Fertiliser_Products_Data1(),FertiliserProducts[[#Headers],[Include or Exclude]], 0)</f>
        <v>5.0000000000000001E-3</v>
      </c>
      <c r="T100" s="65" t="str" cm="1">
        <f t="array" ref="T100">Common_InputFunctions.Utility_DisplayArrayInTable(Fertiliser_SourceData.Fertiliser_Products_Data1(),FertiliserProducts[[#Headers],[Include or Exclude]], 0)</f>
        <v/>
      </c>
      <c r="U100" s="65"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4:31" ht="20.100000000000001" customHeight="1" x14ac:dyDescent="0.25">
      <c r="D101" s="65" t="str" cm="1">
        <f t="array" ref="D101">Common_InputFunctions.Utility_DisplayArrayInTable(Fertiliser_SourceData.Fertiliser_Products_Data1(),FertiliserProducts[[#Headers],[Include or Exclude]], 0)</f>
        <v/>
      </c>
      <c r="E101" s="65" t="str" cm="1">
        <f t="array" ref="E101">Common_InputFunctions.Utility_DisplayArrayInTable(Fertiliser_SourceData.Fertiliser_Products_Data1(),FertiliserProducts[[#Headers],[Include or Exclude]], 0)</f>
        <v/>
      </c>
      <c r="F101" s="65" t="str" cm="1">
        <f t="array" ref="F101">Common_InputFunctions.Utility_DisplayArrayInTable(Fertiliser_SourceData.Fertiliser_Products_Data1(),FertiliserProducts[[#Headers],[Include or Exclude]], 0)</f>
        <v/>
      </c>
      <c r="G101" s="65" t="str" cm="1">
        <f t="array" ref="G101">Common_InputFunctions.Utility_DisplayArrayInTable(Fertiliser_SourceData.Fertiliser_Products_Data1(),FertiliserProducts[[#Headers],[Include or Exclude]], 0)</f>
        <v/>
      </c>
      <c r="H101" s="65" t="str" cm="1">
        <f t="array" ref="H101">Common_InputFunctions.Utility_DisplayArrayInTable(Fertiliser_SourceData.Fertiliser_Products_Data1(),FertiliserProducts[[#Headers],[Include or Exclude]], 0)</f>
        <v/>
      </c>
      <c r="I101" s="65" t="str" cm="1">
        <f t="array" ref="I101">Common_InputFunctions.Utility_DisplayArrayInTable(Fertiliser_SourceData.Fertiliser_Products_Data1(),FertiliserProducts[[#Headers],[Include or Exclude]], 0)</f>
        <v/>
      </c>
      <c r="J101" s="65" t="str" cm="1">
        <f t="array" ref="J101">Common_InputFunctions.Utility_DisplayArrayInTable(Fertiliser_SourceData.Fertiliser_Products_Data1(),FertiliserProducts[[#Headers],[Include or Exclude]], 0)</f>
        <v/>
      </c>
      <c r="K101" s="65" t="str" cm="1">
        <f t="array" ref="K101">Common_InputFunctions.Utility_DisplayArrayInTable(Fertiliser_SourceData.Fertiliser_Products_Data1(),FertiliserProducts[[#Headers],[Include or Exclude]], 0)</f>
        <v/>
      </c>
      <c r="L101" s="65"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65" t="str" cm="1">
        <f t="array" ref="N101">Common_InputFunctions.Utility_DisplayArrayInTable(Fertiliser_SourceData.Fertiliser_Products_Data1(),FertiliserProducts[[#Headers],[Include or Exclude]], 0)</f>
        <v/>
      </c>
      <c r="O101" s="65" t="str" cm="1">
        <f t="array" ref="O101">Common_InputFunctions.Utility_DisplayArrayInTable(Fertiliser_SourceData.Fertiliser_Products_Data1(),FertiliserProducts[[#Headers],[Include or Exclude]], 0)</f>
        <v/>
      </c>
      <c r="P101" s="65" t="str" cm="1">
        <f t="array" ref="P101">Common_InputFunctions.Utility_DisplayArrayInTable(Fertiliser_SourceData.Fertiliser_Products_Data1(),FertiliserProducts[[#Headers],[Include or Exclude]], 0)</f>
        <v/>
      </c>
      <c r="Q101" s="65" t="str" cm="1">
        <f t="array" ref="Q101">Common_InputFunctions.Utility_DisplayArrayInTable(Fertiliser_SourceData.Fertiliser_Products_Data1(),FertiliserProducts[[#Headers],[Include or Exclude]], 0)</f>
        <v/>
      </c>
      <c r="R101" s="65" t="str" cm="1">
        <f t="array" ref="R101">Common_InputFunctions.Utility_DisplayArrayInTable(Fertiliser_SourceData.Fertiliser_Products_Data1(),FertiliserProducts[[#Headers],[Include or Exclude]], 0)</f>
        <v/>
      </c>
      <c r="S101" s="65" t="str" cm="1">
        <f t="array" ref="S101">Common_InputFunctions.Utility_DisplayArrayInTable(Fertiliser_SourceData.Fertiliser_Products_Data1(),FertiliserProducts[[#Headers],[Include or Exclude]], 0)</f>
        <v/>
      </c>
      <c r="T101" s="65" t="str" cm="1">
        <f t="array" ref="T101">Common_InputFunctions.Utility_DisplayArrayInTable(Fertiliser_SourceData.Fertiliser_Products_Data1(),FertiliserProducts[[#Headers],[Include or Exclude]], 0)</f>
        <v/>
      </c>
      <c r="U101" s="65"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4:31" ht="20.100000000000001" customHeight="1" x14ac:dyDescent="0.25">
      <c r="D102" s="65" t="str" cm="1">
        <f t="array" ref="D102">Common_InputFunctions.Utility_DisplayArrayInTable(Fertiliser_SourceData.Fertiliser_Products_Data1(),FertiliserProducts[[#Headers],[Include or Exclude]], 0)</f>
        <v/>
      </c>
      <c r="E102" s="65" t="str" cm="1">
        <f t="array" ref="E102">Common_InputFunctions.Utility_DisplayArrayInTable(Fertiliser_SourceData.Fertiliser_Products_Data1(),FertiliserProducts[[#Headers],[Include or Exclude]], 0)</f>
        <v/>
      </c>
      <c r="F102" s="65" t="str" cm="1">
        <f t="array" ref="F102">Common_InputFunctions.Utility_DisplayArrayInTable(Fertiliser_SourceData.Fertiliser_Products_Data1(),FertiliserProducts[[#Headers],[Include or Exclude]], 0)</f>
        <v/>
      </c>
      <c r="G102" s="65" t="str" cm="1">
        <f t="array" ref="G102">Common_InputFunctions.Utility_DisplayArrayInTable(Fertiliser_SourceData.Fertiliser_Products_Data1(),FertiliserProducts[[#Headers],[Include or Exclude]], 0)</f>
        <v/>
      </c>
      <c r="H102" s="65" t="str" cm="1">
        <f t="array" ref="H102">Common_InputFunctions.Utility_DisplayArrayInTable(Fertiliser_SourceData.Fertiliser_Products_Data1(),FertiliserProducts[[#Headers],[Include or Exclude]], 0)</f>
        <v/>
      </c>
      <c r="I102" s="65" t="str" cm="1">
        <f t="array" ref="I102">Common_InputFunctions.Utility_DisplayArrayInTable(Fertiliser_SourceData.Fertiliser_Products_Data1(),FertiliserProducts[[#Headers],[Include or Exclude]], 0)</f>
        <v/>
      </c>
      <c r="J102" s="65" t="str" cm="1">
        <f t="array" ref="J102">Common_InputFunctions.Utility_DisplayArrayInTable(Fertiliser_SourceData.Fertiliser_Products_Data1(),FertiliserProducts[[#Headers],[Include or Exclude]], 0)</f>
        <v/>
      </c>
      <c r="K102" s="65" t="str" cm="1">
        <f t="array" ref="K102">Common_InputFunctions.Utility_DisplayArrayInTable(Fertiliser_SourceData.Fertiliser_Products_Data1(),FertiliserProducts[[#Headers],[Include or Exclude]], 0)</f>
        <v/>
      </c>
      <c r="L102" s="65"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65" t="str" cm="1">
        <f t="array" ref="N102">Common_InputFunctions.Utility_DisplayArrayInTable(Fertiliser_SourceData.Fertiliser_Products_Data1(),FertiliserProducts[[#Headers],[Include or Exclude]], 0)</f>
        <v/>
      </c>
      <c r="O102" s="65" t="str" cm="1">
        <f t="array" ref="O102">Common_InputFunctions.Utility_DisplayArrayInTable(Fertiliser_SourceData.Fertiliser_Products_Data1(),FertiliserProducts[[#Headers],[Include or Exclude]], 0)</f>
        <v/>
      </c>
      <c r="P102" s="65" t="str" cm="1">
        <f t="array" ref="P102">Common_InputFunctions.Utility_DisplayArrayInTable(Fertiliser_SourceData.Fertiliser_Products_Data1(),FertiliserProducts[[#Headers],[Include or Exclude]], 0)</f>
        <v/>
      </c>
      <c r="Q102" s="65" t="str" cm="1">
        <f t="array" ref="Q102">Common_InputFunctions.Utility_DisplayArrayInTable(Fertiliser_SourceData.Fertiliser_Products_Data1(),FertiliserProducts[[#Headers],[Include or Exclude]], 0)</f>
        <v/>
      </c>
      <c r="R102" s="65" t="str" cm="1">
        <f t="array" ref="R102">Common_InputFunctions.Utility_DisplayArrayInTable(Fertiliser_SourceData.Fertiliser_Products_Data1(),FertiliserProducts[[#Headers],[Include or Exclude]], 0)</f>
        <v/>
      </c>
      <c r="S102" s="65" t="str" cm="1">
        <f t="array" ref="S102">Common_InputFunctions.Utility_DisplayArrayInTable(Fertiliser_SourceData.Fertiliser_Products_Data1(),FertiliserProducts[[#Headers],[Include or Exclude]], 0)</f>
        <v/>
      </c>
      <c r="T102" s="65" t="str" cm="1">
        <f t="array" ref="T102">Common_InputFunctions.Utility_DisplayArrayInTable(Fertiliser_SourceData.Fertiliser_Products_Data1(),FertiliserProducts[[#Headers],[Include or Exclude]], 0)</f>
        <v/>
      </c>
      <c r="U102" s="65"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4:31" ht="20.100000000000001" customHeight="1" x14ac:dyDescent="0.25">
      <c r="D103" s="65" t="str" cm="1">
        <f t="array" ref="D103">Common_InputFunctions.Utility_DisplayArrayInTable(Fertiliser_SourceData.Fertiliser_Products_Data1(),FertiliserProducts[[#Headers],[Include or Exclude]], 0)</f>
        <v/>
      </c>
      <c r="E103" s="65" t="str" cm="1">
        <f t="array" ref="E103">Common_InputFunctions.Utility_DisplayArrayInTable(Fertiliser_SourceData.Fertiliser_Products_Data1(),FertiliserProducts[[#Headers],[Include or Exclude]], 0)</f>
        <v/>
      </c>
      <c r="F103" s="65" t="str" cm="1">
        <f t="array" ref="F103">Common_InputFunctions.Utility_DisplayArrayInTable(Fertiliser_SourceData.Fertiliser_Products_Data1(),FertiliserProducts[[#Headers],[Include or Exclude]], 0)</f>
        <v/>
      </c>
      <c r="G103" s="65" t="str" cm="1">
        <f t="array" ref="G103">Common_InputFunctions.Utility_DisplayArrayInTable(Fertiliser_SourceData.Fertiliser_Products_Data1(),FertiliserProducts[[#Headers],[Include or Exclude]], 0)</f>
        <v/>
      </c>
      <c r="H103" s="65" t="str" cm="1">
        <f t="array" ref="H103">Common_InputFunctions.Utility_DisplayArrayInTable(Fertiliser_SourceData.Fertiliser_Products_Data1(),FertiliserProducts[[#Headers],[Include or Exclude]], 0)</f>
        <v/>
      </c>
      <c r="I103" s="65" t="str" cm="1">
        <f t="array" ref="I103">Common_InputFunctions.Utility_DisplayArrayInTable(Fertiliser_SourceData.Fertiliser_Products_Data1(),FertiliserProducts[[#Headers],[Include or Exclude]], 0)</f>
        <v/>
      </c>
      <c r="J103" s="65" t="str" cm="1">
        <f t="array" ref="J103">Common_InputFunctions.Utility_DisplayArrayInTable(Fertiliser_SourceData.Fertiliser_Products_Data1(),FertiliserProducts[[#Headers],[Include or Exclude]], 0)</f>
        <v/>
      </c>
      <c r="K103" s="65" t="str" cm="1">
        <f t="array" ref="K103">Common_InputFunctions.Utility_DisplayArrayInTable(Fertiliser_SourceData.Fertiliser_Products_Data1(),FertiliserProducts[[#Headers],[Include or Exclude]], 0)</f>
        <v/>
      </c>
      <c r="L103" s="65"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65" t="str" cm="1">
        <f t="array" ref="N103">Common_InputFunctions.Utility_DisplayArrayInTable(Fertiliser_SourceData.Fertiliser_Products_Data1(),FertiliserProducts[[#Headers],[Include or Exclude]], 0)</f>
        <v/>
      </c>
      <c r="O103" s="65" t="str" cm="1">
        <f t="array" ref="O103">Common_InputFunctions.Utility_DisplayArrayInTable(Fertiliser_SourceData.Fertiliser_Products_Data1(),FertiliserProducts[[#Headers],[Include or Exclude]], 0)</f>
        <v/>
      </c>
      <c r="P103" s="65" t="str" cm="1">
        <f t="array" ref="P103">Common_InputFunctions.Utility_DisplayArrayInTable(Fertiliser_SourceData.Fertiliser_Products_Data1(),FertiliserProducts[[#Headers],[Include or Exclude]], 0)</f>
        <v/>
      </c>
      <c r="Q103" s="65" t="str" cm="1">
        <f t="array" ref="Q103">Common_InputFunctions.Utility_DisplayArrayInTable(Fertiliser_SourceData.Fertiliser_Products_Data1(),FertiliserProducts[[#Headers],[Include or Exclude]], 0)</f>
        <v/>
      </c>
      <c r="R103" s="65" t="str" cm="1">
        <f t="array" ref="R103">Common_InputFunctions.Utility_DisplayArrayInTable(Fertiliser_SourceData.Fertiliser_Products_Data1(),FertiliserProducts[[#Headers],[Include or Exclude]], 0)</f>
        <v/>
      </c>
      <c r="S103" s="65" t="str" cm="1">
        <f t="array" ref="S103">Common_InputFunctions.Utility_DisplayArrayInTable(Fertiliser_SourceData.Fertiliser_Products_Data1(),FertiliserProducts[[#Headers],[Include or Exclude]], 0)</f>
        <v/>
      </c>
      <c r="T103" s="65" t="str" cm="1">
        <f t="array" ref="T103">Common_InputFunctions.Utility_DisplayArrayInTable(Fertiliser_SourceData.Fertiliser_Products_Data1(),FertiliserProducts[[#Headers],[Include or Exclude]], 0)</f>
        <v/>
      </c>
      <c r="U103" s="65"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4:31" ht="20.100000000000001" customHeight="1" x14ac:dyDescent="0.25">
      <c r="D104" s="65" t="str" cm="1">
        <f t="array" ref="D104">Common_InputFunctions.Utility_DisplayArrayInTable(Fertiliser_SourceData.Fertiliser_Products_Data1(),FertiliserProducts[[#Headers],[Include or Exclude]], 0)</f>
        <v/>
      </c>
      <c r="E104" s="65" t="str" cm="1">
        <f t="array" ref="E104">Common_InputFunctions.Utility_DisplayArrayInTable(Fertiliser_SourceData.Fertiliser_Products_Data1(),FertiliserProducts[[#Headers],[Include or Exclude]], 0)</f>
        <v/>
      </c>
      <c r="F104" s="65" t="str" cm="1">
        <f t="array" ref="F104">Common_InputFunctions.Utility_DisplayArrayInTable(Fertiliser_SourceData.Fertiliser_Products_Data1(),FertiliserProducts[[#Headers],[Include or Exclude]], 0)</f>
        <v/>
      </c>
      <c r="G104" s="65" t="str" cm="1">
        <f t="array" ref="G104">Common_InputFunctions.Utility_DisplayArrayInTable(Fertiliser_SourceData.Fertiliser_Products_Data1(),FertiliserProducts[[#Headers],[Include or Exclude]], 0)</f>
        <v/>
      </c>
      <c r="H104" s="65" t="str" cm="1">
        <f t="array" ref="H104">Common_InputFunctions.Utility_DisplayArrayInTable(Fertiliser_SourceData.Fertiliser_Products_Data1(),FertiliserProducts[[#Headers],[Include or Exclude]], 0)</f>
        <v/>
      </c>
      <c r="I104" s="65" t="str" cm="1">
        <f t="array" ref="I104">Common_InputFunctions.Utility_DisplayArrayInTable(Fertiliser_SourceData.Fertiliser_Products_Data1(),FertiliserProducts[[#Headers],[Include or Exclude]], 0)</f>
        <v/>
      </c>
      <c r="J104" s="65" t="str" cm="1">
        <f t="array" ref="J104">Common_InputFunctions.Utility_DisplayArrayInTable(Fertiliser_SourceData.Fertiliser_Products_Data1(),FertiliserProducts[[#Headers],[Include or Exclude]], 0)</f>
        <v/>
      </c>
      <c r="K104" s="65" t="str" cm="1">
        <f t="array" ref="K104">Common_InputFunctions.Utility_DisplayArrayInTable(Fertiliser_SourceData.Fertiliser_Products_Data1(),FertiliserProducts[[#Headers],[Include or Exclude]], 0)</f>
        <v/>
      </c>
      <c r="L104" s="65" t="str" cm="1">
        <f t="array" ref="L104">Common_InputFunctions.Utility_DisplayArrayInTable(Fertiliser_SourceData.Fertiliser_Products_Data1(),FertiliserProducts[[#Headers],[Include or Exclude]], 0)</f>
        <v/>
      </c>
      <c r="M104" s="10" t="str" cm="1">
        <f t="array" ref="M104">Common_InputFunctions.Utility_DisplayArrayInTable(Fertiliser_SourceData.Fertiliser_Products_Data1(),FertiliserProducts[[#Headers],[Include or Exclude]], 0)</f>
        <v/>
      </c>
      <c r="N104" s="65" t="str" cm="1">
        <f t="array" ref="N104">Common_InputFunctions.Utility_DisplayArrayInTable(Fertiliser_SourceData.Fertiliser_Products_Data1(),FertiliserProducts[[#Headers],[Include or Exclude]], 0)</f>
        <v/>
      </c>
      <c r="O104" s="65" t="str" cm="1">
        <f t="array" ref="O104">Common_InputFunctions.Utility_DisplayArrayInTable(Fertiliser_SourceData.Fertiliser_Products_Data1(),FertiliserProducts[[#Headers],[Include or Exclude]], 0)</f>
        <v/>
      </c>
      <c r="P104" s="65" t="str" cm="1">
        <f t="array" ref="P104">Common_InputFunctions.Utility_DisplayArrayInTable(Fertiliser_SourceData.Fertiliser_Products_Data1(),FertiliserProducts[[#Headers],[Include or Exclude]], 0)</f>
        <v/>
      </c>
      <c r="Q104" s="65" t="str" cm="1">
        <f t="array" ref="Q104">Common_InputFunctions.Utility_DisplayArrayInTable(Fertiliser_SourceData.Fertiliser_Products_Data1(),FertiliserProducts[[#Headers],[Include or Exclude]], 0)</f>
        <v/>
      </c>
      <c r="R104" s="65" t="str" cm="1">
        <f t="array" ref="R104">Common_InputFunctions.Utility_DisplayArrayInTable(Fertiliser_SourceData.Fertiliser_Products_Data1(),FertiliserProducts[[#Headers],[Include or Exclude]], 0)</f>
        <v/>
      </c>
      <c r="S104" s="65" t="str" cm="1">
        <f t="array" ref="S104">Common_InputFunctions.Utility_DisplayArrayInTable(Fertiliser_SourceData.Fertiliser_Products_Data1(),FertiliserProducts[[#Headers],[Include or Exclude]], 0)</f>
        <v/>
      </c>
      <c r="T104" s="65" t="str" cm="1">
        <f t="array" ref="T104">Common_InputFunctions.Utility_DisplayArrayInTable(Fertiliser_SourceData.Fertiliser_Products_Data1(),FertiliserProducts[[#Headers],[Include or Exclude]], 0)</f>
        <v/>
      </c>
      <c r="U104" s="65" t="str" cm="1">
        <f t="array" ref="U104">Common_InputFunctions.Utility_DisplayArrayInTable(Fertiliser_SourceData.Fertiliser_Products_Data1(),FertiliserProducts[[#Headers],[Include or Exclude]], 0)</f>
        <v/>
      </c>
      <c r="V104" s="10" t="str" cm="1">
        <f t="array" ref="V104">Common_InputFunctions.Utility_DisplayArrayInTable(Fertiliser_SourceData.Fertiliser_Products_Data1(),FertiliserProducts[[#Headers],[Include or Exclude]], 0)</f>
        <v/>
      </c>
      <c r="W104" s="10" t="str" cm="1">
        <f t="array" ref="W104">Common_InputFunctions.Utility_DisplayArrayInTable(Fertiliser_SourceData.Fertiliser_Products_Data1(),FertiliserProducts[[#Headers],[Include or Exclude]], 0)</f>
        <v/>
      </c>
      <c r="X104" s="10" t="str" cm="1">
        <f t="array" ref="X104">Common_InputFunctions.Utility_DisplayArrayInTable(Fertiliser_SourceData.Fertiliser_Products_Data1(),FertiliserProducts[[#Headers],[Include or Exclude]], 0)</f>
        <v/>
      </c>
      <c r="Y104" s="10" t="str" cm="1">
        <f t="array" ref="Y104">Common_InputFunctions.Utility_DisplayArrayInTable(Fertiliser_SourceData.Fertiliser_Products_Data1(),FertiliserProducts[[#Headers],[Include or Exclude]], 0)</f>
        <v/>
      </c>
      <c r="Z104" s="10" t="str" cm="1">
        <f t="array" ref="Z104">Common_InputFunctions.Utility_DisplayArrayInTable(Fertiliser_SourceData.Fertiliser_Products_Data1(),FertiliserProducts[[#Headers],[Include or Exclude]], 0)</f>
        <v/>
      </c>
      <c r="AA104" s="10" t="str" cm="1">
        <f t="array" ref="AA104">Common_InputFunctions.Utility_DisplayArrayInTable(Fertiliser_SourceData.Fertiliser_Products_Data1(),FertiliserProducts[[#Headers],[Include or Exclude]], 0)</f>
        <v/>
      </c>
      <c r="AB104" s="10" t="str" cm="1">
        <f t="array" ref="AB104">Common_InputFunctions.Utility_DisplayArrayInTable(Fertiliser_SourceData.Fertiliser_Products_Data1(),FertiliserProducts[[#Headers],[Include or Exclude]], 0)</f>
        <v/>
      </c>
      <c r="AC104" s="10" t="str" cm="1">
        <f t="array" ref="AC104">Common_InputFunctions.Utility_DisplayArrayInTable(Fertiliser_SourceData.Fertiliser_Products_Data1(),FertiliserProducts[[#Headers],[Include or Exclude]], 0)</f>
        <v/>
      </c>
      <c r="AD104" s="10" t="str" cm="1">
        <f t="array" ref="AD104">Common_InputFunctions.Utility_DisplayArrayInTable(Fertiliser_SourceData.Fertiliser_Products_Data1(),FertiliserProducts[[#Headers],[Include or Exclude]], 0)</f>
        <v/>
      </c>
      <c r="AE104" s="10" t="str" cm="1">
        <f t="array" ref="AE104">Common_InputFunctions.Utility_DisplayArrayInTable(Fertiliser_SourceData.Fertiliser_Products_Data1(),FertiliserProducts[[#Headers],[Include or Exclude]], 0)</f>
        <v/>
      </c>
    </row>
    <row r="105" spans="4:31" ht="20.100000000000001" customHeight="1" x14ac:dyDescent="0.25">
      <c r="D105" s="65" t="str" cm="1">
        <f t="array" ref="D105">Common_InputFunctions.Utility_DisplayArrayInTable(Fertiliser_SourceData.Fertiliser_Products_Data1(),FertiliserProducts[[#Headers],[Include or Exclude]], 0)</f>
        <v/>
      </c>
      <c r="E105" s="65" t="str" cm="1">
        <f t="array" ref="E105">Common_InputFunctions.Utility_DisplayArrayInTable(Fertiliser_SourceData.Fertiliser_Products_Data1(),FertiliserProducts[[#Headers],[Include or Exclude]], 0)</f>
        <v/>
      </c>
      <c r="F105" s="65" t="str" cm="1">
        <f t="array" ref="F105">Common_InputFunctions.Utility_DisplayArrayInTable(Fertiliser_SourceData.Fertiliser_Products_Data1(),FertiliserProducts[[#Headers],[Include or Exclude]], 0)</f>
        <v/>
      </c>
      <c r="G105" s="65" t="str" cm="1">
        <f t="array" ref="G105">Common_InputFunctions.Utility_DisplayArrayInTable(Fertiliser_SourceData.Fertiliser_Products_Data1(),FertiliserProducts[[#Headers],[Include or Exclude]], 0)</f>
        <v/>
      </c>
      <c r="H105" s="65" t="str" cm="1">
        <f t="array" ref="H105">Common_InputFunctions.Utility_DisplayArrayInTable(Fertiliser_SourceData.Fertiliser_Products_Data1(),FertiliserProducts[[#Headers],[Include or Exclude]], 0)</f>
        <v/>
      </c>
      <c r="I105" s="65" t="str" cm="1">
        <f t="array" ref="I105">Common_InputFunctions.Utility_DisplayArrayInTable(Fertiliser_SourceData.Fertiliser_Products_Data1(),FertiliserProducts[[#Headers],[Include or Exclude]], 0)</f>
        <v/>
      </c>
      <c r="J105" s="65" t="str" cm="1">
        <f t="array" ref="J105">Common_InputFunctions.Utility_DisplayArrayInTable(Fertiliser_SourceData.Fertiliser_Products_Data1(),FertiliserProducts[[#Headers],[Include or Exclude]], 0)</f>
        <v/>
      </c>
      <c r="K105" s="65" t="str" cm="1">
        <f t="array" ref="K105">Common_InputFunctions.Utility_DisplayArrayInTable(Fertiliser_SourceData.Fertiliser_Products_Data1(),FertiliserProducts[[#Headers],[Include or Exclude]], 0)</f>
        <v/>
      </c>
      <c r="L105" s="65"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65" t="str" cm="1">
        <f t="array" ref="N105">Common_InputFunctions.Utility_DisplayArrayInTable(Fertiliser_SourceData.Fertiliser_Products_Data1(),FertiliserProducts[[#Headers],[Include or Exclude]], 0)</f>
        <v/>
      </c>
      <c r="O105" s="65" t="str" cm="1">
        <f t="array" ref="O105">Common_InputFunctions.Utility_DisplayArrayInTable(Fertiliser_SourceData.Fertiliser_Products_Data1(),FertiliserProducts[[#Headers],[Include or Exclude]], 0)</f>
        <v/>
      </c>
      <c r="P105" s="65" t="str" cm="1">
        <f t="array" ref="P105">Common_InputFunctions.Utility_DisplayArrayInTable(Fertiliser_SourceData.Fertiliser_Products_Data1(),FertiliserProducts[[#Headers],[Include or Exclude]], 0)</f>
        <v/>
      </c>
      <c r="Q105" s="65" t="str" cm="1">
        <f t="array" ref="Q105">Common_InputFunctions.Utility_DisplayArrayInTable(Fertiliser_SourceData.Fertiliser_Products_Data1(),FertiliserProducts[[#Headers],[Include or Exclude]], 0)</f>
        <v/>
      </c>
      <c r="R105" s="65" t="str" cm="1">
        <f t="array" ref="R105">Common_InputFunctions.Utility_DisplayArrayInTable(Fertiliser_SourceData.Fertiliser_Products_Data1(),FertiliserProducts[[#Headers],[Include or Exclude]], 0)</f>
        <v/>
      </c>
      <c r="S105" s="65" t="str" cm="1">
        <f t="array" ref="S105">Common_InputFunctions.Utility_DisplayArrayInTable(Fertiliser_SourceData.Fertiliser_Products_Data1(),FertiliserProducts[[#Headers],[Include or Exclude]], 0)</f>
        <v/>
      </c>
      <c r="T105" s="65" t="str" cm="1">
        <f t="array" ref="T105">Common_InputFunctions.Utility_DisplayArrayInTable(Fertiliser_SourceData.Fertiliser_Products_Data1(),FertiliserProducts[[#Headers],[Include or Exclude]], 0)</f>
        <v/>
      </c>
      <c r="U105" s="65"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4:31" ht="20.100000000000001" customHeight="1" x14ac:dyDescent="0.25">
      <c r="D106" s="65" t="str" cm="1">
        <f t="array" ref="D106">Common_InputFunctions.Utility_DisplayArrayInTable(Fertiliser_SourceData.Fertiliser_Products_Data1(),FertiliserProducts[[#Headers],[Include or Exclude]], 0)</f>
        <v/>
      </c>
      <c r="E106" s="65" t="str" cm="1">
        <f t="array" ref="E106">Common_InputFunctions.Utility_DisplayArrayInTable(Fertiliser_SourceData.Fertiliser_Products_Data1(),FertiliserProducts[[#Headers],[Include or Exclude]], 0)</f>
        <v/>
      </c>
      <c r="F106" s="65" t="str" cm="1">
        <f t="array" ref="F106">Common_InputFunctions.Utility_DisplayArrayInTable(Fertiliser_SourceData.Fertiliser_Products_Data1(),FertiliserProducts[[#Headers],[Include or Exclude]], 0)</f>
        <v/>
      </c>
      <c r="G106" s="65" t="str" cm="1">
        <f t="array" ref="G106">Common_InputFunctions.Utility_DisplayArrayInTable(Fertiliser_SourceData.Fertiliser_Products_Data1(),FertiliserProducts[[#Headers],[Include or Exclude]], 0)</f>
        <v/>
      </c>
      <c r="H106" s="65" t="str" cm="1">
        <f t="array" ref="H106">Common_InputFunctions.Utility_DisplayArrayInTable(Fertiliser_SourceData.Fertiliser_Products_Data1(),FertiliserProducts[[#Headers],[Include or Exclude]], 0)</f>
        <v/>
      </c>
      <c r="I106" s="65" t="str" cm="1">
        <f t="array" ref="I106">Common_InputFunctions.Utility_DisplayArrayInTable(Fertiliser_SourceData.Fertiliser_Products_Data1(),FertiliserProducts[[#Headers],[Include or Exclude]], 0)</f>
        <v/>
      </c>
      <c r="J106" s="65" t="str" cm="1">
        <f t="array" ref="J106">Common_InputFunctions.Utility_DisplayArrayInTable(Fertiliser_SourceData.Fertiliser_Products_Data1(),FertiliserProducts[[#Headers],[Include or Exclude]], 0)</f>
        <v/>
      </c>
      <c r="K106" s="65" t="str" cm="1">
        <f t="array" ref="K106">Common_InputFunctions.Utility_DisplayArrayInTable(Fertiliser_SourceData.Fertiliser_Products_Data1(),FertiliserProducts[[#Headers],[Include or Exclude]], 0)</f>
        <v/>
      </c>
      <c r="L106" s="65"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65" t="str" cm="1">
        <f t="array" ref="N106">Common_InputFunctions.Utility_DisplayArrayInTable(Fertiliser_SourceData.Fertiliser_Products_Data1(),FertiliserProducts[[#Headers],[Include or Exclude]], 0)</f>
        <v/>
      </c>
      <c r="O106" s="65" t="str" cm="1">
        <f t="array" ref="O106">Common_InputFunctions.Utility_DisplayArrayInTable(Fertiliser_SourceData.Fertiliser_Products_Data1(),FertiliserProducts[[#Headers],[Include or Exclude]], 0)</f>
        <v/>
      </c>
      <c r="P106" s="65" t="str" cm="1">
        <f t="array" ref="P106">Common_InputFunctions.Utility_DisplayArrayInTable(Fertiliser_SourceData.Fertiliser_Products_Data1(),FertiliserProducts[[#Headers],[Include or Exclude]], 0)</f>
        <v/>
      </c>
      <c r="Q106" s="65" t="str" cm="1">
        <f t="array" ref="Q106">Common_InputFunctions.Utility_DisplayArrayInTable(Fertiliser_SourceData.Fertiliser_Products_Data1(),FertiliserProducts[[#Headers],[Include or Exclude]], 0)</f>
        <v/>
      </c>
      <c r="R106" s="65" t="str" cm="1">
        <f t="array" ref="R106">Common_InputFunctions.Utility_DisplayArrayInTable(Fertiliser_SourceData.Fertiliser_Products_Data1(),FertiliserProducts[[#Headers],[Include or Exclude]], 0)</f>
        <v/>
      </c>
      <c r="S106" s="65" t="str" cm="1">
        <f t="array" ref="S106">Common_InputFunctions.Utility_DisplayArrayInTable(Fertiliser_SourceData.Fertiliser_Products_Data1(),FertiliserProducts[[#Headers],[Include or Exclude]], 0)</f>
        <v/>
      </c>
      <c r="T106" s="65" t="str" cm="1">
        <f t="array" ref="T106">Common_InputFunctions.Utility_DisplayArrayInTable(Fertiliser_SourceData.Fertiliser_Products_Data1(),FertiliserProducts[[#Headers],[Include or Exclude]], 0)</f>
        <v/>
      </c>
      <c r="U106" s="65"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4:31" ht="20.100000000000001" customHeight="1" x14ac:dyDescent="0.25">
      <c r="D107" s="65" t="str" cm="1">
        <f t="array" ref="D107">Common_InputFunctions.Utility_DisplayArrayInTable(Fertiliser_SourceData.Fertiliser_Products_Data1(),FertiliserProducts[[#Headers],[Include or Exclude]], 0)</f>
        <v/>
      </c>
      <c r="E107" s="65" t="str" cm="1">
        <f t="array" ref="E107">Common_InputFunctions.Utility_DisplayArrayInTable(Fertiliser_SourceData.Fertiliser_Products_Data1(),FertiliserProducts[[#Headers],[Include or Exclude]], 0)</f>
        <v/>
      </c>
      <c r="F107" s="65" t="str" cm="1">
        <f t="array" ref="F107">Common_InputFunctions.Utility_DisplayArrayInTable(Fertiliser_SourceData.Fertiliser_Products_Data1(),FertiliserProducts[[#Headers],[Include or Exclude]], 0)</f>
        <v/>
      </c>
      <c r="G107" s="65" t="str" cm="1">
        <f t="array" ref="G107">Common_InputFunctions.Utility_DisplayArrayInTable(Fertiliser_SourceData.Fertiliser_Products_Data1(),FertiliserProducts[[#Headers],[Include or Exclude]], 0)</f>
        <v/>
      </c>
      <c r="H107" s="65" t="str" cm="1">
        <f t="array" ref="H107">Common_InputFunctions.Utility_DisplayArrayInTable(Fertiliser_SourceData.Fertiliser_Products_Data1(),FertiliserProducts[[#Headers],[Include or Exclude]], 0)</f>
        <v/>
      </c>
      <c r="I107" s="65" t="str" cm="1">
        <f t="array" ref="I107">Common_InputFunctions.Utility_DisplayArrayInTable(Fertiliser_SourceData.Fertiliser_Products_Data1(),FertiliserProducts[[#Headers],[Include or Exclude]], 0)</f>
        <v/>
      </c>
      <c r="J107" s="65" t="str" cm="1">
        <f t="array" ref="J107">Common_InputFunctions.Utility_DisplayArrayInTable(Fertiliser_SourceData.Fertiliser_Products_Data1(),FertiliserProducts[[#Headers],[Include or Exclude]], 0)</f>
        <v/>
      </c>
      <c r="K107" s="65" t="str" cm="1">
        <f t="array" ref="K107">Common_InputFunctions.Utility_DisplayArrayInTable(Fertiliser_SourceData.Fertiliser_Products_Data1(),FertiliserProducts[[#Headers],[Include or Exclude]], 0)</f>
        <v/>
      </c>
      <c r="L107" s="65"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65" t="str" cm="1">
        <f t="array" ref="N107">Common_InputFunctions.Utility_DisplayArrayInTable(Fertiliser_SourceData.Fertiliser_Products_Data1(),FertiliserProducts[[#Headers],[Include or Exclude]], 0)</f>
        <v/>
      </c>
      <c r="O107" s="65" t="str" cm="1">
        <f t="array" ref="O107">Common_InputFunctions.Utility_DisplayArrayInTable(Fertiliser_SourceData.Fertiliser_Products_Data1(),FertiliserProducts[[#Headers],[Include or Exclude]], 0)</f>
        <v/>
      </c>
      <c r="P107" s="65" t="str" cm="1">
        <f t="array" ref="P107">Common_InputFunctions.Utility_DisplayArrayInTable(Fertiliser_SourceData.Fertiliser_Products_Data1(),FertiliserProducts[[#Headers],[Include or Exclude]], 0)</f>
        <v/>
      </c>
      <c r="Q107" s="65" t="str" cm="1">
        <f t="array" ref="Q107">Common_InputFunctions.Utility_DisplayArrayInTable(Fertiliser_SourceData.Fertiliser_Products_Data1(),FertiliserProducts[[#Headers],[Include or Exclude]], 0)</f>
        <v/>
      </c>
      <c r="R107" s="65" t="str" cm="1">
        <f t="array" ref="R107">Common_InputFunctions.Utility_DisplayArrayInTable(Fertiliser_SourceData.Fertiliser_Products_Data1(),FertiliserProducts[[#Headers],[Include or Exclude]], 0)</f>
        <v/>
      </c>
      <c r="S107" s="65" t="str" cm="1">
        <f t="array" ref="S107">Common_InputFunctions.Utility_DisplayArrayInTable(Fertiliser_SourceData.Fertiliser_Products_Data1(),FertiliserProducts[[#Headers],[Include or Exclude]], 0)</f>
        <v/>
      </c>
      <c r="T107" s="65" t="str" cm="1">
        <f t="array" ref="T107">Common_InputFunctions.Utility_DisplayArrayInTable(Fertiliser_SourceData.Fertiliser_Products_Data1(),FertiliserProducts[[#Headers],[Include or Exclude]], 0)</f>
        <v/>
      </c>
      <c r="U107" s="65"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4:31" ht="20.100000000000001" customHeight="1" x14ac:dyDescent="0.25">
      <c r="D108" s="65" t="str" cm="1">
        <f t="array" ref="D108">Common_InputFunctions.Utility_DisplayArrayInTable(Fertiliser_SourceData.Fertiliser_Products_Data1(),FertiliserProducts[[#Headers],[Include or Exclude]], 0)</f>
        <v/>
      </c>
      <c r="E108" s="65" t="str" cm="1">
        <f t="array" ref="E108">Common_InputFunctions.Utility_DisplayArrayInTable(Fertiliser_SourceData.Fertiliser_Products_Data1(),FertiliserProducts[[#Headers],[Include or Exclude]], 0)</f>
        <v/>
      </c>
      <c r="F108" s="65" t="str" cm="1">
        <f t="array" ref="F108">Common_InputFunctions.Utility_DisplayArrayInTable(Fertiliser_SourceData.Fertiliser_Products_Data1(),FertiliserProducts[[#Headers],[Include or Exclude]], 0)</f>
        <v/>
      </c>
      <c r="G108" s="65" t="str" cm="1">
        <f t="array" ref="G108">Common_InputFunctions.Utility_DisplayArrayInTable(Fertiliser_SourceData.Fertiliser_Products_Data1(),FertiliserProducts[[#Headers],[Include or Exclude]], 0)</f>
        <v/>
      </c>
      <c r="H108" s="65" t="str" cm="1">
        <f t="array" ref="H108">Common_InputFunctions.Utility_DisplayArrayInTable(Fertiliser_SourceData.Fertiliser_Products_Data1(),FertiliserProducts[[#Headers],[Include or Exclude]], 0)</f>
        <v/>
      </c>
      <c r="I108" s="65" t="str" cm="1">
        <f t="array" ref="I108">Common_InputFunctions.Utility_DisplayArrayInTable(Fertiliser_SourceData.Fertiliser_Products_Data1(),FertiliserProducts[[#Headers],[Include or Exclude]], 0)</f>
        <v/>
      </c>
      <c r="J108" s="65" t="str" cm="1">
        <f t="array" ref="J108">Common_InputFunctions.Utility_DisplayArrayInTable(Fertiliser_SourceData.Fertiliser_Products_Data1(),FertiliserProducts[[#Headers],[Include or Exclude]], 0)</f>
        <v/>
      </c>
      <c r="K108" s="65" t="str" cm="1">
        <f t="array" ref="K108">Common_InputFunctions.Utility_DisplayArrayInTable(Fertiliser_SourceData.Fertiliser_Products_Data1(),FertiliserProducts[[#Headers],[Include or Exclude]], 0)</f>
        <v/>
      </c>
      <c r="L108" s="65"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65" t="str" cm="1">
        <f t="array" ref="N108">Common_InputFunctions.Utility_DisplayArrayInTable(Fertiliser_SourceData.Fertiliser_Products_Data1(),FertiliserProducts[[#Headers],[Include or Exclude]], 0)</f>
        <v/>
      </c>
      <c r="O108" s="65" t="str" cm="1">
        <f t="array" ref="O108">Common_InputFunctions.Utility_DisplayArrayInTable(Fertiliser_SourceData.Fertiliser_Products_Data1(),FertiliserProducts[[#Headers],[Include or Exclude]], 0)</f>
        <v/>
      </c>
      <c r="P108" s="65" t="str" cm="1">
        <f t="array" ref="P108">Common_InputFunctions.Utility_DisplayArrayInTable(Fertiliser_SourceData.Fertiliser_Products_Data1(),FertiliserProducts[[#Headers],[Include or Exclude]], 0)</f>
        <v/>
      </c>
      <c r="Q108" s="65" t="str" cm="1">
        <f t="array" ref="Q108">Common_InputFunctions.Utility_DisplayArrayInTable(Fertiliser_SourceData.Fertiliser_Products_Data1(),FertiliserProducts[[#Headers],[Include or Exclude]], 0)</f>
        <v/>
      </c>
      <c r="R108" s="65" t="str" cm="1">
        <f t="array" ref="R108">Common_InputFunctions.Utility_DisplayArrayInTable(Fertiliser_SourceData.Fertiliser_Products_Data1(),FertiliserProducts[[#Headers],[Include or Exclude]], 0)</f>
        <v/>
      </c>
      <c r="S108" s="65" t="str" cm="1">
        <f t="array" ref="S108">Common_InputFunctions.Utility_DisplayArrayInTable(Fertiliser_SourceData.Fertiliser_Products_Data1(),FertiliserProducts[[#Headers],[Include or Exclude]], 0)</f>
        <v/>
      </c>
      <c r="T108" s="65" t="str" cm="1">
        <f t="array" ref="T108">Common_InputFunctions.Utility_DisplayArrayInTable(Fertiliser_SourceData.Fertiliser_Products_Data1(),FertiliserProducts[[#Headers],[Include or Exclude]], 0)</f>
        <v/>
      </c>
      <c r="U108" s="65" t="str" cm="1">
        <f t="array" ref="U108">Common_InputFunctions.Utility_DisplayArrayInTable(Fertiliser_SourceData.Fertiliser_Products_Data1(),FertiliserProducts[[#Headers],[Include or Exclude]], 0)</f>
        <v/>
      </c>
      <c r="V108" s="10" t="str" cm="1">
        <f t="array" ref="V108">Common_InputFunctions.Utility_DisplayArrayInTable(Fertiliser_SourceData.Fertiliser_Products_Data1(),FertiliserProducts[[#Headers],[Include or Exclude]], 0)</f>
        <v/>
      </c>
      <c r="W108" s="10" t="str" cm="1">
        <f t="array" ref="W108">Common_InputFunctions.Utility_DisplayArrayInTable(Fertiliser_SourceData.Fertiliser_Products_Data1(),FertiliserProducts[[#Headers],[Include or Exclude]], 0)</f>
        <v/>
      </c>
      <c r="X108" s="10" t="str" cm="1">
        <f t="array" ref="X108">Common_InputFunctions.Utility_DisplayArrayInTable(Fertiliser_SourceData.Fertiliser_Products_Data1(),FertiliserProducts[[#Headers],[Include or Exclude]], 0)</f>
        <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4:31" ht="20.100000000000001" customHeight="1" x14ac:dyDescent="0.25">
      <c r="D109" s="65" t="str" cm="1">
        <f t="array" ref="D109">Common_InputFunctions.Utility_DisplayArrayInTable(Fertiliser_SourceData.Fertiliser_Products_Data2(),FertiliserProducts[[#Headers],[Include or Exclude]], 20)</f>
        <v>Product</v>
      </c>
      <c r="E109" s="65" t="str" cm="1">
        <f t="array" ref="E109">Common_InputFunctions.Utility_DisplayArrayInTable(Fertiliser_SourceData.Fertiliser_Products_Data2(),FertiliserProducts[[#Headers],[Include or Exclude]], 20)</f>
        <v>Ingredient 1</v>
      </c>
      <c r="F109" s="65" t="str" cm="1">
        <f t="array" ref="F109">Common_InputFunctions.Utility_DisplayArrayInTable(Fertiliser_SourceData.Fertiliser_Products_Data2(),FertiliserProducts[[#Headers],[Include or Exclude]], 20)</f>
        <v>Ingredient 1 percent</v>
      </c>
      <c r="G109" s="65" t="str" cm="1">
        <f t="array" ref="G109">Common_InputFunctions.Utility_DisplayArrayInTable(Fertiliser_SourceData.Fertiliser_Products_Data2(),FertiliserProducts[[#Headers],[Include or Exclude]], 20)</f>
        <v>Ingredient 1 source</v>
      </c>
      <c r="H109" s="65" t="str" cm="1">
        <f t="array" ref="H109">Common_InputFunctions.Utility_DisplayArrayInTable(Fertiliser_SourceData.Fertiliser_Products_Data2(),FertiliserProducts[[#Headers],[Include or Exclude]], 20)</f>
        <v>Ingredient 2</v>
      </c>
      <c r="I109" s="65" t="str" cm="1">
        <f t="array" ref="I109">Common_InputFunctions.Utility_DisplayArrayInTable(Fertiliser_SourceData.Fertiliser_Products_Data2(),FertiliserProducts[[#Headers],[Include or Exclude]], 20)</f>
        <v>Ingredient 2 percent</v>
      </c>
      <c r="J109" s="65" t="str" cm="1">
        <f t="array" ref="J109">Common_InputFunctions.Utility_DisplayArrayInTable(Fertiliser_SourceData.Fertiliser_Products_Data2(),FertiliserProducts[[#Headers],[Include or Exclude]], 20)</f>
        <v>Ingredient 2 source</v>
      </c>
      <c r="K109" s="65" t="str" cm="1">
        <f t="array" ref="K109">Common_InputFunctions.Utility_DisplayArrayInTable(Fertiliser_SourceData.Fertiliser_Products_Data2(),FertiliserProducts[[#Headers],[Include or Exclude]], 20)</f>
        <v>Ingredient 3</v>
      </c>
      <c r="L109" s="65" t="str" cm="1">
        <f t="array" ref="L109">Common_InputFunctions.Utility_DisplayArrayInTable(Fertiliser_SourceData.Fertiliser_Products_Data2(),FertiliserProducts[[#Headers],[Include or Exclude]], 20)</f>
        <v>Ingredient 3 percent</v>
      </c>
      <c r="M109" s="65" t="str" cm="1">
        <f t="array" ref="M109">Common_InputFunctions.Utility_DisplayArrayInTable(Fertiliser_SourceData.Fertiliser_Products_Data2(),FertiliserProducts[[#Headers],[Include or Exclude]], 20)</f>
        <v>Ingredient 3 source</v>
      </c>
      <c r="N109" s="65" t="str" cm="1">
        <f t="array" ref="N109">Common_InputFunctions.Utility_DisplayArrayInTable(Fertiliser_SourceData.Fertiliser_Products_Data2(),FertiliserProducts[[#Headers],[Include or Exclude]], 20)</f>
        <v>Ingredient 4</v>
      </c>
      <c r="O109" s="65" t="str" cm="1">
        <f t="array" ref="O109">Common_InputFunctions.Utility_DisplayArrayInTable(Fertiliser_SourceData.Fertiliser_Products_Data2(),FertiliserProducts[[#Headers],[Include or Exclude]], 20)</f>
        <v>Ingredient 4 percent</v>
      </c>
      <c r="P109" s="65" t="str" cm="1">
        <f t="array" ref="P109">Common_InputFunctions.Utility_DisplayArrayInTable(Fertiliser_SourceData.Fertiliser_Products_Data2(),FertiliserProducts[[#Headers],[Include or Exclude]], 20)</f>
        <v>Ingredient 4 source</v>
      </c>
      <c r="Q109" s="65" t="str" cm="1">
        <f t="array" ref="Q109">Common_InputFunctions.Utility_DisplayArrayInTable(Fertiliser_SourceData.Fertiliser_Products_Data2(),FertiliserProducts[[#Headers],[Include or Exclude]], 20)</f>
        <v>Ingredient 5</v>
      </c>
      <c r="R109" s="65" t="str" cm="1">
        <f t="array" ref="R109">Common_InputFunctions.Utility_DisplayArrayInTable(Fertiliser_SourceData.Fertiliser_Products_Data2(),FertiliserProducts[[#Headers],[Include or Exclude]], 20)</f>
        <v>Ingredient 5 percent</v>
      </c>
      <c r="S109" s="65" t="str" cm="1">
        <f t="array" ref="S109">Common_InputFunctions.Utility_DisplayArrayInTable(Fertiliser_SourceData.Fertiliser_Products_Data2(),FertiliserProducts[[#Headers],[Include or Exclude]], 20)</f>
        <v>Ingredient 5 source</v>
      </c>
      <c r="T109" s="65" t="str" cm="1">
        <f t="array" ref="T109">Common_InputFunctions.Utility_DisplayArrayInTable(Fertiliser_SourceData.Fertiliser_Products_Data2(),FertiliserProducts[[#Headers],[Include or Exclude]], 20)</f>
        <v>Ingredient 6</v>
      </c>
      <c r="U109" s="65" t="str" cm="1">
        <f t="array" ref="U109">Common_InputFunctions.Utility_DisplayArrayInTable(Fertiliser_SourceData.Fertiliser_Products_Data2(),FertiliserProducts[[#Headers],[Include or Exclude]], 20)</f>
        <v>Ingredient 6 percent</v>
      </c>
      <c r="V109" s="65" t="str" cm="1">
        <f t="array" ref="V109">Common_InputFunctions.Utility_DisplayArrayInTable(Fertiliser_SourceData.Fertiliser_Products_Data2(),FertiliserProducts[[#Headers],[Include or Exclude]], 20)</f>
        <v>Ingredient 6 source</v>
      </c>
      <c r="W109" s="65" t="str" cm="1">
        <f t="array" ref="W109">Common_InputFunctions.Utility_DisplayArrayInTable(Fertiliser_SourceData.Fertiliser_Products_Data2(),FertiliserProducts[[#Headers],[Include or Exclude]], 20)</f>
        <v>Product info link</v>
      </c>
      <c r="X109" s="65" t="str" cm="1">
        <f t="array" ref="X109">Common_InputFunctions.Utility_DisplayArrayInTable(Fertiliser_SourceData.Fertiliser_Products_Data2(),FertiliserProducts[[#Headers],[Include or Exclude]], 20)</f>
        <v/>
      </c>
      <c r="Y109" s="65" t="str" cm="1">
        <f t="array" ref="Y109">Common_InputFunctions.Utility_DisplayArrayInTable(Fertiliser_SourceData.Fertiliser_Products_Data2(),FertiliserProducts[[#Headers],[Include or Exclude]], 20)</f>
        <v/>
      </c>
      <c r="Z109" s="65"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4:31" ht="20.100000000000001" customHeight="1" x14ac:dyDescent="0.25">
      <c r="D110" s="65" t="str" cm="1">
        <f t="array" ref="D110">Common_InputFunctions.Utility_DisplayArrayInTable(Fertiliser_SourceData.Fertiliser_Products_Data2(),FertiliserProducts[[#Headers],[Include or Exclude]], 20)</f>
        <v>Manganese Sulphate</v>
      </c>
      <c r="E110" s="65" t="str" cm="1">
        <f t="array" ref="E110">Common_InputFunctions.Utility_DisplayArrayInTable(Fertiliser_SourceData.Fertiliser_Products_Data2(),FertiliserProducts[[#Headers],[Include or Exclude]], 20)</f>
        <v/>
      </c>
      <c r="F110" s="65" t="str" cm="1">
        <f t="array" ref="F110">Common_InputFunctions.Utility_DisplayArrayInTable(Fertiliser_SourceData.Fertiliser_Products_Data2(),FertiliserProducts[[#Headers],[Include or Exclude]], 20)</f>
        <v/>
      </c>
      <c r="G110" s="65" t="str" cm="1">
        <f t="array" ref="G110">Common_InputFunctions.Utility_DisplayArrayInTable(Fertiliser_SourceData.Fertiliser_Products_Data2(),FertiliserProducts[[#Headers],[Include or Exclude]], 20)</f>
        <v/>
      </c>
      <c r="H110" s="65" t="str" cm="1">
        <f t="array" ref="H110">Common_InputFunctions.Utility_DisplayArrayInTable(Fertiliser_SourceData.Fertiliser_Products_Data2(),FertiliserProducts[[#Headers],[Include or Exclude]], 20)</f>
        <v/>
      </c>
      <c r="I110" s="65" t="str" cm="1">
        <f t="array" ref="I110">Common_InputFunctions.Utility_DisplayArrayInTable(Fertiliser_SourceData.Fertiliser_Products_Data2(),FertiliserProducts[[#Headers],[Include or Exclude]], 20)</f>
        <v/>
      </c>
      <c r="J110" s="65" t="str" cm="1">
        <f t="array" ref="J110">Common_InputFunctions.Utility_DisplayArrayInTable(Fertiliser_SourceData.Fertiliser_Products_Data2(),FertiliserProducts[[#Headers],[Include or Exclude]], 20)</f>
        <v/>
      </c>
      <c r="K110" s="65" t="str" cm="1">
        <f t="array" ref="K110">Common_InputFunctions.Utility_DisplayArrayInTable(Fertiliser_SourceData.Fertiliser_Products_Data2(),FertiliserProducts[[#Headers],[Include or Exclude]], 20)</f>
        <v/>
      </c>
      <c r="L110" s="65" t="str" cm="1">
        <f t="array" ref="L110">Common_InputFunctions.Utility_DisplayArrayInTable(Fertiliser_SourceData.Fertiliser_Products_Data2(),FertiliserProducts[[#Headers],[Include or Exclude]], 20)</f>
        <v/>
      </c>
      <c r="M110" s="65" t="str" cm="1">
        <f t="array" ref="M110">Common_InputFunctions.Utility_DisplayArrayInTable(Fertiliser_SourceData.Fertiliser_Products_Data2(),FertiliserProducts[[#Headers],[Include or Exclude]], 20)</f>
        <v/>
      </c>
      <c r="N110" s="65" t="str" cm="1">
        <f t="array" ref="N110">Common_InputFunctions.Utility_DisplayArrayInTable(Fertiliser_SourceData.Fertiliser_Products_Data2(),FertiliserProducts[[#Headers],[Include or Exclude]], 20)</f>
        <v/>
      </c>
      <c r="O110" s="65" t="str" cm="1">
        <f t="array" ref="O110">Common_InputFunctions.Utility_DisplayArrayInTable(Fertiliser_SourceData.Fertiliser_Products_Data2(),FertiliserProducts[[#Headers],[Include or Exclude]], 20)</f>
        <v/>
      </c>
      <c r="P110" s="65" t="str" cm="1">
        <f t="array" ref="P110">Common_InputFunctions.Utility_DisplayArrayInTable(Fertiliser_SourceData.Fertiliser_Products_Data2(),FertiliserProducts[[#Headers],[Include or Exclude]], 20)</f>
        <v/>
      </c>
      <c r="Q110" s="65" t="str" cm="1">
        <f t="array" ref="Q110">Common_InputFunctions.Utility_DisplayArrayInTable(Fertiliser_SourceData.Fertiliser_Products_Data2(),FertiliserProducts[[#Headers],[Include or Exclude]], 20)</f>
        <v/>
      </c>
      <c r="R110" s="65" t="str" cm="1">
        <f t="array" ref="R110">Common_InputFunctions.Utility_DisplayArrayInTable(Fertiliser_SourceData.Fertiliser_Products_Data2(),FertiliserProducts[[#Headers],[Include or Exclude]], 20)</f>
        <v/>
      </c>
      <c r="S110" s="65" t="str" cm="1">
        <f t="array" ref="S110">Common_InputFunctions.Utility_DisplayArrayInTable(Fertiliser_SourceData.Fertiliser_Products_Data2(),FertiliserProducts[[#Headers],[Include or Exclude]], 20)</f>
        <v/>
      </c>
      <c r="T110" s="65" t="str" cm="1">
        <f t="array" ref="T110">Common_InputFunctions.Utility_DisplayArrayInTable(Fertiliser_SourceData.Fertiliser_Products_Data2(),FertiliserProducts[[#Headers],[Include or Exclude]], 20)</f>
        <v/>
      </c>
      <c r="U110" s="65" t="str" cm="1">
        <f t="array" ref="U110">Common_InputFunctions.Utility_DisplayArrayInTable(Fertiliser_SourceData.Fertiliser_Products_Data2(),FertiliserProducts[[#Headers],[Include or Exclude]], 20)</f>
        <v/>
      </c>
      <c r="V110" s="65" t="str" cm="1">
        <f t="array" ref="V110">Common_InputFunctions.Utility_DisplayArrayInTable(Fertiliser_SourceData.Fertiliser_Products_Data2(),FertiliserProducts[[#Headers],[Include or Exclude]], 20)</f>
        <v/>
      </c>
      <c r="W110" s="65" t="str" cm="1">
        <f t="array" ref="W110">Common_InputFunctions.Utility_DisplayArrayInTable(Fertiliser_SourceData.Fertiliser_Products_Data2(),FertiliserProducts[[#Headers],[Include or Exclude]], 20)</f>
        <v>Incitec Pivot Fertilisers</v>
      </c>
      <c r="X110" s="65" t="str" cm="1">
        <f t="array" ref="X110">Common_InputFunctions.Utility_DisplayArrayInTable(Fertiliser_SourceData.Fertiliser_Products_Data2(),FertiliserProducts[[#Headers],[Include or Exclude]], 20)</f>
        <v/>
      </c>
      <c r="Y110" s="65" t="str" cm="1">
        <f t="array" ref="Y110">Common_InputFunctions.Utility_DisplayArrayInTable(Fertiliser_SourceData.Fertiliser_Products_Data2(),FertiliserProducts[[#Headers],[Include or Exclude]], 20)</f>
        <v/>
      </c>
      <c r="Z110" s="65"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4:31" ht="20.100000000000001" customHeight="1" x14ac:dyDescent="0.25">
      <c r="D111" s="65" t="str" cm="1">
        <f t="array" ref="D111">Common_InputFunctions.Utility_DisplayArrayInTable(Fertiliser_SourceData.Fertiliser_Products_Data2(),FertiliserProducts[[#Headers],[Include or Exclude]], 20)</f>
        <v>MAP</v>
      </c>
      <c r="E111" s="65" t="str" cm="1">
        <f t="array" ref="E111">Common_InputFunctions.Utility_DisplayArrayInTable(Fertiliser_SourceData.Fertiliser_Products_Data2(),FertiliserProducts[[#Headers],[Include or Exclude]], 20)</f>
        <v/>
      </c>
      <c r="F111" s="65" t="str" cm="1">
        <f t="array" ref="F111">Common_InputFunctions.Utility_DisplayArrayInTable(Fertiliser_SourceData.Fertiliser_Products_Data2(),FertiliserProducts[[#Headers],[Include or Exclude]], 20)</f>
        <v/>
      </c>
      <c r="G111" s="65" t="str" cm="1">
        <f t="array" ref="G111">Common_InputFunctions.Utility_DisplayArrayInTable(Fertiliser_SourceData.Fertiliser_Products_Data2(),FertiliserProducts[[#Headers],[Include or Exclude]], 20)</f>
        <v/>
      </c>
      <c r="H111" s="65" t="str" cm="1">
        <f t="array" ref="H111">Common_InputFunctions.Utility_DisplayArrayInTable(Fertiliser_SourceData.Fertiliser_Products_Data2(),FertiliserProducts[[#Headers],[Include or Exclude]], 20)</f>
        <v/>
      </c>
      <c r="I111" s="65" t="str" cm="1">
        <f t="array" ref="I111">Common_InputFunctions.Utility_DisplayArrayInTable(Fertiliser_SourceData.Fertiliser_Products_Data2(),FertiliserProducts[[#Headers],[Include or Exclude]], 20)</f>
        <v/>
      </c>
      <c r="J111" s="65" t="str" cm="1">
        <f t="array" ref="J111">Common_InputFunctions.Utility_DisplayArrayInTable(Fertiliser_SourceData.Fertiliser_Products_Data2(),FertiliserProducts[[#Headers],[Include or Exclude]], 20)</f>
        <v/>
      </c>
      <c r="K111" s="65" t="str" cm="1">
        <f t="array" ref="K111">Common_InputFunctions.Utility_DisplayArrayInTable(Fertiliser_SourceData.Fertiliser_Products_Data2(),FertiliserProducts[[#Headers],[Include or Exclude]], 20)</f>
        <v/>
      </c>
      <c r="L111" s="65" t="str" cm="1">
        <f t="array" ref="L111">Common_InputFunctions.Utility_DisplayArrayInTable(Fertiliser_SourceData.Fertiliser_Products_Data2(),FertiliserProducts[[#Headers],[Include or Exclude]], 20)</f>
        <v/>
      </c>
      <c r="M111" s="65" t="str" cm="1">
        <f t="array" ref="M111">Common_InputFunctions.Utility_DisplayArrayInTable(Fertiliser_SourceData.Fertiliser_Products_Data2(),FertiliserProducts[[#Headers],[Include or Exclude]], 20)</f>
        <v/>
      </c>
      <c r="N111" s="65" t="str" cm="1">
        <f t="array" ref="N111">Common_InputFunctions.Utility_DisplayArrayInTable(Fertiliser_SourceData.Fertiliser_Products_Data2(),FertiliserProducts[[#Headers],[Include or Exclude]], 20)</f>
        <v/>
      </c>
      <c r="O111" s="65" t="str" cm="1">
        <f t="array" ref="O111">Common_InputFunctions.Utility_DisplayArrayInTable(Fertiliser_SourceData.Fertiliser_Products_Data2(),FertiliserProducts[[#Headers],[Include or Exclude]], 20)</f>
        <v/>
      </c>
      <c r="P111" s="65" t="str" cm="1">
        <f t="array" ref="P111">Common_InputFunctions.Utility_DisplayArrayInTable(Fertiliser_SourceData.Fertiliser_Products_Data2(),FertiliserProducts[[#Headers],[Include or Exclude]], 20)</f>
        <v/>
      </c>
      <c r="Q111" s="65" t="str" cm="1">
        <f t="array" ref="Q111">Common_InputFunctions.Utility_DisplayArrayInTable(Fertiliser_SourceData.Fertiliser_Products_Data2(),FertiliserProducts[[#Headers],[Include or Exclude]], 20)</f>
        <v/>
      </c>
      <c r="R111" s="65" t="str" cm="1">
        <f t="array" ref="R111">Common_InputFunctions.Utility_DisplayArrayInTable(Fertiliser_SourceData.Fertiliser_Products_Data2(),FertiliserProducts[[#Headers],[Include or Exclude]], 20)</f>
        <v/>
      </c>
      <c r="S111" s="65" t="str" cm="1">
        <f t="array" ref="S111">Common_InputFunctions.Utility_DisplayArrayInTable(Fertiliser_SourceData.Fertiliser_Products_Data2(),FertiliserProducts[[#Headers],[Include or Exclude]], 20)</f>
        <v/>
      </c>
      <c r="T111" s="65" t="str" cm="1">
        <f t="array" ref="T111">Common_InputFunctions.Utility_DisplayArrayInTable(Fertiliser_SourceData.Fertiliser_Products_Data2(),FertiliserProducts[[#Headers],[Include or Exclude]], 20)</f>
        <v/>
      </c>
      <c r="U111" s="65" t="str" cm="1">
        <f t="array" ref="U111">Common_InputFunctions.Utility_DisplayArrayInTable(Fertiliser_SourceData.Fertiliser_Products_Data2(),FertiliserProducts[[#Headers],[Include or Exclude]], 20)</f>
        <v/>
      </c>
      <c r="V111" s="65" t="str" cm="1">
        <f t="array" ref="V111">Common_InputFunctions.Utility_DisplayArrayInTable(Fertiliser_SourceData.Fertiliser_Products_Data2(),FertiliserProducts[[#Headers],[Include or Exclude]], 20)</f>
        <v/>
      </c>
      <c r="W111" s="65" t="str" cm="1">
        <f t="array" ref="W111">Common_InputFunctions.Utility_DisplayArrayInTable(Fertiliser_SourceData.Fertiliser_Products_Data2(),FertiliserProducts[[#Headers],[Include or Exclude]], 20)</f>
        <v>Incitec Pivot Fertilisers</v>
      </c>
      <c r="X111" s="65" t="str" cm="1">
        <f t="array" ref="X111">Common_InputFunctions.Utility_DisplayArrayInTable(Fertiliser_SourceData.Fertiliser_Products_Data2(),FertiliserProducts[[#Headers],[Include or Exclude]], 20)</f>
        <v/>
      </c>
      <c r="Y111" s="65" t="str" cm="1">
        <f t="array" ref="Y111">Common_InputFunctions.Utility_DisplayArrayInTable(Fertiliser_SourceData.Fertiliser_Products_Data2(),FertiliserProducts[[#Headers],[Include or Exclude]], 20)</f>
        <v/>
      </c>
      <c r="Z111" s="65"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4:31" ht="20.100000000000001" customHeight="1" x14ac:dyDescent="0.25">
      <c r="D112" s="65" t="str" cm="1">
        <f t="array" ref="D112">Common_InputFunctions.Utility_DisplayArrayInTable(Fertiliser_SourceData.Fertiliser_Products_Data2(),FertiliserProducts[[#Headers],[Include or Exclude]], 20)</f>
        <v>MAP Impact</v>
      </c>
      <c r="E112" s="65" t="str" cm="1">
        <f t="array" ref="E112">Common_InputFunctions.Utility_DisplayArrayInTable(Fertiliser_SourceData.Fertiliser_Products_Data2(),FertiliserProducts[[#Headers],[Include or Exclude]], 20)</f>
        <v/>
      </c>
      <c r="F112" s="65" t="str" cm="1">
        <f t="array" ref="F112">Common_InputFunctions.Utility_DisplayArrayInTable(Fertiliser_SourceData.Fertiliser_Products_Data2(),FertiliserProducts[[#Headers],[Include or Exclude]], 20)</f>
        <v/>
      </c>
      <c r="G112" s="65" t="str" cm="1">
        <f t="array" ref="G112">Common_InputFunctions.Utility_DisplayArrayInTable(Fertiliser_SourceData.Fertiliser_Products_Data2(),FertiliserProducts[[#Headers],[Include or Exclude]], 20)</f>
        <v/>
      </c>
      <c r="H112" s="65" t="str" cm="1">
        <f t="array" ref="H112">Common_InputFunctions.Utility_DisplayArrayInTable(Fertiliser_SourceData.Fertiliser_Products_Data2(),FertiliserProducts[[#Headers],[Include or Exclude]], 20)</f>
        <v/>
      </c>
      <c r="I112" s="65" t="str" cm="1">
        <f t="array" ref="I112">Common_InputFunctions.Utility_DisplayArrayInTable(Fertiliser_SourceData.Fertiliser_Products_Data2(),FertiliserProducts[[#Headers],[Include or Exclude]], 20)</f>
        <v/>
      </c>
      <c r="J112" s="65" t="str" cm="1">
        <f t="array" ref="J112">Common_InputFunctions.Utility_DisplayArrayInTable(Fertiliser_SourceData.Fertiliser_Products_Data2(),FertiliserProducts[[#Headers],[Include or Exclude]], 20)</f>
        <v/>
      </c>
      <c r="K112" s="65" t="str" cm="1">
        <f t="array" ref="K112">Common_InputFunctions.Utility_DisplayArrayInTable(Fertiliser_SourceData.Fertiliser_Products_Data2(),FertiliserProducts[[#Headers],[Include or Exclude]], 20)</f>
        <v/>
      </c>
      <c r="L112" s="65" t="str" cm="1">
        <f t="array" ref="L112">Common_InputFunctions.Utility_DisplayArrayInTable(Fertiliser_SourceData.Fertiliser_Products_Data2(),FertiliserProducts[[#Headers],[Include or Exclude]], 20)</f>
        <v/>
      </c>
      <c r="M112" s="65" t="str" cm="1">
        <f t="array" ref="M112">Common_InputFunctions.Utility_DisplayArrayInTable(Fertiliser_SourceData.Fertiliser_Products_Data2(),FertiliserProducts[[#Headers],[Include or Exclude]], 20)</f>
        <v/>
      </c>
      <c r="N112" s="65" t="str" cm="1">
        <f t="array" ref="N112">Common_InputFunctions.Utility_DisplayArrayInTable(Fertiliser_SourceData.Fertiliser_Products_Data2(),FertiliserProducts[[#Headers],[Include or Exclude]], 20)</f>
        <v/>
      </c>
      <c r="O112" s="65" t="str" cm="1">
        <f t="array" ref="O112">Common_InputFunctions.Utility_DisplayArrayInTable(Fertiliser_SourceData.Fertiliser_Products_Data2(),FertiliserProducts[[#Headers],[Include or Exclude]], 20)</f>
        <v/>
      </c>
      <c r="P112" s="65" t="str" cm="1">
        <f t="array" ref="P112">Common_InputFunctions.Utility_DisplayArrayInTable(Fertiliser_SourceData.Fertiliser_Products_Data2(),FertiliserProducts[[#Headers],[Include or Exclude]], 20)</f>
        <v/>
      </c>
      <c r="Q112" s="65" t="str" cm="1">
        <f t="array" ref="Q112">Common_InputFunctions.Utility_DisplayArrayInTable(Fertiliser_SourceData.Fertiliser_Products_Data2(),FertiliserProducts[[#Headers],[Include or Exclude]], 20)</f>
        <v/>
      </c>
      <c r="R112" s="65" t="str" cm="1">
        <f t="array" ref="R112">Common_InputFunctions.Utility_DisplayArrayInTable(Fertiliser_SourceData.Fertiliser_Products_Data2(),FertiliserProducts[[#Headers],[Include or Exclude]], 20)</f>
        <v/>
      </c>
      <c r="S112" s="65" t="str" cm="1">
        <f t="array" ref="S112">Common_InputFunctions.Utility_DisplayArrayInTable(Fertiliser_SourceData.Fertiliser_Products_Data2(),FertiliserProducts[[#Headers],[Include or Exclude]], 20)</f>
        <v/>
      </c>
      <c r="T112" s="65" t="str" cm="1">
        <f t="array" ref="T112">Common_InputFunctions.Utility_DisplayArrayInTable(Fertiliser_SourceData.Fertiliser_Products_Data2(),FertiliserProducts[[#Headers],[Include or Exclude]], 20)</f>
        <v/>
      </c>
      <c r="U112" s="65" t="str" cm="1">
        <f t="array" ref="U112">Common_InputFunctions.Utility_DisplayArrayInTable(Fertiliser_SourceData.Fertiliser_Products_Data2(),FertiliserProducts[[#Headers],[Include or Exclude]], 20)</f>
        <v/>
      </c>
      <c r="V112" s="65" t="str" cm="1">
        <f t="array" ref="V112">Common_InputFunctions.Utility_DisplayArrayInTable(Fertiliser_SourceData.Fertiliser_Products_Data2(),FertiliserProducts[[#Headers],[Include or Exclude]], 20)</f>
        <v/>
      </c>
      <c r="W112" s="65" t="str" cm="1">
        <f t="array" ref="W112">Common_InputFunctions.Utility_DisplayArrayInTable(Fertiliser_SourceData.Fertiliser_Products_Data2(),FertiliserProducts[[#Headers],[Include or Exclude]], 20)</f>
        <v>Impact fertilisers</v>
      </c>
      <c r="X112" s="65" t="str" cm="1">
        <f t="array" ref="X112">Common_InputFunctions.Utility_DisplayArrayInTable(Fertiliser_SourceData.Fertiliser_Products_Data2(),FertiliserProducts[[#Headers],[Include or Exclude]], 20)</f>
        <v/>
      </c>
      <c r="Y112" s="65" t="str" cm="1">
        <f t="array" ref="Y112">Common_InputFunctions.Utility_DisplayArrayInTable(Fertiliser_SourceData.Fertiliser_Products_Data2(),FertiliserProducts[[#Headers],[Include or Exclude]], 20)</f>
        <v/>
      </c>
      <c r="Z112" s="65"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4:31" ht="20.100000000000001" customHeight="1" x14ac:dyDescent="0.25">
      <c r="D113" s="65" t="str" cm="1">
        <f t="array" ref="D113">Common_InputFunctions.Utility_DisplayArrayInTable(Fertiliser_SourceData.Fertiliser_Products_Data2(),FertiliserProducts[[#Headers],[Include or Exclude]], 20)</f>
        <v>MAPSZC</v>
      </c>
      <c r="E113" s="65" t="str" cm="1">
        <f t="array" ref="E113">Common_InputFunctions.Utility_DisplayArrayInTable(Fertiliser_SourceData.Fertiliser_Products_Data2(),FertiliserProducts[[#Headers],[Include or Exclude]], 20)</f>
        <v/>
      </c>
      <c r="F113" s="65" t="str" cm="1">
        <f t="array" ref="F113">Common_InputFunctions.Utility_DisplayArrayInTable(Fertiliser_SourceData.Fertiliser_Products_Data2(),FertiliserProducts[[#Headers],[Include or Exclude]], 20)</f>
        <v/>
      </c>
      <c r="G113" s="65" t="str" cm="1">
        <f t="array" ref="G113">Common_InputFunctions.Utility_DisplayArrayInTable(Fertiliser_SourceData.Fertiliser_Products_Data2(),FertiliserProducts[[#Headers],[Include or Exclude]], 20)</f>
        <v/>
      </c>
      <c r="H113" s="65" t="str" cm="1">
        <f t="array" ref="H113">Common_InputFunctions.Utility_DisplayArrayInTable(Fertiliser_SourceData.Fertiliser_Products_Data2(),FertiliserProducts[[#Headers],[Include or Exclude]], 20)</f>
        <v/>
      </c>
      <c r="I113" s="65" t="str" cm="1">
        <f t="array" ref="I113">Common_InputFunctions.Utility_DisplayArrayInTable(Fertiliser_SourceData.Fertiliser_Products_Data2(),FertiliserProducts[[#Headers],[Include or Exclude]], 20)</f>
        <v/>
      </c>
      <c r="J113" s="65" t="str" cm="1">
        <f t="array" ref="J113">Common_InputFunctions.Utility_DisplayArrayInTable(Fertiliser_SourceData.Fertiliser_Products_Data2(),FertiliserProducts[[#Headers],[Include or Exclude]], 20)</f>
        <v/>
      </c>
      <c r="K113" s="65" t="str" cm="1">
        <f t="array" ref="K113">Common_InputFunctions.Utility_DisplayArrayInTable(Fertiliser_SourceData.Fertiliser_Products_Data2(),FertiliserProducts[[#Headers],[Include or Exclude]], 20)</f>
        <v/>
      </c>
      <c r="L113" s="65" t="str" cm="1">
        <f t="array" ref="L113">Common_InputFunctions.Utility_DisplayArrayInTable(Fertiliser_SourceData.Fertiliser_Products_Data2(),FertiliserProducts[[#Headers],[Include or Exclude]], 20)</f>
        <v/>
      </c>
      <c r="M113" s="65" t="str" cm="1">
        <f t="array" ref="M113">Common_InputFunctions.Utility_DisplayArrayInTable(Fertiliser_SourceData.Fertiliser_Products_Data2(),FertiliserProducts[[#Headers],[Include or Exclude]], 20)</f>
        <v/>
      </c>
      <c r="N113" s="65" t="str" cm="1">
        <f t="array" ref="N113">Common_InputFunctions.Utility_DisplayArrayInTable(Fertiliser_SourceData.Fertiliser_Products_Data2(),FertiliserProducts[[#Headers],[Include or Exclude]], 20)</f>
        <v/>
      </c>
      <c r="O113" s="65" t="str" cm="1">
        <f t="array" ref="O113">Common_InputFunctions.Utility_DisplayArrayInTable(Fertiliser_SourceData.Fertiliser_Products_Data2(),FertiliserProducts[[#Headers],[Include or Exclude]], 20)</f>
        <v/>
      </c>
      <c r="P113" s="65" t="str" cm="1">
        <f t="array" ref="P113">Common_InputFunctions.Utility_DisplayArrayInTable(Fertiliser_SourceData.Fertiliser_Products_Data2(),FertiliserProducts[[#Headers],[Include or Exclude]], 20)</f>
        <v/>
      </c>
      <c r="Q113" s="65" t="str" cm="1">
        <f t="array" ref="Q113">Common_InputFunctions.Utility_DisplayArrayInTable(Fertiliser_SourceData.Fertiliser_Products_Data2(),FertiliserProducts[[#Headers],[Include or Exclude]], 20)</f>
        <v/>
      </c>
      <c r="R113" s="65" t="str" cm="1">
        <f t="array" ref="R113">Common_InputFunctions.Utility_DisplayArrayInTable(Fertiliser_SourceData.Fertiliser_Products_Data2(),FertiliserProducts[[#Headers],[Include or Exclude]], 20)</f>
        <v/>
      </c>
      <c r="S113" s="65" t="str" cm="1">
        <f t="array" ref="S113">Common_InputFunctions.Utility_DisplayArrayInTable(Fertiliser_SourceData.Fertiliser_Products_Data2(),FertiliserProducts[[#Headers],[Include or Exclude]], 20)</f>
        <v/>
      </c>
      <c r="T113" s="65" t="str" cm="1">
        <f t="array" ref="T113">Common_InputFunctions.Utility_DisplayArrayInTable(Fertiliser_SourceData.Fertiliser_Products_Data2(),FertiliserProducts[[#Headers],[Include or Exclude]], 20)</f>
        <v/>
      </c>
      <c r="U113" s="65" t="str" cm="1">
        <f t="array" ref="U113">Common_InputFunctions.Utility_DisplayArrayInTable(Fertiliser_SourceData.Fertiliser_Products_Data2(),FertiliserProducts[[#Headers],[Include or Exclude]], 20)</f>
        <v/>
      </c>
      <c r="V113" s="65" t="str" cm="1">
        <f t="array" ref="V113">Common_InputFunctions.Utility_DisplayArrayInTable(Fertiliser_SourceData.Fertiliser_Products_Data2(),FertiliserProducts[[#Headers],[Include or Exclude]], 20)</f>
        <v/>
      </c>
      <c r="W113" s="65" t="str" cm="1">
        <f t="array" ref="W113">Common_InputFunctions.Utility_DisplayArrayInTable(Fertiliser_SourceData.Fertiliser_Products_Data2(),FertiliserProducts[[#Headers],[Include or Exclude]], 20)</f>
        <v>Summit Fertilizers</v>
      </c>
      <c r="X113" s="65" t="str" cm="1">
        <f t="array" ref="X113">Common_InputFunctions.Utility_DisplayArrayInTable(Fertiliser_SourceData.Fertiliser_Products_Data2(),FertiliserProducts[[#Headers],[Include or Exclude]], 20)</f>
        <v/>
      </c>
      <c r="Y113" s="65" t="str" cm="1">
        <f t="array" ref="Y113">Common_InputFunctions.Utility_DisplayArrayInTable(Fertiliser_SourceData.Fertiliser_Products_Data2(),FertiliserProducts[[#Headers],[Include or Exclude]], 20)</f>
        <v/>
      </c>
      <c r="Z113" s="65"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4:31" ht="20.100000000000001" customHeight="1" x14ac:dyDescent="0.25">
      <c r="D114" s="65" t="str" cm="1">
        <f t="array" ref="D114">Common_InputFunctions.Utility_DisplayArrayInTable(Fertiliser_SourceData.Fertiliser_Products_Data2(),FertiliserProducts[[#Headers],[Include or Exclude]], 20)</f>
        <v>Maximum N-Pact 29-0-0</v>
      </c>
      <c r="E114" s="65" t="str" cm="1">
        <f t="array" ref="E114">Common_InputFunctions.Utility_DisplayArrayInTable(Fertiliser_SourceData.Fertiliser_Products_Data2(),FertiliserProducts[[#Headers],[Include or Exclude]], 20)</f>
        <v/>
      </c>
      <c r="F114" s="65" t="str" cm="1">
        <f t="array" ref="F114">Common_InputFunctions.Utility_DisplayArrayInTable(Fertiliser_SourceData.Fertiliser_Products_Data2(),FertiliserProducts[[#Headers],[Include or Exclude]], 20)</f>
        <v/>
      </c>
      <c r="G114" s="65" t="str" cm="1">
        <f t="array" ref="G114">Common_InputFunctions.Utility_DisplayArrayInTable(Fertiliser_SourceData.Fertiliser_Products_Data2(),FertiliserProducts[[#Headers],[Include or Exclude]], 20)</f>
        <v/>
      </c>
      <c r="H114" s="65" t="str" cm="1">
        <f t="array" ref="H114">Common_InputFunctions.Utility_DisplayArrayInTable(Fertiliser_SourceData.Fertiliser_Products_Data2(),FertiliserProducts[[#Headers],[Include or Exclude]], 20)</f>
        <v/>
      </c>
      <c r="I114" s="65" t="str" cm="1">
        <f t="array" ref="I114">Common_InputFunctions.Utility_DisplayArrayInTable(Fertiliser_SourceData.Fertiliser_Products_Data2(),FertiliserProducts[[#Headers],[Include or Exclude]], 20)</f>
        <v/>
      </c>
      <c r="J114" s="65" t="str" cm="1">
        <f t="array" ref="J114">Common_InputFunctions.Utility_DisplayArrayInTable(Fertiliser_SourceData.Fertiliser_Products_Data2(),FertiliserProducts[[#Headers],[Include or Exclude]], 20)</f>
        <v/>
      </c>
      <c r="K114" s="65" t="str" cm="1">
        <f t="array" ref="K114">Common_InputFunctions.Utility_DisplayArrayInTable(Fertiliser_SourceData.Fertiliser_Products_Data2(),FertiliserProducts[[#Headers],[Include or Exclude]], 20)</f>
        <v/>
      </c>
      <c r="L114" s="65" t="str" cm="1">
        <f t="array" ref="L114">Common_InputFunctions.Utility_DisplayArrayInTable(Fertiliser_SourceData.Fertiliser_Products_Data2(),FertiliserProducts[[#Headers],[Include or Exclude]], 20)</f>
        <v/>
      </c>
      <c r="M114" s="65" t="str" cm="1">
        <f t="array" ref="M114">Common_InputFunctions.Utility_DisplayArrayInTable(Fertiliser_SourceData.Fertiliser_Products_Data2(),FertiliserProducts[[#Headers],[Include or Exclude]], 20)</f>
        <v/>
      </c>
      <c r="N114" s="65" t="str" cm="1">
        <f t="array" ref="N114">Common_InputFunctions.Utility_DisplayArrayInTable(Fertiliser_SourceData.Fertiliser_Products_Data2(),FertiliserProducts[[#Headers],[Include or Exclude]], 20)</f>
        <v/>
      </c>
      <c r="O114" s="65" t="str" cm="1">
        <f t="array" ref="O114">Common_InputFunctions.Utility_DisplayArrayInTable(Fertiliser_SourceData.Fertiliser_Products_Data2(),FertiliserProducts[[#Headers],[Include or Exclude]], 20)</f>
        <v/>
      </c>
      <c r="P114" s="65" t="str" cm="1">
        <f t="array" ref="P114">Common_InputFunctions.Utility_DisplayArrayInTable(Fertiliser_SourceData.Fertiliser_Products_Data2(),FertiliserProducts[[#Headers],[Include or Exclude]], 20)</f>
        <v/>
      </c>
      <c r="Q114" s="65" t="str" cm="1">
        <f t="array" ref="Q114">Common_InputFunctions.Utility_DisplayArrayInTable(Fertiliser_SourceData.Fertiliser_Products_Data2(),FertiliserProducts[[#Headers],[Include or Exclude]], 20)</f>
        <v/>
      </c>
      <c r="R114" s="65" t="str" cm="1">
        <f t="array" ref="R114">Common_InputFunctions.Utility_DisplayArrayInTable(Fertiliser_SourceData.Fertiliser_Products_Data2(),FertiliserProducts[[#Headers],[Include or Exclude]], 20)</f>
        <v/>
      </c>
      <c r="S114" s="65" t="str" cm="1">
        <f t="array" ref="S114">Common_InputFunctions.Utility_DisplayArrayInTable(Fertiliser_SourceData.Fertiliser_Products_Data2(),FertiliserProducts[[#Headers],[Include or Exclude]], 20)</f>
        <v/>
      </c>
      <c r="T114" s="65" t="str" cm="1">
        <f t="array" ref="T114">Common_InputFunctions.Utility_DisplayArrayInTable(Fertiliser_SourceData.Fertiliser_Products_Data2(),FertiliserProducts[[#Headers],[Include or Exclude]], 20)</f>
        <v/>
      </c>
      <c r="U114" s="65" t="str" cm="1">
        <f t="array" ref="U114">Common_InputFunctions.Utility_DisplayArrayInTable(Fertiliser_SourceData.Fertiliser_Products_Data2(),FertiliserProducts[[#Headers],[Include or Exclude]], 20)</f>
        <v/>
      </c>
      <c r="V114" s="65" t="str" cm="1">
        <f t="array" ref="V114">Common_InputFunctions.Utility_DisplayArrayInTable(Fertiliser_SourceData.Fertiliser_Products_Data2(),FertiliserProducts[[#Headers],[Include or Exclude]], 20)</f>
        <v/>
      </c>
      <c r="W114" s="65" t="str" cm="1">
        <f t="array" ref="W114">Common_InputFunctions.Utility_DisplayArrayInTable(Fertiliser_SourceData.Fertiliser_Products_Data2(),FertiliserProducts[[#Headers],[Include or Exclude]], 20)</f>
        <v>Maximum N-Pact | Loveland (lovelandagriproducts.com.au)</v>
      </c>
      <c r="X114" s="65" t="str" cm="1">
        <f t="array" ref="X114">Common_InputFunctions.Utility_DisplayArrayInTable(Fertiliser_SourceData.Fertiliser_Products_Data2(),FertiliserProducts[[#Headers],[Include or Exclude]], 20)</f>
        <v/>
      </c>
      <c r="Y114" s="65" t="str" cm="1">
        <f t="array" ref="Y114">Common_InputFunctions.Utility_DisplayArrayInTable(Fertiliser_SourceData.Fertiliser_Products_Data2(),FertiliserProducts[[#Headers],[Include or Exclude]], 20)</f>
        <v/>
      </c>
      <c r="Z114" s="65"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4:31" ht="20.100000000000001" customHeight="1" x14ac:dyDescent="0.25">
      <c r="D115" s="65" t="str" cm="1">
        <f t="array" ref="D115">Common_InputFunctions.Utility_DisplayArrayInTable(Fertiliser_SourceData.Fertiliser_Products_Data2(),FertiliserProducts[[#Headers],[Include or Exclude]], 20)</f>
        <v>Microsol 12-6-44</v>
      </c>
      <c r="E115" s="65" t="str" cm="1">
        <f t="array" ref="E115">Common_InputFunctions.Utility_DisplayArrayInTable(Fertiliser_SourceData.Fertiliser_Products_Data2(),FertiliserProducts[[#Headers],[Include or Exclude]], 20)</f>
        <v/>
      </c>
      <c r="F115" s="65" t="str" cm="1">
        <f t="array" ref="F115">Common_InputFunctions.Utility_DisplayArrayInTable(Fertiliser_SourceData.Fertiliser_Products_Data2(),FertiliserProducts[[#Headers],[Include or Exclude]], 20)</f>
        <v/>
      </c>
      <c r="G115" s="65" t="str" cm="1">
        <f t="array" ref="G115">Common_InputFunctions.Utility_DisplayArrayInTable(Fertiliser_SourceData.Fertiliser_Products_Data2(),FertiliserProducts[[#Headers],[Include or Exclude]], 20)</f>
        <v/>
      </c>
      <c r="H115" s="65" t="str" cm="1">
        <f t="array" ref="H115">Common_InputFunctions.Utility_DisplayArrayInTable(Fertiliser_SourceData.Fertiliser_Products_Data2(),FertiliserProducts[[#Headers],[Include or Exclude]], 20)</f>
        <v/>
      </c>
      <c r="I115" s="65" t="str" cm="1">
        <f t="array" ref="I115">Common_InputFunctions.Utility_DisplayArrayInTable(Fertiliser_SourceData.Fertiliser_Products_Data2(),FertiliserProducts[[#Headers],[Include or Exclude]], 20)</f>
        <v/>
      </c>
      <c r="J115" s="65" t="str" cm="1">
        <f t="array" ref="J115">Common_InputFunctions.Utility_DisplayArrayInTable(Fertiliser_SourceData.Fertiliser_Products_Data2(),FertiliserProducts[[#Headers],[Include or Exclude]], 20)</f>
        <v/>
      </c>
      <c r="K115" s="65" t="str" cm="1">
        <f t="array" ref="K115">Common_InputFunctions.Utility_DisplayArrayInTable(Fertiliser_SourceData.Fertiliser_Products_Data2(),FertiliserProducts[[#Headers],[Include or Exclude]], 20)</f>
        <v/>
      </c>
      <c r="L115" s="65" t="str" cm="1">
        <f t="array" ref="L115">Common_InputFunctions.Utility_DisplayArrayInTable(Fertiliser_SourceData.Fertiliser_Products_Data2(),FertiliserProducts[[#Headers],[Include or Exclude]], 20)</f>
        <v/>
      </c>
      <c r="M115" s="65" t="str" cm="1">
        <f t="array" ref="M115">Common_InputFunctions.Utility_DisplayArrayInTable(Fertiliser_SourceData.Fertiliser_Products_Data2(),FertiliserProducts[[#Headers],[Include or Exclude]], 20)</f>
        <v/>
      </c>
      <c r="N115" s="65" t="str" cm="1">
        <f t="array" ref="N115">Common_InputFunctions.Utility_DisplayArrayInTable(Fertiliser_SourceData.Fertiliser_Products_Data2(),FertiliserProducts[[#Headers],[Include or Exclude]], 20)</f>
        <v/>
      </c>
      <c r="O115" s="65" t="str" cm="1">
        <f t="array" ref="O115">Common_InputFunctions.Utility_DisplayArrayInTable(Fertiliser_SourceData.Fertiliser_Products_Data2(),FertiliserProducts[[#Headers],[Include or Exclude]], 20)</f>
        <v/>
      </c>
      <c r="P115" s="65" t="str" cm="1">
        <f t="array" ref="P115">Common_InputFunctions.Utility_DisplayArrayInTable(Fertiliser_SourceData.Fertiliser_Products_Data2(),FertiliserProducts[[#Headers],[Include or Exclude]], 20)</f>
        <v/>
      </c>
      <c r="Q115" s="65" t="str" cm="1">
        <f t="array" ref="Q115">Common_InputFunctions.Utility_DisplayArrayInTable(Fertiliser_SourceData.Fertiliser_Products_Data2(),FertiliserProducts[[#Headers],[Include or Exclude]], 20)</f>
        <v/>
      </c>
      <c r="R115" s="65" t="str" cm="1">
        <f t="array" ref="R115">Common_InputFunctions.Utility_DisplayArrayInTable(Fertiliser_SourceData.Fertiliser_Products_Data2(),FertiliserProducts[[#Headers],[Include or Exclude]], 20)</f>
        <v/>
      </c>
      <c r="S115" s="65" t="str" cm="1">
        <f t="array" ref="S115">Common_InputFunctions.Utility_DisplayArrayInTable(Fertiliser_SourceData.Fertiliser_Products_Data2(),FertiliserProducts[[#Headers],[Include or Exclude]], 20)</f>
        <v/>
      </c>
      <c r="T115" s="65" t="str" cm="1">
        <f t="array" ref="T115">Common_InputFunctions.Utility_DisplayArrayInTable(Fertiliser_SourceData.Fertiliser_Products_Data2(),FertiliserProducts[[#Headers],[Include or Exclude]], 20)</f>
        <v/>
      </c>
      <c r="U115" s="65" t="str" cm="1">
        <f t="array" ref="U115">Common_InputFunctions.Utility_DisplayArrayInTable(Fertiliser_SourceData.Fertiliser_Products_Data2(),FertiliserProducts[[#Headers],[Include or Exclude]], 20)</f>
        <v/>
      </c>
      <c r="V115" s="65" t="str" cm="1">
        <f t="array" ref="V115">Common_InputFunctions.Utility_DisplayArrayInTable(Fertiliser_SourceData.Fertiliser_Products_Data2(),FertiliserProducts[[#Headers],[Include or Exclude]], 20)</f>
        <v/>
      </c>
      <c r="W115" s="65" t="str" cm="1">
        <f t="array" ref="W115">Common_InputFunctions.Utility_DisplayArrayInTable(Fertiliser_SourceData.Fertiliser_Products_Data2(),FertiliserProducts[[#Headers],[Include or Exclude]], 20)</f>
        <v>Rigbytaylor Microsol Range</v>
      </c>
      <c r="X115" s="65" t="str" cm="1">
        <f t="array" ref="X115">Common_InputFunctions.Utility_DisplayArrayInTable(Fertiliser_SourceData.Fertiliser_Products_Data2(),FertiliserProducts[[#Headers],[Include or Exclude]], 20)</f>
        <v/>
      </c>
      <c r="Y115" s="65" t="str" cm="1">
        <f t="array" ref="Y115">Common_InputFunctions.Utility_DisplayArrayInTable(Fertiliser_SourceData.Fertiliser_Products_Data2(),FertiliserProducts[[#Headers],[Include or Exclude]], 20)</f>
        <v/>
      </c>
      <c r="Z115" s="65"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4:31" ht="20.100000000000001" customHeight="1" x14ac:dyDescent="0.25">
      <c r="D116" s="65" t="str" cm="1">
        <f t="array" ref="D116">Common_InputFunctions.Utility_DisplayArrayInTable(Fertiliser_SourceData.Fertiliser_Products_Data2(),FertiliserProducts[[#Headers],[Include or Exclude]], 20)</f>
        <v>Microsol 16-32-16</v>
      </c>
      <c r="E116" s="65" t="str" cm="1">
        <f t="array" ref="E116">Common_InputFunctions.Utility_DisplayArrayInTable(Fertiliser_SourceData.Fertiliser_Products_Data2(),FertiliserProducts[[#Headers],[Include or Exclude]], 20)</f>
        <v/>
      </c>
      <c r="F116" s="65" t="str" cm="1">
        <f t="array" ref="F116">Common_InputFunctions.Utility_DisplayArrayInTable(Fertiliser_SourceData.Fertiliser_Products_Data2(),FertiliserProducts[[#Headers],[Include or Exclude]], 20)</f>
        <v/>
      </c>
      <c r="G116" s="65" t="str" cm="1">
        <f t="array" ref="G116">Common_InputFunctions.Utility_DisplayArrayInTable(Fertiliser_SourceData.Fertiliser_Products_Data2(),FertiliserProducts[[#Headers],[Include or Exclude]], 20)</f>
        <v/>
      </c>
      <c r="H116" s="65" t="str" cm="1">
        <f t="array" ref="H116">Common_InputFunctions.Utility_DisplayArrayInTable(Fertiliser_SourceData.Fertiliser_Products_Data2(),FertiliserProducts[[#Headers],[Include or Exclude]], 20)</f>
        <v/>
      </c>
      <c r="I116" s="65" t="str" cm="1">
        <f t="array" ref="I116">Common_InputFunctions.Utility_DisplayArrayInTable(Fertiliser_SourceData.Fertiliser_Products_Data2(),FertiliserProducts[[#Headers],[Include or Exclude]], 20)</f>
        <v/>
      </c>
      <c r="J116" s="65" t="str" cm="1">
        <f t="array" ref="J116">Common_InputFunctions.Utility_DisplayArrayInTable(Fertiliser_SourceData.Fertiliser_Products_Data2(),FertiliserProducts[[#Headers],[Include or Exclude]], 20)</f>
        <v/>
      </c>
      <c r="K116" s="65" t="str" cm="1">
        <f t="array" ref="K116">Common_InputFunctions.Utility_DisplayArrayInTable(Fertiliser_SourceData.Fertiliser_Products_Data2(),FertiliserProducts[[#Headers],[Include or Exclude]], 20)</f>
        <v/>
      </c>
      <c r="L116" s="65" t="str" cm="1">
        <f t="array" ref="L116">Common_InputFunctions.Utility_DisplayArrayInTable(Fertiliser_SourceData.Fertiliser_Products_Data2(),FertiliserProducts[[#Headers],[Include or Exclude]], 20)</f>
        <v/>
      </c>
      <c r="M116" s="65" t="str" cm="1">
        <f t="array" ref="M116">Common_InputFunctions.Utility_DisplayArrayInTable(Fertiliser_SourceData.Fertiliser_Products_Data2(),FertiliserProducts[[#Headers],[Include or Exclude]], 20)</f>
        <v/>
      </c>
      <c r="N116" s="65" t="str" cm="1">
        <f t="array" ref="N116">Common_InputFunctions.Utility_DisplayArrayInTable(Fertiliser_SourceData.Fertiliser_Products_Data2(),FertiliserProducts[[#Headers],[Include or Exclude]], 20)</f>
        <v/>
      </c>
      <c r="O116" s="65" t="str" cm="1">
        <f t="array" ref="O116">Common_InputFunctions.Utility_DisplayArrayInTable(Fertiliser_SourceData.Fertiliser_Products_Data2(),FertiliserProducts[[#Headers],[Include or Exclude]], 20)</f>
        <v/>
      </c>
      <c r="P116" s="65" t="str" cm="1">
        <f t="array" ref="P116">Common_InputFunctions.Utility_DisplayArrayInTable(Fertiliser_SourceData.Fertiliser_Products_Data2(),FertiliserProducts[[#Headers],[Include or Exclude]], 20)</f>
        <v/>
      </c>
      <c r="Q116" s="65" t="str" cm="1">
        <f t="array" ref="Q116">Common_InputFunctions.Utility_DisplayArrayInTable(Fertiliser_SourceData.Fertiliser_Products_Data2(),FertiliserProducts[[#Headers],[Include or Exclude]], 20)</f>
        <v/>
      </c>
      <c r="R116" s="65" t="str" cm="1">
        <f t="array" ref="R116">Common_InputFunctions.Utility_DisplayArrayInTable(Fertiliser_SourceData.Fertiliser_Products_Data2(),FertiliserProducts[[#Headers],[Include or Exclude]], 20)</f>
        <v/>
      </c>
      <c r="S116" s="65" t="str" cm="1">
        <f t="array" ref="S116">Common_InputFunctions.Utility_DisplayArrayInTable(Fertiliser_SourceData.Fertiliser_Products_Data2(),FertiliserProducts[[#Headers],[Include or Exclude]], 20)</f>
        <v/>
      </c>
      <c r="T116" s="65" t="str" cm="1">
        <f t="array" ref="T116">Common_InputFunctions.Utility_DisplayArrayInTable(Fertiliser_SourceData.Fertiliser_Products_Data2(),FertiliserProducts[[#Headers],[Include or Exclude]], 20)</f>
        <v/>
      </c>
      <c r="U116" s="65" t="str" cm="1">
        <f t="array" ref="U116">Common_InputFunctions.Utility_DisplayArrayInTable(Fertiliser_SourceData.Fertiliser_Products_Data2(),FertiliserProducts[[#Headers],[Include or Exclude]], 20)</f>
        <v/>
      </c>
      <c r="V116" s="65" t="str" cm="1">
        <f t="array" ref="V116">Common_InputFunctions.Utility_DisplayArrayInTable(Fertiliser_SourceData.Fertiliser_Products_Data2(),FertiliserProducts[[#Headers],[Include or Exclude]], 20)</f>
        <v/>
      </c>
      <c r="W116" s="65" t="str" cm="1">
        <f t="array" ref="W116">Common_InputFunctions.Utility_DisplayArrayInTable(Fertiliser_SourceData.Fertiliser_Products_Data2(),FertiliserProducts[[#Headers],[Include or Exclude]], 20)</f>
        <v>Rigbytaylor Microsol Range</v>
      </c>
      <c r="X116" s="65" t="str" cm="1">
        <f t="array" ref="X116">Common_InputFunctions.Utility_DisplayArrayInTable(Fertiliser_SourceData.Fertiliser_Products_Data2(),FertiliserProducts[[#Headers],[Include or Exclude]], 20)</f>
        <v/>
      </c>
      <c r="Y116" s="65" t="str" cm="1">
        <f t="array" ref="Y116">Common_InputFunctions.Utility_DisplayArrayInTable(Fertiliser_SourceData.Fertiliser_Products_Data2(),FertiliserProducts[[#Headers],[Include or Exclude]], 20)</f>
        <v/>
      </c>
      <c r="Z116" s="65"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4:31" ht="20.100000000000001" customHeight="1" x14ac:dyDescent="0.25">
      <c r="D117" s="65" t="str" cm="1">
        <f t="array" ref="D117">Common_InputFunctions.Utility_DisplayArrayInTable(Fertiliser_SourceData.Fertiliser_Products_Data2(),FertiliserProducts[[#Headers],[Include or Exclude]], 20)</f>
        <v>Microsol 25-5-10</v>
      </c>
      <c r="E117" s="65" t="str" cm="1">
        <f t="array" ref="E117">Common_InputFunctions.Utility_DisplayArrayInTable(Fertiliser_SourceData.Fertiliser_Products_Data2(),FertiliserProducts[[#Headers],[Include or Exclude]], 20)</f>
        <v/>
      </c>
      <c r="F117" s="65" t="str" cm="1">
        <f t="array" ref="F117">Common_InputFunctions.Utility_DisplayArrayInTable(Fertiliser_SourceData.Fertiliser_Products_Data2(),FertiliserProducts[[#Headers],[Include or Exclude]], 20)</f>
        <v/>
      </c>
      <c r="G117" s="65" t="str" cm="1">
        <f t="array" ref="G117">Common_InputFunctions.Utility_DisplayArrayInTable(Fertiliser_SourceData.Fertiliser_Products_Data2(),FertiliserProducts[[#Headers],[Include or Exclude]], 20)</f>
        <v/>
      </c>
      <c r="H117" s="65" t="str" cm="1">
        <f t="array" ref="H117">Common_InputFunctions.Utility_DisplayArrayInTable(Fertiliser_SourceData.Fertiliser_Products_Data2(),FertiliserProducts[[#Headers],[Include or Exclude]], 20)</f>
        <v/>
      </c>
      <c r="I117" s="65" t="str" cm="1">
        <f t="array" ref="I117">Common_InputFunctions.Utility_DisplayArrayInTable(Fertiliser_SourceData.Fertiliser_Products_Data2(),FertiliserProducts[[#Headers],[Include or Exclude]], 20)</f>
        <v/>
      </c>
      <c r="J117" s="65" t="str" cm="1">
        <f t="array" ref="J117">Common_InputFunctions.Utility_DisplayArrayInTable(Fertiliser_SourceData.Fertiliser_Products_Data2(),FertiliserProducts[[#Headers],[Include or Exclude]], 20)</f>
        <v/>
      </c>
      <c r="K117" s="65" t="str" cm="1">
        <f t="array" ref="K117">Common_InputFunctions.Utility_DisplayArrayInTable(Fertiliser_SourceData.Fertiliser_Products_Data2(),FertiliserProducts[[#Headers],[Include or Exclude]], 20)</f>
        <v/>
      </c>
      <c r="L117" s="65" t="str" cm="1">
        <f t="array" ref="L117">Common_InputFunctions.Utility_DisplayArrayInTable(Fertiliser_SourceData.Fertiliser_Products_Data2(),FertiliserProducts[[#Headers],[Include or Exclude]], 20)</f>
        <v/>
      </c>
      <c r="M117" s="65" t="str" cm="1">
        <f t="array" ref="M117">Common_InputFunctions.Utility_DisplayArrayInTable(Fertiliser_SourceData.Fertiliser_Products_Data2(),FertiliserProducts[[#Headers],[Include or Exclude]], 20)</f>
        <v/>
      </c>
      <c r="N117" s="65" t="str" cm="1">
        <f t="array" ref="N117">Common_InputFunctions.Utility_DisplayArrayInTable(Fertiliser_SourceData.Fertiliser_Products_Data2(),FertiliserProducts[[#Headers],[Include or Exclude]], 20)</f>
        <v/>
      </c>
      <c r="O117" s="65" t="str" cm="1">
        <f t="array" ref="O117">Common_InputFunctions.Utility_DisplayArrayInTable(Fertiliser_SourceData.Fertiliser_Products_Data2(),FertiliserProducts[[#Headers],[Include or Exclude]], 20)</f>
        <v/>
      </c>
      <c r="P117" s="65" t="str" cm="1">
        <f t="array" ref="P117">Common_InputFunctions.Utility_DisplayArrayInTable(Fertiliser_SourceData.Fertiliser_Products_Data2(),FertiliserProducts[[#Headers],[Include or Exclude]], 20)</f>
        <v/>
      </c>
      <c r="Q117" s="65" t="str" cm="1">
        <f t="array" ref="Q117">Common_InputFunctions.Utility_DisplayArrayInTable(Fertiliser_SourceData.Fertiliser_Products_Data2(),FertiliserProducts[[#Headers],[Include or Exclude]], 20)</f>
        <v/>
      </c>
      <c r="R117" s="65" t="str" cm="1">
        <f t="array" ref="R117">Common_InputFunctions.Utility_DisplayArrayInTable(Fertiliser_SourceData.Fertiliser_Products_Data2(),FertiliserProducts[[#Headers],[Include or Exclude]], 20)</f>
        <v/>
      </c>
      <c r="S117" s="65" t="str" cm="1">
        <f t="array" ref="S117">Common_InputFunctions.Utility_DisplayArrayInTable(Fertiliser_SourceData.Fertiliser_Products_Data2(),FertiliserProducts[[#Headers],[Include or Exclude]], 20)</f>
        <v/>
      </c>
      <c r="T117" s="65" t="str" cm="1">
        <f t="array" ref="T117">Common_InputFunctions.Utility_DisplayArrayInTable(Fertiliser_SourceData.Fertiliser_Products_Data2(),FertiliserProducts[[#Headers],[Include or Exclude]], 20)</f>
        <v/>
      </c>
      <c r="U117" s="65" t="str" cm="1">
        <f t="array" ref="U117">Common_InputFunctions.Utility_DisplayArrayInTable(Fertiliser_SourceData.Fertiliser_Products_Data2(),FertiliserProducts[[#Headers],[Include or Exclude]], 20)</f>
        <v/>
      </c>
      <c r="V117" s="65" t="str" cm="1">
        <f t="array" ref="V117">Common_InputFunctions.Utility_DisplayArrayInTable(Fertiliser_SourceData.Fertiliser_Products_Data2(),FertiliserProducts[[#Headers],[Include or Exclude]], 20)</f>
        <v/>
      </c>
      <c r="W117" s="65" t="str" cm="1">
        <f t="array" ref="W117">Common_InputFunctions.Utility_DisplayArrayInTable(Fertiliser_SourceData.Fertiliser_Products_Data2(),FertiliserProducts[[#Headers],[Include or Exclude]], 20)</f>
        <v>Rigbytaylor Microsol Range</v>
      </c>
      <c r="X117" s="65" t="str" cm="1">
        <f t="array" ref="X117">Common_InputFunctions.Utility_DisplayArrayInTable(Fertiliser_SourceData.Fertiliser_Products_Data2(),FertiliserProducts[[#Headers],[Include or Exclude]], 20)</f>
        <v/>
      </c>
      <c r="Y117" s="65" t="str" cm="1">
        <f t="array" ref="Y117">Common_InputFunctions.Utility_DisplayArrayInTable(Fertiliser_SourceData.Fertiliser_Products_Data2(),FertiliserProducts[[#Headers],[Include or Exclude]], 20)</f>
        <v/>
      </c>
      <c r="Z117" s="65"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4:31" ht="20.100000000000001" customHeight="1" x14ac:dyDescent="0.25">
      <c r="D118" s="65" t="str" cm="1">
        <f t="array" ref="D118">Common_InputFunctions.Utility_DisplayArrayInTable(Fertiliser_SourceData.Fertiliser_Products_Data2(),FertiliserProducts[[#Headers],[Include or Exclude]], 20)</f>
        <v>Microsol 28-0-14</v>
      </c>
      <c r="E118" s="65" t="str" cm="1">
        <f t="array" ref="E118">Common_InputFunctions.Utility_DisplayArrayInTable(Fertiliser_SourceData.Fertiliser_Products_Data2(),FertiliserProducts[[#Headers],[Include or Exclude]], 20)</f>
        <v/>
      </c>
      <c r="F118" s="65" t="str" cm="1">
        <f t="array" ref="F118">Common_InputFunctions.Utility_DisplayArrayInTable(Fertiliser_SourceData.Fertiliser_Products_Data2(),FertiliserProducts[[#Headers],[Include or Exclude]], 20)</f>
        <v/>
      </c>
      <c r="G118" s="65" t="str" cm="1">
        <f t="array" ref="G118">Common_InputFunctions.Utility_DisplayArrayInTable(Fertiliser_SourceData.Fertiliser_Products_Data2(),FertiliserProducts[[#Headers],[Include or Exclude]], 20)</f>
        <v/>
      </c>
      <c r="H118" s="65" t="str" cm="1">
        <f t="array" ref="H118">Common_InputFunctions.Utility_DisplayArrayInTable(Fertiliser_SourceData.Fertiliser_Products_Data2(),FertiliserProducts[[#Headers],[Include or Exclude]], 20)</f>
        <v/>
      </c>
      <c r="I118" s="65" t="str" cm="1">
        <f t="array" ref="I118">Common_InputFunctions.Utility_DisplayArrayInTable(Fertiliser_SourceData.Fertiliser_Products_Data2(),FertiliserProducts[[#Headers],[Include or Exclude]], 20)</f>
        <v/>
      </c>
      <c r="J118" s="65" t="str" cm="1">
        <f t="array" ref="J118">Common_InputFunctions.Utility_DisplayArrayInTable(Fertiliser_SourceData.Fertiliser_Products_Data2(),FertiliserProducts[[#Headers],[Include or Exclude]], 20)</f>
        <v/>
      </c>
      <c r="K118" s="65" t="str" cm="1">
        <f t="array" ref="K118">Common_InputFunctions.Utility_DisplayArrayInTable(Fertiliser_SourceData.Fertiliser_Products_Data2(),FertiliserProducts[[#Headers],[Include or Exclude]], 20)</f>
        <v/>
      </c>
      <c r="L118" s="65" t="str" cm="1">
        <f t="array" ref="L118">Common_InputFunctions.Utility_DisplayArrayInTable(Fertiliser_SourceData.Fertiliser_Products_Data2(),FertiliserProducts[[#Headers],[Include or Exclude]], 20)</f>
        <v/>
      </c>
      <c r="M118" s="65" t="str" cm="1">
        <f t="array" ref="M118">Common_InputFunctions.Utility_DisplayArrayInTable(Fertiliser_SourceData.Fertiliser_Products_Data2(),FertiliserProducts[[#Headers],[Include or Exclude]], 20)</f>
        <v/>
      </c>
      <c r="N118" s="65" t="str" cm="1">
        <f t="array" ref="N118">Common_InputFunctions.Utility_DisplayArrayInTable(Fertiliser_SourceData.Fertiliser_Products_Data2(),FertiliserProducts[[#Headers],[Include or Exclude]], 20)</f>
        <v/>
      </c>
      <c r="O118" s="65" t="str" cm="1">
        <f t="array" ref="O118">Common_InputFunctions.Utility_DisplayArrayInTable(Fertiliser_SourceData.Fertiliser_Products_Data2(),FertiliserProducts[[#Headers],[Include or Exclude]], 20)</f>
        <v/>
      </c>
      <c r="P118" s="65" t="str" cm="1">
        <f t="array" ref="P118">Common_InputFunctions.Utility_DisplayArrayInTable(Fertiliser_SourceData.Fertiliser_Products_Data2(),FertiliserProducts[[#Headers],[Include or Exclude]], 20)</f>
        <v/>
      </c>
      <c r="Q118" s="65" t="str" cm="1">
        <f t="array" ref="Q118">Common_InputFunctions.Utility_DisplayArrayInTable(Fertiliser_SourceData.Fertiliser_Products_Data2(),FertiliserProducts[[#Headers],[Include or Exclude]], 20)</f>
        <v/>
      </c>
      <c r="R118" s="65" t="str" cm="1">
        <f t="array" ref="R118">Common_InputFunctions.Utility_DisplayArrayInTable(Fertiliser_SourceData.Fertiliser_Products_Data2(),FertiliserProducts[[#Headers],[Include or Exclude]], 20)</f>
        <v/>
      </c>
      <c r="S118" s="65" t="str" cm="1">
        <f t="array" ref="S118">Common_InputFunctions.Utility_DisplayArrayInTable(Fertiliser_SourceData.Fertiliser_Products_Data2(),FertiliserProducts[[#Headers],[Include or Exclude]], 20)</f>
        <v/>
      </c>
      <c r="T118" s="65" t="str" cm="1">
        <f t="array" ref="T118">Common_InputFunctions.Utility_DisplayArrayInTable(Fertiliser_SourceData.Fertiliser_Products_Data2(),FertiliserProducts[[#Headers],[Include or Exclude]], 20)</f>
        <v/>
      </c>
      <c r="U118" s="65" t="str" cm="1">
        <f t="array" ref="U118">Common_InputFunctions.Utility_DisplayArrayInTable(Fertiliser_SourceData.Fertiliser_Products_Data2(),FertiliserProducts[[#Headers],[Include or Exclude]], 20)</f>
        <v/>
      </c>
      <c r="V118" s="65" t="str" cm="1">
        <f t="array" ref="V118">Common_InputFunctions.Utility_DisplayArrayInTable(Fertiliser_SourceData.Fertiliser_Products_Data2(),FertiliserProducts[[#Headers],[Include or Exclude]], 20)</f>
        <v/>
      </c>
      <c r="W118" s="65" t="str" cm="1">
        <f t="array" ref="W118">Common_InputFunctions.Utility_DisplayArrayInTable(Fertiliser_SourceData.Fertiliser_Products_Data2(),FertiliserProducts[[#Headers],[Include or Exclude]], 20)</f>
        <v>Rigbytaylor Microsol Range</v>
      </c>
      <c r="X118" s="65" t="str" cm="1">
        <f t="array" ref="X118">Common_InputFunctions.Utility_DisplayArrayInTable(Fertiliser_SourceData.Fertiliser_Products_Data2(),FertiliserProducts[[#Headers],[Include or Exclude]], 20)</f>
        <v/>
      </c>
      <c r="Y118" s="65" t="str" cm="1">
        <f t="array" ref="Y118">Common_InputFunctions.Utility_DisplayArrayInTable(Fertiliser_SourceData.Fertiliser_Products_Data2(),FertiliserProducts[[#Headers],[Include or Exclude]], 20)</f>
        <v/>
      </c>
      <c r="Z118" s="65"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4:31" ht="20.100000000000001" customHeight="1" x14ac:dyDescent="0.25">
      <c r="D119" s="65" t="str" cm="1">
        <f t="array" ref="D119">Common_InputFunctions.Utility_DisplayArrayInTable(Fertiliser_SourceData.Fertiliser_Products_Data2(),FertiliserProducts[[#Headers],[Include or Exclude]], 20)</f>
        <v>Mono Potassium Phosphate MKP</v>
      </c>
      <c r="E119" s="65" t="str" cm="1">
        <f t="array" ref="E119">Common_InputFunctions.Utility_DisplayArrayInTable(Fertiliser_SourceData.Fertiliser_Products_Data2(),FertiliserProducts[[#Headers],[Include or Exclude]], 20)</f>
        <v/>
      </c>
      <c r="F119" s="65" t="str" cm="1">
        <f t="array" ref="F119">Common_InputFunctions.Utility_DisplayArrayInTable(Fertiliser_SourceData.Fertiliser_Products_Data2(),FertiliserProducts[[#Headers],[Include or Exclude]], 20)</f>
        <v/>
      </c>
      <c r="G119" s="65" t="str" cm="1">
        <f t="array" ref="G119">Common_InputFunctions.Utility_DisplayArrayInTable(Fertiliser_SourceData.Fertiliser_Products_Data2(),FertiliserProducts[[#Headers],[Include or Exclude]], 20)</f>
        <v/>
      </c>
      <c r="H119" s="65" t="str" cm="1">
        <f t="array" ref="H119">Common_InputFunctions.Utility_DisplayArrayInTable(Fertiliser_SourceData.Fertiliser_Products_Data2(),FertiliserProducts[[#Headers],[Include or Exclude]], 20)</f>
        <v/>
      </c>
      <c r="I119" s="65" t="str" cm="1">
        <f t="array" ref="I119">Common_InputFunctions.Utility_DisplayArrayInTable(Fertiliser_SourceData.Fertiliser_Products_Data2(),FertiliserProducts[[#Headers],[Include or Exclude]], 20)</f>
        <v/>
      </c>
      <c r="J119" s="65" t="str" cm="1">
        <f t="array" ref="J119">Common_InputFunctions.Utility_DisplayArrayInTable(Fertiliser_SourceData.Fertiliser_Products_Data2(),FertiliserProducts[[#Headers],[Include or Exclude]], 20)</f>
        <v/>
      </c>
      <c r="K119" s="65" t="str" cm="1">
        <f t="array" ref="K119">Common_InputFunctions.Utility_DisplayArrayInTable(Fertiliser_SourceData.Fertiliser_Products_Data2(),FertiliserProducts[[#Headers],[Include or Exclude]], 20)</f>
        <v/>
      </c>
      <c r="L119" s="65" t="str" cm="1">
        <f t="array" ref="L119">Common_InputFunctions.Utility_DisplayArrayInTable(Fertiliser_SourceData.Fertiliser_Products_Data2(),FertiliserProducts[[#Headers],[Include or Exclude]], 20)</f>
        <v/>
      </c>
      <c r="M119" s="65" t="str" cm="1">
        <f t="array" ref="M119">Common_InputFunctions.Utility_DisplayArrayInTable(Fertiliser_SourceData.Fertiliser_Products_Data2(),FertiliserProducts[[#Headers],[Include or Exclude]], 20)</f>
        <v/>
      </c>
      <c r="N119" s="65" t="str" cm="1">
        <f t="array" ref="N119">Common_InputFunctions.Utility_DisplayArrayInTable(Fertiliser_SourceData.Fertiliser_Products_Data2(),FertiliserProducts[[#Headers],[Include or Exclude]], 20)</f>
        <v/>
      </c>
      <c r="O119" s="65" t="str" cm="1">
        <f t="array" ref="O119">Common_InputFunctions.Utility_DisplayArrayInTable(Fertiliser_SourceData.Fertiliser_Products_Data2(),FertiliserProducts[[#Headers],[Include or Exclude]], 20)</f>
        <v/>
      </c>
      <c r="P119" s="65" t="str" cm="1">
        <f t="array" ref="P119">Common_InputFunctions.Utility_DisplayArrayInTable(Fertiliser_SourceData.Fertiliser_Products_Data2(),FertiliserProducts[[#Headers],[Include or Exclude]], 20)</f>
        <v/>
      </c>
      <c r="Q119" s="65" t="str" cm="1">
        <f t="array" ref="Q119">Common_InputFunctions.Utility_DisplayArrayInTable(Fertiliser_SourceData.Fertiliser_Products_Data2(),FertiliserProducts[[#Headers],[Include or Exclude]], 20)</f>
        <v/>
      </c>
      <c r="R119" s="65" t="str" cm="1">
        <f t="array" ref="R119">Common_InputFunctions.Utility_DisplayArrayInTable(Fertiliser_SourceData.Fertiliser_Products_Data2(),FertiliserProducts[[#Headers],[Include or Exclude]], 20)</f>
        <v/>
      </c>
      <c r="S119" s="65" t="str" cm="1">
        <f t="array" ref="S119">Common_InputFunctions.Utility_DisplayArrayInTable(Fertiliser_SourceData.Fertiliser_Products_Data2(),FertiliserProducts[[#Headers],[Include or Exclude]], 20)</f>
        <v/>
      </c>
      <c r="T119" s="65" t="str" cm="1">
        <f t="array" ref="T119">Common_InputFunctions.Utility_DisplayArrayInTable(Fertiliser_SourceData.Fertiliser_Products_Data2(),FertiliserProducts[[#Headers],[Include or Exclude]], 20)</f>
        <v/>
      </c>
      <c r="U119" s="65" t="str" cm="1">
        <f t="array" ref="U119">Common_InputFunctions.Utility_DisplayArrayInTable(Fertiliser_SourceData.Fertiliser_Products_Data2(),FertiliserProducts[[#Headers],[Include or Exclude]], 20)</f>
        <v/>
      </c>
      <c r="V119" s="65" t="str" cm="1">
        <f t="array" ref="V119">Common_InputFunctions.Utility_DisplayArrayInTable(Fertiliser_SourceData.Fertiliser_Products_Data2(),FertiliserProducts[[#Headers],[Include or Exclude]], 20)</f>
        <v/>
      </c>
      <c r="W119" s="65" t="str" cm="1">
        <f t="array" ref="W119">Common_InputFunctions.Utility_DisplayArrayInTable(Fertiliser_SourceData.Fertiliser_Products_Data2(),FertiliserProducts[[#Headers],[Include or Exclude]], 20)</f>
        <v>Swancrop</v>
      </c>
      <c r="X119" s="65" t="str" cm="1">
        <f t="array" ref="X119">Common_InputFunctions.Utility_DisplayArrayInTable(Fertiliser_SourceData.Fertiliser_Products_Data2(),FertiliserProducts[[#Headers],[Include or Exclude]], 20)</f>
        <v/>
      </c>
      <c r="Y119" s="65" t="str" cm="1">
        <f t="array" ref="Y119">Common_InputFunctions.Utility_DisplayArrayInTable(Fertiliser_SourceData.Fertiliser_Products_Data2(),FertiliserProducts[[#Headers],[Include or Exclude]], 20)</f>
        <v/>
      </c>
      <c r="Z119" s="65"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4:31" ht="20.100000000000001" customHeight="1" x14ac:dyDescent="0.25">
      <c r="D120" s="65" t="str" cm="1">
        <f t="array" ref="D120">Common_InputFunctions.Utility_DisplayArrayInTable(Fertiliser_SourceData.Fertiliser_Products_Data2(),FertiliserProducts[[#Headers],[Include or Exclude]], 20)</f>
        <v>Muriate Of Potash MOP</v>
      </c>
      <c r="E120" s="65" t="str" cm="1">
        <f t="array" ref="E120">Common_InputFunctions.Utility_DisplayArrayInTable(Fertiliser_SourceData.Fertiliser_Products_Data2(),FertiliserProducts[[#Headers],[Include or Exclude]], 20)</f>
        <v/>
      </c>
      <c r="F120" s="65" t="str" cm="1">
        <f t="array" ref="F120">Common_InputFunctions.Utility_DisplayArrayInTable(Fertiliser_SourceData.Fertiliser_Products_Data2(),FertiliserProducts[[#Headers],[Include or Exclude]], 20)</f>
        <v/>
      </c>
      <c r="G120" s="65" t="str" cm="1">
        <f t="array" ref="G120">Common_InputFunctions.Utility_DisplayArrayInTable(Fertiliser_SourceData.Fertiliser_Products_Data2(),FertiliserProducts[[#Headers],[Include or Exclude]], 20)</f>
        <v/>
      </c>
      <c r="H120" s="65" t="str" cm="1">
        <f t="array" ref="H120">Common_InputFunctions.Utility_DisplayArrayInTable(Fertiliser_SourceData.Fertiliser_Products_Data2(),FertiliserProducts[[#Headers],[Include or Exclude]], 20)</f>
        <v/>
      </c>
      <c r="I120" s="65" t="str" cm="1">
        <f t="array" ref="I120">Common_InputFunctions.Utility_DisplayArrayInTable(Fertiliser_SourceData.Fertiliser_Products_Data2(),FertiliserProducts[[#Headers],[Include or Exclude]], 20)</f>
        <v/>
      </c>
      <c r="J120" s="65" t="str" cm="1">
        <f t="array" ref="J120">Common_InputFunctions.Utility_DisplayArrayInTable(Fertiliser_SourceData.Fertiliser_Products_Data2(),FertiliserProducts[[#Headers],[Include or Exclude]], 20)</f>
        <v/>
      </c>
      <c r="K120" s="65" t="str" cm="1">
        <f t="array" ref="K120">Common_InputFunctions.Utility_DisplayArrayInTable(Fertiliser_SourceData.Fertiliser_Products_Data2(),FertiliserProducts[[#Headers],[Include or Exclude]], 20)</f>
        <v/>
      </c>
      <c r="L120" s="65" t="str" cm="1">
        <f t="array" ref="L120">Common_InputFunctions.Utility_DisplayArrayInTable(Fertiliser_SourceData.Fertiliser_Products_Data2(),FertiliserProducts[[#Headers],[Include or Exclude]], 20)</f>
        <v/>
      </c>
      <c r="M120" s="65" t="str" cm="1">
        <f t="array" ref="M120">Common_InputFunctions.Utility_DisplayArrayInTable(Fertiliser_SourceData.Fertiliser_Products_Data2(),FertiliserProducts[[#Headers],[Include or Exclude]], 20)</f>
        <v/>
      </c>
      <c r="N120" s="65" t="str" cm="1">
        <f t="array" ref="N120">Common_InputFunctions.Utility_DisplayArrayInTable(Fertiliser_SourceData.Fertiliser_Products_Data2(),FertiliserProducts[[#Headers],[Include or Exclude]], 20)</f>
        <v/>
      </c>
      <c r="O120" s="65" t="str" cm="1">
        <f t="array" ref="O120">Common_InputFunctions.Utility_DisplayArrayInTable(Fertiliser_SourceData.Fertiliser_Products_Data2(),FertiliserProducts[[#Headers],[Include or Exclude]], 20)</f>
        <v/>
      </c>
      <c r="P120" s="65" t="str" cm="1">
        <f t="array" ref="P120">Common_InputFunctions.Utility_DisplayArrayInTable(Fertiliser_SourceData.Fertiliser_Products_Data2(),FertiliserProducts[[#Headers],[Include or Exclude]], 20)</f>
        <v/>
      </c>
      <c r="Q120" s="65" t="str" cm="1">
        <f t="array" ref="Q120">Common_InputFunctions.Utility_DisplayArrayInTable(Fertiliser_SourceData.Fertiliser_Products_Data2(),FertiliserProducts[[#Headers],[Include or Exclude]], 20)</f>
        <v/>
      </c>
      <c r="R120" s="65" t="str" cm="1">
        <f t="array" ref="R120">Common_InputFunctions.Utility_DisplayArrayInTable(Fertiliser_SourceData.Fertiliser_Products_Data2(),FertiliserProducts[[#Headers],[Include or Exclude]], 20)</f>
        <v/>
      </c>
      <c r="S120" s="65" t="str" cm="1">
        <f t="array" ref="S120">Common_InputFunctions.Utility_DisplayArrayInTable(Fertiliser_SourceData.Fertiliser_Products_Data2(),FertiliserProducts[[#Headers],[Include or Exclude]], 20)</f>
        <v/>
      </c>
      <c r="T120" s="65" t="str" cm="1">
        <f t="array" ref="T120">Common_InputFunctions.Utility_DisplayArrayInTable(Fertiliser_SourceData.Fertiliser_Products_Data2(),FertiliserProducts[[#Headers],[Include or Exclude]], 20)</f>
        <v/>
      </c>
      <c r="U120" s="65" t="str" cm="1">
        <f t="array" ref="U120">Common_InputFunctions.Utility_DisplayArrayInTable(Fertiliser_SourceData.Fertiliser_Products_Data2(),FertiliserProducts[[#Headers],[Include or Exclude]], 20)</f>
        <v/>
      </c>
      <c r="V120" s="65" t="str" cm="1">
        <f t="array" ref="V120">Common_InputFunctions.Utility_DisplayArrayInTable(Fertiliser_SourceData.Fertiliser_Products_Data2(),FertiliserProducts[[#Headers],[Include or Exclude]], 20)</f>
        <v/>
      </c>
      <c r="W120" s="65" t="str" cm="1">
        <f t="array" ref="W120">Common_InputFunctions.Utility_DisplayArrayInTable(Fertiliser_SourceData.Fertiliser_Products_Data2(),FertiliserProducts[[#Headers],[Include or Exclude]], 20)</f>
        <v>MountCompass Fertilisers Blends</v>
      </c>
      <c r="X120" s="65" t="str" cm="1">
        <f t="array" ref="X120">Common_InputFunctions.Utility_DisplayArrayInTable(Fertiliser_SourceData.Fertiliser_Products_Data2(),FertiliserProducts[[#Headers],[Include or Exclude]], 20)</f>
        <v/>
      </c>
      <c r="Y120" s="65" t="str" cm="1">
        <f t="array" ref="Y120">Common_InputFunctions.Utility_DisplayArrayInTable(Fertiliser_SourceData.Fertiliser_Products_Data2(),FertiliserProducts[[#Headers],[Include or Exclude]], 20)</f>
        <v/>
      </c>
      <c r="Z120" s="65"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4:31" ht="20.100000000000001" customHeight="1" x14ac:dyDescent="0.25">
      <c r="D121" s="65" t="str" cm="1">
        <f t="array" ref="D121">Common_InputFunctions.Utility_DisplayArrayInTable(Fertiliser_SourceData.Fertiliser_Products_Data2(),FertiliserProducts[[#Headers],[Include or Exclude]], 20)</f>
        <v>NitroPlus</v>
      </c>
      <c r="E121" s="65" t="str" cm="1">
        <f t="array" ref="E121">Common_InputFunctions.Utility_DisplayArrayInTable(Fertiliser_SourceData.Fertiliser_Products_Data2(),FertiliserProducts[[#Headers],[Include or Exclude]], 20)</f>
        <v/>
      </c>
      <c r="F121" s="65" t="str" cm="1">
        <f t="array" ref="F121">Common_InputFunctions.Utility_DisplayArrayInTable(Fertiliser_SourceData.Fertiliser_Products_Data2(),FertiliserProducts[[#Headers],[Include or Exclude]], 20)</f>
        <v/>
      </c>
      <c r="G121" s="65" t="str" cm="1">
        <f t="array" ref="G121">Common_InputFunctions.Utility_DisplayArrayInTable(Fertiliser_SourceData.Fertiliser_Products_Data2(),FertiliserProducts[[#Headers],[Include or Exclude]], 20)</f>
        <v/>
      </c>
      <c r="H121" s="65" t="str" cm="1">
        <f t="array" ref="H121">Common_InputFunctions.Utility_DisplayArrayInTable(Fertiliser_SourceData.Fertiliser_Products_Data2(),FertiliserProducts[[#Headers],[Include or Exclude]], 20)</f>
        <v/>
      </c>
      <c r="I121" s="65" t="str" cm="1">
        <f t="array" ref="I121">Common_InputFunctions.Utility_DisplayArrayInTable(Fertiliser_SourceData.Fertiliser_Products_Data2(),FertiliserProducts[[#Headers],[Include or Exclude]], 20)</f>
        <v/>
      </c>
      <c r="J121" s="65" t="str" cm="1">
        <f t="array" ref="J121">Common_InputFunctions.Utility_DisplayArrayInTable(Fertiliser_SourceData.Fertiliser_Products_Data2(),FertiliserProducts[[#Headers],[Include or Exclude]], 20)</f>
        <v/>
      </c>
      <c r="K121" s="65" t="str" cm="1">
        <f t="array" ref="K121">Common_InputFunctions.Utility_DisplayArrayInTable(Fertiliser_SourceData.Fertiliser_Products_Data2(),FertiliserProducts[[#Headers],[Include or Exclude]], 20)</f>
        <v/>
      </c>
      <c r="L121" s="65" t="str" cm="1">
        <f t="array" ref="L121">Common_InputFunctions.Utility_DisplayArrayInTable(Fertiliser_SourceData.Fertiliser_Products_Data2(),FertiliserProducts[[#Headers],[Include or Exclude]], 20)</f>
        <v/>
      </c>
      <c r="M121" s="65" t="str" cm="1">
        <f t="array" ref="M121">Common_InputFunctions.Utility_DisplayArrayInTable(Fertiliser_SourceData.Fertiliser_Products_Data2(),FertiliserProducts[[#Headers],[Include or Exclude]], 20)</f>
        <v/>
      </c>
      <c r="N121" s="65" t="str" cm="1">
        <f t="array" ref="N121">Common_InputFunctions.Utility_DisplayArrayInTable(Fertiliser_SourceData.Fertiliser_Products_Data2(),FertiliserProducts[[#Headers],[Include or Exclude]], 20)</f>
        <v/>
      </c>
      <c r="O121" s="65" t="str" cm="1">
        <f t="array" ref="O121">Common_InputFunctions.Utility_DisplayArrayInTable(Fertiliser_SourceData.Fertiliser_Products_Data2(),FertiliserProducts[[#Headers],[Include or Exclude]], 20)</f>
        <v/>
      </c>
      <c r="P121" s="65" t="str" cm="1">
        <f t="array" ref="P121">Common_InputFunctions.Utility_DisplayArrayInTable(Fertiliser_SourceData.Fertiliser_Products_Data2(),FertiliserProducts[[#Headers],[Include or Exclude]], 20)</f>
        <v/>
      </c>
      <c r="Q121" s="65" t="str" cm="1">
        <f t="array" ref="Q121">Common_InputFunctions.Utility_DisplayArrayInTable(Fertiliser_SourceData.Fertiliser_Products_Data2(),FertiliserProducts[[#Headers],[Include or Exclude]], 20)</f>
        <v/>
      </c>
      <c r="R121" s="65" t="str" cm="1">
        <f t="array" ref="R121">Common_InputFunctions.Utility_DisplayArrayInTable(Fertiliser_SourceData.Fertiliser_Products_Data2(),FertiliserProducts[[#Headers],[Include or Exclude]], 20)</f>
        <v/>
      </c>
      <c r="S121" s="65" t="str" cm="1">
        <f t="array" ref="S121">Common_InputFunctions.Utility_DisplayArrayInTable(Fertiliser_SourceData.Fertiliser_Products_Data2(),FertiliserProducts[[#Headers],[Include or Exclude]], 20)</f>
        <v/>
      </c>
      <c r="T121" s="65" t="str" cm="1">
        <f t="array" ref="T121">Common_InputFunctions.Utility_DisplayArrayInTable(Fertiliser_SourceData.Fertiliser_Products_Data2(),FertiliserProducts[[#Headers],[Include or Exclude]], 20)</f>
        <v/>
      </c>
      <c r="U121" s="65" t="str" cm="1">
        <f t="array" ref="U121">Common_InputFunctions.Utility_DisplayArrayInTable(Fertiliser_SourceData.Fertiliser_Products_Data2(),FertiliserProducts[[#Headers],[Include or Exclude]], 20)</f>
        <v/>
      </c>
      <c r="V121" s="65" t="str" cm="1">
        <f t="array" ref="V121">Common_InputFunctions.Utility_DisplayArrayInTable(Fertiliser_SourceData.Fertiliser_Products_Data2(),FertiliserProducts[[#Headers],[Include or Exclude]], 20)</f>
        <v/>
      </c>
      <c r="W121" s="65" t="str" cm="1">
        <f t="array" ref="W121">Common_InputFunctions.Utility_DisplayArrayInTable(Fertiliser_SourceData.Fertiliser_Products_Data2(),FertiliserProducts[[#Headers],[Include or Exclude]], 20)</f>
        <v>AgroStock Group Nitro Plus</v>
      </c>
      <c r="X121" s="65" t="str" cm="1">
        <f t="array" ref="X121">Common_InputFunctions.Utility_DisplayArrayInTable(Fertiliser_SourceData.Fertiliser_Products_Data2(),FertiliserProducts[[#Headers],[Include or Exclude]], 20)</f>
        <v/>
      </c>
      <c r="Y121" s="65" t="str" cm="1">
        <f t="array" ref="Y121">Common_InputFunctions.Utility_DisplayArrayInTable(Fertiliser_SourceData.Fertiliser_Products_Data2(),FertiliserProducts[[#Headers],[Include or Exclude]], 20)</f>
        <v/>
      </c>
      <c r="Z121" s="65"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4:31" ht="20.100000000000001" customHeight="1" x14ac:dyDescent="0.25">
      <c r="D122" s="65" t="str" cm="1">
        <f t="array" ref="D122">Common_InputFunctions.Utility_DisplayArrayInTable(Fertiliser_SourceData.Fertiliser_Products_Data2(),FertiliserProducts[[#Headers],[Include or Exclude]], 20)</f>
        <v>NutraGold</v>
      </c>
      <c r="E122" s="65" t="str" cm="1">
        <f t="array" ref="E122">Common_InputFunctions.Utility_DisplayArrayInTable(Fertiliser_SourceData.Fertiliser_Products_Data2(),FertiliserProducts[[#Headers],[Include or Exclude]], 20)</f>
        <v/>
      </c>
      <c r="F122" s="65" t="str" cm="1">
        <f t="array" ref="F122">Common_InputFunctions.Utility_DisplayArrayInTable(Fertiliser_SourceData.Fertiliser_Products_Data2(),FertiliserProducts[[#Headers],[Include or Exclude]], 20)</f>
        <v/>
      </c>
      <c r="G122" s="65" t="str" cm="1">
        <f t="array" ref="G122">Common_InputFunctions.Utility_DisplayArrayInTable(Fertiliser_SourceData.Fertiliser_Products_Data2(),FertiliserProducts[[#Headers],[Include or Exclude]], 20)</f>
        <v/>
      </c>
      <c r="H122" s="65" t="str" cm="1">
        <f t="array" ref="H122">Common_InputFunctions.Utility_DisplayArrayInTable(Fertiliser_SourceData.Fertiliser_Products_Data2(),FertiliserProducts[[#Headers],[Include or Exclude]], 20)</f>
        <v/>
      </c>
      <c r="I122" s="65" t="str" cm="1">
        <f t="array" ref="I122">Common_InputFunctions.Utility_DisplayArrayInTable(Fertiliser_SourceData.Fertiliser_Products_Data2(),FertiliserProducts[[#Headers],[Include or Exclude]], 20)</f>
        <v/>
      </c>
      <c r="J122" s="65" t="str" cm="1">
        <f t="array" ref="J122">Common_InputFunctions.Utility_DisplayArrayInTable(Fertiliser_SourceData.Fertiliser_Products_Data2(),FertiliserProducts[[#Headers],[Include or Exclude]], 20)</f>
        <v/>
      </c>
      <c r="K122" s="65" t="str" cm="1">
        <f t="array" ref="K122">Common_InputFunctions.Utility_DisplayArrayInTable(Fertiliser_SourceData.Fertiliser_Products_Data2(),FertiliserProducts[[#Headers],[Include or Exclude]], 20)</f>
        <v/>
      </c>
      <c r="L122" s="65" t="str" cm="1">
        <f t="array" ref="L122">Common_InputFunctions.Utility_DisplayArrayInTable(Fertiliser_SourceData.Fertiliser_Products_Data2(),FertiliserProducts[[#Headers],[Include or Exclude]], 20)</f>
        <v/>
      </c>
      <c r="M122" s="65" t="str" cm="1">
        <f t="array" ref="M122">Common_InputFunctions.Utility_DisplayArrayInTable(Fertiliser_SourceData.Fertiliser_Products_Data2(),FertiliserProducts[[#Headers],[Include or Exclude]], 20)</f>
        <v/>
      </c>
      <c r="N122" s="65" t="str" cm="1">
        <f t="array" ref="N122">Common_InputFunctions.Utility_DisplayArrayInTable(Fertiliser_SourceData.Fertiliser_Products_Data2(),FertiliserProducts[[#Headers],[Include or Exclude]], 20)</f>
        <v/>
      </c>
      <c r="O122" s="65" t="str" cm="1">
        <f t="array" ref="O122">Common_InputFunctions.Utility_DisplayArrayInTable(Fertiliser_SourceData.Fertiliser_Products_Data2(),FertiliserProducts[[#Headers],[Include or Exclude]], 20)</f>
        <v/>
      </c>
      <c r="P122" s="65" t="str" cm="1">
        <f t="array" ref="P122">Common_InputFunctions.Utility_DisplayArrayInTable(Fertiliser_SourceData.Fertiliser_Products_Data2(),FertiliserProducts[[#Headers],[Include or Exclude]], 20)</f>
        <v/>
      </c>
      <c r="Q122" s="65" t="str" cm="1">
        <f t="array" ref="Q122">Common_InputFunctions.Utility_DisplayArrayInTable(Fertiliser_SourceData.Fertiliser_Products_Data2(),FertiliserProducts[[#Headers],[Include or Exclude]], 20)</f>
        <v/>
      </c>
      <c r="R122" s="65" t="str" cm="1">
        <f t="array" ref="R122">Common_InputFunctions.Utility_DisplayArrayInTable(Fertiliser_SourceData.Fertiliser_Products_Data2(),FertiliserProducts[[#Headers],[Include or Exclude]], 20)</f>
        <v/>
      </c>
      <c r="S122" s="65" t="str" cm="1">
        <f t="array" ref="S122">Common_InputFunctions.Utility_DisplayArrayInTable(Fertiliser_SourceData.Fertiliser_Products_Data2(),FertiliserProducts[[#Headers],[Include or Exclude]], 20)</f>
        <v/>
      </c>
      <c r="T122" s="65" t="str" cm="1">
        <f t="array" ref="T122">Common_InputFunctions.Utility_DisplayArrayInTable(Fertiliser_SourceData.Fertiliser_Products_Data2(),FertiliserProducts[[#Headers],[Include or Exclude]], 20)</f>
        <v/>
      </c>
      <c r="U122" s="65" t="str" cm="1">
        <f t="array" ref="U122">Common_InputFunctions.Utility_DisplayArrayInTable(Fertiliser_SourceData.Fertiliser_Products_Data2(),FertiliserProducts[[#Headers],[Include or Exclude]], 20)</f>
        <v/>
      </c>
      <c r="V122" s="65" t="str" cm="1">
        <f t="array" ref="V122">Common_InputFunctions.Utility_DisplayArrayInTable(Fertiliser_SourceData.Fertiliser_Products_Data2(),FertiliserProducts[[#Headers],[Include or Exclude]], 20)</f>
        <v/>
      </c>
      <c r="W122" s="65" t="str" cm="1">
        <f t="array" ref="W122">Common_InputFunctions.Utility_DisplayArrayInTable(Fertiliser_SourceData.Fertiliser_Products_Data2(),FertiliserProducts[[#Headers],[Include or Exclude]], 20)</f>
        <v>Swancrop</v>
      </c>
      <c r="X122" s="65" t="str" cm="1">
        <f t="array" ref="X122">Common_InputFunctions.Utility_DisplayArrayInTable(Fertiliser_SourceData.Fertiliser_Products_Data2(),FertiliserProducts[[#Headers],[Include or Exclude]], 20)</f>
        <v/>
      </c>
      <c r="Y122" s="65" t="str" cm="1">
        <f t="array" ref="Y122">Common_InputFunctions.Utility_DisplayArrayInTable(Fertiliser_SourceData.Fertiliser_Products_Data2(),FertiliserProducts[[#Headers],[Include or Exclude]], 20)</f>
        <v/>
      </c>
      <c r="Z122" s="65"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4:31" ht="20.100000000000001" customHeight="1" x14ac:dyDescent="0.25">
      <c r="D123" s="65" t="str" cm="1">
        <f t="array" ref="D123">Common_InputFunctions.Utility_DisplayArrayInTable(Fertiliser_SourceData.Fertiliser_Products_Data2(),FertiliserProducts[[#Headers],[Include or Exclude]], 20)</f>
        <v>Pro Performance 18-3-6</v>
      </c>
      <c r="E123" s="65" t="str" cm="1">
        <f t="array" ref="E123">Common_InputFunctions.Utility_DisplayArrayInTable(Fertiliser_SourceData.Fertiliser_Products_Data2(),FertiliserProducts[[#Headers],[Include or Exclude]], 20)</f>
        <v/>
      </c>
      <c r="F123" s="65" t="str" cm="1">
        <f t="array" ref="F123">Common_InputFunctions.Utility_DisplayArrayInTable(Fertiliser_SourceData.Fertiliser_Products_Data2(),FertiliserProducts[[#Headers],[Include or Exclude]], 20)</f>
        <v/>
      </c>
      <c r="G123" s="65" t="str" cm="1">
        <f t="array" ref="G123">Common_InputFunctions.Utility_DisplayArrayInTable(Fertiliser_SourceData.Fertiliser_Products_Data2(),FertiliserProducts[[#Headers],[Include or Exclude]], 20)</f>
        <v/>
      </c>
      <c r="H123" s="65" t="str" cm="1">
        <f t="array" ref="H123">Common_InputFunctions.Utility_DisplayArrayInTable(Fertiliser_SourceData.Fertiliser_Products_Data2(),FertiliserProducts[[#Headers],[Include or Exclude]], 20)</f>
        <v/>
      </c>
      <c r="I123" s="65" t="str" cm="1">
        <f t="array" ref="I123">Common_InputFunctions.Utility_DisplayArrayInTable(Fertiliser_SourceData.Fertiliser_Products_Data2(),FertiliserProducts[[#Headers],[Include or Exclude]], 20)</f>
        <v/>
      </c>
      <c r="J123" s="65" t="str" cm="1">
        <f t="array" ref="J123">Common_InputFunctions.Utility_DisplayArrayInTable(Fertiliser_SourceData.Fertiliser_Products_Data2(),FertiliserProducts[[#Headers],[Include or Exclude]], 20)</f>
        <v/>
      </c>
      <c r="K123" s="65" t="str" cm="1">
        <f t="array" ref="K123">Common_InputFunctions.Utility_DisplayArrayInTable(Fertiliser_SourceData.Fertiliser_Products_Data2(),FertiliserProducts[[#Headers],[Include or Exclude]], 20)</f>
        <v/>
      </c>
      <c r="L123" s="65" t="str" cm="1">
        <f t="array" ref="L123">Common_InputFunctions.Utility_DisplayArrayInTable(Fertiliser_SourceData.Fertiliser_Products_Data2(),FertiliserProducts[[#Headers],[Include or Exclude]], 20)</f>
        <v/>
      </c>
      <c r="M123" s="65" t="str" cm="1">
        <f t="array" ref="M123">Common_InputFunctions.Utility_DisplayArrayInTable(Fertiliser_SourceData.Fertiliser_Products_Data2(),FertiliserProducts[[#Headers],[Include or Exclude]], 20)</f>
        <v/>
      </c>
      <c r="N123" s="65" t="str" cm="1">
        <f t="array" ref="N123">Common_InputFunctions.Utility_DisplayArrayInTable(Fertiliser_SourceData.Fertiliser_Products_Data2(),FertiliserProducts[[#Headers],[Include or Exclude]], 20)</f>
        <v/>
      </c>
      <c r="O123" s="65" t="str" cm="1">
        <f t="array" ref="O123">Common_InputFunctions.Utility_DisplayArrayInTable(Fertiliser_SourceData.Fertiliser_Products_Data2(),FertiliserProducts[[#Headers],[Include or Exclude]], 20)</f>
        <v/>
      </c>
      <c r="P123" s="65" t="str" cm="1">
        <f t="array" ref="P123">Common_InputFunctions.Utility_DisplayArrayInTable(Fertiliser_SourceData.Fertiliser_Products_Data2(),FertiliserProducts[[#Headers],[Include or Exclude]], 20)</f>
        <v/>
      </c>
      <c r="Q123" s="65" t="str" cm="1">
        <f t="array" ref="Q123">Common_InputFunctions.Utility_DisplayArrayInTable(Fertiliser_SourceData.Fertiliser_Products_Data2(),FertiliserProducts[[#Headers],[Include or Exclude]], 20)</f>
        <v/>
      </c>
      <c r="R123" s="65" t="str" cm="1">
        <f t="array" ref="R123">Common_InputFunctions.Utility_DisplayArrayInTable(Fertiliser_SourceData.Fertiliser_Products_Data2(),FertiliserProducts[[#Headers],[Include or Exclude]], 20)</f>
        <v/>
      </c>
      <c r="S123" s="65" t="str" cm="1">
        <f t="array" ref="S123">Common_InputFunctions.Utility_DisplayArrayInTable(Fertiliser_SourceData.Fertiliser_Products_Data2(),FertiliserProducts[[#Headers],[Include or Exclude]], 20)</f>
        <v/>
      </c>
      <c r="T123" s="65" t="str" cm="1">
        <f t="array" ref="T123">Common_InputFunctions.Utility_DisplayArrayInTable(Fertiliser_SourceData.Fertiliser_Products_Data2(),FertiliserProducts[[#Headers],[Include or Exclude]], 20)</f>
        <v/>
      </c>
      <c r="U123" s="65" t="str" cm="1">
        <f t="array" ref="U123">Common_InputFunctions.Utility_DisplayArrayInTable(Fertiliser_SourceData.Fertiliser_Products_Data2(),FertiliserProducts[[#Headers],[Include or Exclude]], 20)</f>
        <v/>
      </c>
      <c r="V123" s="65" t="str" cm="1">
        <f t="array" ref="V123">Common_InputFunctions.Utility_DisplayArrayInTable(Fertiliser_SourceData.Fertiliser_Products_Data2(),FertiliserProducts[[#Headers],[Include or Exclude]], 20)</f>
        <v/>
      </c>
      <c r="W123" s="65" t="str" cm="1">
        <f t="array" ref="W123">Common_InputFunctions.Utility_DisplayArrayInTable(Fertiliser_SourceData.Fertiliser_Products_Data2(),FertiliserProducts[[#Headers],[Include or Exclude]], 20)</f>
        <v>Pro Turf Formula</v>
      </c>
      <c r="X123" s="65" t="str" cm="1">
        <f t="array" ref="X123">Common_InputFunctions.Utility_DisplayArrayInTable(Fertiliser_SourceData.Fertiliser_Products_Data2(),FertiliserProducts[[#Headers],[Include or Exclude]], 20)</f>
        <v/>
      </c>
      <c r="Y123" s="65" t="str" cm="1">
        <f t="array" ref="Y123">Common_InputFunctions.Utility_DisplayArrayInTable(Fertiliser_SourceData.Fertiliser_Products_Data2(),FertiliserProducts[[#Headers],[Include or Exclude]], 20)</f>
        <v/>
      </c>
      <c r="Z123" s="65"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4:31" ht="20.100000000000001" customHeight="1" x14ac:dyDescent="0.25">
      <c r="D124" s="65" t="str" cm="1">
        <f t="array" ref="D124">Common_InputFunctions.Utility_DisplayArrayInTable(Fertiliser_SourceData.Fertiliser_Products_Data2(),FertiliserProducts[[#Headers],[Include or Exclude]], 20)</f>
        <v>SOA</v>
      </c>
      <c r="E124" s="65" t="str" cm="1">
        <f t="array" ref="E124">Common_InputFunctions.Utility_DisplayArrayInTable(Fertiliser_SourceData.Fertiliser_Products_Data2(),FertiliserProducts[[#Headers],[Include or Exclude]], 20)</f>
        <v/>
      </c>
      <c r="F124" s="65" t="str" cm="1">
        <f t="array" ref="F124">Common_InputFunctions.Utility_DisplayArrayInTable(Fertiliser_SourceData.Fertiliser_Products_Data2(),FertiliserProducts[[#Headers],[Include or Exclude]], 20)</f>
        <v/>
      </c>
      <c r="G124" s="65" t="str" cm="1">
        <f t="array" ref="G124">Common_InputFunctions.Utility_DisplayArrayInTable(Fertiliser_SourceData.Fertiliser_Products_Data2(),FertiliserProducts[[#Headers],[Include or Exclude]], 20)</f>
        <v/>
      </c>
      <c r="H124" s="65" t="str" cm="1">
        <f t="array" ref="H124">Common_InputFunctions.Utility_DisplayArrayInTable(Fertiliser_SourceData.Fertiliser_Products_Data2(),FertiliserProducts[[#Headers],[Include or Exclude]], 20)</f>
        <v/>
      </c>
      <c r="I124" s="65" t="str" cm="1">
        <f t="array" ref="I124">Common_InputFunctions.Utility_DisplayArrayInTable(Fertiliser_SourceData.Fertiliser_Products_Data2(),FertiliserProducts[[#Headers],[Include or Exclude]], 20)</f>
        <v/>
      </c>
      <c r="J124" s="65" t="str" cm="1">
        <f t="array" ref="J124">Common_InputFunctions.Utility_DisplayArrayInTable(Fertiliser_SourceData.Fertiliser_Products_Data2(),FertiliserProducts[[#Headers],[Include or Exclude]], 20)</f>
        <v/>
      </c>
      <c r="K124" s="65" t="str" cm="1">
        <f t="array" ref="K124">Common_InputFunctions.Utility_DisplayArrayInTable(Fertiliser_SourceData.Fertiliser_Products_Data2(),FertiliserProducts[[#Headers],[Include or Exclude]], 20)</f>
        <v/>
      </c>
      <c r="L124" s="65" t="str" cm="1">
        <f t="array" ref="L124">Common_InputFunctions.Utility_DisplayArrayInTable(Fertiliser_SourceData.Fertiliser_Products_Data2(),FertiliserProducts[[#Headers],[Include or Exclude]], 20)</f>
        <v/>
      </c>
      <c r="M124" s="65" t="str" cm="1">
        <f t="array" ref="M124">Common_InputFunctions.Utility_DisplayArrayInTable(Fertiliser_SourceData.Fertiliser_Products_Data2(),FertiliserProducts[[#Headers],[Include or Exclude]], 20)</f>
        <v/>
      </c>
      <c r="N124" s="65" t="str" cm="1">
        <f t="array" ref="N124">Common_InputFunctions.Utility_DisplayArrayInTable(Fertiliser_SourceData.Fertiliser_Products_Data2(),FertiliserProducts[[#Headers],[Include or Exclude]], 20)</f>
        <v/>
      </c>
      <c r="O124" s="65" t="str" cm="1">
        <f t="array" ref="O124">Common_InputFunctions.Utility_DisplayArrayInTable(Fertiliser_SourceData.Fertiliser_Products_Data2(),FertiliserProducts[[#Headers],[Include or Exclude]], 20)</f>
        <v/>
      </c>
      <c r="P124" s="65" t="str" cm="1">
        <f t="array" ref="P124">Common_InputFunctions.Utility_DisplayArrayInTable(Fertiliser_SourceData.Fertiliser_Products_Data2(),FertiliserProducts[[#Headers],[Include or Exclude]], 20)</f>
        <v/>
      </c>
      <c r="Q124" s="65" t="str" cm="1">
        <f t="array" ref="Q124">Common_InputFunctions.Utility_DisplayArrayInTable(Fertiliser_SourceData.Fertiliser_Products_Data2(),FertiliserProducts[[#Headers],[Include or Exclude]], 20)</f>
        <v/>
      </c>
      <c r="R124" s="65" t="str" cm="1">
        <f t="array" ref="R124">Common_InputFunctions.Utility_DisplayArrayInTable(Fertiliser_SourceData.Fertiliser_Products_Data2(),FertiliserProducts[[#Headers],[Include or Exclude]], 20)</f>
        <v/>
      </c>
      <c r="S124" s="65" t="str" cm="1">
        <f t="array" ref="S124">Common_InputFunctions.Utility_DisplayArrayInTable(Fertiliser_SourceData.Fertiliser_Products_Data2(),FertiliserProducts[[#Headers],[Include or Exclude]], 20)</f>
        <v/>
      </c>
      <c r="T124" s="65" t="str" cm="1">
        <f t="array" ref="T124">Common_InputFunctions.Utility_DisplayArrayInTable(Fertiliser_SourceData.Fertiliser_Products_Data2(),FertiliserProducts[[#Headers],[Include or Exclude]], 20)</f>
        <v/>
      </c>
      <c r="U124" s="65" t="str" cm="1">
        <f t="array" ref="U124">Common_InputFunctions.Utility_DisplayArrayInTable(Fertiliser_SourceData.Fertiliser_Products_Data2(),FertiliserProducts[[#Headers],[Include or Exclude]], 20)</f>
        <v/>
      </c>
      <c r="V124" s="65" t="str" cm="1">
        <f t="array" ref="V124">Common_InputFunctions.Utility_DisplayArrayInTable(Fertiliser_SourceData.Fertiliser_Products_Data2(),FertiliserProducts[[#Headers],[Include or Exclude]], 20)</f>
        <v/>
      </c>
      <c r="W124" s="65" t="str" cm="1">
        <f t="array" ref="W124">Common_InputFunctions.Utility_DisplayArrayInTable(Fertiliser_SourceData.Fertiliser_Products_Data2(),FertiliserProducts[[#Headers],[Include or Exclude]], 20)</f>
        <v>MountCompass Fertilisers Blends</v>
      </c>
      <c r="X124" s="65" t="str" cm="1">
        <f t="array" ref="X124">Common_InputFunctions.Utility_DisplayArrayInTable(Fertiliser_SourceData.Fertiliser_Products_Data2(),FertiliserProducts[[#Headers],[Include or Exclude]], 20)</f>
        <v/>
      </c>
      <c r="Y124" s="65" t="str" cm="1">
        <f t="array" ref="Y124">Common_InputFunctions.Utility_DisplayArrayInTable(Fertiliser_SourceData.Fertiliser_Products_Data2(),FertiliserProducts[[#Headers],[Include or Exclude]], 20)</f>
        <v/>
      </c>
      <c r="Z124" s="65"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4:31" ht="20.100000000000001" customHeight="1" x14ac:dyDescent="0.25">
      <c r="D125" s="65" t="str" cm="1">
        <f t="array" ref="D125">Common_InputFunctions.Utility_DisplayArrayInTable(Fertiliser_SourceData.Fertiliser_Products_Data2(),FertiliserProducts[[#Headers],[Include or Exclude]], 20)</f>
        <v>SSP</v>
      </c>
      <c r="E125" s="65" t="str" cm="1">
        <f t="array" ref="E125">Common_InputFunctions.Utility_DisplayArrayInTable(Fertiliser_SourceData.Fertiliser_Products_Data2(),FertiliserProducts[[#Headers],[Include or Exclude]], 20)</f>
        <v/>
      </c>
      <c r="F125" s="65" t="str" cm="1">
        <f t="array" ref="F125">Common_InputFunctions.Utility_DisplayArrayInTable(Fertiliser_SourceData.Fertiliser_Products_Data2(),FertiliserProducts[[#Headers],[Include or Exclude]], 20)</f>
        <v/>
      </c>
      <c r="G125" s="65" t="str" cm="1">
        <f t="array" ref="G125">Common_InputFunctions.Utility_DisplayArrayInTable(Fertiliser_SourceData.Fertiliser_Products_Data2(),FertiliserProducts[[#Headers],[Include or Exclude]], 20)</f>
        <v/>
      </c>
      <c r="H125" s="65" t="str" cm="1">
        <f t="array" ref="H125">Common_InputFunctions.Utility_DisplayArrayInTable(Fertiliser_SourceData.Fertiliser_Products_Data2(),FertiliserProducts[[#Headers],[Include or Exclude]], 20)</f>
        <v/>
      </c>
      <c r="I125" s="65" t="str" cm="1">
        <f t="array" ref="I125">Common_InputFunctions.Utility_DisplayArrayInTable(Fertiliser_SourceData.Fertiliser_Products_Data2(),FertiliserProducts[[#Headers],[Include or Exclude]], 20)</f>
        <v/>
      </c>
      <c r="J125" s="65" t="str" cm="1">
        <f t="array" ref="J125">Common_InputFunctions.Utility_DisplayArrayInTable(Fertiliser_SourceData.Fertiliser_Products_Data2(),FertiliserProducts[[#Headers],[Include or Exclude]], 20)</f>
        <v/>
      </c>
      <c r="K125" s="65" t="str" cm="1">
        <f t="array" ref="K125">Common_InputFunctions.Utility_DisplayArrayInTable(Fertiliser_SourceData.Fertiliser_Products_Data2(),FertiliserProducts[[#Headers],[Include or Exclude]], 20)</f>
        <v/>
      </c>
      <c r="L125" s="65" t="str" cm="1">
        <f t="array" ref="L125">Common_InputFunctions.Utility_DisplayArrayInTable(Fertiliser_SourceData.Fertiliser_Products_Data2(),FertiliserProducts[[#Headers],[Include or Exclude]], 20)</f>
        <v/>
      </c>
      <c r="M125" s="65" t="str" cm="1">
        <f t="array" ref="M125">Common_InputFunctions.Utility_DisplayArrayInTable(Fertiliser_SourceData.Fertiliser_Products_Data2(),FertiliserProducts[[#Headers],[Include or Exclude]], 20)</f>
        <v/>
      </c>
      <c r="N125" s="65" t="str" cm="1">
        <f t="array" ref="N125">Common_InputFunctions.Utility_DisplayArrayInTable(Fertiliser_SourceData.Fertiliser_Products_Data2(),FertiliserProducts[[#Headers],[Include or Exclude]], 20)</f>
        <v/>
      </c>
      <c r="O125" s="65" t="str" cm="1">
        <f t="array" ref="O125">Common_InputFunctions.Utility_DisplayArrayInTable(Fertiliser_SourceData.Fertiliser_Products_Data2(),FertiliserProducts[[#Headers],[Include or Exclude]], 20)</f>
        <v/>
      </c>
      <c r="P125" s="65" t="str" cm="1">
        <f t="array" ref="P125">Common_InputFunctions.Utility_DisplayArrayInTable(Fertiliser_SourceData.Fertiliser_Products_Data2(),FertiliserProducts[[#Headers],[Include or Exclude]], 20)</f>
        <v/>
      </c>
      <c r="Q125" s="65" t="str" cm="1">
        <f t="array" ref="Q125">Common_InputFunctions.Utility_DisplayArrayInTable(Fertiliser_SourceData.Fertiliser_Products_Data2(),FertiliserProducts[[#Headers],[Include or Exclude]], 20)</f>
        <v/>
      </c>
      <c r="R125" s="65" t="str" cm="1">
        <f t="array" ref="R125">Common_InputFunctions.Utility_DisplayArrayInTable(Fertiliser_SourceData.Fertiliser_Products_Data2(),FertiliserProducts[[#Headers],[Include or Exclude]], 20)</f>
        <v/>
      </c>
      <c r="S125" s="65" t="str" cm="1">
        <f t="array" ref="S125">Common_InputFunctions.Utility_DisplayArrayInTable(Fertiliser_SourceData.Fertiliser_Products_Data2(),FertiliserProducts[[#Headers],[Include or Exclude]], 20)</f>
        <v/>
      </c>
      <c r="T125" s="65" t="str" cm="1">
        <f t="array" ref="T125">Common_InputFunctions.Utility_DisplayArrayInTable(Fertiliser_SourceData.Fertiliser_Products_Data2(),FertiliserProducts[[#Headers],[Include or Exclude]], 20)</f>
        <v/>
      </c>
      <c r="U125" s="65" t="str" cm="1">
        <f t="array" ref="U125">Common_InputFunctions.Utility_DisplayArrayInTable(Fertiliser_SourceData.Fertiliser_Products_Data2(),FertiliserProducts[[#Headers],[Include or Exclude]], 20)</f>
        <v/>
      </c>
      <c r="V125" s="65" t="str" cm="1">
        <f t="array" ref="V125">Common_InputFunctions.Utility_DisplayArrayInTable(Fertiliser_SourceData.Fertiliser_Products_Data2(),FertiliserProducts[[#Headers],[Include or Exclude]], 20)</f>
        <v/>
      </c>
      <c r="W125" s="65" t="str" cm="1">
        <f t="array" ref="W125">Common_InputFunctions.Utility_DisplayArrayInTable(Fertiliser_SourceData.Fertiliser_Products_Data2(),FertiliserProducts[[#Headers],[Include or Exclude]], 20)</f>
        <v>Impact fertilisers</v>
      </c>
      <c r="X125" s="65" t="str" cm="1">
        <f t="array" ref="X125">Common_InputFunctions.Utility_DisplayArrayInTable(Fertiliser_SourceData.Fertiliser_Products_Data2(),FertiliserProducts[[#Headers],[Include or Exclude]], 20)</f>
        <v/>
      </c>
      <c r="Y125" s="65" t="str" cm="1">
        <f t="array" ref="Y125">Common_InputFunctions.Utility_DisplayArrayInTable(Fertiliser_SourceData.Fertiliser_Products_Data2(),FertiliserProducts[[#Headers],[Include or Exclude]], 20)</f>
        <v/>
      </c>
      <c r="Z125" s="65"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4:31" ht="20.100000000000001" customHeight="1" x14ac:dyDescent="0.25">
      <c r="D126" s="65" t="str" cm="1">
        <f t="array" ref="D126">Common_InputFunctions.Utility_DisplayArrayInTable(Fertiliser_SourceData.Fertiliser_Products_Data2(),FertiliserProducts[[#Headers],[Include or Exclude]], 20)</f>
        <v>Super Phos</v>
      </c>
      <c r="E126" s="65" t="str" cm="1">
        <f t="array" ref="E126">Common_InputFunctions.Utility_DisplayArrayInTable(Fertiliser_SourceData.Fertiliser_Products_Data2(),FertiliserProducts[[#Headers],[Include or Exclude]], 20)</f>
        <v/>
      </c>
      <c r="F126" s="65" t="str" cm="1">
        <f t="array" ref="F126">Common_InputFunctions.Utility_DisplayArrayInTable(Fertiliser_SourceData.Fertiliser_Products_Data2(),FertiliserProducts[[#Headers],[Include or Exclude]], 20)</f>
        <v/>
      </c>
      <c r="G126" s="65" t="str" cm="1">
        <f t="array" ref="G126">Common_InputFunctions.Utility_DisplayArrayInTable(Fertiliser_SourceData.Fertiliser_Products_Data2(),FertiliserProducts[[#Headers],[Include or Exclude]], 20)</f>
        <v/>
      </c>
      <c r="H126" s="65" t="str" cm="1">
        <f t="array" ref="H126">Common_InputFunctions.Utility_DisplayArrayInTable(Fertiliser_SourceData.Fertiliser_Products_Data2(),FertiliserProducts[[#Headers],[Include or Exclude]], 20)</f>
        <v/>
      </c>
      <c r="I126" s="65" t="str" cm="1">
        <f t="array" ref="I126">Common_InputFunctions.Utility_DisplayArrayInTable(Fertiliser_SourceData.Fertiliser_Products_Data2(),FertiliserProducts[[#Headers],[Include or Exclude]], 20)</f>
        <v/>
      </c>
      <c r="J126" s="65" t="str" cm="1">
        <f t="array" ref="J126">Common_InputFunctions.Utility_DisplayArrayInTable(Fertiliser_SourceData.Fertiliser_Products_Data2(),FertiliserProducts[[#Headers],[Include or Exclude]], 20)</f>
        <v/>
      </c>
      <c r="K126" s="65" t="str" cm="1">
        <f t="array" ref="K126">Common_InputFunctions.Utility_DisplayArrayInTable(Fertiliser_SourceData.Fertiliser_Products_Data2(),FertiliserProducts[[#Headers],[Include or Exclude]], 20)</f>
        <v/>
      </c>
      <c r="L126" s="65" t="str" cm="1">
        <f t="array" ref="L126">Common_InputFunctions.Utility_DisplayArrayInTable(Fertiliser_SourceData.Fertiliser_Products_Data2(),FertiliserProducts[[#Headers],[Include or Exclude]], 20)</f>
        <v/>
      </c>
      <c r="M126" s="65" t="str" cm="1">
        <f t="array" ref="M126">Common_InputFunctions.Utility_DisplayArrayInTable(Fertiliser_SourceData.Fertiliser_Products_Data2(),FertiliserProducts[[#Headers],[Include or Exclude]], 20)</f>
        <v/>
      </c>
      <c r="N126" s="65" t="str" cm="1">
        <f t="array" ref="N126">Common_InputFunctions.Utility_DisplayArrayInTable(Fertiliser_SourceData.Fertiliser_Products_Data2(),FertiliserProducts[[#Headers],[Include or Exclude]], 20)</f>
        <v/>
      </c>
      <c r="O126" s="65" t="str" cm="1">
        <f t="array" ref="O126">Common_InputFunctions.Utility_DisplayArrayInTable(Fertiliser_SourceData.Fertiliser_Products_Data2(),FertiliserProducts[[#Headers],[Include or Exclude]], 20)</f>
        <v/>
      </c>
      <c r="P126" s="65" t="str" cm="1">
        <f t="array" ref="P126">Common_InputFunctions.Utility_DisplayArrayInTable(Fertiliser_SourceData.Fertiliser_Products_Data2(),FertiliserProducts[[#Headers],[Include or Exclude]], 20)</f>
        <v/>
      </c>
      <c r="Q126" s="65" t="str" cm="1">
        <f t="array" ref="Q126">Common_InputFunctions.Utility_DisplayArrayInTable(Fertiliser_SourceData.Fertiliser_Products_Data2(),FertiliserProducts[[#Headers],[Include or Exclude]], 20)</f>
        <v/>
      </c>
      <c r="R126" s="65" t="str" cm="1">
        <f t="array" ref="R126">Common_InputFunctions.Utility_DisplayArrayInTable(Fertiliser_SourceData.Fertiliser_Products_Data2(),FertiliserProducts[[#Headers],[Include or Exclude]], 20)</f>
        <v/>
      </c>
      <c r="S126" s="65" t="str" cm="1">
        <f t="array" ref="S126">Common_InputFunctions.Utility_DisplayArrayInTable(Fertiliser_SourceData.Fertiliser_Products_Data2(),FertiliserProducts[[#Headers],[Include or Exclude]], 20)</f>
        <v/>
      </c>
      <c r="T126" s="65" t="str" cm="1">
        <f t="array" ref="T126">Common_InputFunctions.Utility_DisplayArrayInTable(Fertiliser_SourceData.Fertiliser_Products_Data2(),FertiliserProducts[[#Headers],[Include or Exclude]], 20)</f>
        <v/>
      </c>
      <c r="U126" s="65" t="str" cm="1">
        <f t="array" ref="U126">Common_InputFunctions.Utility_DisplayArrayInTable(Fertiliser_SourceData.Fertiliser_Products_Data2(),FertiliserProducts[[#Headers],[Include or Exclude]], 20)</f>
        <v/>
      </c>
      <c r="V126" s="65" t="str" cm="1">
        <f t="array" ref="V126">Common_InputFunctions.Utility_DisplayArrayInTable(Fertiliser_SourceData.Fertiliser_Products_Data2(),FertiliserProducts[[#Headers],[Include or Exclude]], 20)</f>
        <v/>
      </c>
      <c r="W126" s="65" t="str" cm="1">
        <f t="array" ref="W126">Common_InputFunctions.Utility_DisplayArrayInTable(Fertiliser_SourceData.Fertiliser_Products_Data2(),FertiliserProducts[[#Headers],[Include or Exclude]], 20)</f>
        <v>CSBP Super PHOS</v>
      </c>
      <c r="X126" s="65" t="str" cm="1">
        <f t="array" ref="X126">Common_InputFunctions.Utility_DisplayArrayInTable(Fertiliser_SourceData.Fertiliser_Products_Data2(),FertiliserProducts[[#Headers],[Include or Exclude]], 20)</f>
        <v/>
      </c>
      <c r="Y126" s="65" t="str" cm="1">
        <f t="array" ref="Y126">Common_InputFunctions.Utility_DisplayArrayInTable(Fertiliser_SourceData.Fertiliser_Products_Data2(),FertiliserProducts[[#Headers],[Include or Exclude]], 20)</f>
        <v/>
      </c>
      <c r="Z126" s="65"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4:31" ht="20.100000000000001" customHeight="1" x14ac:dyDescent="0.25">
      <c r="D127" s="65" t="str" cm="1">
        <f t="array" ref="D127">Common_InputFunctions.Utility_DisplayArrayInTable(Fertiliser_SourceData.Fertiliser_Products_Data2(),FertiliserProducts[[#Headers],[Include or Exclude]], 20)</f>
        <v>Super SR Extra</v>
      </c>
      <c r="E127" s="65" t="str" cm="1">
        <f t="array" ref="E127">Common_InputFunctions.Utility_DisplayArrayInTable(Fertiliser_SourceData.Fertiliser_Products_Data2(),FertiliserProducts[[#Headers],[Include or Exclude]], 20)</f>
        <v/>
      </c>
      <c r="F127" s="65" t="str" cm="1">
        <f t="array" ref="F127">Common_InputFunctions.Utility_DisplayArrayInTable(Fertiliser_SourceData.Fertiliser_Products_Data2(),FertiliserProducts[[#Headers],[Include or Exclude]], 20)</f>
        <v/>
      </c>
      <c r="G127" s="65" t="str" cm="1">
        <f t="array" ref="G127">Common_InputFunctions.Utility_DisplayArrayInTable(Fertiliser_SourceData.Fertiliser_Products_Data2(),FertiliserProducts[[#Headers],[Include or Exclude]], 20)</f>
        <v/>
      </c>
      <c r="H127" s="65" t="str" cm="1">
        <f t="array" ref="H127">Common_InputFunctions.Utility_DisplayArrayInTable(Fertiliser_SourceData.Fertiliser_Products_Data2(),FertiliserProducts[[#Headers],[Include or Exclude]], 20)</f>
        <v/>
      </c>
      <c r="I127" s="65" t="str" cm="1">
        <f t="array" ref="I127">Common_InputFunctions.Utility_DisplayArrayInTable(Fertiliser_SourceData.Fertiliser_Products_Data2(),FertiliserProducts[[#Headers],[Include or Exclude]], 20)</f>
        <v/>
      </c>
      <c r="J127" s="65" t="str" cm="1">
        <f t="array" ref="J127">Common_InputFunctions.Utility_DisplayArrayInTable(Fertiliser_SourceData.Fertiliser_Products_Data2(),FertiliserProducts[[#Headers],[Include or Exclude]], 20)</f>
        <v/>
      </c>
      <c r="K127" s="65" t="str" cm="1">
        <f t="array" ref="K127">Common_InputFunctions.Utility_DisplayArrayInTable(Fertiliser_SourceData.Fertiliser_Products_Data2(),FertiliserProducts[[#Headers],[Include or Exclude]], 20)</f>
        <v/>
      </c>
      <c r="L127" s="65" t="str" cm="1">
        <f t="array" ref="L127">Common_InputFunctions.Utility_DisplayArrayInTable(Fertiliser_SourceData.Fertiliser_Products_Data2(),FertiliserProducts[[#Headers],[Include or Exclude]], 20)</f>
        <v/>
      </c>
      <c r="M127" s="65" t="str" cm="1">
        <f t="array" ref="M127">Common_InputFunctions.Utility_DisplayArrayInTable(Fertiliser_SourceData.Fertiliser_Products_Data2(),FertiliserProducts[[#Headers],[Include or Exclude]], 20)</f>
        <v/>
      </c>
      <c r="N127" s="65" t="str" cm="1">
        <f t="array" ref="N127">Common_InputFunctions.Utility_DisplayArrayInTable(Fertiliser_SourceData.Fertiliser_Products_Data2(),FertiliserProducts[[#Headers],[Include or Exclude]], 20)</f>
        <v/>
      </c>
      <c r="O127" s="65" t="str" cm="1">
        <f t="array" ref="O127">Common_InputFunctions.Utility_DisplayArrayInTable(Fertiliser_SourceData.Fertiliser_Products_Data2(),FertiliserProducts[[#Headers],[Include or Exclude]], 20)</f>
        <v/>
      </c>
      <c r="P127" s="65" t="str" cm="1">
        <f t="array" ref="P127">Common_InputFunctions.Utility_DisplayArrayInTable(Fertiliser_SourceData.Fertiliser_Products_Data2(),FertiliserProducts[[#Headers],[Include or Exclude]], 20)</f>
        <v/>
      </c>
      <c r="Q127" s="65" t="str" cm="1">
        <f t="array" ref="Q127">Common_InputFunctions.Utility_DisplayArrayInTable(Fertiliser_SourceData.Fertiliser_Products_Data2(),FertiliserProducts[[#Headers],[Include or Exclude]], 20)</f>
        <v/>
      </c>
      <c r="R127" s="65" t="str" cm="1">
        <f t="array" ref="R127">Common_InputFunctions.Utility_DisplayArrayInTable(Fertiliser_SourceData.Fertiliser_Products_Data2(),FertiliserProducts[[#Headers],[Include or Exclude]], 20)</f>
        <v/>
      </c>
      <c r="S127" s="65" t="str" cm="1">
        <f t="array" ref="S127">Common_InputFunctions.Utility_DisplayArrayInTable(Fertiliser_SourceData.Fertiliser_Products_Data2(),FertiliserProducts[[#Headers],[Include or Exclude]], 20)</f>
        <v/>
      </c>
      <c r="T127" s="65" t="str" cm="1">
        <f t="array" ref="T127">Common_InputFunctions.Utility_DisplayArrayInTable(Fertiliser_SourceData.Fertiliser_Products_Data2(),FertiliserProducts[[#Headers],[Include or Exclude]], 20)</f>
        <v/>
      </c>
      <c r="U127" s="65" t="str" cm="1">
        <f t="array" ref="U127">Common_InputFunctions.Utility_DisplayArrayInTable(Fertiliser_SourceData.Fertiliser_Products_Data2(),FertiliserProducts[[#Headers],[Include or Exclude]], 20)</f>
        <v/>
      </c>
      <c r="V127" s="65" t="str" cm="1">
        <f t="array" ref="V127">Common_InputFunctions.Utility_DisplayArrayInTable(Fertiliser_SourceData.Fertiliser_Products_Data2(),FertiliserProducts[[#Headers],[Include or Exclude]], 20)</f>
        <v/>
      </c>
      <c r="W127" s="65" t="str" cm="1">
        <f t="array" ref="W127">Common_InputFunctions.Utility_DisplayArrayInTable(Fertiliser_SourceData.Fertiliser_Products_Data2(),FertiliserProducts[[#Headers],[Include or Exclude]], 20)</f>
        <v>CSBP Super Potash</v>
      </c>
      <c r="X127" s="65" t="str" cm="1">
        <f t="array" ref="X127">Common_InputFunctions.Utility_DisplayArrayInTable(Fertiliser_SourceData.Fertiliser_Products_Data2(),FertiliserProducts[[#Headers],[Include or Exclude]], 20)</f>
        <v/>
      </c>
      <c r="Y127" s="65" t="str" cm="1">
        <f t="array" ref="Y127">Common_InputFunctions.Utility_DisplayArrayInTable(Fertiliser_SourceData.Fertiliser_Products_Data2(),FertiliserProducts[[#Headers],[Include or Exclude]], 20)</f>
        <v/>
      </c>
      <c r="Z127" s="65"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4:31" ht="20.100000000000001" customHeight="1" x14ac:dyDescent="0.25">
      <c r="D128" s="65" t="str" cm="1">
        <f t="array" ref="D128">Common_InputFunctions.Utility_DisplayArrayInTable(Fertiliser_SourceData.Fertiliser_Products_Data2(),FertiliserProducts[[#Headers],[Include or Exclude]], 20)</f>
        <v>SuPerfect</v>
      </c>
      <c r="E128" s="65" t="str" cm="1">
        <f t="array" ref="E128">Common_InputFunctions.Utility_DisplayArrayInTable(Fertiliser_SourceData.Fertiliser_Products_Data2(),FertiliserProducts[[#Headers],[Include or Exclude]], 20)</f>
        <v/>
      </c>
      <c r="F128" s="65" t="str" cm="1">
        <f t="array" ref="F128">Common_InputFunctions.Utility_DisplayArrayInTable(Fertiliser_SourceData.Fertiliser_Products_Data2(),FertiliserProducts[[#Headers],[Include or Exclude]], 20)</f>
        <v/>
      </c>
      <c r="G128" s="65" t="str" cm="1">
        <f t="array" ref="G128">Common_InputFunctions.Utility_DisplayArrayInTable(Fertiliser_SourceData.Fertiliser_Products_Data2(),FertiliserProducts[[#Headers],[Include or Exclude]], 20)</f>
        <v/>
      </c>
      <c r="H128" s="65" t="str" cm="1">
        <f t="array" ref="H128">Common_InputFunctions.Utility_DisplayArrayInTable(Fertiliser_SourceData.Fertiliser_Products_Data2(),FertiliserProducts[[#Headers],[Include or Exclude]], 20)</f>
        <v/>
      </c>
      <c r="I128" s="65" t="str" cm="1">
        <f t="array" ref="I128">Common_InputFunctions.Utility_DisplayArrayInTable(Fertiliser_SourceData.Fertiliser_Products_Data2(),FertiliserProducts[[#Headers],[Include or Exclude]], 20)</f>
        <v/>
      </c>
      <c r="J128" s="65" t="str" cm="1">
        <f t="array" ref="J128">Common_InputFunctions.Utility_DisplayArrayInTable(Fertiliser_SourceData.Fertiliser_Products_Data2(),FertiliserProducts[[#Headers],[Include or Exclude]], 20)</f>
        <v/>
      </c>
      <c r="K128" s="65" t="str" cm="1">
        <f t="array" ref="K128">Common_InputFunctions.Utility_DisplayArrayInTable(Fertiliser_SourceData.Fertiliser_Products_Data2(),FertiliserProducts[[#Headers],[Include or Exclude]], 20)</f>
        <v/>
      </c>
      <c r="L128" s="65" t="str" cm="1">
        <f t="array" ref="L128">Common_InputFunctions.Utility_DisplayArrayInTable(Fertiliser_SourceData.Fertiliser_Products_Data2(),FertiliserProducts[[#Headers],[Include or Exclude]], 20)</f>
        <v/>
      </c>
      <c r="M128" s="65" t="str" cm="1">
        <f t="array" ref="M128">Common_InputFunctions.Utility_DisplayArrayInTable(Fertiliser_SourceData.Fertiliser_Products_Data2(),FertiliserProducts[[#Headers],[Include or Exclude]], 20)</f>
        <v/>
      </c>
      <c r="N128" s="65" t="str" cm="1">
        <f t="array" ref="N128">Common_InputFunctions.Utility_DisplayArrayInTable(Fertiliser_SourceData.Fertiliser_Products_Data2(),FertiliserProducts[[#Headers],[Include or Exclude]], 20)</f>
        <v/>
      </c>
      <c r="O128" s="65" t="str" cm="1">
        <f t="array" ref="O128">Common_InputFunctions.Utility_DisplayArrayInTable(Fertiliser_SourceData.Fertiliser_Products_Data2(),FertiliserProducts[[#Headers],[Include or Exclude]], 20)</f>
        <v/>
      </c>
      <c r="P128" s="65" t="str" cm="1">
        <f t="array" ref="P128">Common_InputFunctions.Utility_DisplayArrayInTable(Fertiliser_SourceData.Fertiliser_Products_Data2(),FertiliserProducts[[#Headers],[Include or Exclude]], 20)</f>
        <v/>
      </c>
      <c r="Q128" s="65" t="str" cm="1">
        <f t="array" ref="Q128">Common_InputFunctions.Utility_DisplayArrayInTable(Fertiliser_SourceData.Fertiliser_Products_Data2(),FertiliserProducts[[#Headers],[Include or Exclude]], 20)</f>
        <v/>
      </c>
      <c r="R128" s="65" t="str" cm="1">
        <f t="array" ref="R128">Common_InputFunctions.Utility_DisplayArrayInTable(Fertiliser_SourceData.Fertiliser_Products_Data2(),FertiliserProducts[[#Headers],[Include or Exclude]], 20)</f>
        <v/>
      </c>
      <c r="S128" s="65" t="str" cm="1">
        <f t="array" ref="S128">Common_InputFunctions.Utility_DisplayArrayInTable(Fertiliser_SourceData.Fertiliser_Products_Data2(),FertiliserProducts[[#Headers],[Include or Exclude]], 20)</f>
        <v/>
      </c>
      <c r="T128" s="65" t="str" cm="1">
        <f t="array" ref="T128">Common_InputFunctions.Utility_DisplayArrayInTable(Fertiliser_SourceData.Fertiliser_Products_Data2(),FertiliserProducts[[#Headers],[Include or Exclude]], 20)</f>
        <v/>
      </c>
      <c r="U128" s="65" t="str" cm="1">
        <f t="array" ref="U128">Common_InputFunctions.Utility_DisplayArrayInTable(Fertiliser_SourceData.Fertiliser_Products_Data2(),FertiliserProducts[[#Headers],[Include or Exclude]], 20)</f>
        <v/>
      </c>
      <c r="V128" s="65" t="str" cm="1">
        <f t="array" ref="V128">Common_InputFunctions.Utility_DisplayArrayInTable(Fertiliser_SourceData.Fertiliser_Products_Data2(),FertiliserProducts[[#Headers],[Include or Exclude]], 20)</f>
        <v/>
      </c>
      <c r="W128" s="65" t="str" cm="1">
        <f t="array" ref="W128">Common_InputFunctions.Utility_DisplayArrayInTable(Fertiliser_SourceData.Fertiliser_Products_Data2(),FertiliserProducts[[#Headers],[Include or Exclude]], 20)</f>
        <v>Incitec Pivot Fertilisers</v>
      </c>
      <c r="X128" s="65" t="str" cm="1">
        <f t="array" ref="X128">Common_InputFunctions.Utility_DisplayArrayInTable(Fertiliser_SourceData.Fertiliser_Products_Data2(),FertiliserProducts[[#Headers],[Include or Exclude]], 20)</f>
        <v/>
      </c>
      <c r="Y128" s="65" t="str" cm="1">
        <f t="array" ref="Y128">Common_InputFunctions.Utility_DisplayArrayInTable(Fertiliser_SourceData.Fertiliser_Products_Data2(),FertiliserProducts[[#Headers],[Include or Exclude]], 20)</f>
        <v/>
      </c>
      <c r="Z128" s="65"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4:31" ht="20.100000000000001" customHeight="1" x14ac:dyDescent="0.25">
      <c r="D129" s="65" t="str" cm="1">
        <f t="array" ref="D129">Common_InputFunctions.Utility_DisplayArrayInTable(Fertiliser_SourceData.Fertiliser_Products_Data3(),FertiliserProducts[[#Headers],[Include or Exclude]], 40)</f>
        <v>Product</v>
      </c>
      <c r="E129" s="65" t="str" cm="1">
        <f t="array" ref="E129">Common_InputFunctions.Utility_DisplayArrayInTable(Fertiliser_SourceData.Fertiliser_Products_Data3(),FertiliserProducts[[#Headers],[Include or Exclude]], 40)</f>
        <v>Ingredient 1</v>
      </c>
      <c r="F129" s="65" t="str" cm="1">
        <f t="array" ref="F129">Common_InputFunctions.Utility_DisplayArrayInTable(Fertiliser_SourceData.Fertiliser_Products_Data3(),FertiliserProducts[[#Headers],[Include or Exclude]], 40)</f>
        <v>Ingredient 1 percent</v>
      </c>
      <c r="G129" s="65" t="str" cm="1">
        <f t="array" ref="G129">Common_InputFunctions.Utility_DisplayArrayInTable(Fertiliser_SourceData.Fertiliser_Products_Data3(),FertiliserProducts[[#Headers],[Include or Exclude]], 40)</f>
        <v>Ingredient 1 source</v>
      </c>
      <c r="H129" s="65" t="str" cm="1">
        <f t="array" ref="H129">Common_InputFunctions.Utility_DisplayArrayInTable(Fertiliser_SourceData.Fertiliser_Products_Data3(),FertiliserProducts[[#Headers],[Include or Exclude]], 40)</f>
        <v>Ingredient 2</v>
      </c>
      <c r="I129" s="65" t="str" cm="1">
        <f t="array" ref="I129">Common_InputFunctions.Utility_DisplayArrayInTable(Fertiliser_SourceData.Fertiliser_Products_Data3(),FertiliserProducts[[#Headers],[Include or Exclude]], 40)</f>
        <v>Ingredient 2 percent</v>
      </c>
      <c r="J129" s="65" t="str" cm="1">
        <f t="array" ref="J129">Common_InputFunctions.Utility_DisplayArrayInTable(Fertiliser_SourceData.Fertiliser_Products_Data3(),FertiliserProducts[[#Headers],[Include or Exclude]], 40)</f>
        <v>Ingredient 2 source</v>
      </c>
      <c r="K129" s="65" t="str" cm="1">
        <f t="array" ref="K129">Common_InputFunctions.Utility_DisplayArrayInTable(Fertiliser_SourceData.Fertiliser_Products_Data3(),FertiliserProducts[[#Headers],[Include or Exclude]], 40)</f>
        <v>Ingredient 3</v>
      </c>
      <c r="L129" s="65" t="str" cm="1">
        <f t="array" ref="L129">Common_InputFunctions.Utility_DisplayArrayInTable(Fertiliser_SourceData.Fertiliser_Products_Data3(),FertiliserProducts[[#Headers],[Include or Exclude]], 40)</f>
        <v>Ingredient 3 percent</v>
      </c>
      <c r="M129" s="65" t="str" cm="1">
        <f t="array" ref="M129">Common_InputFunctions.Utility_DisplayArrayInTable(Fertiliser_SourceData.Fertiliser_Products_Data3(),FertiliserProducts[[#Headers],[Include or Exclude]], 40)</f>
        <v>Ingredient 3 source</v>
      </c>
      <c r="N129" s="65" t="str" cm="1">
        <f t="array" ref="N129">Common_InputFunctions.Utility_DisplayArrayInTable(Fertiliser_SourceData.Fertiliser_Products_Data3(),FertiliserProducts[[#Headers],[Include or Exclude]], 40)</f>
        <v>Ingredient 4</v>
      </c>
      <c r="O129" s="65" t="str" cm="1">
        <f t="array" ref="O129">Common_InputFunctions.Utility_DisplayArrayInTable(Fertiliser_SourceData.Fertiliser_Products_Data3(),FertiliserProducts[[#Headers],[Include or Exclude]], 40)</f>
        <v>Ingredient 4 percent</v>
      </c>
      <c r="P129" s="65" t="str" cm="1">
        <f t="array" ref="P129">Common_InputFunctions.Utility_DisplayArrayInTable(Fertiliser_SourceData.Fertiliser_Products_Data3(),FertiliserProducts[[#Headers],[Include or Exclude]], 40)</f>
        <v>Ingredient 4 source</v>
      </c>
      <c r="Q129" s="65" t="str" cm="1">
        <f t="array" ref="Q129">Common_InputFunctions.Utility_DisplayArrayInTable(Fertiliser_SourceData.Fertiliser_Products_Data3(),FertiliserProducts[[#Headers],[Include or Exclude]], 40)</f>
        <v>Ingredient 5</v>
      </c>
      <c r="R129" s="65" t="str" cm="1">
        <f t="array" ref="R129">Common_InputFunctions.Utility_DisplayArrayInTable(Fertiliser_SourceData.Fertiliser_Products_Data3(),FertiliserProducts[[#Headers],[Include or Exclude]], 40)</f>
        <v>Ingredient 5 percent</v>
      </c>
      <c r="S129" s="65" t="str" cm="1">
        <f t="array" ref="S129">Common_InputFunctions.Utility_DisplayArrayInTable(Fertiliser_SourceData.Fertiliser_Products_Data3(),FertiliserProducts[[#Headers],[Include or Exclude]], 40)</f>
        <v>Ingredient 5 source</v>
      </c>
      <c r="T129" s="65" t="str" cm="1">
        <f t="array" ref="T129">Common_InputFunctions.Utility_DisplayArrayInTable(Fertiliser_SourceData.Fertiliser_Products_Data3(),FertiliserProducts[[#Headers],[Include or Exclude]], 40)</f>
        <v>Ingredient 6</v>
      </c>
      <c r="U129" s="65" t="str" cm="1">
        <f t="array" ref="U129">Common_InputFunctions.Utility_DisplayArrayInTable(Fertiliser_SourceData.Fertiliser_Products_Data3(),FertiliserProducts[[#Headers],[Include or Exclude]], 40)</f>
        <v>Ingredient 6 percent</v>
      </c>
      <c r="V129" s="65" t="str" cm="1">
        <f t="array" ref="V129">Common_InputFunctions.Utility_DisplayArrayInTable(Fertiliser_SourceData.Fertiliser_Products_Data3(),FertiliserProducts[[#Headers],[Include or Exclude]], 40)</f>
        <v>Ingredient 6 source</v>
      </c>
      <c r="W129" s="65" t="str" cm="1">
        <f t="array" ref="W129">Common_InputFunctions.Utility_DisplayArrayInTable(Fertiliser_SourceData.Fertiliser_Products_Data3(),FertiliserProducts[[#Headers],[Include or Exclude]], 40)</f>
        <v>Product info link</v>
      </c>
      <c r="X129" s="65" t="str" cm="1">
        <f t="array" ref="X129">Common_InputFunctions.Utility_DisplayArrayInTable(Fertiliser_SourceData.Fertiliser_Products_Data3(),FertiliserProducts[[#Headers],[Include or Exclude]], 40)</f>
        <v/>
      </c>
      <c r="Y129" s="65" t="str" cm="1">
        <f t="array" ref="Y129">Common_InputFunctions.Utility_DisplayArrayInTable(Fertiliser_SourceData.Fertiliser_Products_Data3(),FertiliserProducts[[#Headers],[Include or Exclude]], 40)</f>
        <v/>
      </c>
      <c r="Z129" s="65"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4:31" ht="20.100000000000001" customHeight="1" x14ac:dyDescent="0.25">
      <c r="D130" s="65" t="str" cm="1">
        <f t="array" ref="D130">Common_InputFunctions.Utility_DisplayArrayInTable(Fertiliser_SourceData.Fertiliser_Products_Data3(),FertiliserProducts[[#Headers],[Include or Exclude]], 40)</f>
        <v>Yara K-Flow 0-0-15</v>
      </c>
      <c r="E130" s="65" t="str" cm="1">
        <f t="array" ref="E130">Common_InputFunctions.Utility_DisplayArrayInTable(Fertiliser_SourceData.Fertiliser_Products_Data3(),FertiliserProducts[[#Headers],[Include or Exclude]], 40)</f>
        <v/>
      </c>
      <c r="F130" s="65" t="str" cm="1">
        <f t="array" ref="F130">Common_InputFunctions.Utility_DisplayArrayInTable(Fertiliser_SourceData.Fertiliser_Products_Data3(),FertiliserProducts[[#Headers],[Include or Exclude]], 40)</f>
        <v/>
      </c>
      <c r="G130" s="65" t="str" cm="1">
        <f t="array" ref="G130">Common_InputFunctions.Utility_DisplayArrayInTable(Fertiliser_SourceData.Fertiliser_Products_Data3(),FertiliserProducts[[#Headers],[Include or Exclude]], 40)</f>
        <v/>
      </c>
      <c r="H130" s="65" t="str" cm="1">
        <f t="array" ref="H130">Common_InputFunctions.Utility_DisplayArrayInTable(Fertiliser_SourceData.Fertiliser_Products_Data3(),FertiliserProducts[[#Headers],[Include or Exclude]], 40)</f>
        <v/>
      </c>
      <c r="I130" s="65" t="str" cm="1">
        <f t="array" ref="I130">Common_InputFunctions.Utility_DisplayArrayInTable(Fertiliser_SourceData.Fertiliser_Products_Data3(),FertiliserProducts[[#Headers],[Include or Exclude]], 40)</f>
        <v/>
      </c>
      <c r="J130" s="65" t="str" cm="1">
        <f t="array" ref="J130">Common_InputFunctions.Utility_DisplayArrayInTable(Fertiliser_SourceData.Fertiliser_Products_Data3(),FertiliserProducts[[#Headers],[Include or Exclude]], 40)</f>
        <v/>
      </c>
      <c r="K130" s="65" t="str" cm="1">
        <f t="array" ref="K130">Common_InputFunctions.Utility_DisplayArrayInTable(Fertiliser_SourceData.Fertiliser_Products_Data3(),FertiliserProducts[[#Headers],[Include or Exclude]], 40)</f>
        <v/>
      </c>
      <c r="L130" s="65" t="str" cm="1">
        <f t="array" ref="L130">Common_InputFunctions.Utility_DisplayArrayInTable(Fertiliser_SourceData.Fertiliser_Products_Data3(),FertiliserProducts[[#Headers],[Include or Exclude]], 40)</f>
        <v/>
      </c>
      <c r="M130" s="65" t="str" cm="1">
        <f t="array" ref="M130">Common_InputFunctions.Utility_DisplayArrayInTable(Fertiliser_SourceData.Fertiliser_Products_Data3(),FertiliserProducts[[#Headers],[Include or Exclude]], 40)</f>
        <v/>
      </c>
      <c r="N130" s="65" t="str" cm="1">
        <f t="array" ref="N130">Common_InputFunctions.Utility_DisplayArrayInTable(Fertiliser_SourceData.Fertiliser_Products_Data3(),FertiliserProducts[[#Headers],[Include or Exclude]], 40)</f>
        <v/>
      </c>
      <c r="O130" s="65" t="str" cm="1">
        <f t="array" ref="O130">Common_InputFunctions.Utility_DisplayArrayInTable(Fertiliser_SourceData.Fertiliser_Products_Data3(),FertiliserProducts[[#Headers],[Include or Exclude]], 40)</f>
        <v/>
      </c>
      <c r="P130" s="65" t="str" cm="1">
        <f t="array" ref="P130">Common_InputFunctions.Utility_DisplayArrayInTable(Fertiliser_SourceData.Fertiliser_Products_Data3(),FertiliserProducts[[#Headers],[Include or Exclude]], 40)</f>
        <v/>
      </c>
      <c r="Q130" s="65" t="str" cm="1">
        <f t="array" ref="Q130">Common_InputFunctions.Utility_DisplayArrayInTable(Fertiliser_SourceData.Fertiliser_Products_Data3(),FertiliserProducts[[#Headers],[Include or Exclude]], 40)</f>
        <v/>
      </c>
      <c r="R130" s="65" t="str" cm="1">
        <f t="array" ref="R130">Common_InputFunctions.Utility_DisplayArrayInTable(Fertiliser_SourceData.Fertiliser_Products_Data3(),FertiliserProducts[[#Headers],[Include or Exclude]], 40)</f>
        <v/>
      </c>
      <c r="S130" s="65" t="str" cm="1">
        <f t="array" ref="S130">Common_InputFunctions.Utility_DisplayArrayInTable(Fertiliser_SourceData.Fertiliser_Products_Data3(),FertiliserProducts[[#Headers],[Include or Exclude]], 40)</f>
        <v/>
      </c>
      <c r="T130" s="65" t="str" cm="1">
        <f t="array" ref="T130">Common_InputFunctions.Utility_DisplayArrayInTable(Fertiliser_SourceData.Fertiliser_Products_Data3(),FertiliserProducts[[#Headers],[Include or Exclude]], 40)</f>
        <v/>
      </c>
      <c r="U130" s="65" t="str" cm="1">
        <f t="array" ref="U130">Common_InputFunctions.Utility_DisplayArrayInTable(Fertiliser_SourceData.Fertiliser_Products_Data3(),FertiliserProducts[[#Headers],[Include or Exclude]], 40)</f>
        <v/>
      </c>
      <c r="V130" s="65" t="str" cm="1">
        <f t="array" ref="V130">Common_InputFunctions.Utility_DisplayArrayInTable(Fertiliser_SourceData.Fertiliser_Products_Data3(),FertiliserProducts[[#Headers],[Include or Exclude]], 40)</f>
        <v/>
      </c>
      <c r="W130" s="65" t="str" cm="1">
        <f t="array" ref="W130">Common_InputFunctions.Utility_DisplayArrayInTable(Fertiliser_SourceData.Fertiliser_Products_Data3(),FertiliserProducts[[#Headers],[Include or Exclude]], 40)</f>
        <v>Crop Nutrition Solutions (Yara Australia)</v>
      </c>
      <c r="X130" s="65" t="str" cm="1">
        <f t="array" ref="X130">Common_InputFunctions.Utility_DisplayArrayInTable(Fertiliser_SourceData.Fertiliser_Products_Data3(),FertiliserProducts[[#Headers],[Include or Exclude]], 40)</f>
        <v/>
      </c>
      <c r="Y130" s="65" t="str" cm="1">
        <f t="array" ref="Y130">Common_InputFunctions.Utility_DisplayArrayInTable(Fertiliser_SourceData.Fertiliser_Products_Data3(),FertiliserProducts[[#Headers],[Include or Exclude]], 40)</f>
        <v/>
      </c>
      <c r="Z130" s="65"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4:31" ht="20.100000000000001" customHeight="1" x14ac:dyDescent="0.25">
      <c r="D131" s="65" t="str" cm="1">
        <f t="array" ref="D131">Common_InputFunctions.Utility_DisplayArrayInTable(Fertiliser_SourceData.Fertiliser_Products_Data3(),FertiliserProducts[[#Headers],[Include or Exclude]], 40)</f>
        <v>Yara K-Flow 0-14-30</v>
      </c>
      <c r="E131" s="65" t="str" cm="1">
        <f t="array" ref="E131">Common_InputFunctions.Utility_DisplayArrayInTable(Fertiliser_SourceData.Fertiliser_Products_Data3(),FertiliserProducts[[#Headers],[Include or Exclude]], 40)</f>
        <v/>
      </c>
      <c r="F131" s="65" t="str" cm="1">
        <f t="array" ref="F131">Common_InputFunctions.Utility_DisplayArrayInTable(Fertiliser_SourceData.Fertiliser_Products_Data3(),FertiliserProducts[[#Headers],[Include or Exclude]], 40)</f>
        <v/>
      </c>
      <c r="G131" s="65" t="str" cm="1">
        <f t="array" ref="G131">Common_InputFunctions.Utility_DisplayArrayInTable(Fertiliser_SourceData.Fertiliser_Products_Data3(),FertiliserProducts[[#Headers],[Include or Exclude]], 40)</f>
        <v/>
      </c>
      <c r="H131" s="65" t="str" cm="1">
        <f t="array" ref="H131">Common_InputFunctions.Utility_DisplayArrayInTable(Fertiliser_SourceData.Fertiliser_Products_Data3(),FertiliserProducts[[#Headers],[Include or Exclude]], 40)</f>
        <v/>
      </c>
      <c r="I131" s="65" t="str" cm="1">
        <f t="array" ref="I131">Common_InputFunctions.Utility_DisplayArrayInTable(Fertiliser_SourceData.Fertiliser_Products_Data3(),FertiliserProducts[[#Headers],[Include or Exclude]], 40)</f>
        <v/>
      </c>
      <c r="J131" s="65" t="str" cm="1">
        <f t="array" ref="J131">Common_InputFunctions.Utility_DisplayArrayInTable(Fertiliser_SourceData.Fertiliser_Products_Data3(),FertiliserProducts[[#Headers],[Include or Exclude]], 40)</f>
        <v/>
      </c>
      <c r="K131" s="65" t="str" cm="1">
        <f t="array" ref="K131">Common_InputFunctions.Utility_DisplayArrayInTable(Fertiliser_SourceData.Fertiliser_Products_Data3(),FertiliserProducts[[#Headers],[Include or Exclude]], 40)</f>
        <v/>
      </c>
      <c r="L131" s="65" t="str" cm="1">
        <f t="array" ref="L131">Common_InputFunctions.Utility_DisplayArrayInTable(Fertiliser_SourceData.Fertiliser_Products_Data3(),FertiliserProducts[[#Headers],[Include or Exclude]], 40)</f>
        <v/>
      </c>
      <c r="M131" s="65" t="str" cm="1">
        <f t="array" ref="M131">Common_InputFunctions.Utility_DisplayArrayInTable(Fertiliser_SourceData.Fertiliser_Products_Data3(),FertiliserProducts[[#Headers],[Include or Exclude]], 40)</f>
        <v/>
      </c>
      <c r="N131" s="65" t="str" cm="1">
        <f t="array" ref="N131">Common_InputFunctions.Utility_DisplayArrayInTable(Fertiliser_SourceData.Fertiliser_Products_Data3(),FertiliserProducts[[#Headers],[Include or Exclude]], 40)</f>
        <v/>
      </c>
      <c r="O131" s="65" t="str" cm="1">
        <f t="array" ref="O131">Common_InputFunctions.Utility_DisplayArrayInTable(Fertiliser_SourceData.Fertiliser_Products_Data3(),FertiliserProducts[[#Headers],[Include or Exclude]], 40)</f>
        <v/>
      </c>
      <c r="P131" s="65" t="str" cm="1">
        <f t="array" ref="P131">Common_InputFunctions.Utility_DisplayArrayInTable(Fertiliser_SourceData.Fertiliser_Products_Data3(),FertiliserProducts[[#Headers],[Include or Exclude]], 40)</f>
        <v/>
      </c>
      <c r="Q131" s="65" t="str" cm="1">
        <f t="array" ref="Q131">Common_InputFunctions.Utility_DisplayArrayInTable(Fertiliser_SourceData.Fertiliser_Products_Data3(),FertiliserProducts[[#Headers],[Include or Exclude]], 40)</f>
        <v/>
      </c>
      <c r="R131" s="65" t="str" cm="1">
        <f t="array" ref="R131">Common_InputFunctions.Utility_DisplayArrayInTable(Fertiliser_SourceData.Fertiliser_Products_Data3(),FertiliserProducts[[#Headers],[Include or Exclude]], 40)</f>
        <v/>
      </c>
      <c r="S131" s="65" t="str" cm="1">
        <f t="array" ref="S131">Common_InputFunctions.Utility_DisplayArrayInTable(Fertiliser_SourceData.Fertiliser_Products_Data3(),FertiliserProducts[[#Headers],[Include or Exclude]], 40)</f>
        <v/>
      </c>
      <c r="T131" s="65" t="str" cm="1">
        <f t="array" ref="T131">Common_InputFunctions.Utility_DisplayArrayInTable(Fertiliser_SourceData.Fertiliser_Products_Data3(),FertiliserProducts[[#Headers],[Include or Exclude]], 40)</f>
        <v/>
      </c>
      <c r="U131" s="65" t="str" cm="1">
        <f t="array" ref="U131">Common_InputFunctions.Utility_DisplayArrayInTable(Fertiliser_SourceData.Fertiliser_Products_Data3(),FertiliserProducts[[#Headers],[Include or Exclude]], 40)</f>
        <v/>
      </c>
      <c r="V131" s="65" t="str" cm="1">
        <f t="array" ref="V131">Common_InputFunctions.Utility_DisplayArrayInTable(Fertiliser_SourceData.Fertiliser_Products_Data3(),FertiliserProducts[[#Headers],[Include or Exclude]], 40)</f>
        <v/>
      </c>
      <c r="W131" s="65" t="str" cm="1">
        <f t="array" ref="W131">Common_InputFunctions.Utility_DisplayArrayInTable(Fertiliser_SourceData.Fertiliser_Products_Data3(),FertiliserProducts[[#Headers],[Include or Exclude]], 40)</f>
        <v>Crop Nutrition Solutions (Yara Australia)</v>
      </c>
      <c r="X131" s="65" t="str" cm="1">
        <f t="array" ref="X131">Common_InputFunctions.Utility_DisplayArrayInTable(Fertiliser_SourceData.Fertiliser_Products_Data3(),FertiliserProducts[[#Headers],[Include or Exclude]], 40)</f>
        <v/>
      </c>
      <c r="Y131" s="65" t="str" cm="1">
        <f t="array" ref="Y131">Common_InputFunctions.Utility_DisplayArrayInTable(Fertiliser_SourceData.Fertiliser_Products_Data3(),FertiliserProducts[[#Headers],[Include or Exclude]], 40)</f>
        <v/>
      </c>
      <c r="Z131" s="65"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4:31" ht="20.100000000000001" customHeight="1" x14ac:dyDescent="0.25">
      <c r="D132" s="65" t="str" cm="1">
        <f t="array" ref="D132">Common_InputFunctions.Utility_DisplayArrayInTable(Fertiliser_SourceData.Fertiliser_Products_Data3(),FertiliserProducts[[#Headers],[Include or Exclude]], 40)</f>
        <v>Yara K-Flow 0-7-36</v>
      </c>
      <c r="E132" s="65" t="str" cm="1">
        <f t="array" ref="E132">Common_InputFunctions.Utility_DisplayArrayInTable(Fertiliser_SourceData.Fertiliser_Products_Data3(),FertiliserProducts[[#Headers],[Include or Exclude]], 40)</f>
        <v/>
      </c>
      <c r="F132" s="65" t="str" cm="1">
        <f t="array" ref="F132">Common_InputFunctions.Utility_DisplayArrayInTable(Fertiliser_SourceData.Fertiliser_Products_Data3(),FertiliserProducts[[#Headers],[Include or Exclude]], 40)</f>
        <v/>
      </c>
      <c r="G132" s="65" t="str" cm="1">
        <f t="array" ref="G132">Common_InputFunctions.Utility_DisplayArrayInTable(Fertiliser_SourceData.Fertiliser_Products_Data3(),FertiliserProducts[[#Headers],[Include or Exclude]], 40)</f>
        <v/>
      </c>
      <c r="H132" s="65" t="str" cm="1">
        <f t="array" ref="H132">Common_InputFunctions.Utility_DisplayArrayInTable(Fertiliser_SourceData.Fertiliser_Products_Data3(),FertiliserProducts[[#Headers],[Include or Exclude]], 40)</f>
        <v/>
      </c>
      <c r="I132" s="65" t="str" cm="1">
        <f t="array" ref="I132">Common_InputFunctions.Utility_DisplayArrayInTable(Fertiliser_SourceData.Fertiliser_Products_Data3(),FertiliserProducts[[#Headers],[Include or Exclude]], 40)</f>
        <v/>
      </c>
      <c r="J132" s="65" t="str" cm="1">
        <f t="array" ref="J132">Common_InputFunctions.Utility_DisplayArrayInTable(Fertiliser_SourceData.Fertiliser_Products_Data3(),FertiliserProducts[[#Headers],[Include or Exclude]], 40)</f>
        <v/>
      </c>
      <c r="K132" s="65" t="str" cm="1">
        <f t="array" ref="K132">Common_InputFunctions.Utility_DisplayArrayInTable(Fertiliser_SourceData.Fertiliser_Products_Data3(),FertiliserProducts[[#Headers],[Include or Exclude]], 40)</f>
        <v/>
      </c>
      <c r="L132" s="65" t="str" cm="1">
        <f t="array" ref="L132">Common_InputFunctions.Utility_DisplayArrayInTable(Fertiliser_SourceData.Fertiliser_Products_Data3(),FertiliserProducts[[#Headers],[Include or Exclude]], 40)</f>
        <v/>
      </c>
      <c r="M132" s="65" t="str" cm="1">
        <f t="array" ref="M132">Common_InputFunctions.Utility_DisplayArrayInTable(Fertiliser_SourceData.Fertiliser_Products_Data3(),FertiliserProducts[[#Headers],[Include or Exclude]], 40)</f>
        <v/>
      </c>
      <c r="N132" s="65" t="str" cm="1">
        <f t="array" ref="N132">Common_InputFunctions.Utility_DisplayArrayInTable(Fertiliser_SourceData.Fertiliser_Products_Data3(),FertiliserProducts[[#Headers],[Include or Exclude]], 40)</f>
        <v/>
      </c>
      <c r="O132" s="65" t="str" cm="1">
        <f t="array" ref="O132">Common_InputFunctions.Utility_DisplayArrayInTable(Fertiliser_SourceData.Fertiliser_Products_Data3(),FertiliserProducts[[#Headers],[Include or Exclude]], 40)</f>
        <v/>
      </c>
      <c r="P132" s="65" t="str" cm="1">
        <f t="array" ref="P132">Common_InputFunctions.Utility_DisplayArrayInTable(Fertiliser_SourceData.Fertiliser_Products_Data3(),FertiliserProducts[[#Headers],[Include or Exclude]], 40)</f>
        <v/>
      </c>
      <c r="Q132" s="65" t="str" cm="1">
        <f t="array" ref="Q132">Common_InputFunctions.Utility_DisplayArrayInTable(Fertiliser_SourceData.Fertiliser_Products_Data3(),FertiliserProducts[[#Headers],[Include or Exclude]], 40)</f>
        <v/>
      </c>
      <c r="R132" s="65" t="str" cm="1">
        <f t="array" ref="R132">Common_InputFunctions.Utility_DisplayArrayInTable(Fertiliser_SourceData.Fertiliser_Products_Data3(),FertiliserProducts[[#Headers],[Include or Exclude]], 40)</f>
        <v/>
      </c>
      <c r="S132" s="65" t="str" cm="1">
        <f t="array" ref="S132">Common_InputFunctions.Utility_DisplayArrayInTable(Fertiliser_SourceData.Fertiliser_Products_Data3(),FertiliserProducts[[#Headers],[Include or Exclude]], 40)</f>
        <v/>
      </c>
      <c r="T132" s="65" t="str" cm="1">
        <f t="array" ref="T132">Common_InputFunctions.Utility_DisplayArrayInTable(Fertiliser_SourceData.Fertiliser_Products_Data3(),FertiliserProducts[[#Headers],[Include or Exclude]], 40)</f>
        <v/>
      </c>
      <c r="U132" s="65" t="str" cm="1">
        <f t="array" ref="U132">Common_InputFunctions.Utility_DisplayArrayInTable(Fertiliser_SourceData.Fertiliser_Products_Data3(),FertiliserProducts[[#Headers],[Include or Exclude]], 40)</f>
        <v/>
      </c>
      <c r="V132" s="65" t="str" cm="1">
        <f t="array" ref="V132">Common_InputFunctions.Utility_DisplayArrayInTable(Fertiliser_SourceData.Fertiliser_Products_Data3(),FertiliserProducts[[#Headers],[Include or Exclude]], 40)</f>
        <v/>
      </c>
      <c r="W132" s="65" t="str" cm="1">
        <f t="array" ref="W132">Common_InputFunctions.Utility_DisplayArrayInTable(Fertiliser_SourceData.Fertiliser_Products_Data3(),FertiliserProducts[[#Headers],[Include or Exclude]], 40)</f>
        <v>Crop Nutrition Solutions (Yara Australia)</v>
      </c>
      <c r="X132" s="65" t="str" cm="1">
        <f t="array" ref="X132">Common_InputFunctions.Utility_DisplayArrayInTable(Fertiliser_SourceData.Fertiliser_Products_Data3(),FertiliserProducts[[#Headers],[Include or Exclude]], 40)</f>
        <v/>
      </c>
      <c r="Y132" s="65" t="str" cm="1">
        <f t="array" ref="Y132">Common_InputFunctions.Utility_DisplayArrayInTable(Fertiliser_SourceData.Fertiliser_Products_Data3(),FertiliserProducts[[#Headers],[Include or Exclude]], 40)</f>
        <v/>
      </c>
      <c r="Z132" s="65"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4:31" ht="20.100000000000001" customHeight="1" x14ac:dyDescent="0.25">
      <c r="D133" s="65" t="str" cm="1">
        <f t="array" ref="D133">Common_InputFunctions.Utility_DisplayArrayInTable(Fertiliser_SourceData.Fertiliser_Products_Data3(),FertiliserProducts[[#Headers],[Include or Exclude]], 40)</f>
        <v>Yara K-Flow 13-0-7</v>
      </c>
      <c r="E133" s="65" t="str" cm="1">
        <f t="array" ref="E133">Common_InputFunctions.Utility_DisplayArrayInTable(Fertiliser_SourceData.Fertiliser_Products_Data3(),FertiliserProducts[[#Headers],[Include or Exclude]], 40)</f>
        <v/>
      </c>
      <c r="F133" s="65" t="str" cm="1">
        <f t="array" ref="F133">Common_InputFunctions.Utility_DisplayArrayInTable(Fertiliser_SourceData.Fertiliser_Products_Data3(),FertiliserProducts[[#Headers],[Include or Exclude]], 40)</f>
        <v/>
      </c>
      <c r="G133" s="65" t="str" cm="1">
        <f t="array" ref="G133">Common_InputFunctions.Utility_DisplayArrayInTable(Fertiliser_SourceData.Fertiliser_Products_Data3(),FertiliserProducts[[#Headers],[Include or Exclude]], 40)</f>
        <v/>
      </c>
      <c r="H133" s="65" t="str" cm="1">
        <f t="array" ref="H133">Common_InputFunctions.Utility_DisplayArrayInTable(Fertiliser_SourceData.Fertiliser_Products_Data3(),FertiliserProducts[[#Headers],[Include or Exclude]], 40)</f>
        <v/>
      </c>
      <c r="I133" s="65" t="str" cm="1">
        <f t="array" ref="I133">Common_InputFunctions.Utility_DisplayArrayInTable(Fertiliser_SourceData.Fertiliser_Products_Data3(),FertiliserProducts[[#Headers],[Include or Exclude]], 40)</f>
        <v/>
      </c>
      <c r="J133" s="65" t="str" cm="1">
        <f t="array" ref="J133">Common_InputFunctions.Utility_DisplayArrayInTable(Fertiliser_SourceData.Fertiliser_Products_Data3(),FertiliserProducts[[#Headers],[Include or Exclude]], 40)</f>
        <v/>
      </c>
      <c r="K133" s="65" t="str" cm="1">
        <f t="array" ref="K133">Common_InputFunctions.Utility_DisplayArrayInTable(Fertiliser_SourceData.Fertiliser_Products_Data3(),FertiliserProducts[[#Headers],[Include or Exclude]], 40)</f>
        <v/>
      </c>
      <c r="L133" s="65" t="str" cm="1">
        <f t="array" ref="L133">Common_InputFunctions.Utility_DisplayArrayInTable(Fertiliser_SourceData.Fertiliser_Products_Data3(),FertiliserProducts[[#Headers],[Include or Exclude]], 40)</f>
        <v/>
      </c>
      <c r="M133" s="65" t="str" cm="1">
        <f t="array" ref="M133">Common_InputFunctions.Utility_DisplayArrayInTable(Fertiliser_SourceData.Fertiliser_Products_Data3(),FertiliserProducts[[#Headers],[Include or Exclude]], 40)</f>
        <v/>
      </c>
      <c r="N133" s="65" t="str" cm="1">
        <f t="array" ref="N133">Common_InputFunctions.Utility_DisplayArrayInTable(Fertiliser_SourceData.Fertiliser_Products_Data3(),FertiliserProducts[[#Headers],[Include or Exclude]], 40)</f>
        <v/>
      </c>
      <c r="O133" s="65" t="str" cm="1">
        <f t="array" ref="O133">Common_InputFunctions.Utility_DisplayArrayInTable(Fertiliser_SourceData.Fertiliser_Products_Data3(),FertiliserProducts[[#Headers],[Include or Exclude]], 40)</f>
        <v/>
      </c>
      <c r="P133" s="65" t="str" cm="1">
        <f t="array" ref="P133">Common_InputFunctions.Utility_DisplayArrayInTable(Fertiliser_SourceData.Fertiliser_Products_Data3(),FertiliserProducts[[#Headers],[Include or Exclude]], 40)</f>
        <v/>
      </c>
      <c r="Q133" s="65" t="str" cm="1">
        <f t="array" ref="Q133">Common_InputFunctions.Utility_DisplayArrayInTable(Fertiliser_SourceData.Fertiliser_Products_Data3(),FertiliserProducts[[#Headers],[Include or Exclude]], 40)</f>
        <v/>
      </c>
      <c r="R133" s="65" t="str" cm="1">
        <f t="array" ref="R133">Common_InputFunctions.Utility_DisplayArrayInTable(Fertiliser_SourceData.Fertiliser_Products_Data3(),FertiliserProducts[[#Headers],[Include or Exclude]], 40)</f>
        <v/>
      </c>
      <c r="S133" s="65" t="str" cm="1">
        <f t="array" ref="S133">Common_InputFunctions.Utility_DisplayArrayInTable(Fertiliser_SourceData.Fertiliser_Products_Data3(),FertiliserProducts[[#Headers],[Include or Exclude]], 40)</f>
        <v/>
      </c>
      <c r="T133" s="65" t="str" cm="1">
        <f t="array" ref="T133">Common_InputFunctions.Utility_DisplayArrayInTable(Fertiliser_SourceData.Fertiliser_Products_Data3(),FertiliserProducts[[#Headers],[Include or Exclude]], 40)</f>
        <v/>
      </c>
      <c r="U133" s="65" t="str" cm="1">
        <f t="array" ref="U133">Common_InputFunctions.Utility_DisplayArrayInTable(Fertiliser_SourceData.Fertiliser_Products_Data3(),FertiliserProducts[[#Headers],[Include or Exclude]], 40)</f>
        <v/>
      </c>
      <c r="V133" s="65" t="str" cm="1">
        <f t="array" ref="V133">Common_InputFunctions.Utility_DisplayArrayInTable(Fertiliser_SourceData.Fertiliser_Products_Data3(),FertiliserProducts[[#Headers],[Include or Exclude]], 40)</f>
        <v/>
      </c>
      <c r="W133" s="65" t="str" cm="1">
        <f t="array" ref="W133">Common_InputFunctions.Utility_DisplayArrayInTable(Fertiliser_SourceData.Fertiliser_Products_Data3(),FertiliserProducts[[#Headers],[Include or Exclude]], 40)</f>
        <v>Crop Nutrition Solutions (Yara Australia)</v>
      </c>
      <c r="X133" s="65" t="str" cm="1">
        <f t="array" ref="X133">Common_InputFunctions.Utility_DisplayArrayInTable(Fertiliser_SourceData.Fertiliser_Products_Data3(),FertiliserProducts[[#Headers],[Include or Exclude]], 40)</f>
        <v/>
      </c>
      <c r="Y133" s="65" t="str" cm="1">
        <f t="array" ref="Y133">Common_InputFunctions.Utility_DisplayArrayInTable(Fertiliser_SourceData.Fertiliser_Products_Data3(),FertiliserProducts[[#Headers],[Include or Exclude]], 40)</f>
        <v/>
      </c>
      <c r="Z133" s="65"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4:31" ht="20.100000000000001" customHeight="1" x14ac:dyDescent="0.25">
      <c r="D134" s="65" t="str" cm="1">
        <f t="array" ref="D134">Common_InputFunctions.Utility_DisplayArrayInTable(Fertiliser_SourceData.Fertiliser_Products_Data3(),FertiliserProducts[[#Headers],[Include or Exclude]], 40)</f>
        <v>Yara K-Flow 4-0-12</v>
      </c>
      <c r="E134" s="65" t="str" cm="1">
        <f t="array" ref="E134">Common_InputFunctions.Utility_DisplayArrayInTable(Fertiliser_SourceData.Fertiliser_Products_Data3(),FertiliserProducts[[#Headers],[Include or Exclude]], 40)</f>
        <v/>
      </c>
      <c r="F134" s="65" t="str" cm="1">
        <f t="array" ref="F134">Common_InputFunctions.Utility_DisplayArrayInTable(Fertiliser_SourceData.Fertiliser_Products_Data3(),FertiliserProducts[[#Headers],[Include or Exclude]], 40)</f>
        <v/>
      </c>
      <c r="G134" s="65" t="str" cm="1">
        <f t="array" ref="G134">Common_InputFunctions.Utility_DisplayArrayInTable(Fertiliser_SourceData.Fertiliser_Products_Data3(),FertiliserProducts[[#Headers],[Include or Exclude]], 40)</f>
        <v/>
      </c>
      <c r="H134" s="65" t="str" cm="1">
        <f t="array" ref="H134">Common_InputFunctions.Utility_DisplayArrayInTable(Fertiliser_SourceData.Fertiliser_Products_Data3(),FertiliserProducts[[#Headers],[Include or Exclude]], 40)</f>
        <v/>
      </c>
      <c r="I134" s="65" t="str" cm="1">
        <f t="array" ref="I134">Common_InputFunctions.Utility_DisplayArrayInTable(Fertiliser_SourceData.Fertiliser_Products_Data3(),FertiliserProducts[[#Headers],[Include or Exclude]], 40)</f>
        <v/>
      </c>
      <c r="J134" s="65" t="str" cm="1">
        <f t="array" ref="J134">Common_InputFunctions.Utility_DisplayArrayInTable(Fertiliser_SourceData.Fertiliser_Products_Data3(),FertiliserProducts[[#Headers],[Include or Exclude]], 40)</f>
        <v/>
      </c>
      <c r="K134" s="65" t="str" cm="1">
        <f t="array" ref="K134">Common_InputFunctions.Utility_DisplayArrayInTable(Fertiliser_SourceData.Fertiliser_Products_Data3(),FertiliserProducts[[#Headers],[Include or Exclude]], 40)</f>
        <v/>
      </c>
      <c r="L134" s="65" t="str" cm="1">
        <f t="array" ref="L134">Common_InputFunctions.Utility_DisplayArrayInTable(Fertiliser_SourceData.Fertiliser_Products_Data3(),FertiliserProducts[[#Headers],[Include or Exclude]], 40)</f>
        <v/>
      </c>
      <c r="M134" s="65" t="str" cm="1">
        <f t="array" ref="M134">Common_InputFunctions.Utility_DisplayArrayInTable(Fertiliser_SourceData.Fertiliser_Products_Data3(),FertiliserProducts[[#Headers],[Include or Exclude]], 40)</f>
        <v/>
      </c>
      <c r="N134" s="65" t="str" cm="1">
        <f t="array" ref="N134">Common_InputFunctions.Utility_DisplayArrayInTable(Fertiliser_SourceData.Fertiliser_Products_Data3(),FertiliserProducts[[#Headers],[Include or Exclude]], 40)</f>
        <v/>
      </c>
      <c r="O134" s="65" t="str" cm="1">
        <f t="array" ref="O134">Common_InputFunctions.Utility_DisplayArrayInTable(Fertiliser_SourceData.Fertiliser_Products_Data3(),FertiliserProducts[[#Headers],[Include or Exclude]], 40)</f>
        <v/>
      </c>
      <c r="P134" s="65" t="str" cm="1">
        <f t="array" ref="P134">Common_InputFunctions.Utility_DisplayArrayInTable(Fertiliser_SourceData.Fertiliser_Products_Data3(),FertiliserProducts[[#Headers],[Include or Exclude]], 40)</f>
        <v/>
      </c>
      <c r="Q134" s="65" t="str" cm="1">
        <f t="array" ref="Q134">Common_InputFunctions.Utility_DisplayArrayInTable(Fertiliser_SourceData.Fertiliser_Products_Data3(),FertiliserProducts[[#Headers],[Include or Exclude]], 40)</f>
        <v/>
      </c>
      <c r="R134" s="65" t="str" cm="1">
        <f t="array" ref="R134">Common_InputFunctions.Utility_DisplayArrayInTable(Fertiliser_SourceData.Fertiliser_Products_Data3(),FertiliserProducts[[#Headers],[Include or Exclude]], 40)</f>
        <v/>
      </c>
      <c r="S134" s="65" t="str" cm="1">
        <f t="array" ref="S134">Common_InputFunctions.Utility_DisplayArrayInTable(Fertiliser_SourceData.Fertiliser_Products_Data3(),FertiliserProducts[[#Headers],[Include or Exclude]], 40)</f>
        <v/>
      </c>
      <c r="T134" s="65" t="str" cm="1">
        <f t="array" ref="T134">Common_InputFunctions.Utility_DisplayArrayInTable(Fertiliser_SourceData.Fertiliser_Products_Data3(),FertiliserProducts[[#Headers],[Include or Exclude]], 40)</f>
        <v/>
      </c>
      <c r="U134" s="65" t="str" cm="1">
        <f t="array" ref="U134">Common_InputFunctions.Utility_DisplayArrayInTable(Fertiliser_SourceData.Fertiliser_Products_Data3(),FertiliserProducts[[#Headers],[Include or Exclude]], 40)</f>
        <v/>
      </c>
      <c r="V134" s="65" t="str" cm="1">
        <f t="array" ref="V134">Common_InputFunctions.Utility_DisplayArrayInTable(Fertiliser_SourceData.Fertiliser_Products_Data3(),FertiliserProducts[[#Headers],[Include or Exclude]], 40)</f>
        <v/>
      </c>
      <c r="W134" s="65" t="str" cm="1">
        <f t="array" ref="W134">Common_InputFunctions.Utility_DisplayArrayInTable(Fertiliser_SourceData.Fertiliser_Products_Data3(),FertiliserProducts[[#Headers],[Include or Exclude]], 40)</f>
        <v>Crop Nutrition Solutions (Yara Australia)</v>
      </c>
      <c r="X134" s="65" t="str" cm="1">
        <f t="array" ref="X134">Common_InputFunctions.Utility_DisplayArrayInTable(Fertiliser_SourceData.Fertiliser_Products_Data3(),FertiliserProducts[[#Headers],[Include or Exclude]], 40)</f>
        <v/>
      </c>
      <c r="Y134" s="65" t="str" cm="1">
        <f t="array" ref="Y134">Common_InputFunctions.Utility_DisplayArrayInTable(Fertiliser_SourceData.Fertiliser_Products_Data3(),FertiliserProducts[[#Headers],[Include or Exclude]], 40)</f>
        <v/>
      </c>
      <c r="Z134" s="65"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4:31" ht="20.100000000000001" customHeight="1" x14ac:dyDescent="0.25">
      <c r="D135" s="65" t="str" cm="1">
        <f t="array" ref="D135">Common_InputFunctions.Utility_DisplayArrayInTable(Fertiliser_SourceData.Fertiliser_Products_Data3(),FertiliserProducts[[#Headers],[Include or Exclude]], 40)</f>
        <v>Yara Liquids MICRO-SUL</v>
      </c>
      <c r="E135" s="65" t="str" cm="1">
        <f t="array" ref="E135">Common_InputFunctions.Utility_DisplayArrayInTable(Fertiliser_SourceData.Fertiliser_Products_Data3(),FertiliserProducts[[#Headers],[Include or Exclude]], 40)</f>
        <v/>
      </c>
      <c r="F135" s="65" t="str" cm="1">
        <f t="array" ref="F135">Common_InputFunctions.Utility_DisplayArrayInTable(Fertiliser_SourceData.Fertiliser_Products_Data3(),FertiliserProducts[[#Headers],[Include or Exclude]], 40)</f>
        <v/>
      </c>
      <c r="G135" s="65" t="str" cm="1">
        <f t="array" ref="G135">Common_InputFunctions.Utility_DisplayArrayInTable(Fertiliser_SourceData.Fertiliser_Products_Data3(),FertiliserProducts[[#Headers],[Include or Exclude]], 40)</f>
        <v/>
      </c>
      <c r="H135" s="65" t="str" cm="1">
        <f t="array" ref="H135">Common_InputFunctions.Utility_DisplayArrayInTable(Fertiliser_SourceData.Fertiliser_Products_Data3(),FertiliserProducts[[#Headers],[Include or Exclude]], 40)</f>
        <v/>
      </c>
      <c r="I135" s="65" t="str" cm="1">
        <f t="array" ref="I135">Common_InputFunctions.Utility_DisplayArrayInTable(Fertiliser_SourceData.Fertiliser_Products_Data3(),FertiliserProducts[[#Headers],[Include or Exclude]], 40)</f>
        <v/>
      </c>
      <c r="J135" s="65" t="str" cm="1">
        <f t="array" ref="J135">Common_InputFunctions.Utility_DisplayArrayInTable(Fertiliser_SourceData.Fertiliser_Products_Data3(),FertiliserProducts[[#Headers],[Include or Exclude]], 40)</f>
        <v/>
      </c>
      <c r="K135" s="65" t="str" cm="1">
        <f t="array" ref="K135">Common_InputFunctions.Utility_DisplayArrayInTable(Fertiliser_SourceData.Fertiliser_Products_Data3(),FertiliserProducts[[#Headers],[Include or Exclude]], 40)</f>
        <v/>
      </c>
      <c r="L135" s="65" t="str" cm="1">
        <f t="array" ref="L135">Common_InputFunctions.Utility_DisplayArrayInTable(Fertiliser_SourceData.Fertiliser_Products_Data3(),FertiliserProducts[[#Headers],[Include or Exclude]], 40)</f>
        <v/>
      </c>
      <c r="M135" s="65" t="str" cm="1">
        <f t="array" ref="M135">Common_InputFunctions.Utility_DisplayArrayInTable(Fertiliser_SourceData.Fertiliser_Products_Data3(),FertiliserProducts[[#Headers],[Include or Exclude]], 40)</f>
        <v/>
      </c>
      <c r="N135" s="65" t="str" cm="1">
        <f t="array" ref="N135">Common_InputFunctions.Utility_DisplayArrayInTable(Fertiliser_SourceData.Fertiliser_Products_Data3(),FertiliserProducts[[#Headers],[Include or Exclude]], 40)</f>
        <v/>
      </c>
      <c r="O135" s="65" t="str" cm="1">
        <f t="array" ref="O135">Common_InputFunctions.Utility_DisplayArrayInTable(Fertiliser_SourceData.Fertiliser_Products_Data3(),FertiliserProducts[[#Headers],[Include or Exclude]], 40)</f>
        <v/>
      </c>
      <c r="P135" s="65" t="str" cm="1">
        <f t="array" ref="P135">Common_InputFunctions.Utility_DisplayArrayInTable(Fertiliser_SourceData.Fertiliser_Products_Data3(),FertiliserProducts[[#Headers],[Include or Exclude]], 40)</f>
        <v/>
      </c>
      <c r="Q135" s="65" t="str" cm="1">
        <f t="array" ref="Q135">Common_InputFunctions.Utility_DisplayArrayInTable(Fertiliser_SourceData.Fertiliser_Products_Data3(),FertiliserProducts[[#Headers],[Include or Exclude]], 40)</f>
        <v/>
      </c>
      <c r="R135" s="65" t="str" cm="1">
        <f t="array" ref="R135">Common_InputFunctions.Utility_DisplayArrayInTable(Fertiliser_SourceData.Fertiliser_Products_Data3(),FertiliserProducts[[#Headers],[Include or Exclude]], 40)</f>
        <v/>
      </c>
      <c r="S135" s="65" t="str" cm="1">
        <f t="array" ref="S135">Common_InputFunctions.Utility_DisplayArrayInTable(Fertiliser_SourceData.Fertiliser_Products_Data3(),FertiliserProducts[[#Headers],[Include or Exclude]], 40)</f>
        <v/>
      </c>
      <c r="T135" s="65" t="str" cm="1">
        <f t="array" ref="T135">Common_InputFunctions.Utility_DisplayArrayInTable(Fertiliser_SourceData.Fertiliser_Products_Data3(),FertiliserProducts[[#Headers],[Include or Exclude]], 40)</f>
        <v/>
      </c>
      <c r="U135" s="65" t="str" cm="1">
        <f t="array" ref="U135">Common_InputFunctions.Utility_DisplayArrayInTable(Fertiliser_SourceData.Fertiliser_Products_Data3(),FertiliserProducts[[#Headers],[Include or Exclude]], 40)</f>
        <v/>
      </c>
      <c r="V135" s="65" t="str" cm="1">
        <f t="array" ref="V135">Common_InputFunctions.Utility_DisplayArrayInTable(Fertiliser_SourceData.Fertiliser_Products_Data3(),FertiliserProducts[[#Headers],[Include or Exclude]], 40)</f>
        <v/>
      </c>
      <c r="W135" s="65" t="str" cm="1">
        <f t="array" ref="W135">Common_InputFunctions.Utility_DisplayArrayInTable(Fertiliser_SourceData.Fertiliser_Products_Data3(),FertiliserProducts[[#Headers],[Include or Exclude]], 40)</f>
        <v>Crop Nutrition Solutions (Yara Australia)</v>
      </c>
      <c r="X135" s="65" t="str" cm="1">
        <f t="array" ref="X135">Common_InputFunctions.Utility_DisplayArrayInTable(Fertiliser_SourceData.Fertiliser_Products_Data3(),FertiliserProducts[[#Headers],[Include or Exclude]], 40)</f>
        <v/>
      </c>
      <c r="Y135" s="65" t="str" cm="1">
        <f t="array" ref="Y135">Common_InputFunctions.Utility_DisplayArrayInTable(Fertiliser_SourceData.Fertiliser_Products_Data3(),FertiliserProducts[[#Headers],[Include or Exclude]], 40)</f>
        <v/>
      </c>
      <c r="Z135" s="65"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4:31" ht="20.100000000000001" customHeight="1" x14ac:dyDescent="0.25">
      <c r="D136" s="65" t="str" cm="1">
        <f t="array" ref="D136">Common_InputFunctions.Utility_DisplayArrayInTable(Fertiliser_SourceData.Fertiliser_Products_Data3(),FertiliserProducts[[#Headers],[Include or Exclude]], 40)</f>
        <v>Yara Liquids N24</v>
      </c>
      <c r="E136" s="65" t="str" cm="1">
        <f t="array" ref="E136">Common_InputFunctions.Utility_DisplayArrayInTable(Fertiliser_SourceData.Fertiliser_Products_Data3(),FertiliserProducts[[#Headers],[Include or Exclude]], 40)</f>
        <v/>
      </c>
      <c r="F136" s="65" t="str" cm="1">
        <f t="array" ref="F136">Common_InputFunctions.Utility_DisplayArrayInTable(Fertiliser_SourceData.Fertiliser_Products_Data3(),FertiliserProducts[[#Headers],[Include or Exclude]], 40)</f>
        <v/>
      </c>
      <c r="G136" s="65" t="str" cm="1">
        <f t="array" ref="G136">Common_InputFunctions.Utility_DisplayArrayInTable(Fertiliser_SourceData.Fertiliser_Products_Data3(),FertiliserProducts[[#Headers],[Include or Exclude]], 40)</f>
        <v/>
      </c>
      <c r="H136" s="65" t="str" cm="1">
        <f t="array" ref="H136">Common_InputFunctions.Utility_DisplayArrayInTable(Fertiliser_SourceData.Fertiliser_Products_Data3(),FertiliserProducts[[#Headers],[Include or Exclude]], 40)</f>
        <v/>
      </c>
      <c r="I136" s="65" t="str" cm="1">
        <f t="array" ref="I136">Common_InputFunctions.Utility_DisplayArrayInTable(Fertiliser_SourceData.Fertiliser_Products_Data3(),FertiliserProducts[[#Headers],[Include or Exclude]], 40)</f>
        <v/>
      </c>
      <c r="J136" s="65" t="str" cm="1">
        <f t="array" ref="J136">Common_InputFunctions.Utility_DisplayArrayInTable(Fertiliser_SourceData.Fertiliser_Products_Data3(),FertiliserProducts[[#Headers],[Include or Exclude]], 40)</f>
        <v/>
      </c>
      <c r="K136" s="65" t="str" cm="1">
        <f t="array" ref="K136">Common_InputFunctions.Utility_DisplayArrayInTable(Fertiliser_SourceData.Fertiliser_Products_Data3(),FertiliserProducts[[#Headers],[Include or Exclude]], 40)</f>
        <v/>
      </c>
      <c r="L136" s="65" t="str" cm="1">
        <f t="array" ref="L136">Common_InputFunctions.Utility_DisplayArrayInTable(Fertiliser_SourceData.Fertiliser_Products_Data3(),FertiliserProducts[[#Headers],[Include or Exclude]], 40)</f>
        <v/>
      </c>
      <c r="M136" s="65" t="str" cm="1">
        <f t="array" ref="M136">Common_InputFunctions.Utility_DisplayArrayInTable(Fertiliser_SourceData.Fertiliser_Products_Data3(),FertiliserProducts[[#Headers],[Include or Exclude]], 40)</f>
        <v/>
      </c>
      <c r="N136" s="65" t="str" cm="1">
        <f t="array" ref="N136">Common_InputFunctions.Utility_DisplayArrayInTable(Fertiliser_SourceData.Fertiliser_Products_Data3(),FertiliserProducts[[#Headers],[Include or Exclude]], 40)</f>
        <v/>
      </c>
      <c r="O136" s="65" t="str" cm="1">
        <f t="array" ref="O136">Common_InputFunctions.Utility_DisplayArrayInTable(Fertiliser_SourceData.Fertiliser_Products_Data3(),FertiliserProducts[[#Headers],[Include or Exclude]], 40)</f>
        <v/>
      </c>
      <c r="P136" s="65" t="str" cm="1">
        <f t="array" ref="P136">Common_InputFunctions.Utility_DisplayArrayInTable(Fertiliser_SourceData.Fertiliser_Products_Data3(),FertiliserProducts[[#Headers],[Include or Exclude]], 40)</f>
        <v/>
      </c>
      <c r="Q136" s="65" t="str" cm="1">
        <f t="array" ref="Q136">Common_InputFunctions.Utility_DisplayArrayInTable(Fertiliser_SourceData.Fertiliser_Products_Data3(),FertiliserProducts[[#Headers],[Include or Exclude]], 40)</f>
        <v/>
      </c>
      <c r="R136" s="65" t="str" cm="1">
        <f t="array" ref="R136">Common_InputFunctions.Utility_DisplayArrayInTable(Fertiliser_SourceData.Fertiliser_Products_Data3(),FertiliserProducts[[#Headers],[Include or Exclude]], 40)</f>
        <v/>
      </c>
      <c r="S136" s="65" t="str" cm="1">
        <f t="array" ref="S136">Common_InputFunctions.Utility_DisplayArrayInTable(Fertiliser_SourceData.Fertiliser_Products_Data3(),FertiliserProducts[[#Headers],[Include or Exclude]], 40)</f>
        <v/>
      </c>
      <c r="T136" s="65" t="str" cm="1">
        <f t="array" ref="T136">Common_InputFunctions.Utility_DisplayArrayInTable(Fertiliser_SourceData.Fertiliser_Products_Data3(),FertiliserProducts[[#Headers],[Include or Exclude]], 40)</f>
        <v/>
      </c>
      <c r="U136" s="65" t="str" cm="1">
        <f t="array" ref="U136">Common_InputFunctions.Utility_DisplayArrayInTable(Fertiliser_SourceData.Fertiliser_Products_Data3(),FertiliserProducts[[#Headers],[Include or Exclude]], 40)</f>
        <v/>
      </c>
      <c r="V136" s="65" t="str" cm="1">
        <f t="array" ref="V136">Common_InputFunctions.Utility_DisplayArrayInTable(Fertiliser_SourceData.Fertiliser_Products_Data3(),FertiliserProducts[[#Headers],[Include or Exclude]], 40)</f>
        <v/>
      </c>
      <c r="W136" s="65" t="str" cm="1">
        <f t="array" ref="W136">Common_InputFunctions.Utility_DisplayArrayInTable(Fertiliser_SourceData.Fertiliser_Products_Data3(),FertiliserProducts[[#Headers],[Include or Exclude]], 40)</f>
        <v>Crop Nutrition Solutions (Yara Australia)</v>
      </c>
      <c r="X136" s="65" t="str" cm="1">
        <f t="array" ref="X136">Common_InputFunctions.Utility_DisplayArrayInTable(Fertiliser_SourceData.Fertiliser_Products_Data3(),FertiliserProducts[[#Headers],[Include or Exclude]], 40)</f>
        <v/>
      </c>
      <c r="Y136" s="65" t="str" cm="1">
        <f t="array" ref="Y136">Common_InputFunctions.Utility_DisplayArrayInTable(Fertiliser_SourceData.Fertiliser_Products_Data3(),FertiliserProducts[[#Headers],[Include or Exclude]], 40)</f>
        <v/>
      </c>
      <c r="Z136" s="65"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4:31" ht="20.100000000000001" customHeight="1" x14ac:dyDescent="0.25">
      <c r="D137" s="65" t="str" cm="1">
        <f t="array" ref="D137">Common_InputFunctions.Utility_DisplayArrayInTable(Fertiliser_SourceData.Fertiliser_Products_Data3(),FertiliserProducts[[#Headers],[Include or Exclude]], 40)</f>
        <v>Yara Liquids N25</v>
      </c>
      <c r="E137" s="65" t="str" cm="1">
        <f t="array" ref="E137">Common_InputFunctions.Utility_DisplayArrayInTable(Fertiliser_SourceData.Fertiliser_Products_Data3(),FertiliserProducts[[#Headers],[Include or Exclude]], 40)</f>
        <v/>
      </c>
      <c r="F137" s="65" t="str" cm="1">
        <f t="array" ref="F137">Common_InputFunctions.Utility_DisplayArrayInTable(Fertiliser_SourceData.Fertiliser_Products_Data3(),FertiliserProducts[[#Headers],[Include or Exclude]], 40)</f>
        <v/>
      </c>
      <c r="G137" s="65" t="str" cm="1">
        <f t="array" ref="G137">Common_InputFunctions.Utility_DisplayArrayInTable(Fertiliser_SourceData.Fertiliser_Products_Data3(),FertiliserProducts[[#Headers],[Include or Exclude]], 40)</f>
        <v/>
      </c>
      <c r="H137" s="65" t="str" cm="1">
        <f t="array" ref="H137">Common_InputFunctions.Utility_DisplayArrayInTable(Fertiliser_SourceData.Fertiliser_Products_Data3(),FertiliserProducts[[#Headers],[Include or Exclude]], 40)</f>
        <v/>
      </c>
      <c r="I137" s="65" t="str" cm="1">
        <f t="array" ref="I137">Common_InputFunctions.Utility_DisplayArrayInTable(Fertiliser_SourceData.Fertiliser_Products_Data3(),FertiliserProducts[[#Headers],[Include or Exclude]], 40)</f>
        <v/>
      </c>
      <c r="J137" s="65" t="str" cm="1">
        <f t="array" ref="J137">Common_InputFunctions.Utility_DisplayArrayInTable(Fertiliser_SourceData.Fertiliser_Products_Data3(),FertiliserProducts[[#Headers],[Include or Exclude]], 40)</f>
        <v/>
      </c>
      <c r="K137" s="65" t="str" cm="1">
        <f t="array" ref="K137">Common_InputFunctions.Utility_DisplayArrayInTable(Fertiliser_SourceData.Fertiliser_Products_Data3(),FertiliserProducts[[#Headers],[Include or Exclude]], 40)</f>
        <v/>
      </c>
      <c r="L137" s="65" t="str" cm="1">
        <f t="array" ref="L137">Common_InputFunctions.Utility_DisplayArrayInTable(Fertiliser_SourceData.Fertiliser_Products_Data3(),FertiliserProducts[[#Headers],[Include or Exclude]], 40)</f>
        <v/>
      </c>
      <c r="M137" s="65" t="str" cm="1">
        <f t="array" ref="M137">Common_InputFunctions.Utility_DisplayArrayInTable(Fertiliser_SourceData.Fertiliser_Products_Data3(),FertiliserProducts[[#Headers],[Include or Exclude]], 40)</f>
        <v/>
      </c>
      <c r="N137" s="65" t="str" cm="1">
        <f t="array" ref="N137">Common_InputFunctions.Utility_DisplayArrayInTable(Fertiliser_SourceData.Fertiliser_Products_Data3(),FertiliserProducts[[#Headers],[Include or Exclude]], 40)</f>
        <v/>
      </c>
      <c r="O137" s="65" t="str" cm="1">
        <f t="array" ref="O137">Common_InputFunctions.Utility_DisplayArrayInTable(Fertiliser_SourceData.Fertiliser_Products_Data3(),FertiliserProducts[[#Headers],[Include or Exclude]], 40)</f>
        <v/>
      </c>
      <c r="P137" s="65" t="str" cm="1">
        <f t="array" ref="P137">Common_InputFunctions.Utility_DisplayArrayInTable(Fertiliser_SourceData.Fertiliser_Products_Data3(),FertiliserProducts[[#Headers],[Include or Exclude]], 40)</f>
        <v/>
      </c>
      <c r="Q137" s="65" t="str" cm="1">
        <f t="array" ref="Q137">Common_InputFunctions.Utility_DisplayArrayInTable(Fertiliser_SourceData.Fertiliser_Products_Data3(),FertiliserProducts[[#Headers],[Include or Exclude]], 40)</f>
        <v/>
      </c>
      <c r="R137" s="65" t="str" cm="1">
        <f t="array" ref="R137">Common_InputFunctions.Utility_DisplayArrayInTable(Fertiliser_SourceData.Fertiliser_Products_Data3(),FertiliserProducts[[#Headers],[Include or Exclude]], 40)</f>
        <v/>
      </c>
      <c r="S137" s="65" t="str" cm="1">
        <f t="array" ref="S137">Common_InputFunctions.Utility_DisplayArrayInTable(Fertiliser_SourceData.Fertiliser_Products_Data3(),FertiliserProducts[[#Headers],[Include or Exclude]], 40)</f>
        <v/>
      </c>
      <c r="T137" s="65" t="str" cm="1">
        <f t="array" ref="T137">Common_InputFunctions.Utility_DisplayArrayInTable(Fertiliser_SourceData.Fertiliser_Products_Data3(),FertiliserProducts[[#Headers],[Include or Exclude]], 40)</f>
        <v/>
      </c>
      <c r="U137" s="65" t="str" cm="1">
        <f t="array" ref="U137">Common_InputFunctions.Utility_DisplayArrayInTable(Fertiliser_SourceData.Fertiliser_Products_Data3(),FertiliserProducts[[#Headers],[Include or Exclude]], 40)</f>
        <v/>
      </c>
      <c r="V137" s="65" t="str" cm="1">
        <f t="array" ref="V137">Common_InputFunctions.Utility_DisplayArrayInTable(Fertiliser_SourceData.Fertiliser_Products_Data3(),FertiliserProducts[[#Headers],[Include or Exclude]], 40)</f>
        <v/>
      </c>
      <c r="W137" s="65" t="str" cm="1">
        <f t="array" ref="W137">Common_InputFunctions.Utility_DisplayArrayInTable(Fertiliser_SourceData.Fertiliser_Products_Data3(),FertiliserProducts[[#Headers],[Include or Exclude]], 40)</f>
        <v>Crop Nutrition Solutions (Yara Australia)</v>
      </c>
      <c r="X137" s="65" t="str" cm="1">
        <f t="array" ref="X137">Common_InputFunctions.Utility_DisplayArrayInTable(Fertiliser_SourceData.Fertiliser_Products_Data3(),FertiliserProducts[[#Headers],[Include or Exclude]], 40)</f>
        <v/>
      </c>
      <c r="Y137" s="65" t="str" cm="1">
        <f t="array" ref="Y137">Common_InputFunctions.Utility_DisplayArrayInTable(Fertiliser_SourceData.Fertiliser_Products_Data3(),FertiliserProducts[[#Headers],[Include or Exclude]], 40)</f>
        <v/>
      </c>
      <c r="Z137" s="65"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4:31" ht="20.100000000000001" customHeight="1" x14ac:dyDescent="0.25">
      <c r="D138" s="65" t="str" cm="1">
        <f t="array" ref="D138">Common_InputFunctions.Utility_DisplayArrayInTable(Fertiliser_SourceData.Fertiliser_Products_Data3(),FertiliserProducts[[#Headers],[Include or Exclude]], 40)</f>
        <v>Yara Liquids N26</v>
      </c>
      <c r="E138" s="65" t="str" cm="1">
        <f t="array" ref="E138">Common_InputFunctions.Utility_DisplayArrayInTable(Fertiliser_SourceData.Fertiliser_Products_Data3(),FertiliserProducts[[#Headers],[Include or Exclude]], 40)</f>
        <v/>
      </c>
      <c r="F138" s="65" t="str" cm="1">
        <f t="array" ref="F138">Common_InputFunctions.Utility_DisplayArrayInTable(Fertiliser_SourceData.Fertiliser_Products_Data3(),FertiliserProducts[[#Headers],[Include or Exclude]], 40)</f>
        <v/>
      </c>
      <c r="G138" s="65" t="str" cm="1">
        <f t="array" ref="G138">Common_InputFunctions.Utility_DisplayArrayInTable(Fertiliser_SourceData.Fertiliser_Products_Data3(),FertiliserProducts[[#Headers],[Include or Exclude]], 40)</f>
        <v/>
      </c>
      <c r="H138" s="65" t="str" cm="1">
        <f t="array" ref="H138">Common_InputFunctions.Utility_DisplayArrayInTable(Fertiliser_SourceData.Fertiliser_Products_Data3(),FertiliserProducts[[#Headers],[Include or Exclude]], 40)</f>
        <v/>
      </c>
      <c r="I138" s="65" t="str" cm="1">
        <f t="array" ref="I138">Common_InputFunctions.Utility_DisplayArrayInTable(Fertiliser_SourceData.Fertiliser_Products_Data3(),FertiliserProducts[[#Headers],[Include or Exclude]], 40)</f>
        <v/>
      </c>
      <c r="J138" s="65" t="str" cm="1">
        <f t="array" ref="J138">Common_InputFunctions.Utility_DisplayArrayInTable(Fertiliser_SourceData.Fertiliser_Products_Data3(),FertiliserProducts[[#Headers],[Include or Exclude]], 40)</f>
        <v/>
      </c>
      <c r="K138" s="65" t="str" cm="1">
        <f t="array" ref="K138">Common_InputFunctions.Utility_DisplayArrayInTable(Fertiliser_SourceData.Fertiliser_Products_Data3(),FertiliserProducts[[#Headers],[Include or Exclude]], 40)</f>
        <v/>
      </c>
      <c r="L138" s="65" t="str" cm="1">
        <f t="array" ref="L138">Common_InputFunctions.Utility_DisplayArrayInTable(Fertiliser_SourceData.Fertiliser_Products_Data3(),FertiliserProducts[[#Headers],[Include or Exclude]], 40)</f>
        <v/>
      </c>
      <c r="M138" s="65" t="str" cm="1">
        <f t="array" ref="M138">Common_InputFunctions.Utility_DisplayArrayInTable(Fertiliser_SourceData.Fertiliser_Products_Data3(),FertiliserProducts[[#Headers],[Include or Exclude]], 40)</f>
        <v/>
      </c>
      <c r="N138" s="65" t="str" cm="1">
        <f t="array" ref="N138">Common_InputFunctions.Utility_DisplayArrayInTable(Fertiliser_SourceData.Fertiliser_Products_Data3(),FertiliserProducts[[#Headers],[Include or Exclude]], 40)</f>
        <v/>
      </c>
      <c r="O138" s="65" t="str" cm="1">
        <f t="array" ref="O138">Common_InputFunctions.Utility_DisplayArrayInTable(Fertiliser_SourceData.Fertiliser_Products_Data3(),FertiliserProducts[[#Headers],[Include or Exclude]], 40)</f>
        <v/>
      </c>
      <c r="P138" s="65" t="str" cm="1">
        <f t="array" ref="P138">Common_InputFunctions.Utility_DisplayArrayInTable(Fertiliser_SourceData.Fertiliser_Products_Data3(),FertiliserProducts[[#Headers],[Include or Exclude]], 40)</f>
        <v/>
      </c>
      <c r="Q138" s="65" t="str" cm="1">
        <f t="array" ref="Q138">Common_InputFunctions.Utility_DisplayArrayInTable(Fertiliser_SourceData.Fertiliser_Products_Data3(),FertiliserProducts[[#Headers],[Include or Exclude]], 40)</f>
        <v/>
      </c>
      <c r="R138" s="65" t="str" cm="1">
        <f t="array" ref="R138">Common_InputFunctions.Utility_DisplayArrayInTable(Fertiliser_SourceData.Fertiliser_Products_Data3(),FertiliserProducts[[#Headers],[Include or Exclude]], 40)</f>
        <v/>
      </c>
      <c r="S138" s="65" t="str" cm="1">
        <f t="array" ref="S138">Common_InputFunctions.Utility_DisplayArrayInTable(Fertiliser_SourceData.Fertiliser_Products_Data3(),FertiliserProducts[[#Headers],[Include or Exclude]], 40)</f>
        <v/>
      </c>
      <c r="T138" s="65" t="str" cm="1">
        <f t="array" ref="T138">Common_InputFunctions.Utility_DisplayArrayInTable(Fertiliser_SourceData.Fertiliser_Products_Data3(),FertiliserProducts[[#Headers],[Include or Exclude]], 40)</f>
        <v/>
      </c>
      <c r="U138" s="65" t="str" cm="1">
        <f t="array" ref="U138">Common_InputFunctions.Utility_DisplayArrayInTable(Fertiliser_SourceData.Fertiliser_Products_Data3(),FertiliserProducts[[#Headers],[Include or Exclude]], 40)</f>
        <v/>
      </c>
      <c r="V138" s="65" t="str" cm="1">
        <f t="array" ref="V138">Common_InputFunctions.Utility_DisplayArrayInTable(Fertiliser_SourceData.Fertiliser_Products_Data3(),FertiliserProducts[[#Headers],[Include or Exclude]], 40)</f>
        <v/>
      </c>
      <c r="W138" s="65" t="str" cm="1">
        <f t="array" ref="W138">Common_InputFunctions.Utility_DisplayArrayInTable(Fertiliser_SourceData.Fertiliser_Products_Data3(),FertiliserProducts[[#Headers],[Include or Exclude]], 40)</f>
        <v>Crop Nutrition Solutions (Yara Australia)</v>
      </c>
      <c r="X138" s="65" t="str" cm="1">
        <f t="array" ref="X138">Common_InputFunctions.Utility_DisplayArrayInTable(Fertiliser_SourceData.Fertiliser_Products_Data3(),FertiliserProducts[[#Headers],[Include or Exclude]], 40)</f>
        <v/>
      </c>
      <c r="Y138" s="65" t="str" cm="1">
        <f t="array" ref="Y138">Common_InputFunctions.Utility_DisplayArrayInTable(Fertiliser_SourceData.Fertiliser_Products_Data3(),FertiliserProducts[[#Headers],[Include or Exclude]], 40)</f>
        <v/>
      </c>
      <c r="Z138" s="65"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4:31" ht="20.100000000000001" customHeight="1" x14ac:dyDescent="0.25">
      <c r="D139" s="65" t="str" cm="1">
        <f t="array" ref="D139">Common_InputFunctions.Utility_DisplayArrayInTable(Fertiliser_SourceData.Fertiliser_Products_Data3(),FertiliserProducts[[#Headers],[Include or Exclude]], 40)</f>
        <v>Yara Liquids N42</v>
      </c>
      <c r="E139" s="65" t="str" cm="1">
        <f t="array" ref="E139">Common_InputFunctions.Utility_DisplayArrayInTable(Fertiliser_SourceData.Fertiliser_Products_Data3(),FertiliserProducts[[#Headers],[Include or Exclude]], 40)</f>
        <v/>
      </c>
      <c r="F139" s="65" t="str" cm="1">
        <f t="array" ref="F139">Common_InputFunctions.Utility_DisplayArrayInTable(Fertiliser_SourceData.Fertiliser_Products_Data3(),FertiliserProducts[[#Headers],[Include or Exclude]], 40)</f>
        <v/>
      </c>
      <c r="G139" s="65" t="str" cm="1">
        <f t="array" ref="G139">Common_InputFunctions.Utility_DisplayArrayInTable(Fertiliser_SourceData.Fertiliser_Products_Data3(),FertiliserProducts[[#Headers],[Include or Exclude]], 40)</f>
        <v/>
      </c>
      <c r="H139" s="65" t="str" cm="1">
        <f t="array" ref="H139">Common_InputFunctions.Utility_DisplayArrayInTable(Fertiliser_SourceData.Fertiliser_Products_Data3(),FertiliserProducts[[#Headers],[Include or Exclude]], 40)</f>
        <v/>
      </c>
      <c r="I139" s="65" t="str" cm="1">
        <f t="array" ref="I139">Common_InputFunctions.Utility_DisplayArrayInTable(Fertiliser_SourceData.Fertiliser_Products_Data3(),FertiliserProducts[[#Headers],[Include or Exclude]], 40)</f>
        <v/>
      </c>
      <c r="J139" s="65" t="str" cm="1">
        <f t="array" ref="J139">Common_InputFunctions.Utility_DisplayArrayInTable(Fertiliser_SourceData.Fertiliser_Products_Data3(),FertiliserProducts[[#Headers],[Include or Exclude]], 40)</f>
        <v/>
      </c>
      <c r="K139" s="65" t="str" cm="1">
        <f t="array" ref="K139">Common_InputFunctions.Utility_DisplayArrayInTable(Fertiliser_SourceData.Fertiliser_Products_Data3(),FertiliserProducts[[#Headers],[Include or Exclude]], 40)</f>
        <v/>
      </c>
      <c r="L139" s="65" t="str" cm="1">
        <f t="array" ref="L139">Common_InputFunctions.Utility_DisplayArrayInTable(Fertiliser_SourceData.Fertiliser_Products_Data3(),FertiliserProducts[[#Headers],[Include or Exclude]], 40)</f>
        <v/>
      </c>
      <c r="M139" s="65" t="str" cm="1">
        <f t="array" ref="M139">Common_InputFunctions.Utility_DisplayArrayInTable(Fertiliser_SourceData.Fertiliser_Products_Data3(),FertiliserProducts[[#Headers],[Include or Exclude]], 40)</f>
        <v/>
      </c>
      <c r="N139" s="65" t="str" cm="1">
        <f t="array" ref="N139">Common_InputFunctions.Utility_DisplayArrayInTable(Fertiliser_SourceData.Fertiliser_Products_Data3(),FertiliserProducts[[#Headers],[Include or Exclude]], 40)</f>
        <v/>
      </c>
      <c r="O139" s="65" t="str" cm="1">
        <f t="array" ref="O139">Common_InputFunctions.Utility_DisplayArrayInTable(Fertiliser_SourceData.Fertiliser_Products_Data3(),FertiliserProducts[[#Headers],[Include or Exclude]], 40)</f>
        <v/>
      </c>
      <c r="P139" s="65" t="str" cm="1">
        <f t="array" ref="P139">Common_InputFunctions.Utility_DisplayArrayInTable(Fertiliser_SourceData.Fertiliser_Products_Data3(),FertiliserProducts[[#Headers],[Include or Exclude]], 40)</f>
        <v/>
      </c>
      <c r="Q139" s="65" t="str" cm="1">
        <f t="array" ref="Q139">Common_InputFunctions.Utility_DisplayArrayInTable(Fertiliser_SourceData.Fertiliser_Products_Data3(),FertiliserProducts[[#Headers],[Include or Exclude]], 40)</f>
        <v/>
      </c>
      <c r="R139" s="65" t="str" cm="1">
        <f t="array" ref="R139">Common_InputFunctions.Utility_DisplayArrayInTable(Fertiliser_SourceData.Fertiliser_Products_Data3(),FertiliserProducts[[#Headers],[Include or Exclude]], 40)</f>
        <v/>
      </c>
      <c r="S139" s="65" t="str" cm="1">
        <f t="array" ref="S139">Common_InputFunctions.Utility_DisplayArrayInTable(Fertiliser_SourceData.Fertiliser_Products_Data3(),FertiliserProducts[[#Headers],[Include or Exclude]], 40)</f>
        <v/>
      </c>
      <c r="T139" s="65" t="str" cm="1">
        <f t="array" ref="T139">Common_InputFunctions.Utility_DisplayArrayInTable(Fertiliser_SourceData.Fertiliser_Products_Data3(),FertiliserProducts[[#Headers],[Include or Exclude]], 40)</f>
        <v/>
      </c>
      <c r="U139" s="65" t="str" cm="1">
        <f t="array" ref="U139">Common_InputFunctions.Utility_DisplayArrayInTable(Fertiliser_SourceData.Fertiliser_Products_Data3(),FertiliserProducts[[#Headers],[Include or Exclude]], 40)</f>
        <v/>
      </c>
      <c r="V139" s="65" t="str" cm="1">
        <f t="array" ref="V139">Common_InputFunctions.Utility_DisplayArrayInTable(Fertiliser_SourceData.Fertiliser_Products_Data3(),FertiliserProducts[[#Headers],[Include or Exclude]], 40)</f>
        <v/>
      </c>
      <c r="W139" s="65" t="str" cm="1">
        <f t="array" ref="W139">Common_InputFunctions.Utility_DisplayArrayInTable(Fertiliser_SourceData.Fertiliser_Products_Data3(),FertiliserProducts[[#Headers],[Include or Exclude]], 40)</f>
        <v>Crop Nutrition Solutions (Yara Australia)</v>
      </c>
      <c r="X139" s="65" t="str" cm="1">
        <f t="array" ref="X139">Common_InputFunctions.Utility_DisplayArrayInTable(Fertiliser_SourceData.Fertiliser_Products_Data3(),FertiliserProducts[[#Headers],[Include or Exclude]], 40)</f>
        <v/>
      </c>
      <c r="Y139" s="65" t="str" cm="1">
        <f t="array" ref="Y139">Common_InputFunctions.Utility_DisplayArrayInTable(Fertiliser_SourceData.Fertiliser_Products_Data3(),FertiliserProducts[[#Headers],[Include or Exclude]], 40)</f>
        <v/>
      </c>
      <c r="Z139" s="65"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4:31" ht="20.100000000000001" customHeight="1" x14ac:dyDescent="0.25">
      <c r="D140" s="65" t="str" cm="1">
        <f t="array" ref="D140">Common_InputFunctions.Utility_DisplayArrayInTable(Fertiliser_SourceData.Fertiliser_Products_Data3(),FertiliserProducts[[#Headers],[Include or Exclude]], 40)</f>
        <v>Yara Liquids N-CAL 15+18Ca</v>
      </c>
      <c r="E140" s="65" t="str" cm="1">
        <f t="array" ref="E140">Common_InputFunctions.Utility_DisplayArrayInTable(Fertiliser_SourceData.Fertiliser_Products_Data3(),FertiliserProducts[[#Headers],[Include or Exclude]], 40)</f>
        <v/>
      </c>
      <c r="F140" s="65" t="str" cm="1">
        <f t="array" ref="F140">Common_InputFunctions.Utility_DisplayArrayInTable(Fertiliser_SourceData.Fertiliser_Products_Data3(),FertiliserProducts[[#Headers],[Include or Exclude]], 40)</f>
        <v/>
      </c>
      <c r="G140" s="65" t="str" cm="1">
        <f t="array" ref="G140">Common_InputFunctions.Utility_DisplayArrayInTable(Fertiliser_SourceData.Fertiliser_Products_Data3(),FertiliserProducts[[#Headers],[Include or Exclude]], 40)</f>
        <v/>
      </c>
      <c r="H140" s="65" t="str" cm="1">
        <f t="array" ref="H140">Common_InputFunctions.Utility_DisplayArrayInTable(Fertiliser_SourceData.Fertiliser_Products_Data3(),FertiliserProducts[[#Headers],[Include or Exclude]], 40)</f>
        <v/>
      </c>
      <c r="I140" s="65" t="str" cm="1">
        <f t="array" ref="I140">Common_InputFunctions.Utility_DisplayArrayInTable(Fertiliser_SourceData.Fertiliser_Products_Data3(),FertiliserProducts[[#Headers],[Include or Exclude]], 40)</f>
        <v/>
      </c>
      <c r="J140" s="65" t="str" cm="1">
        <f t="array" ref="J140">Common_InputFunctions.Utility_DisplayArrayInTable(Fertiliser_SourceData.Fertiliser_Products_Data3(),FertiliserProducts[[#Headers],[Include or Exclude]], 40)</f>
        <v/>
      </c>
      <c r="K140" s="65" t="str" cm="1">
        <f t="array" ref="K140">Common_InputFunctions.Utility_DisplayArrayInTable(Fertiliser_SourceData.Fertiliser_Products_Data3(),FertiliserProducts[[#Headers],[Include or Exclude]], 40)</f>
        <v/>
      </c>
      <c r="L140" s="65" t="str" cm="1">
        <f t="array" ref="L140">Common_InputFunctions.Utility_DisplayArrayInTable(Fertiliser_SourceData.Fertiliser_Products_Data3(),FertiliserProducts[[#Headers],[Include or Exclude]], 40)</f>
        <v/>
      </c>
      <c r="M140" s="65" t="str" cm="1">
        <f t="array" ref="M140">Common_InputFunctions.Utility_DisplayArrayInTable(Fertiliser_SourceData.Fertiliser_Products_Data3(),FertiliserProducts[[#Headers],[Include or Exclude]], 40)</f>
        <v/>
      </c>
      <c r="N140" s="65" t="str" cm="1">
        <f t="array" ref="N140">Common_InputFunctions.Utility_DisplayArrayInTable(Fertiliser_SourceData.Fertiliser_Products_Data3(),FertiliserProducts[[#Headers],[Include or Exclude]], 40)</f>
        <v/>
      </c>
      <c r="O140" s="65" t="str" cm="1">
        <f t="array" ref="O140">Common_InputFunctions.Utility_DisplayArrayInTable(Fertiliser_SourceData.Fertiliser_Products_Data3(),FertiliserProducts[[#Headers],[Include or Exclude]], 40)</f>
        <v/>
      </c>
      <c r="P140" s="65" t="str" cm="1">
        <f t="array" ref="P140">Common_InputFunctions.Utility_DisplayArrayInTable(Fertiliser_SourceData.Fertiliser_Products_Data3(),FertiliserProducts[[#Headers],[Include or Exclude]], 40)</f>
        <v/>
      </c>
      <c r="Q140" s="65" t="str" cm="1">
        <f t="array" ref="Q140">Common_InputFunctions.Utility_DisplayArrayInTable(Fertiliser_SourceData.Fertiliser_Products_Data3(),FertiliserProducts[[#Headers],[Include or Exclude]], 40)</f>
        <v/>
      </c>
      <c r="R140" s="65" t="str" cm="1">
        <f t="array" ref="R140">Common_InputFunctions.Utility_DisplayArrayInTable(Fertiliser_SourceData.Fertiliser_Products_Data3(),FertiliserProducts[[#Headers],[Include or Exclude]], 40)</f>
        <v/>
      </c>
      <c r="S140" s="65" t="str" cm="1">
        <f t="array" ref="S140">Common_InputFunctions.Utility_DisplayArrayInTable(Fertiliser_SourceData.Fertiliser_Products_Data3(),FertiliserProducts[[#Headers],[Include or Exclude]], 40)</f>
        <v/>
      </c>
      <c r="T140" s="65" t="str" cm="1">
        <f t="array" ref="T140">Common_InputFunctions.Utility_DisplayArrayInTable(Fertiliser_SourceData.Fertiliser_Products_Data3(),FertiliserProducts[[#Headers],[Include or Exclude]], 40)</f>
        <v/>
      </c>
      <c r="U140" s="65" t="str" cm="1">
        <f t="array" ref="U140">Common_InputFunctions.Utility_DisplayArrayInTable(Fertiliser_SourceData.Fertiliser_Products_Data3(),FertiliserProducts[[#Headers],[Include or Exclude]], 40)</f>
        <v/>
      </c>
      <c r="V140" s="65" t="str" cm="1">
        <f t="array" ref="V140">Common_InputFunctions.Utility_DisplayArrayInTable(Fertiliser_SourceData.Fertiliser_Products_Data3(),FertiliserProducts[[#Headers],[Include or Exclude]], 40)</f>
        <v/>
      </c>
      <c r="W140" s="65" t="str" cm="1">
        <f t="array" ref="W140">Common_InputFunctions.Utility_DisplayArrayInTable(Fertiliser_SourceData.Fertiliser_Products_Data3(),FertiliserProducts[[#Headers],[Include or Exclude]], 40)</f>
        <v>Crop Nutrition Solutions (Yara Australia)</v>
      </c>
      <c r="X140" s="65" t="str" cm="1">
        <f t="array" ref="X140">Common_InputFunctions.Utility_DisplayArrayInTable(Fertiliser_SourceData.Fertiliser_Products_Data3(),FertiliserProducts[[#Headers],[Include or Exclude]], 40)</f>
        <v/>
      </c>
      <c r="Y140" s="65" t="str" cm="1">
        <f t="array" ref="Y140">Common_InputFunctions.Utility_DisplayArrayInTable(Fertiliser_SourceData.Fertiliser_Products_Data3(),FertiliserProducts[[#Headers],[Include or Exclude]], 40)</f>
        <v/>
      </c>
      <c r="Z140" s="65"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4:31" ht="20.100000000000001" customHeight="1" x14ac:dyDescent="0.25">
      <c r="D141" s="65" t="str" cm="1">
        <f t="array" ref="D141">Common_InputFunctions.Utility_DisplayArrayInTable(Fertiliser_SourceData.Fertiliser_Products_Data3(),FertiliserProducts[[#Headers],[Include or Exclude]], 40)</f>
        <v>Yara Liquids N-CAL 20+10Ca+B</v>
      </c>
      <c r="E141" s="65" t="str" cm="1">
        <f t="array" ref="E141">Common_InputFunctions.Utility_DisplayArrayInTable(Fertiliser_SourceData.Fertiliser_Products_Data3(),FertiliserProducts[[#Headers],[Include or Exclude]], 40)</f>
        <v/>
      </c>
      <c r="F141" s="65" t="str" cm="1">
        <f t="array" ref="F141">Common_InputFunctions.Utility_DisplayArrayInTable(Fertiliser_SourceData.Fertiliser_Products_Data3(),FertiliserProducts[[#Headers],[Include or Exclude]], 40)</f>
        <v/>
      </c>
      <c r="G141" s="65" t="str" cm="1">
        <f t="array" ref="G141">Common_InputFunctions.Utility_DisplayArrayInTable(Fertiliser_SourceData.Fertiliser_Products_Data3(),FertiliserProducts[[#Headers],[Include or Exclude]], 40)</f>
        <v/>
      </c>
      <c r="H141" s="65" t="str" cm="1">
        <f t="array" ref="H141">Common_InputFunctions.Utility_DisplayArrayInTable(Fertiliser_SourceData.Fertiliser_Products_Data3(),FertiliserProducts[[#Headers],[Include or Exclude]], 40)</f>
        <v/>
      </c>
      <c r="I141" s="65" t="str" cm="1">
        <f t="array" ref="I141">Common_InputFunctions.Utility_DisplayArrayInTable(Fertiliser_SourceData.Fertiliser_Products_Data3(),FertiliserProducts[[#Headers],[Include or Exclude]], 40)</f>
        <v/>
      </c>
      <c r="J141" s="65" t="str" cm="1">
        <f t="array" ref="J141">Common_InputFunctions.Utility_DisplayArrayInTable(Fertiliser_SourceData.Fertiliser_Products_Data3(),FertiliserProducts[[#Headers],[Include or Exclude]], 40)</f>
        <v/>
      </c>
      <c r="K141" s="65" t="str" cm="1">
        <f t="array" ref="K141">Common_InputFunctions.Utility_DisplayArrayInTable(Fertiliser_SourceData.Fertiliser_Products_Data3(),FertiliserProducts[[#Headers],[Include or Exclude]], 40)</f>
        <v/>
      </c>
      <c r="L141" s="65" t="str" cm="1">
        <f t="array" ref="L141">Common_InputFunctions.Utility_DisplayArrayInTable(Fertiliser_SourceData.Fertiliser_Products_Data3(),FertiliserProducts[[#Headers],[Include or Exclude]], 40)</f>
        <v/>
      </c>
      <c r="M141" s="65" t="str" cm="1">
        <f t="array" ref="M141">Common_InputFunctions.Utility_DisplayArrayInTable(Fertiliser_SourceData.Fertiliser_Products_Data3(),FertiliserProducts[[#Headers],[Include or Exclude]], 40)</f>
        <v/>
      </c>
      <c r="N141" s="65" t="str" cm="1">
        <f t="array" ref="N141">Common_InputFunctions.Utility_DisplayArrayInTable(Fertiliser_SourceData.Fertiliser_Products_Data3(),FertiliserProducts[[#Headers],[Include or Exclude]], 40)</f>
        <v/>
      </c>
      <c r="O141" s="65" t="str" cm="1">
        <f t="array" ref="O141">Common_InputFunctions.Utility_DisplayArrayInTable(Fertiliser_SourceData.Fertiliser_Products_Data3(),FertiliserProducts[[#Headers],[Include or Exclude]], 40)</f>
        <v/>
      </c>
      <c r="P141" s="65" t="str" cm="1">
        <f t="array" ref="P141">Common_InputFunctions.Utility_DisplayArrayInTable(Fertiliser_SourceData.Fertiliser_Products_Data3(),FertiliserProducts[[#Headers],[Include or Exclude]], 40)</f>
        <v/>
      </c>
      <c r="Q141" s="65" t="str" cm="1">
        <f t="array" ref="Q141">Common_InputFunctions.Utility_DisplayArrayInTable(Fertiliser_SourceData.Fertiliser_Products_Data3(),FertiliserProducts[[#Headers],[Include or Exclude]], 40)</f>
        <v/>
      </c>
      <c r="R141" s="65" t="str" cm="1">
        <f t="array" ref="R141">Common_InputFunctions.Utility_DisplayArrayInTable(Fertiliser_SourceData.Fertiliser_Products_Data3(),FertiliserProducts[[#Headers],[Include or Exclude]], 40)</f>
        <v/>
      </c>
      <c r="S141" s="65" t="str" cm="1">
        <f t="array" ref="S141">Common_InputFunctions.Utility_DisplayArrayInTable(Fertiliser_SourceData.Fertiliser_Products_Data3(),FertiliserProducts[[#Headers],[Include or Exclude]], 40)</f>
        <v/>
      </c>
      <c r="T141" s="65" t="str" cm="1">
        <f t="array" ref="T141">Common_InputFunctions.Utility_DisplayArrayInTable(Fertiliser_SourceData.Fertiliser_Products_Data3(),FertiliserProducts[[#Headers],[Include or Exclude]], 40)</f>
        <v/>
      </c>
      <c r="U141" s="65" t="str" cm="1">
        <f t="array" ref="U141">Common_InputFunctions.Utility_DisplayArrayInTable(Fertiliser_SourceData.Fertiliser_Products_Data3(),FertiliserProducts[[#Headers],[Include or Exclude]], 40)</f>
        <v/>
      </c>
      <c r="V141" s="65" t="str" cm="1">
        <f t="array" ref="V141">Common_InputFunctions.Utility_DisplayArrayInTable(Fertiliser_SourceData.Fertiliser_Products_Data3(),FertiliserProducts[[#Headers],[Include or Exclude]], 40)</f>
        <v/>
      </c>
      <c r="W141" s="65" t="str" cm="1">
        <f t="array" ref="W141">Common_InputFunctions.Utility_DisplayArrayInTable(Fertiliser_SourceData.Fertiliser_Products_Data3(),FertiliserProducts[[#Headers],[Include or Exclude]], 40)</f>
        <v>Crop Nutrition Solutions (Yara Australia)</v>
      </c>
      <c r="X141" s="65" t="str" cm="1">
        <f t="array" ref="X141">Common_InputFunctions.Utility_DisplayArrayInTable(Fertiliser_SourceData.Fertiliser_Products_Data3(),FertiliserProducts[[#Headers],[Include or Exclude]], 40)</f>
        <v/>
      </c>
      <c r="Y141" s="65" t="str" cm="1">
        <f t="array" ref="Y141">Common_InputFunctions.Utility_DisplayArrayInTable(Fertiliser_SourceData.Fertiliser_Products_Data3(),FertiliserProducts[[#Headers],[Include or Exclude]], 40)</f>
        <v/>
      </c>
      <c r="Z141" s="65"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4:31" ht="20.100000000000001" customHeight="1" x14ac:dyDescent="0.25">
      <c r="D142" s="65" t="str" cm="1">
        <f t="array" ref="D142">Common_InputFunctions.Utility_DisplayArrayInTable(Fertiliser_SourceData.Fertiliser_Products_Data3(),FertiliserProducts[[#Headers],[Include or Exclude]], 40)</f>
        <v>Yara Liquids N-CAL 35+6Ca</v>
      </c>
      <c r="E142" s="65" t="str" cm="1">
        <f t="array" ref="E142">Common_InputFunctions.Utility_DisplayArrayInTable(Fertiliser_SourceData.Fertiliser_Products_Data3(),FertiliserProducts[[#Headers],[Include or Exclude]], 40)</f>
        <v/>
      </c>
      <c r="F142" s="65" t="str" cm="1">
        <f t="array" ref="F142">Common_InputFunctions.Utility_DisplayArrayInTable(Fertiliser_SourceData.Fertiliser_Products_Data3(),FertiliserProducts[[#Headers],[Include or Exclude]], 40)</f>
        <v/>
      </c>
      <c r="G142" s="65" t="str" cm="1">
        <f t="array" ref="G142">Common_InputFunctions.Utility_DisplayArrayInTable(Fertiliser_SourceData.Fertiliser_Products_Data3(),FertiliserProducts[[#Headers],[Include or Exclude]], 40)</f>
        <v/>
      </c>
      <c r="H142" s="65" t="str" cm="1">
        <f t="array" ref="H142">Common_InputFunctions.Utility_DisplayArrayInTable(Fertiliser_SourceData.Fertiliser_Products_Data3(),FertiliserProducts[[#Headers],[Include or Exclude]], 40)</f>
        <v/>
      </c>
      <c r="I142" s="65" t="str" cm="1">
        <f t="array" ref="I142">Common_InputFunctions.Utility_DisplayArrayInTable(Fertiliser_SourceData.Fertiliser_Products_Data3(),FertiliserProducts[[#Headers],[Include or Exclude]], 40)</f>
        <v/>
      </c>
      <c r="J142" s="65" t="str" cm="1">
        <f t="array" ref="J142">Common_InputFunctions.Utility_DisplayArrayInTable(Fertiliser_SourceData.Fertiliser_Products_Data3(),FertiliserProducts[[#Headers],[Include or Exclude]], 40)</f>
        <v/>
      </c>
      <c r="K142" s="65" t="str" cm="1">
        <f t="array" ref="K142">Common_InputFunctions.Utility_DisplayArrayInTable(Fertiliser_SourceData.Fertiliser_Products_Data3(),FertiliserProducts[[#Headers],[Include or Exclude]], 40)</f>
        <v/>
      </c>
      <c r="L142" s="65" t="str" cm="1">
        <f t="array" ref="L142">Common_InputFunctions.Utility_DisplayArrayInTable(Fertiliser_SourceData.Fertiliser_Products_Data3(),FertiliserProducts[[#Headers],[Include or Exclude]], 40)</f>
        <v/>
      </c>
      <c r="M142" s="65" t="str" cm="1">
        <f t="array" ref="M142">Common_InputFunctions.Utility_DisplayArrayInTable(Fertiliser_SourceData.Fertiliser_Products_Data3(),FertiliserProducts[[#Headers],[Include or Exclude]], 40)</f>
        <v/>
      </c>
      <c r="N142" s="65" t="str" cm="1">
        <f t="array" ref="N142">Common_InputFunctions.Utility_DisplayArrayInTable(Fertiliser_SourceData.Fertiliser_Products_Data3(),FertiliserProducts[[#Headers],[Include or Exclude]], 40)</f>
        <v/>
      </c>
      <c r="O142" s="65" t="str" cm="1">
        <f t="array" ref="O142">Common_InputFunctions.Utility_DisplayArrayInTable(Fertiliser_SourceData.Fertiliser_Products_Data3(),FertiliserProducts[[#Headers],[Include or Exclude]], 40)</f>
        <v/>
      </c>
      <c r="P142" s="65" t="str" cm="1">
        <f t="array" ref="P142">Common_InputFunctions.Utility_DisplayArrayInTable(Fertiliser_SourceData.Fertiliser_Products_Data3(),FertiliserProducts[[#Headers],[Include or Exclude]], 40)</f>
        <v/>
      </c>
      <c r="Q142" s="65" t="str" cm="1">
        <f t="array" ref="Q142">Common_InputFunctions.Utility_DisplayArrayInTable(Fertiliser_SourceData.Fertiliser_Products_Data3(),FertiliserProducts[[#Headers],[Include or Exclude]], 40)</f>
        <v/>
      </c>
      <c r="R142" s="65" t="str" cm="1">
        <f t="array" ref="R142">Common_InputFunctions.Utility_DisplayArrayInTable(Fertiliser_SourceData.Fertiliser_Products_Data3(),FertiliserProducts[[#Headers],[Include or Exclude]], 40)</f>
        <v/>
      </c>
      <c r="S142" s="65" t="str" cm="1">
        <f t="array" ref="S142">Common_InputFunctions.Utility_DisplayArrayInTable(Fertiliser_SourceData.Fertiliser_Products_Data3(),FertiliserProducts[[#Headers],[Include or Exclude]], 40)</f>
        <v/>
      </c>
      <c r="T142" s="65" t="str" cm="1">
        <f t="array" ref="T142">Common_InputFunctions.Utility_DisplayArrayInTable(Fertiliser_SourceData.Fertiliser_Products_Data3(),FertiliserProducts[[#Headers],[Include or Exclude]], 40)</f>
        <v/>
      </c>
      <c r="U142" s="65" t="str" cm="1">
        <f t="array" ref="U142">Common_InputFunctions.Utility_DisplayArrayInTable(Fertiliser_SourceData.Fertiliser_Products_Data3(),FertiliserProducts[[#Headers],[Include or Exclude]], 40)</f>
        <v/>
      </c>
      <c r="V142" s="65" t="str" cm="1">
        <f t="array" ref="V142">Common_InputFunctions.Utility_DisplayArrayInTable(Fertiliser_SourceData.Fertiliser_Products_Data3(),FertiliserProducts[[#Headers],[Include or Exclude]], 40)</f>
        <v/>
      </c>
      <c r="W142" s="65" t="str" cm="1">
        <f t="array" ref="W142">Common_InputFunctions.Utility_DisplayArrayInTable(Fertiliser_SourceData.Fertiliser_Products_Data3(),FertiliserProducts[[#Headers],[Include or Exclude]], 40)</f>
        <v>Crop Nutrition Solutions (Yara Australia)</v>
      </c>
      <c r="X142" s="65" t="str" cm="1">
        <f t="array" ref="X142">Common_InputFunctions.Utility_DisplayArrayInTable(Fertiliser_SourceData.Fertiliser_Products_Data3(),FertiliserProducts[[#Headers],[Include or Exclude]], 40)</f>
        <v/>
      </c>
      <c r="Y142" s="65" t="str" cm="1">
        <f t="array" ref="Y142">Common_InputFunctions.Utility_DisplayArrayInTable(Fertiliser_SourceData.Fertiliser_Products_Data3(),FertiliserProducts[[#Headers],[Include or Exclude]], 40)</f>
        <v/>
      </c>
      <c r="Z142" s="65"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4:31" ht="20.100000000000001" customHeight="1" x14ac:dyDescent="0.25">
      <c r="D143" s="65" t="str" cm="1">
        <f t="array" ref="D143">Common_InputFunctions.Utility_DisplayArrayInTable(Fertiliser_SourceData.Fertiliser_Products_Data3(),FertiliserProducts[[#Headers],[Include or Exclude]], 40)</f>
        <v>Yara Liquids N-FOL 24</v>
      </c>
      <c r="E143" s="65" t="str" cm="1">
        <f t="array" ref="E143">Common_InputFunctions.Utility_DisplayArrayInTable(Fertiliser_SourceData.Fertiliser_Products_Data3(),FertiliserProducts[[#Headers],[Include or Exclude]], 40)</f>
        <v/>
      </c>
      <c r="F143" s="65" t="str" cm="1">
        <f t="array" ref="F143">Common_InputFunctions.Utility_DisplayArrayInTable(Fertiliser_SourceData.Fertiliser_Products_Data3(),FertiliserProducts[[#Headers],[Include or Exclude]], 40)</f>
        <v/>
      </c>
      <c r="G143" s="65" t="str" cm="1">
        <f t="array" ref="G143">Common_InputFunctions.Utility_DisplayArrayInTable(Fertiliser_SourceData.Fertiliser_Products_Data3(),FertiliserProducts[[#Headers],[Include or Exclude]], 40)</f>
        <v/>
      </c>
      <c r="H143" s="65" t="str" cm="1">
        <f t="array" ref="H143">Common_InputFunctions.Utility_DisplayArrayInTable(Fertiliser_SourceData.Fertiliser_Products_Data3(),FertiliserProducts[[#Headers],[Include or Exclude]], 40)</f>
        <v/>
      </c>
      <c r="I143" s="65" t="str" cm="1">
        <f t="array" ref="I143">Common_InputFunctions.Utility_DisplayArrayInTable(Fertiliser_SourceData.Fertiliser_Products_Data3(),FertiliserProducts[[#Headers],[Include or Exclude]], 40)</f>
        <v/>
      </c>
      <c r="J143" s="65" t="str" cm="1">
        <f t="array" ref="J143">Common_InputFunctions.Utility_DisplayArrayInTable(Fertiliser_SourceData.Fertiliser_Products_Data3(),FertiliserProducts[[#Headers],[Include or Exclude]], 40)</f>
        <v/>
      </c>
      <c r="K143" s="65" t="str" cm="1">
        <f t="array" ref="K143">Common_InputFunctions.Utility_DisplayArrayInTable(Fertiliser_SourceData.Fertiliser_Products_Data3(),FertiliserProducts[[#Headers],[Include or Exclude]], 40)</f>
        <v/>
      </c>
      <c r="L143" s="65" t="str" cm="1">
        <f t="array" ref="L143">Common_InputFunctions.Utility_DisplayArrayInTable(Fertiliser_SourceData.Fertiliser_Products_Data3(),FertiliserProducts[[#Headers],[Include or Exclude]], 40)</f>
        <v/>
      </c>
      <c r="M143" s="65" t="str" cm="1">
        <f t="array" ref="M143">Common_InputFunctions.Utility_DisplayArrayInTable(Fertiliser_SourceData.Fertiliser_Products_Data3(),FertiliserProducts[[#Headers],[Include or Exclude]], 40)</f>
        <v/>
      </c>
      <c r="N143" s="65" t="str" cm="1">
        <f t="array" ref="N143">Common_InputFunctions.Utility_DisplayArrayInTable(Fertiliser_SourceData.Fertiliser_Products_Data3(),FertiliserProducts[[#Headers],[Include or Exclude]], 40)</f>
        <v/>
      </c>
      <c r="O143" s="65" t="str" cm="1">
        <f t="array" ref="O143">Common_InputFunctions.Utility_DisplayArrayInTable(Fertiliser_SourceData.Fertiliser_Products_Data3(),FertiliserProducts[[#Headers],[Include or Exclude]], 40)</f>
        <v/>
      </c>
      <c r="P143" s="65" t="str" cm="1">
        <f t="array" ref="P143">Common_InputFunctions.Utility_DisplayArrayInTable(Fertiliser_SourceData.Fertiliser_Products_Data3(),FertiliserProducts[[#Headers],[Include or Exclude]], 40)</f>
        <v/>
      </c>
      <c r="Q143" s="65" t="str" cm="1">
        <f t="array" ref="Q143">Common_InputFunctions.Utility_DisplayArrayInTable(Fertiliser_SourceData.Fertiliser_Products_Data3(),FertiliserProducts[[#Headers],[Include or Exclude]], 40)</f>
        <v/>
      </c>
      <c r="R143" s="65" t="str" cm="1">
        <f t="array" ref="R143">Common_InputFunctions.Utility_DisplayArrayInTable(Fertiliser_SourceData.Fertiliser_Products_Data3(),FertiliserProducts[[#Headers],[Include or Exclude]], 40)</f>
        <v/>
      </c>
      <c r="S143" s="65" t="str" cm="1">
        <f t="array" ref="S143">Common_InputFunctions.Utility_DisplayArrayInTable(Fertiliser_SourceData.Fertiliser_Products_Data3(),FertiliserProducts[[#Headers],[Include or Exclude]], 40)</f>
        <v/>
      </c>
      <c r="T143" s="65" t="str" cm="1">
        <f t="array" ref="T143">Common_InputFunctions.Utility_DisplayArrayInTable(Fertiliser_SourceData.Fertiliser_Products_Data3(),FertiliserProducts[[#Headers],[Include or Exclude]], 40)</f>
        <v/>
      </c>
      <c r="U143" s="65" t="str" cm="1">
        <f t="array" ref="U143">Common_InputFunctions.Utility_DisplayArrayInTable(Fertiliser_SourceData.Fertiliser_Products_Data3(),FertiliserProducts[[#Headers],[Include or Exclude]], 40)</f>
        <v/>
      </c>
      <c r="V143" s="65" t="str" cm="1">
        <f t="array" ref="V143">Common_InputFunctions.Utility_DisplayArrayInTable(Fertiliser_SourceData.Fertiliser_Products_Data3(),FertiliserProducts[[#Headers],[Include or Exclude]], 40)</f>
        <v/>
      </c>
      <c r="W143" s="65" t="str" cm="1">
        <f t="array" ref="W143">Common_InputFunctions.Utility_DisplayArrayInTable(Fertiliser_SourceData.Fertiliser_Products_Data3(),FertiliserProducts[[#Headers],[Include or Exclude]], 40)</f>
        <v>Crop Nutrition Solutions (Yara Australia)</v>
      </c>
      <c r="X143" s="65" t="str" cm="1">
        <f t="array" ref="X143">Common_InputFunctions.Utility_DisplayArrayInTable(Fertiliser_SourceData.Fertiliser_Products_Data3(),FertiliserProducts[[#Headers],[Include or Exclude]], 40)</f>
        <v/>
      </c>
      <c r="Y143" s="65" t="str" cm="1">
        <f t="array" ref="Y143">Common_InputFunctions.Utility_DisplayArrayInTable(Fertiliser_SourceData.Fertiliser_Products_Data3(),FertiliserProducts[[#Headers],[Include or Exclude]], 40)</f>
        <v/>
      </c>
      <c r="Z143" s="65"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4:31" ht="20.100000000000001" customHeight="1" x14ac:dyDescent="0.25">
      <c r="D144" s="65" t="str" cm="1">
        <f t="array" ref="D144">Common_InputFunctions.Utility_DisplayArrayInTable(Fertiliser_SourceData.Fertiliser_Products_Data3(),FertiliserProducts[[#Headers],[Include or Exclude]], 40)</f>
        <v>Yara Liquids N-FOL 24+TE</v>
      </c>
      <c r="E144" s="65" t="str" cm="1">
        <f t="array" ref="E144">Common_InputFunctions.Utility_DisplayArrayInTable(Fertiliser_SourceData.Fertiliser_Products_Data3(),FertiliserProducts[[#Headers],[Include or Exclude]], 40)</f>
        <v/>
      </c>
      <c r="F144" s="65" t="str" cm="1">
        <f t="array" ref="F144">Common_InputFunctions.Utility_DisplayArrayInTable(Fertiliser_SourceData.Fertiliser_Products_Data3(),FertiliserProducts[[#Headers],[Include or Exclude]], 40)</f>
        <v/>
      </c>
      <c r="G144" s="65" t="str" cm="1">
        <f t="array" ref="G144">Common_InputFunctions.Utility_DisplayArrayInTable(Fertiliser_SourceData.Fertiliser_Products_Data3(),FertiliserProducts[[#Headers],[Include or Exclude]], 40)</f>
        <v/>
      </c>
      <c r="H144" s="65" t="str" cm="1">
        <f t="array" ref="H144">Common_InputFunctions.Utility_DisplayArrayInTable(Fertiliser_SourceData.Fertiliser_Products_Data3(),FertiliserProducts[[#Headers],[Include or Exclude]], 40)</f>
        <v/>
      </c>
      <c r="I144" s="65" t="str" cm="1">
        <f t="array" ref="I144">Common_InputFunctions.Utility_DisplayArrayInTable(Fertiliser_SourceData.Fertiliser_Products_Data3(),FertiliserProducts[[#Headers],[Include or Exclude]], 40)</f>
        <v/>
      </c>
      <c r="J144" s="65" t="str" cm="1">
        <f t="array" ref="J144">Common_InputFunctions.Utility_DisplayArrayInTable(Fertiliser_SourceData.Fertiliser_Products_Data3(),FertiliserProducts[[#Headers],[Include or Exclude]], 40)</f>
        <v/>
      </c>
      <c r="K144" s="65" t="str" cm="1">
        <f t="array" ref="K144">Common_InputFunctions.Utility_DisplayArrayInTable(Fertiliser_SourceData.Fertiliser_Products_Data3(),FertiliserProducts[[#Headers],[Include or Exclude]], 40)</f>
        <v/>
      </c>
      <c r="L144" s="65" t="str" cm="1">
        <f t="array" ref="L144">Common_InputFunctions.Utility_DisplayArrayInTable(Fertiliser_SourceData.Fertiliser_Products_Data3(),FertiliserProducts[[#Headers],[Include or Exclude]], 40)</f>
        <v/>
      </c>
      <c r="M144" s="65" t="str" cm="1">
        <f t="array" ref="M144">Common_InputFunctions.Utility_DisplayArrayInTable(Fertiliser_SourceData.Fertiliser_Products_Data3(),FertiliserProducts[[#Headers],[Include or Exclude]], 40)</f>
        <v/>
      </c>
      <c r="N144" s="65" t="str" cm="1">
        <f t="array" ref="N144">Common_InputFunctions.Utility_DisplayArrayInTable(Fertiliser_SourceData.Fertiliser_Products_Data3(),FertiliserProducts[[#Headers],[Include or Exclude]], 40)</f>
        <v/>
      </c>
      <c r="O144" s="65" t="str" cm="1">
        <f t="array" ref="O144">Common_InputFunctions.Utility_DisplayArrayInTable(Fertiliser_SourceData.Fertiliser_Products_Data3(),FertiliserProducts[[#Headers],[Include or Exclude]], 40)</f>
        <v/>
      </c>
      <c r="P144" s="65" t="str" cm="1">
        <f t="array" ref="P144">Common_InputFunctions.Utility_DisplayArrayInTable(Fertiliser_SourceData.Fertiliser_Products_Data3(),FertiliserProducts[[#Headers],[Include or Exclude]], 40)</f>
        <v/>
      </c>
      <c r="Q144" s="65" t="str" cm="1">
        <f t="array" ref="Q144">Common_InputFunctions.Utility_DisplayArrayInTable(Fertiliser_SourceData.Fertiliser_Products_Data3(),FertiliserProducts[[#Headers],[Include or Exclude]], 40)</f>
        <v/>
      </c>
      <c r="R144" s="65" t="str" cm="1">
        <f t="array" ref="R144">Common_InputFunctions.Utility_DisplayArrayInTable(Fertiliser_SourceData.Fertiliser_Products_Data3(),FertiliserProducts[[#Headers],[Include or Exclude]], 40)</f>
        <v/>
      </c>
      <c r="S144" s="65" t="str" cm="1">
        <f t="array" ref="S144">Common_InputFunctions.Utility_DisplayArrayInTable(Fertiliser_SourceData.Fertiliser_Products_Data3(),FertiliserProducts[[#Headers],[Include or Exclude]], 40)</f>
        <v/>
      </c>
      <c r="T144" s="65" t="str" cm="1">
        <f t="array" ref="T144">Common_InputFunctions.Utility_DisplayArrayInTable(Fertiliser_SourceData.Fertiliser_Products_Data3(),FertiliserProducts[[#Headers],[Include or Exclude]], 40)</f>
        <v/>
      </c>
      <c r="U144" s="65" t="str" cm="1">
        <f t="array" ref="U144">Common_InputFunctions.Utility_DisplayArrayInTable(Fertiliser_SourceData.Fertiliser_Products_Data3(),FertiliserProducts[[#Headers],[Include or Exclude]], 40)</f>
        <v/>
      </c>
      <c r="V144" s="65" t="str" cm="1">
        <f t="array" ref="V144">Common_InputFunctions.Utility_DisplayArrayInTable(Fertiliser_SourceData.Fertiliser_Products_Data3(),FertiliserProducts[[#Headers],[Include or Exclude]], 40)</f>
        <v/>
      </c>
      <c r="W144" s="65" t="str" cm="1">
        <f t="array" ref="W144">Common_InputFunctions.Utility_DisplayArrayInTable(Fertiliser_SourceData.Fertiliser_Products_Data3(),FertiliserProducts[[#Headers],[Include or Exclude]], 40)</f>
        <v>Crop Nutrition Solutions (Yara Australia)</v>
      </c>
      <c r="X144" s="65" t="str" cm="1">
        <f t="array" ref="X144">Common_InputFunctions.Utility_DisplayArrayInTable(Fertiliser_SourceData.Fertiliser_Products_Data3(),FertiliserProducts[[#Headers],[Include or Exclude]], 40)</f>
        <v/>
      </c>
      <c r="Y144" s="65" t="str" cm="1">
        <f t="array" ref="Y144">Common_InputFunctions.Utility_DisplayArrayInTable(Fertiliser_SourceData.Fertiliser_Products_Data3(),FertiliserProducts[[#Headers],[Include or Exclude]], 40)</f>
        <v/>
      </c>
      <c r="Z144" s="65"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4:31" ht="20.100000000000001" customHeight="1" x14ac:dyDescent="0.25">
      <c r="D145" s="65" t="str" cm="1">
        <f t="array" ref="D145">Common_InputFunctions.Utility_DisplayArrayInTable(Fertiliser_SourceData.Fertiliser_Products_Data3(),FertiliserProducts[[#Headers],[Include or Exclude]], 40)</f>
        <v>Yara Liquids P-FOL Zinc</v>
      </c>
      <c r="E145" s="65" t="str" cm="1">
        <f t="array" ref="E145">Common_InputFunctions.Utility_DisplayArrayInTable(Fertiliser_SourceData.Fertiliser_Products_Data3(),FertiliserProducts[[#Headers],[Include or Exclude]], 40)</f>
        <v/>
      </c>
      <c r="F145" s="65" t="str" cm="1">
        <f t="array" ref="F145">Common_InputFunctions.Utility_DisplayArrayInTable(Fertiliser_SourceData.Fertiliser_Products_Data3(),FertiliserProducts[[#Headers],[Include or Exclude]], 40)</f>
        <v/>
      </c>
      <c r="G145" s="65" t="str" cm="1">
        <f t="array" ref="G145">Common_InputFunctions.Utility_DisplayArrayInTable(Fertiliser_SourceData.Fertiliser_Products_Data3(),FertiliserProducts[[#Headers],[Include or Exclude]], 40)</f>
        <v/>
      </c>
      <c r="H145" s="65" t="str" cm="1">
        <f t="array" ref="H145">Common_InputFunctions.Utility_DisplayArrayInTable(Fertiliser_SourceData.Fertiliser_Products_Data3(),FertiliserProducts[[#Headers],[Include or Exclude]], 40)</f>
        <v/>
      </c>
      <c r="I145" s="65" t="str" cm="1">
        <f t="array" ref="I145">Common_InputFunctions.Utility_DisplayArrayInTable(Fertiliser_SourceData.Fertiliser_Products_Data3(),FertiliserProducts[[#Headers],[Include or Exclude]], 40)</f>
        <v/>
      </c>
      <c r="J145" s="65" t="str" cm="1">
        <f t="array" ref="J145">Common_InputFunctions.Utility_DisplayArrayInTable(Fertiliser_SourceData.Fertiliser_Products_Data3(),FertiliserProducts[[#Headers],[Include or Exclude]], 40)</f>
        <v/>
      </c>
      <c r="K145" s="65" t="str" cm="1">
        <f t="array" ref="K145">Common_InputFunctions.Utility_DisplayArrayInTable(Fertiliser_SourceData.Fertiliser_Products_Data3(),FertiliserProducts[[#Headers],[Include or Exclude]], 40)</f>
        <v/>
      </c>
      <c r="L145" s="65" t="str" cm="1">
        <f t="array" ref="L145">Common_InputFunctions.Utility_DisplayArrayInTable(Fertiliser_SourceData.Fertiliser_Products_Data3(),FertiliserProducts[[#Headers],[Include or Exclude]], 40)</f>
        <v/>
      </c>
      <c r="M145" s="65" t="str" cm="1">
        <f t="array" ref="M145">Common_InputFunctions.Utility_DisplayArrayInTable(Fertiliser_SourceData.Fertiliser_Products_Data3(),FertiliserProducts[[#Headers],[Include or Exclude]], 40)</f>
        <v/>
      </c>
      <c r="N145" s="65" t="str" cm="1">
        <f t="array" ref="N145">Common_InputFunctions.Utility_DisplayArrayInTable(Fertiliser_SourceData.Fertiliser_Products_Data3(),FertiliserProducts[[#Headers],[Include or Exclude]], 40)</f>
        <v/>
      </c>
      <c r="O145" s="65" t="str" cm="1">
        <f t="array" ref="O145">Common_InputFunctions.Utility_DisplayArrayInTable(Fertiliser_SourceData.Fertiliser_Products_Data3(),FertiliserProducts[[#Headers],[Include or Exclude]], 40)</f>
        <v/>
      </c>
      <c r="P145" s="65" t="str" cm="1">
        <f t="array" ref="P145">Common_InputFunctions.Utility_DisplayArrayInTable(Fertiliser_SourceData.Fertiliser_Products_Data3(),FertiliserProducts[[#Headers],[Include or Exclude]], 40)</f>
        <v/>
      </c>
      <c r="Q145" s="65" t="str" cm="1">
        <f t="array" ref="Q145">Common_InputFunctions.Utility_DisplayArrayInTable(Fertiliser_SourceData.Fertiliser_Products_Data3(),FertiliserProducts[[#Headers],[Include or Exclude]], 40)</f>
        <v/>
      </c>
      <c r="R145" s="65" t="str" cm="1">
        <f t="array" ref="R145">Common_InputFunctions.Utility_DisplayArrayInTable(Fertiliser_SourceData.Fertiliser_Products_Data3(),FertiliserProducts[[#Headers],[Include or Exclude]], 40)</f>
        <v/>
      </c>
      <c r="S145" s="65" t="str" cm="1">
        <f t="array" ref="S145">Common_InputFunctions.Utility_DisplayArrayInTable(Fertiliser_SourceData.Fertiliser_Products_Data3(),FertiliserProducts[[#Headers],[Include or Exclude]], 40)</f>
        <v/>
      </c>
      <c r="T145" s="65" t="str" cm="1">
        <f t="array" ref="T145">Common_InputFunctions.Utility_DisplayArrayInTable(Fertiliser_SourceData.Fertiliser_Products_Data3(),FertiliserProducts[[#Headers],[Include or Exclude]], 40)</f>
        <v/>
      </c>
      <c r="U145" s="65" t="str" cm="1">
        <f t="array" ref="U145">Common_InputFunctions.Utility_DisplayArrayInTable(Fertiliser_SourceData.Fertiliser_Products_Data3(),FertiliserProducts[[#Headers],[Include or Exclude]], 40)</f>
        <v/>
      </c>
      <c r="V145" s="65" t="str" cm="1">
        <f t="array" ref="V145">Common_InputFunctions.Utility_DisplayArrayInTable(Fertiliser_SourceData.Fertiliser_Products_Data3(),FertiliserProducts[[#Headers],[Include or Exclude]], 40)</f>
        <v/>
      </c>
      <c r="W145" s="65" t="str" cm="1">
        <f t="array" ref="W145">Common_InputFunctions.Utility_DisplayArrayInTable(Fertiliser_SourceData.Fertiliser_Products_Data3(),FertiliserProducts[[#Headers],[Include or Exclude]], 40)</f>
        <v>Crop Nutrition Solutions (Yara Australia)</v>
      </c>
      <c r="X145" s="65" t="str" cm="1">
        <f t="array" ref="X145">Common_InputFunctions.Utility_DisplayArrayInTable(Fertiliser_SourceData.Fertiliser_Products_Data3(),FertiliserProducts[[#Headers],[Include or Exclude]], 40)</f>
        <v/>
      </c>
      <c r="Y145" s="65" t="str" cm="1">
        <f t="array" ref="Y145">Common_InputFunctions.Utility_DisplayArrayInTable(Fertiliser_SourceData.Fertiliser_Products_Data3(),FertiliserProducts[[#Headers],[Include or Exclude]], 40)</f>
        <v/>
      </c>
      <c r="Z145" s="65"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4:31" ht="20.100000000000001" customHeight="1" x14ac:dyDescent="0.25">
      <c r="D146" s="65" t="str" cm="1">
        <f t="array" ref="D146">Common_InputFunctions.Utility_DisplayArrayInTable(Fertiliser_SourceData.Fertiliser_Products_Data3(),FertiliserProducts[[#Headers],[Include or Exclude]], 40)</f>
        <v>Yara Liquids SULSA 11-0-0+12S</v>
      </c>
      <c r="E146" s="65" t="str" cm="1">
        <f t="array" ref="E146">Common_InputFunctions.Utility_DisplayArrayInTable(Fertiliser_SourceData.Fertiliser_Products_Data3(),FertiliserProducts[[#Headers],[Include or Exclude]], 40)</f>
        <v/>
      </c>
      <c r="F146" s="65" t="str" cm="1">
        <f t="array" ref="F146">Common_InputFunctions.Utility_DisplayArrayInTable(Fertiliser_SourceData.Fertiliser_Products_Data3(),FertiliserProducts[[#Headers],[Include or Exclude]], 40)</f>
        <v/>
      </c>
      <c r="G146" s="65" t="str" cm="1">
        <f t="array" ref="G146">Common_InputFunctions.Utility_DisplayArrayInTable(Fertiliser_SourceData.Fertiliser_Products_Data3(),FertiliserProducts[[#Headers],[Include or Exclude]], 40)</f>
        <v/>
      </c>
      <c r="H146" s="65" t="str" cm="1">
        <f t="array" ref="H146">Common_InputFunctions.Utility_DisplayArrayInTable(Fertiliser_SourceData.Fertiliser_Products_Data3(),FertiliserProducts[[#Headers],[Include or Exclude]], 40)</f>
        <v/>
      </c>
      <c r="I146" s="65" t="str" cm="1">
        <f t="array" ref="I146">Common_InputFunctions.Utility_DisplayArrayInTable(Fertiliser_SourceData.Fertiliser_Products_Data3(),FertiliserProducts[[#Headers],[Include or Exclude]], 40)</f>
        <v/>
      </c>
      <c r="J146" s="65" t="str" cm="1">
        <f t="array" ref="J146">Common_InputFunctions.Utility_DisplayArrayInTable(Fertiliser_SourceData.Fertiliser_Products_Data3(),FertiliserProducts[[#Headers],[Include or Exclude]], 40)</f>
        <v/>
      </c>
      <c r="K146" s="65" t="str" cm="1">
        <f t="array" ref="K146">Common_InputFunctions.Utility_DisplayArrayInTable(Fertiliser_SourceData.Fertiliser_Products_Data3(),FertiliserProducts[[#Headers],[Include or Exclude]], 40)</f>
        <v/>
      </c>
      <c r="L146" s="65" t="str" cm="1">
        <f t="array" ref="L146">Common_InputFunctions.Utility_DisplayArrayInTable(Fertiliser_SourceData.Fertiliser_Products_Data3(),FertiliserProducts[[#Headers],[Include or Exclude]], 40)</f>
        <v/>
      </c>
      <c r="M146" s="65" t="str" cm="1">
        <f t="array" ref="M146">Common_InputFunctions.Utility_DisplayArrayInTable(Fertiliser_SourceData.Fertiliser_Products_Data3(),FertiliserProducts[[#Headers],[Include or Exclude]], 40)</f>
        <v/>
      </c>
      <c r="N146" s="65" t="str" cm="1">
        <f t="array" ref="N146">Common_InputFunctions.Utility_DisplayArrayInTable(Fertiliser_SourceData.Fertiliser_Products_Data3(),FertiliserProducts[[#Headers],[Include or Exclude]], 40)</f>
        <v/>
      </c>
      <c r="O146" s="65" t="str" cm="1">
        <f t="array" ref="O146">Common_InputFunctions.Utility_DisplayArrayInTable(Fertiliser_SourceData.Fertiliser_Products_Data3(),FertiliserProducts[[#Headers],[Include or Exclude]], 40)</f>
        <v/>
      </c>
      <c r="P146" s="65" t="str" cm="1">
        <f t="array" ref="P146">Common_InputFunctions.Utility_DisplayArrayInTable(Fertiliser_SourceData.Fertiliser_Products_Data3(),FertiliserProducts[[#Headers],[Include or Exclude]], 40)</f>
        <v/>
      </c>
      <c r="Q146" s="65" t="str" cm="1">
        <f t="array" ref="Q146">Common_InputFunctions.Utility_DisplayArrayInTable(Fertiliser_SourceData.Fertiliser_Products_Data3(),FertiliserProducts[[#Headers],[Include or Exclude]], 40)</f>
        <v/>
      </c>
      <c r="R146" s="65" t="str" cm="1">
        <f t="array" ref="R146">Common_InputFunctions.Utility_DisplayArrayInTable(Fertiliser_SourceData.Fertiliser_Products_Data3(),FertiliserProducts[[#Headers],[Include or Exclude]], 40)</f>
        <v/>
      </c>
      <c r="S146" s="65" t="str" cm="1">
        <f t="array" ref="S146">Common_InputFunctions.Utility_DisplayArrayInTable(Fertiliser_SourceData.Fertiliser_Products_Data3(),FertiliserProducts[[#Headers],[Include or Exclude]], 40)</f>
        <v/>
      </c>
      <c r="T146" s="65" t="str" cm="1">
        <f t="array" ref="T146">Common_InputFunctions.Utility_DisplayArrayInTable(Fertiliser_SourceData.Fertiliser_Products_Data3(),FertiliserProducts[[#Headers],[Include or Exclude]], 40)</f>
        <v/>
      </c>
      <c r="U146" s="65" t="str" cm="1">
        <f t="array" ref="U146">Common_InputFunctions.Utility_DisplayArrayInTable(Fertiliser_SourceData.Fertiliser_Products_Data3(),FertiliserProducts[[#Headers],[Include or Exclude]], 40)</f>
        <v/>
      </c>
      <c r="V146" s="65" t="str" cm="1">
        <f t="array" ref="V146">Common_InputFunctions.Utility_DisplayArrayInTable(Fertiliser_SourceData.Fertiliser_Products_Data3(),FertiliserProducts[[#Headers],[Include or Exclude]], 40)</f>
        <v/>
      </c>
      <c r="W146" s="65" t="str" cm="1">
        <f t="array" ref="W146">Common_InputFunctions.Utility_DisplayArrayInTable(Fertiliser_SourceData.Fertiliser_Products_Data3(),FertiliserProducts[[#Headers],[Include or Exclude]], 40)</f>
        <v>Crop Nutrition Solutions (Yara Australia)</v>
      </c>
      <c r="X146" s="65" t="str" cm="1">
        <f t="array" ref="X146">Common_InputFunctions.Utility_DisplayArrayInTable(Fertiliser_SourceData.Fertiliser_Products_Data3(),FertiliserProducts[[#Headers],[Include or Exclude]], 40)</f>
        <v/>
      </c>
      <c r="Y146" s="65" t="str" cm="1">
        <f t="array" ref="Y146">Common_InputFunctions.Utility_DisplayArrayInTable(Fertiliser_SourceData.Fertiliser_Products_Data3(),FertiliserProducts[[#Headers],[Include or Exclude]], 40)</f>
        <v/>
      </c>
      <c r="Z146" s="65"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4:31" ht="20.100000000000001" customHeight="1" x14ac:dyDescent="0.25">
      <c r="D147" s="65" t="str" cm="1">
        <f t="array" ref="D147">Common_InputFunctions.Utility_DisplayArrayInTable(Fertiliser_SourceData.Fertiliser_Products_Data3(),FertiliserProducts[[#Headers],[Include or Exclude]], 40)</f>
        <v>Yara Liquids SULSA 24-3-0+6S</v>
      </c>
      <c r="E147" s="65" t="str" cm="1">
        <f t="array" ref="E147">Common_InputFunctions.Utility_DisplayArrayInTable(Fertiliser_SourceData.Fertiliser_Products_Data3(),FertiliserProducts[[#Headers],[Include or Exclude]], 40)</f>
        <v/>
      </c>
      <c r="F147" s="65" t="str" cm="1">
        <f t="array" ref="F147">Common_InputFunctions.Utility_DisplayArrayInTable(Fertiliser_SourceData.Fertiliser_Products_Data3(),FertiliserProducts[[#Headers],[Include or Exclude]], 40)</f>
        <v/>
      </c>
      <c r="G147" s="65" t="str" cm="1">
        <f t="array" ref="G147">Common_InputFunctions.Utility_DisplayArrayInTable(Fertiliser_SourceData.Fertiliser_Products_Data3(),FertiliserProducts[[#Headers],[Include or Exclude]], 40)</f>
        <v/>
      </c>
      <c r="H147" s="65" t="str" cm="1">
        <f t="array" ref="H147">Common_InputFunctions.Utility_DisplayArrayInTable(Fertiliser_SourceData.Fertiliser_Products_Data3(),FertiliserProducts[[#Headers],[Include or Exclude]], 40)</f>
        <v/>
      </c>
      <c r="I147" s="65" t="str" cm="1">
        <f t="array" ref="I147">Common_InputFunctions.Utility_DisplayArrayInTable(Fertiliser_SourceData.Fertiliser_Products_Data3(),FertiliserProducts[[#Headers],[Include or Exclude]], 40)</f>
        <v/>
      </c>
      <c r="J147" s="65" t="str" cm="1">
        <f t="array" ref="J147">Common_InputFunctions.Utility_DisplayArrayInTable(Fertiliser_SourceData.Fertiliser_Products_Data3(),FertiliserProducts[[#Headers],[Include or Exclude]], 40)</f>
        <v/>
      </c>
      <c r="K147" s="65" t="str" cm="1">
        <f t="array" ref="K147">Common_InputFunctions.Utility_DisplayArrayInTable(Fertiliser_SourceData.Fertiliser_Products_Data3(),FertiliserProducts[[#Headers],[Include or Exclude]], 40)</f>
        <v/>
      </c>
      <c r="L147" s="65" t="str" cm="1">
        <f t="array" ref="L147">Common_InputFunctions.Utility_DisplayArrayInTable(Fertiliser_SourceData.Fertiliser_Products_Data3(),FertiliserProducts[[#Headers],[Include or Exclude]], 40)</f>
        <v/>
      </c>
      <c r="M147" s="65" t="str" cm="1">
        <f t="array" ref="M147">Common_InputFunctions.Utility_DisplayArrayInTable(Fertiliser_SourceData.Fertiliser_Products_Data3(),FertiliserProducts[[#Headers],[Include or Exclude]], 40)</f>
        <v/>
      </c>
      <c r="N147" s="65" t="str" cm="1">
        <f t="array" ref="N147">Common_InputFunctions.Utility_DisplayArrayInTable(Fertiliser_SourceData.Fertiliser_Products_Data3(),FertiliserProducts[[#Headers],[Include or Exclude]], 40)</f>
        <v/>
      </c>
      <c r="O147" s="65" t="str" cm="1">
        <f t="array" ref="O147">Common_InputFunctions.Utility_DisplayArrayInTable(Fertiliser_SourceData.Fertiliser_Products_Data3(),FertiliserProducts[[#Headers],[Include or Exclude]], 40)</f>
        <v/>
      </c>
      <c r="P147" s="65" t="str" cm="1">
        <f t="array" ref="P147">Common_InputFunctions.Utility_DisplayArrayInTable(Fertiliser_SourceData.Fertiliser_Products_Data3(),FertiliserProducts[[#Headers],[Include or Exclude]], 40)</f>
        <v/>
      </c>
      <c r="Q147" s="65" t="str" cm="1">
        <f t="array" ref="Q147">Common_InputFunctions.Utility_DisplayArrayInTable(Fertiliser_SourceData.Fertiliser_Products_Data3(),FertiliserProducts[[#Headers],[Include or Exclude]], 40)</f>
        <v/>
      </c>
      <c r="R147" s="65" t="str" cm="1">
        <f t="array" ref="R147">Common_InputFunctions.Utility_DisplayArrayInTable(Fertiliser_SourceData.Fertiliser_Products_Data3(),FertiliserProducts[[#Headers],[Include or Exclude]], 40)</f>
        <v/>
      </c>
      <c r="S147" s="65" t="str" cm="1">
        <f t="array" ref="S147">Common_InputFunctions.Utility_DisplayArrayInTable(Fertiliser_SourceData.Fertiliser_Products_Data3(),FertiliserProducts[[#Headers],[Include or Exclude]], 40)</f>
        <v/>
      </c>
      <c r="T147" s="65" t="str" cm="1">
        <f t="array" ref="T147">Common_InputFunctions.Utility_DisplayArrayInTable(Fertiliser_SourceData.Fertiliser_Products_Data3(),FertiliserProducts[[#Headers],[Include or Exclude]], 40)</f>
        <v/>
      </c>
      <c r="U147" s="65" t="str" cm="1">
        <f t="array" ref="U147">Common_InputFunctions.Utility_DisplayArrayInTable(Fertiliser_SourceData.Fertiliser_Products_Data3(),FertiliserProducts[[#Headers],[Include or Exclude]], 40)</f>
        <v/>
      </c>
      <c r="V147" s="65" t="str" cm="1">
        <f t="array" ref="V147">Common_InputFunctions.Utility_DisplayArrayInTable(Fertiliser_SourceData.Fertiliser_Products_Data3(),FertiliserProducts[[#Headers],[Include or Exclude]], 40)</f>
        <v/>
      </c>
      <c r="W147" s="65" t="str" cm="1">
        <f t="array" ref="W147">Common_InputFunctions.Utility_DisplayArrayInTable(Fertiliser_SourceData.Fertiliser_Products_Data3(),FertiliserProducts[[#Headers],[Include or Exclude]], 40)</f>
        <v>Crop Nutrition Solutions (Yara Australia)</v>
      </c>
      <c r="X147" s="65" t="str" cm="1">
        <f t="array" ref="X147">Common_InputFunctions.Utility_DisplayArrayInTable(Fertiliser_SourceData.Fertiliser_Products_Data3(),FertiliserProducts[[#Headers],[Include or Exclude]], 40)</f>
        <v/>
      </c>
      <c r="Y147" s="65" t="str" cm="1">
        <f t="array" ref="Y147">Common_InputFunctions.Utility_DisplayArrayInTable(Fertiliser_SourceData.Fertiliser_Products_Data3(),FertiliserProducts[[#Headers],[Include or Exclude]], 40)</f>
        <v/>
      </c>
      <c r="Z147" s="65"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4:31" ht="20.100000000000001" customHeight="1" x14ac:dyDescent="0.25">
      <c r="D148" s="65" t="str" cm="1">
        <f t="array" ref="D148">Common_InputFunctions.Utility_DisplayArrayInTable(Fertiliser_SourceData.Fertiliser_Products_Data3(),FertiliserProducts[[#Headers],[Include or Exclude]], 40)</f>
        <v>Yara Liquids SULSA 27-0-0+7S</v>
      </c>
      <c r="E148" s="65" t="str" cm="1">
        <f t="array" ref="E148">Common_InputFunctions.Utility_DisplayArrayInTable(Fertiliser_SourceData.Fertiliser_Products_Data3(),FertiliserProducts[[#Headers],[Include or Exclude]], 40)</f>
        <v/>
      </c>
      <c r="F148" s="65" t="str" cm="1">
        <f t="array" ref="F148">Common_InputFunctions.Utility_DisplayArrayInTable(Fertiliser_SourceData.Fertiliser_Products_Data3(),FertiliserProducts[[#Headers],[Include or Exclude]], 40)</f>
        <v/>
      </c>
      <c r="G148" s="65" t="str" cm="1">
        <f t="array" ref="G148">Common_InputFunctions.Utility_DisplayArrayInTable(Fertiliser_SourceData.Fertiliser_Products_Data3(),FertiliserProducts[[#Headers],[Include or Exclude]], 40)</f>
        <v/>
      </c>
      <c r="H148" s="65" t="str" cm="1">
        <f t="array" ref="H148">Common_InputFunctions.Utility_DisplayArrayInTable(Fertiliser_SourceData.Fertiliser_Products_Data3(),FertiliserProducts[[#Headers],[Include or Exclude]], 40)</f>
        <v/>
      </c>
      <c r="I148" s="65" t="str" cm="1">
        <f t="array" ref="I148">Common_InputFunctions.Utility_DisplayArrayInTable(Fertiliser_SourceData.Fertiliser_Products_Data3(),FertiliserProducts[[#Headers],[Include or Exclude]], 40)</f>
        <v/>
      </c>
      <c r="J148" s="65" t="str" cm="1">
        <f t="array" ref="J148">Common_InputFunctions.Utility_DisplayArrayInTable(Fertiliser_SourceData.Fertiliser_Products_Data3(),FertiliserProducts[[#Headers],[Include or Exclude]], 40)</f>
        <v/>
      </c>
      <c r="K148" s="65" t="str" cm="1">
        <f t="array" ref="K148">Common_InputFunctions.Utility_DisplayArrayInTable(Fertiliser_SourceData.Fertiliser_Products_Data3(),FertiliserProducts[[#Headers],[Include or Exclude]], 40)</f>
        <v/>
      </c>
      <c r="L148" s="65" t="str" cm="1">
        <f t="array" ref="L148">Common_InputFunctions.Utility_DisplayArrayInTable(Fertiliser_SourceData.Fertiliser_Products_Data3(),FertiliserProducts[[#Headers],[Include or Exclude]], 40)</f>
        <v/>
      </c>
      <c r="M148" s="65" t="str" cm="1">
        <f t="array" ref="M148">Common_InputFunctions.Utility_DisplayArrayInTable(Fertiliser_SourceData.Fertiliser_Products_Data3(),FertiliserProducts[[#Headers],[Include or Exclude]], 40)</f>
        <v/>
      </c>
      <c r="N148" s="65" t="str" cm="1">
        <f t="array" ref="N148">Common_InputFunctions.Utility_DisplayArrayInTable(Fertiliser_SourceData.Fertiliser_Products_Data3(),FertiliserProducts[[#Headers],[Include or Exclude]], 40)</f>
        <v/>
      </c>
      <c r="O148" s="65" t="str" cm="1">
        <f t="array" ref="O148">Common_InputFunctions.Utility_DisplayArrayInTable(Fertiliser_SourceData.Fertiliser_Products_Data3(),FertiliserProducts[[#Headers],[Include or Exclude]], 40)</f>
        <v/>
      </c>
      <c r="P148" s="65" t="str" cm="1">
        <f t="array" ref="P148">Common_InputFunctions.Utility_DisplayArrayInTable(Fertiliser_SourceData.Fertiliser_Products_Data3(),FertiliserProducts[[#Headers],[Include or Exclude]], 40)</f>
        <v/>
      </c>
      <c r="Q148" s="65" t="str" cm="1">
        <f t="array" ref="Q148">Common_InputFunctions.Utility_DisplayArrayInTable(Fertiliser_SourceData.Fertiliser_Products_Data3(),FertiliserProducts[[#Headers],[Include or Exclude]], 40)</f>
        <v/>
      </c>
      <c r="R148" s="65" t="str" cm="1">
        <f t="array" ref="R148">Common_InputFunctions.Utility_DisplayArrayInTable(Fertiliser_SourceData.Fertiliser_Products_Data3(),FertiliserProducts[[#Headers],[Include or Exclude]], 40)</f>
        <v/>
      </c>
      <c r="S148" s="65" t="str" cm="1">
        <f t="array" ref="S148">Common_InputFunctions.Utility_DisplayArrayInTable(Fertiliser_SourceData.Fertiliser_Products_Data3(),FertiliserProducts[[#Headers],[Include or Exclude]], 40)</f>
        <v/>
      </c>
      <c r="T148" s="65" t="str" cm="1">
        <f t="array" ref="T148">Common_InputFunctions.Utility_DisplayArrayInTable(Fertiliser_SourceData.Fertiliser_Products_Data3(),FertiliserProducts[[#Headers],[Include or Exclude]], 40)</f>
        <v/>
      </c>
      <c r="U148" s="65" t="str" cm="1">
        <f t="array" ref="U148">Common_InputFunctions.Utility_DisplayArrayInTable(Fertiliser_SourceData.Fertiliser_Products_Data3(),FertiliserProducts[[#Headers],[Include or Exclude]], 40)</f>
        <v/>
      </c>
      <c r="V148" s="65" t="str" cm="1">
        <f t="array" ref="V148">Common_InputFunctions.Utility_DisplayArrayInTable(Fertiliser_SourceData.Fertiliser_Products_Data3(),FertiliserProducts[[#Headers],[Include or Exclude]], 40)</f>
        <v/>
      </c>
      <c r="W148" s="65" t="str" cm="1">
        <f t="array" ref="W148">Common_InputFunctions.Utility_DisplayArrayInTable(Fertiliser_SourceData.Fertiliser_Products_Data3(),FertiliserProducts[[#Headers],[Include or Exclude]], 40)</f>
        <v>Crop Nutrition Solutions (Yara Australia)</v>
      </c>
      <c r="X148" s="65" t="str" cm="1">
        <f t="array" ref="X148">Common_InputFunctions.Utility_DisplayArrayInTable(Fertiliser_SourceData.Fertiliser_Products_Data3(),FertiliserProducts[[#Headers],[Include or Exclude]], 40)</f>
        <v/>
      </c>
      <c r="Y148" s="65" t="str" cm="1">
        <f t="array" ref="Y148">Common_InputFunctions.Utility_DisplayArrayInTable(Fertiliser_SourceData.Fertiliser_Products_Data3(),FertiliserProducts[[#Headers],[Include or Exclude]], 40)</f>
        <v/>
      </c>
      <c r="Z148" s="65"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4:31" ht="20.100000000000001" customHeight="1" x14ac:dyDescent="0.25">
      <c r="D149" s="65" t="str" cm="1">
        <f t="array" ref="D149">Common_InputFunctions.Utility_DisplayArrayInTable(Fertiliser_SourceData.Fertiliser_Products_Data4(),FertiliserProducts[[#Headers],[Include or Exclude]], 60)</f>
        <v>Product</v>
      </c>
      <c r="E149" s="65" t="str" cm="1">
        <f t="array" ref="E149">Common_InputFunctions.Utility_DisplayArrayInTable(Fertiliser_SourceData.Fertiliser_Products_Data4(),FertiliserProducts[[#Headers],[Include or Exclude]], 60)</f>
        <v>Ingredient 1</v>
      </c>
      <c r="F149" s="65" t="str" cm="1">
        <f t="array" ref="F149">Common_InputFunctions.Utility_DisplayArrayInTable(Fertiliser_SourceData.Fertiliser_Products_Data4(),FertiliserProducts[[#Headers],[Include or Exclude]], 60)</f>
        <v>Ingredient 1 percent</v>
      </c>
      <c r="G149" s="65" t="str" cm="1">
        <f t="array" ref="G149">Common_InputFunctions.Utility_DisplayArrayInTable(Fertiliser_SourceData.Fertiliser_Products_Data4(),FertiliserProducts[[#Headers],[Include or Exclude]], 60)</f>
        <v>Ingredient 1 source</v>
      </c>
      <c r="H149" s="65" t="str" cm="1">
        <f t="array" ref="H149">Common_InputFunctions.Utility_DisplayArrayInTable(Fertiliser_SourceData.Fertiliser_Products_Data4(),FertiliserProducts[[#Headers],[Include or Exclude]], 60)</f>
        <v>Ingredient 2</v>
      </c>
      <c r="I149" s="65" t="str" cm="1">
        <f t="array" ref="I149">Common_InputFunctions.Utility_DisplayArrayInTable(Fertiliser_SourceData.Fertiliser_Products_Data4(),FertiliserProducts[[#Headers],[Include or Exclude]], 60)</f>
        <v>Ingredient 2 percent</v>
      </c>
      <c r="J149" s="65" t="str" cm="1">
        <f t="array" ref="J149">Common_InputFunctions.Utility_DisplayArrayInTable(Fertiliser_SourceData.Fertiliser_Products_Data4(),FertiliserProducts[[#Headers],[Include or Exclude]], 60)</f>
        <v>Ingredient 2 source</v>
      </c>
      <c r="K149" s="65" t="str" cm="1">
        <f t="array" ref="K149">Common_InputFunctions.Utility_DisplayArrayInTable(Fertiliser_SourceData.Fertiliser_Products_Data4(),FertiliserProducts[[#Headers],[Include or Exclude]], 60)</f>
        <v>Ingredient 3</v>
      </c>
      <c r="L149" s="65" t="str" cm="1">
        <f t="array" ref="L149">Common_InputFunctions.Utility_DisplayArrayInTable(Fertiliser_SourceData.Fertiliser_Products_Data4(),FertiliserProducts[[#Headers],[Include or Exclude]], 60)</f>
        <v>Ingredient 3 percent</v>
      </c>
      <c r="M149" s="65" t="str" cm="1">
        <f t="array" ref="M149">Common_InputFunctions.Utility_DisplayArrayInTable(Fertiliser_SourceData.Fertiliser_Products_Data4(),FertiliserProducts[[#Headers],[Include or Exclude]], 60)</f>
        <v>Ingredient 3 source</v>
      </c>
      <c r="N149" s="65" t="str" cm="1">
        <f t="array" ref="N149">Common_InputFunctions.Utility_DisplayArrayInTable(Fertiliser_SourceData.Fertiliser_Products_Data4(),FertiliserProducts[[#Headers],[Include or Exclude]], 60)</f>
        <v>Ingredient 4</v>
      </c>
      <c r="O149" s="65" t="str" cm="1">
        <f t="array" ref="O149">Common_InputFunctions.Utility_DisplayArrayInTable(Fertiliser_SourceData.Fertiliser_Products_Data4(),FertiliserProducts[[#Headers],[Include or Exclude]], 60)</f>
        <v>Ingredient 4 percent</v>
      </c>
      <c r="P149" s="65" t="str" cm="1">
        <f t="array" ref="P149">Common_InputFunctions.Utility_DisplayArrayInTable(Fertiliser_SourceData.Fertiliser_Products_Data4(),FertiliserProducts[[#Headers],[Include or Exclude]], 60)</f>
        <v>Ingredient 4 source</v>
      </c>
      <c r="Q149" s="65" t="str" cm="1">
        <f t="array" ref="Q149">Common_InputFunctions.Utility_DisplayArrayInTable(Fertiliser_SourceData.Fertiliser_Products_Data4(),FertiliserProducts[[#Headers],[Include or Exclude]], 60)</f>
        <v>Ingredient 5</v>
      </c>
      <c r="R149" s="65" t="str" cm="1">
        <f t="array" ref="R149">Common_InputFunctions.Utility_DisplayArrayInTable(Fertiliser_SourceData.Fertiliser_Products_Data4(),FertiliserProducts[[#Headers],[Include or Exclude]], 60)</f>
        <v>Ingredient 5 percent</v>
      </c>
      <c r="S149" s="65" t="str" cm="1">
        <f t="array" ref="S149">Common_InputFunctions.Utility_DisplayArrayInTable(Fertiliser_SourceData.Fertiliser_Products_Data4(),FertiliserProducts[[#Headers],[Include or Exclude]], 60)</f>
        <v>Ingredient 5 source</v>
      </c>
      <c r="T149" s="65" t="str" cm="1">
        <f t="array" ref="T149">Common_InputFunctions.Utility_DisplayArrayInTable(Fertiliser_SourceData.Fertiliser_Products_Data4(),FertiliserProducts[[#Headers],[Include or Exclude]], 60)</f>
        <v>Ingredient 6</v>
      </c>
      <c r="U149" s="65" t="str" cm="1">
        <f t="array" ref="U149">Common_InputFunctions.Utility_DisplayArrayInTable(Fertiliser_SourceData.Fertiliser_Products_Data4(),FertiliserProducts[[#Headers],[Include or Exclude]], 60)</f>
        <v>Ingredient 6 percent</v>
      </c>
      <c r="V149" s="65" t="str" cm="1">
        <f t="array" ref="V149">Common_InputFunctions.Utility_DisplayArrayInTable(Fertiliser_SourceData.Fertiliser_Products_Data4(),FertiliserProducts[[#Headers],[Include or Exclude]], 60)</f>
        <v>Ingredient 6 source</v>
      </c>
      <c r="W149" s="65" t="str" cm="1">
        <f t="array" ref="W149">Common_InputFunctions.Utility_DisplayArrayInTable(Fertiliser_SourceData.Fertiliser_Products_Data4(),FertiliserProducts[[#Headers],[Include or Exclude]], 60)</f>
        <v>Product info link</v>
      </c>
      <c r="X149" s="65" t="str" cm="1">
        <f t="array" ref="X149">Common_InputFunctions.Utility_DisplayArrayInTable(Fertiliser_SourceData.Fertiliser_Products_Data4(),FertiliserProducts[[#Headers],[Include or Exclude]], 60)</f>
        <v/>
      </c>
      <c r="Y149" s="65" t="str" cm="1">
        <f t="array" ref="Y149">Common_InputFunctions.Utility_DisplayArrayInTable(Fertiliser_SourceData.Fertiliser_Products_Data4(),FertiliserProducts[[#Headers],[Include or Exclude]], 60)</f>
        <v/>
      </c>
      <c r="Z149" s="65"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4:31" ht="20.100000000000001" customHeight="1" x14ac:dyDescent="0.25">
      <c r="D150" s="65" t="str" cm="1">
        <f t="array" ref="D150">Common_InputFunctions.Utility_DisplayArrayInTable(Fertiliser_SourceData.Fertiliser_Products_Data4(),FertiliserProducts[[#Headers],[Include or Exclude]], 60)</f>
        <v>YaraVita BRASSITREL PRO</v>
      </c>
      <c r="E150" s="65" t="str" cm="1">
        <f t="array" ref="E150">Common_InputFunctions.Utility_DisplayArrayInTable(Fertiliser_SourceData.Fertiliser_Products_Data4(),FertiliserProducts[[#Headers],[Include or Exclude]], 60)</f>
        <v/>
      </c>
      <c r="F150" s="65" t="str" cm="1">
        <f t="array" ref="F150">Common_InputFunctions.Utility_DisplayArrayInTable(Fertiliser_SourceData.Fertiliser_Products_Data4(),FertiliserProducts[[#Headers],[Include or Exclude]], 60)</f>
        <v/>
      </c>
      <c r="G150" s="65" t="str" cm="1">
        <f t="array" ref="G150">Common_InputFunctions.Utility_DisplayArrayInTable(Fertiliser_SourceData.Fertiliser_Products_Data4(),FertiliserProducts[[#Headers],[Include or Exclude]], 60)</f>
        <v/>
      </c>
      <c r="H150" s="65" t="str" cm="1">
        <f t="array" ref="H150">Common_InputFunctions.Utility_DisplayArrayInTable(Fertiliser_SourceData.Fertiliser_Products_Data4(),FertiliserProducts[[#Headers],[Include or Exclude]], 60)</f>
        <v/>
      </c>
      <c r="I150" s="65" t="str" cm="1">
        <f t="array" ref="I150">Common_InputFunctions.Utility_DisplayArrayInTable(Fertiliser_SourceData.Fertiliser_Products_Data4(),FertiliserProducts[[#Headers],[Include or Exclude]], 60)</f>
        <v/>
      </c>
      <c r="J150" s="65" t="str" cm="1">
        <f t="array" ref="J150">Common_InputFunctions.Utility_DisplayArrayInTable(Fertiliser_SourceData.Fertiliser_Products_Data4(),FertiliserProducts[[#Headers],[Include or Exclude]], 60)</f>
        <v/>
      </c>
      <c r="K150" s="65" t="str" cm="1">
        <f t="array" ref="K150">Common_InputFunctions.Utility_DisplayArrayInTable(Fertiliser_SourceData.Fertiliser_Products_Data4(),FertiliserProducts[[#Headers],[Include or Exclude]], 60)</f>
        <v/>
      </c>
      <c r="L150" s="65" t="str" cm="1">
        <f t="array" ref="L150">Common_InputFunctions.Utility_DisplayArrayInTable(Fertiliser_SourceData.Fertiliser_Products_Data4(),FertiliserProducts[[#Headers],[Include or Exclude]], 60)</f>
        <v/>
      </c>
      <c r="M150" s="65" t="str" cm="1">
        <f t="array" ref="M150">Common_InputFunctions.Utility_DisplayArrayInTable(Fertiliser_SourceData.Fertiliser_Products_Data4(),FertiliserProducts[[#Headers],[Include or Exclude]], 60)</f>
        <v/>
      </c>
      <c r="N150" s="65" t="str" cm="1">
        <f t="array" ref="N150">Common_InputFunctions.Utility_DisplayArrayInTable(Fertiliser_SourceData.Fertiliser_Products_Data4(),FertiliserProducts[[#Headers],[Include or Exclude]], 60)</f>
        <v/>
      </c>
      <c r="O150" s="65" t="str" cm="1">
        <f t="array" ref="O150">Common_InputFunctions.Utility_DisplayArrayInTable(Fertiliser_SourceData.Fertiliser_Products_Data4(),FertiliserProducts[[#Headers],[Include or Exclude]], 60)</f>
        <v/>
      </c>
      <c r="P150" s="65" t="str" cm="1">
        <f t="array" ref="P150">Common_InputFunctions.Utility_DisplayArrayInTable(Fertiliser_SourceData.Fertiliser_Products_Data4(),FertiliserProducts[[#Headers],[Include or Exclude]], 60)</f>
        <v/>
      </c>
      <c r="Q150" s="65" t="str" cm="1">
        <f t="array" ref="Q150">Common_InputFunctions.Utility_DisplayArrayInTable(Fertiliser_SourceData.Fertiliser_Products_Data4(),FertiliserProducts[[#Headers],[Include or Exclude]], 60)</f>
        <v/>
      </c>
      <c r="R150" s="65" t="str" cm="1">
        <f t="array" ref="R150">Common_InputFunctions.Utility_DisplayArrayInTable(Fertiliser_SourceData.Fertiliser_Products_Data4(),FertiliserProducts[[#Headers],[Include or Exclude]], 60)</f>
        <v/>
      </c>
      <c r="S150" s="65" t="str" cm="1">
        <f t="array" ref="S150">Common_InputFunctions.Utility_DisplayArrayInTable(Fertiliser_SourceData.Fertiliser_Products_Data4(),FertiliserProducts[[#Headers],[Include or Exclude]], 60)</f>
        <v/>
      </c>
      <c r="T150" s="65" t="str" cm="1">
        <f t="array" ref="T150">Common_InputFunctions.Utility_DisplayArrayInTable(Fertiliser_SourceData.Fertiliser_Products_Data4(),FertiliserProducts[[#Headers],[Include or Exclude]], 60)</f>
        <v/>
      </c>
      <c r="U150" s="65" t="str" cm="1">
        <f t="array" ref="U150">Common_InputFunctions.Utility_DisplayArrayInTable(Fertiliser_SourceData.Fertiliser_Products_Data4(),FertiliserProducts[[#Headers],[Include or Exclude]], 60)</f>
        <v/>
      </c>
      <c r="V150" s="65" t="str" cm="1">
        <f t="array" ref="V150">Common_InputFunctions.Utility_DisplayArrayInTable(Fertiliser_SourceData.Fertiliser_Products_Data4(),FertiliserProducts[[#Headers],[Include or Exclude]], 60)</f>
        <v/>
      </c>
      <c r="W150" s="65" t="str" cm="1">
        <f t="array" ref="W150">Common_InputFunctions.Utility_DisplayArrayInTable(Fertiliser_SourceData.Fertiliser_Products_Data4(),FertiliserProducts[[#Headers],[Include or Exclude]], 60)</f>
        <v>Crop Nutrition Solutions (Yara Australia)</v>
      </c>
      <c r="X150" s="65" t="str" cm="1">
        <f t="array" ref="X150">Common_InputFunctions.Utility_DisplayArrayInTable(Fertiliser_SourceData.Fertiliser_Products_Data4(),FertiliserProducts[[#Headers],[Include or Exclude]], 60)</f>
        <v/>
      </c>
      <c r="Y150" s="65" t="str" cm="1">
        <f t="array" ref="Y150">Common_InputFunctions.Utility_DisplayArrayInTable(Fertiliser_SourceData.Fertiliser_Products_Data4(),FertiliserProducts[[#Headers],[Include or Exclude]], 60)</f>
        <v/>
      </c>
      <c r="Z150" s="65"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4:31" ht="20.100000000000001" customHeight="1" x14ac:dyDescent="0.25">
      <c r="D151" s="65" t="str" cm="1">
        <f t="array" ref="D151">Common_InputFunctions.Utility_DisplayArrayInTable(Fertiliser_SourceData.Fertiliser_Products_Data4(),FertiliserProducts[[#Headers],[Include or Exclude]], 60)</f>
        <v>YaraVita BUD BUILDER FL</v>
      </c>
      <c r="E151" s="65" t="str" cm="1">
        <f t="array" ref="E151">Common_InputFunctions.Utility_DisplayArrayInTable(Fertiliser_SourceData.Fertiliser_Products_Data4(),FertiliserProducts[[#Headers],[Include or Exclude]], 60)</f>
        <v/>
      </c>
      <c r="F151" s="65" t="str" cm="1">
        <f t="array" ref="F151">Common_InputFunctions.Utility_DisplayArrayInTable(Fertiliser_SourceData.Fertiliser_Products_Data4(),FertiliserProducts[[#Headers],[Include or Exclude]], 60)</f>
        <v/>
      </c>
      <c r="G151" s="65" t="str" cm="1">
        <f t="array" ref="G151">Common_InputFunctions.Utility_DisplayArrayInTable(Fertiliser_SourceData.Fertiliser_Products_Data4(),FertiliserProducts[[#Headers],[Include or Exclude]], 60)</f>
        <v/>
      </c>
      <c r="H151" s="65" t="str" cm="1">
        <f t="array" ref="H151">Common_InputFunctions.Utility_DisplayArrayInTable(Fertiliser_SourceData.Fertiliser_Products_Data4(),FertiliserProducts[[#Headers],[Include or Exclude]], 60)</f>
        <v/>
      </c>
      <c r="I151" s="65" t="str" cm="1">
        <f t="array" ref="I151">Common_InputFunctions.Utility_DisplayArrayInTable(Fertiliser_SourceData.Fertiliser_Products_Data4(),FertiliserProducts[[#Headers],[Include or Exclude]], 60)</f>
        <v/>
      </c>
      <c r="J151" s="65" t="str" cm="1">
        <f t="array" ref="J151">Common_InputFunctions.Utility_DisplayArrayInTable(Fertiliser_SourceData.Fertiliser_Products_Data4(),FertiliserProducts[[#Headers],[Include or Exclude]], 60)</f>
        <v/>
      </c>
      <c r="K151" s="65" t="str" cm="1">
        <f t="array" ref="K151">Common_InputFunctions.Utility_DisplayArrayInTable(Fertiliser_SourceData.Fertiliser_Products_Data4(),FertiliserProducts[[#Headers],[Include or Exclude]], 60)</f>
        <v/>
      </c>
      <c r="L151" s="65" t="str" cm="1">
        <f t="array" ref="L151">Common_InputFunctions.Utility_DisplayArrayInTable(Fertiliser_SourceData.Fertiliser_Products_Data4(),FertiliserProducts[[#Headers],[Include or Exclude]], 60)</f>
        <v/>
      </c>
      <c r="M151" s="65" t="str" cm="1">
        <f t="array" ref="M151">Common_InputFunctions.Utility_DisplayArrayInTable(Fertiliser_SourceData.Fertiliser_Products_Data4(),FertiliserProducts[[#Headers],[Include or Exclude]], 60)</f>
        <v/>
      </c>
      <c r="N151" s="65" t="str" cm="1">
        <f t="array" ref="N151">Common_InputFunctions.Utility_DisplayArrayInTable(Fertiliser_SourceData.Fertiliser_Products_Data4(),FertiliserProducts[[#Headers],[Include or Exclude]], 60)</f>
        <v/>
      </c>
      <c r="O151" s="65" t="str" cm="1">
        <f t="array" ref="O151">Common_InputFunctions.Utility_DisplayArrayInTable(Fertiliser_SourceData.Fertiliser_Products_Data4(),FertiliserProducts[[#Headers],[Include or Exclude]], 60)</f>
        <v/>
      </c>
      <c r="P151" s="65" t="str" cm="1">
        <f t="array" ref="P151">Common_InputFunctions.Utility_DisplayArrayInTable(Fertiliser_SourceData.Fertiliser_Products_Data4(),FertiliserProducts[[#Headers],[Include or Exclude]], 60)</f>
        <v/>
      </c>
      <c r="Q151" s="65" t="str" cm="1">
        <f t="array" ref="Q151">Common_InputFunctions.Utility_DisplayArrayInTable(Fertiliser_SourceData.Fertiliser_Products_Data4(),FertiliserProducts[[#Headers],[Include or Exclude]], 60)</f>
        <v/>
      </c>
      <c r="R151" s="65" t="str" cm="1">
        <f t="array" ref="R151">Common_InputFunctions.Utility_DisplayArrayInTable(Fertiliser_SourceData.Fertiliser_Products_Data4(),FertiliserProducts[[#Headers],[Include or Exclude]], 60)</f>
        <v/>
      </c>
      <c r="S151" s="65" t="str" cm="1">
        <f t="array" ref="S151">Common_InputFunctions.Utility_DisplayArrayInTable(Fertiliser_SourceData.Fertiliser_Products_Data4(),FertiliserProducts[[#Headers],[Include or Exclude]], 60)</f>
        <v/>
      </c>
      <c r="T151" s="65" t="str" cm="1">
        <f t="array" ref="T151">Common_InputFunctions.Utility_DisplayArrayInTable(Fertiliser_SourceData.Fertiliser_Products_Data4(),FertiliserProducts[[#Headers],[Include or Exclude]], 60)</f>
        <v/>
      </c>
      <c r="U151" s="65" t="str" cm="1">
        <f t="array" ref="U151">Common_InputFunctions.Utility_DisplayArrayInTable(Fertiliser_SourceData.Fertiliser_Products_Data4(),FertiliserProducts[[#Headers],[Include or Exclude]], 60)</f>
        <v/>
      </c>
      <c r="V151" s="65" t="str" cm="1">
        <f t="array" ref="V151">Common_InputFunctions.Utility_DisplayArrayInTable(Fertiliser_SourceData.Fertiliser_Products_Data4(),FertiliserProducts[[#Headers],[Include or Exclude]], 60)</f>
        <v/>
      </c>
      <c r="W151" s="65" t="str" cm="1">
        <f t="array" ref="W151">Common_InputFunctions.Utility_DisplayArrayInTable(Fertiliser_SourceData.Fertiliser_Products_Data4(),FertiliserProducts[[#Headers],[Include or Exclude]], 60)</f>
        <v>Crop Nutrition Solutions (Yara Australia)</v>
      </c>
      <c r="X151" s="65" t="str" cm="1">
        <f t="array" ref="X151">Common_InputFunctions.Utility_DisplayArrayInTable(Fertiliser_SourceData.Fertiliser_Products_Data4(),FertiliserProducts[[#Headers],[Include or Exclude]], 60)</f>
        <v/>
      </c>
      <c r="Y151" s="65" t="str" cm="1">
        <f t="array" ref="Y151">Common_InputFunctions.Utility_DisplayArrayInTable(Fertiliser_SourceData.Fertiliser_Products_Data4(),FertiliserProducts[[#Headers],[Include or Exclude]], 60)</f>
        <v/>
      </c>
      <c r="Z151" s="65"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4:31" ht="20.100000000000001" customHeight="1" x14ac:dyDescent="0.25">
      <c r="D152" s="65" t="str" cm="1">
        <f t="array" ref="D152">Common_InputFunctions.Utility_DisplayArrayInTable(Fertiliser_SourceData.Fertiliser_Products_Data4(),FertiliserProducts[[#Headers],[Include or Exclude]], 60)</f>
        <v>YaraVita FRUTREL</v>
      </c>
      <c r="E152" s="65" t="str" cm="1">
        <f t="array" ref="E152">Common_InputFunctions.Utility_DisplayArrayInTable(Fertiliser_SourceData.Fertiliser_Products_Data4(),FertiliserProducts[[#Headers],[Include or Exclude]], 60)</f>
        <v/>
      </c>
      <c r="F152" s="65" t="str" cm="1">
        <f t="array" ref="F152">Common_InputFunctions.Utility_DisplayArrayInTable(Fertiliser_SourceData.Fertiliser_Products_Data4(),FertiliserProducts[[#Headers],[Include or Exclude]], 60)</f>
        <v/>
      </c>
      <c r="G152" s="65" t="str" cm="1">
        <f t="array" ref="G152">Common_InputFunctions.Utility_DisplayArrayInTable(Fertiliser_SourceData.Fertiliser_Products_Data4(),FertiliserProducts[[#Headers],[Include or Exclude]], 60)</f>
        <v/>
      </c>
      <c r="H152" s="65" t="str" cm="1">
        <f t="array" ref="H152">Common_InputFunctions.Utility_DisplayArrayInTable(Fertiliser_SourceData.Fertiliser_Products_Data4(),FertiliserProducts[[#Headers],[Include or Exclude]], 60)</f>
        <v/>
      </c>
      <c r="I152" s="65" t="str" cm="1">
        <f t="array" ref="I152">Common_InputFunctions.Utility_DisplayArrayInTable(Fertiliser_SourceData.Fertiliser_Products_Data4(),FertiliserProducts[[#Headers],[Include or Exclude]], 60)</f>
        <v/>
      </c>
      <c r="J152" s="65" t="str" cm="1">
        <f t="array" ref="J152">Common_InputFunctions.Utility_DisplayArrayInTable(Fertiliser_SourceData.Fertiliser_Products_Data4(),FertiliserProducts[[#Headers],[Include or Exclude]], 60)</f>
        <v/>
      </c>
      <c r="K152" s="65" t="str" cm="1">
        <f t="array" ref="K152">Common_InputFunctions.Utility_DisplayArrayInTable(Fertiliser_SourceData.Fertiliser_Products_Data4(),FertiliserProducts[[#Headers],[Include or Exclude]], 60)</f>
        <v/>
      </c>
      <c r="L152" s="65" t="str" cm="1">
        <f t="array" ref="L152">Common_InputFunctions.Utility_DisplayArrayInTable(Fertiliser_SourceData.Fertiliser_Products_Data4(),FertiliserProducts[[#Headers],[Include or Exclude]], 60)</f>
        <v/>
      </c>
      <c r="M152" s="65" t="str" cm="1">
        <f t="array" ref="M152">Common_InputFunctions.Utility_DisplayArrayInTable(Fertiliser_SourceData.Fertiliser_Products_Data4(),FertiliserProducts[[#Headers],[Include or Exclude]], 60)</f>
        <v/>
      </c>
      <c r="N152" s="65" t="str" cm="1">
        <f t="array" ref="N152">Common_InputFunctions.Utility_DisplayArrayInTable(Fertiliser_SourceData.Fertiliser_Products_Data4(),FertiliserProducts[[#Headers],[Include or Exclude]], 60)</f>
        <v/>
      </c>
      <c r="O152" s="65" t="str" cm="1">
        <f t="array" ref="O152">Common_InputFunctions.Utility_DisplayArrayInTable(Fertiliser_SourceData.Fertiliser_Products_Data4(),FertiliserProducts[[#Headers],[Include or Exclude]], 60)</f>
        <v/>
      </c>
      <c r="P152" s="65" t="str" cm="1">
        <f t="array" ref="P152">Common_InputFunctions.Utility_DisplayArrayInTable(Fertiliser_SourceData.Fertiliser_Products_Data4(),FertiliserProducts[[#Headers],[Include or Exclude]], 60)</f>
        <v/>
      </c>
      <c r="Q152" s="65" t="str" cm="1">
        <f t="array" ref="Q152">Common_InputFunctions.Utility_DisplayArrayInTable(Fertiliser_SourceData.Fertiliser_Products_Data4(),FertiliserProducts[[#Headers],[Include or Exclude]], 60)</f>
        <v/>
      </c>
      <c r="R152" s="65" t="str" cm="1">
        <f t="array" ref="R152">Common_InputFunctions.Utility_DisplayArrayInTable(Fertiliser_SourceData.Fertiliser_Products_Data4(),FertiliserProducts[[#Headers],[Include or Exclude]], 60)</f>
        <v/>
      </c>
      <c r="S152" s="65" t="str" cm="1">
        <f t="array" ref="S152">Common_InputFunctions.Utility_DisplayArrayInTable(Fertiliser_SourceData.Fertiliser_Products_Data4(),FertiliserProducts[[#Headers],[Include or Exclude]], 60)</f>
        <v/>
      </c>
      <c r="T152" s="65" t="str" cm="1">
        <f t="array" ref="T152">Common_InputFunctions.Utility_DisplayArrayInTable(Fertiliser_SourceData.Fertiliser_Products_Data4(),FertiliserProducts[[#Headers],[Include or Exclude]], 60)</f>
        <v/>
      </c>
      <c r="U152" s="65" t="str" cm="1">
        <f t="array" ref="U152">Common_InputFunctions.Utility_DisplayArrayInTable(Fertiliser_SourceData.Fertiliser_Products_Data4(),FertiliserProducts[[#Headers],[Include or Exclude]], 60)</f>
        <v/>
      </c>
      <c r="V152" s="65" t="str" cm="1">
        <f t="array" ref="V152">Common_InputFunctions.Utility_DisplayArrayInTable(Fertiliser_SourceData.Fertiliser_Products_Data4(),FertiliserProducts[[#Headers],[Include or Exclude]], 60)</f>
        <v/>
      </c>
      <c r="W152" s="65" t="str" cm="1">
        <f t="array" ref="W152">Common_InputFunctions.Utility_DisplayArrayInTable(Fertiliser_SourceData.Fertiliser_Products_Data4(),FertiliserProducts[[#Headers],[Include or Exclude]], 60)</f>
        <v>Crop Nutrition Solutions (Yara Australia)</v>
      </c>
      <c r="X152" s="65" t="str" cm="1">
        <f t="array" ref="X152">Common_InputFunctions.Utility_DisplayArrayInTable(Fertiliser_SourceData.Fertiliser_Products_Data4(),FertiliserProducts[[#Headers],[Include or Exclude]], 60)</f>
        <v/>
      </c>
      <c r="Y152" s="65" t="str" cm="1">
        <f t="array" ref="Y152">Common_InputFunctions.Utility_DisplayArrayInTable(Fertiliser_SourceData.Fertiliser_Products_Data4(),FertiliserProducts[[#Headers],[Include or Exclude]], 60)</f>
        <v/>
      </c>
      <c r="Z152" s="65"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4:31" ht="20.100000000000001" customHeight="1" x14ac:dyDescent="0.25">
      <c r="D153" s="65" t="str" cm="1">
        <f t="array" ref="D153">Common_InputFunctions.Utility_DisplayArrayInTable(Fertiliser_SourceData.Fertiliser_Products_Data4(),FertiliserProducts[[#Headers],[Include or Exclude]], 60)</f>
        <v>YaraVita GLYTREL ZnP</v>
      </c>
      <c r="E153" s="65" t="str" cm="1">
        <f t="array" ref="E153">Common_InputFunctions.Utility_DisplayArrayInTable(Fertiliser_SourceData.Fertiliser_Products_Data4(),FertiliserProducts[[#Headers],[Include or Exclude]], 60)</f>
        <v/>
      </c>
      <c r="F153" s="65" t="str" cm="1">
        <f t="array" ref="F153">Common_InputFunctions.Utility_DisplayArrayInTable(Fertiliser_SourceData.Fertiliser_Products_Data4(),FertiliserProducts[[#Headers],[Include or Exclude]], 60)</f>
        <v/>
      </c>
      <c r="G153" s="65" t="str" cm="1">
        <f t="array" ref="G153">Common_InputFunctions.Utility_DisplayArrayInTable(Fertiliser_SourceData.Fertiliser_Products_Data4(),FertiliserProducts[[#Headers],[Include or Exclude]], 60)</f>
        <v/>
      </c>
      <c r="H153" s="65" t="str" cm="1">
        <f t="array" ref="H153">Common_InputFunctions.Utility_DisplayArrayInTable(Fertiliser_SourceData.Fertiliser_Products_Data4(),FertiliserProducts[[#Headers],[Include or Exclude]], 60)</f>
        <v/>
      </c>
      <c r="I153" s="65" t="str" cm="1">
        <f t="array" ref="I153">Common_InputFunctions.Utility_DisplayArrayInTable(Fertiliser_SourceData.Fertiliser_Products_Data4(),FertiliserProducts[[#Headers],[Include or Exclude]], 60)</f>
        <v/>
      </c>
      <c r="J153" s="65" t="str" cm="1">
        <f t="array" ref="J153">Common_InputFunctions.Utility_DisplayArrayInTable(Fertiliser_SourceData.Fertiliser_Products_Data4(),FertiliserProducts[[#Headers],[Include or Exclude]], 60)</f>
        <v/>
      </c>
      <c r="K153" s="65" t="str" cm="1">
        <f t="array" ref="K153">Common_InputFunctions.Utility_DisplayArrayInTable(Fertiliser_SourceData.Fertiliser_Products_Data4(),FertiliserProducts[[#Headers],[Include or Exclude]], 60)</f>
        <v/>
      </c>
      <c r="L153" s="65" t="str" cm="1">
        <f t="array" ref="L153">Common_InputFunctions.Utility_DisplayArrayInTable(Fertiliser_SourceData.Fertiliser_Products_Data4(),FertiliserProducts[[#Headers],[Include or Exclude]], 60)</f>
        <v/>
      </c>
      <c r="M153" s="65" t="str" cm="1">
        <f t="array" ref="M153">Common_InputFunctions.Utility_DisplayArrayInTable(Fertiliser_SourceData.Fertiliser_Products_Data4(),FertiliserProducts[[#Headers],[Include or Exclude]], 60)</f>
        <v/>
      </c>
      <c r="N153" s="65" t="str" cm="1">
        <f t="array" ref="N153">Common_InputFunctions.Utility_DisplayArrayInTable(Fertiliser_SourceData.Fertiliser_Products_Data4(),FertiliserProducts[[#Headers],[Include or Exclude]], 60)</f>
        <v/>
      </c>
      <c r="O153" s="65" t="str" cm="1">
        <f t="array" ref="O153">Common_InputFunctions.Utility_DisplayArrayInTable(Fertiliser_SourceData.Fertiliser_Products_Data4(),FertiliserProducts[[#Headers],[Include or Exclude]], 60)</f>
        <v/>
      </c>
      <c r="P153" s="65" t="str" cm="1">
        <f t="array" ref="P153">Common_InputFunctions.Utility_DisplayArrayInTable(Fertiliser_SourceData.Fertiliser_Products_Data4(),FertiliserProducts[[#Headers],[Include or Exclude]], 60)</f>
        <v/>
      </c>
      <c r="Q153" s="65" t="str" cm="1">
        <f t="array" ref="Q153">Common_InputFunctions.Utility_DisplayArrayInTable(Fertiliser_SourceData.Fertiliser_Products_Data4(),FertiliserProducts[[#Headers],[Include or Exclude]], 60)</f>
        <v/>
      </c>
      <c r="R153" s="65" t="str" cm="1">
        <f t="array" ref="R153">Common_InputFunctions.Utility_DisplayArrayInTable(Fertiliser_SourceData.Fertiliser_Products_Data4(),FertiliserProducts[[#Headers],[Include or Exclude]], 60)</f>
        <v/>
      </c>
      <c r="S153" s="65" t="str" cm="1">
        <f t="array" ref="S153">Common_InputFunctions.Utility_DisplayArrayInTable(Fertiliser_SourceData.Fertiliser_Products_Data4(),FertiliserProducts[[#Headers],[Include or Exclude]], 60)</f>
        <v/>
      </c>
      <c r="T153" s="65" t="str" cm="1">
        <f t="array" ref="T153">Common_InputFunctions.Utility_DisplayArrayInTable(Fertiliser_SourceData.Fertiliser_Products_Data4(),FertiliserProducts[[#Headers],[Include or Exclude]], 60)</f>
        <v/>
      </c>
      <c r="U153" s="65" t="str" cm="1">
        <f t="array" ref="U153">Common_InputFunctions.Utility_DisplayArrayInTable(Fertiliser_SourceData.Fertiliser_Products_Data4(),FertiliserProducts[[#Headers],[Include or Exclude]], 60)</f>
        <v/>
      </c>
      <c r="V153" s="65" t="str" cm="1">
        <f t="array" ref="V153">Common_InputFunctions.Utility_DisplayArrayInTable(Fertiliser_SourceData.Fertiliser_Products_Data4(),FertiliserProducts[[#Headers],[Include or Exclude]], 60)</f>
        <v/>
      </c>
      <c r="W153" s="65" t="str" cm="1">
        <f t="array" ref="W153">Common_InputFunctions.Utility_DisplayArrayInTable(Fertiliser_SourceData.Fertiliser_Products_Data4(),FertiliserProducts[[#Headers],[Include or Exclude]], 60)</f>
        <v>Crop Nutrition Solutions (Yara Australia)</v>
      </c>
      <c r="X153" s="65" t="str" cm="1">
        <f t="array" ref="X153">Common_InputFunctions.Utility_DisplayArrayInTable(Fertiliser_SourceData.Fertiliser_Products_Data4(),FertiliserProducts[[#Headers],[Include or Exclude]], 60)</f>
        <v/>
      </c>
      <c r="Y153" s="65" t="str" cm="1">
        <f t="array" ref="Y153">Common_InputFunctions.Utility_DisplayArrayInTable(Fertiliser_SourceData.Fertiliser_Products_Data4(),FertiliserProducts[[#Headers],[Include or Exclude]], 60)</f>
        <v/>
      </c>
      <c r="Z153" s="65"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FCB0-62AE-4125-B897-4FCFD0B878B7}">
  <dimension ref="A1:AI165"/>
  <sheetViews>
    <sheetView showGridLines="0" topLeftCell="A6" zoomScaleNormal="100" workbookViewId="0">
      <selection activeCell="G26" sqref="G26"/>
    </sheetView>
  </sheetViews>
  <sheetFormatPr defaultRowHeight="15.75" x14ac:dyDescent="0.25"/>
  <cols>
    <col min="1" max="1" width="26.875" style="3" customWidth="1"/>
    <col min="2" max="2" width="4.125" style="3" customWidth="1"/>
    <col min="3" max="3" width="4.125" style="8" customWidth="1"/>
    <col min="4" max="4" width="34.25" style="8" customWidth="1"/>
    <col min="5" max="5" width="27.87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HYPERLINK("#'8.1.1.1-2 Transport fuel'!A1", "8.1.1.1-2 Transport fuel")</f>
        <v>8.1.1.1-2 Transport fuel</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HYPERLINK("#'8.2.1.1-2 Stationary fuel'!A1", "8.2.1.1-2 Stationary fuel")</f>
        <v>8.2.1.1-2 Stationary fuel</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HYPERLINK("#'8.X.1.1-2 General use fuel'!A1", "8.X.1.1-2 General use fuel")</f>
        <v>8.X.1.1-2 General use fuel</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23" t="s">
        <v>78</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HYPERLINK("#'Constants - Fuel'!A1", "Constants - Fuel")</f>
        <v>Constants - Fuel</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HYPERLINK("#'Constants - Common'!A1", "Constants - Common")</f>
        <v>Constants - Common</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D32" s="25" t="str" cm="1">
        <f t="array" ref="D32">Common_InputFunctions.Utility_DisplayArrayInTable(Fuel_SourceData.Fuel_Scope1Scope3EmissionFactorsTransport_Data(), Table_Fuel_EFs_Transport[[#Headers],[Transport type]], 0)</f>
        <v>Vessels</v>
      </c>
      <c r="E32" s="25" t="str" cm="1">
        <f t="array" ref="E32">Common_InputFunctions.Utility_DisplayArrayInTable(Fuel_SourceData.Fuel_Scope1Scope3EmissionFactorsTransport_Data(), Table_Fuel_EFs_Transport[[#Headers],[Transport type]], 0)</f>
        <v>Diesel oil</v>
      </c>
      <c r="F32" s="25" cm="1">
        <f t="array" ref="F32">Common_InputFunctions.Utility_DisplayArrayInTable(Fuel_SourceData.Fuel_Scope1Scope3EmissionFactorsTransport_Data(), Table_Fuel_EFs_Transport[[#Headers],[Transport type]], 0)</f>
        <v>38.6</v>
      </c>
      <c r="G32" s="25" t="str" cm="1">
        <f t="array" ref="G32">Common_InputFunctions.Utility_DisplayArrayInTable(Fuel_SourceData.Fuel_Scope1Scope3EmissionFactorsTransport_Data(), Table_Fuel_EFs_Transport[[#Headers],[Transport type]], 0)</f>
        <v>kL</v>
      </c>
      <c r="H32" s="25" cm="1">
        <f t="array" ref="H32">Common_InputFunctions.Utility_DisplayArrayInTable(Fuel_SourceData.Fuel_Scope1Scope3EmissionFactorsTransport_Data(), Table_Fuel_EFs_Transport[[#Headers],[Transport type]], 0)</f>
        <v>69.900000000000006</v>
      </c>
      <c r="I32" s="25" cm="1">
        <f t="array" ref="I32">Common_InputFunctions.Utility_DisplayArrayInTable(Fuel_SourceData.Fuel_Scope1Scope3EmissionFactorsTransport_Data(), Table_Fuel_EFs_Transport[[#Headers],[Transport type]], 0)</f>
        <v>0.2</v>
      </c>
      <c r="J32" s="25" cm="1">
        <f t="array" ref="J32">Common_InputFunctions.Utility_DisplayArrayInTable(Fuel_SourceData.Fuel_Scope1Scope3EmissionFactorsTransport_Data(), Table_Fuel_EFs_Transport[[#Headers],[Transport type]], 0)</f>
        <v>0.5</v>
      </c>
      <c r="K32" s="25" t="str" cm="1">
        <f t="array" ref="K32">Common_InputFunctions.Utility_DisplayArrayInTable(Fuel_SourceData.Fuel_Scope1Scope3EmissionFactorsTransport_Data(), Table_Fuel_EFs_Transport[[#Headers],[Transport type]], 0)</f>
        <v/>
      </c>
      <c r="L32" s="25" cm="1">
        <f t="array" ref="L32">Common_InputFunctions.Utility_DisplayArrayInTable(Fuel_SourceData.Fuel_Scope1Scope3EmissionFactorsTransport_Data(), Table_Fuel_EFs_Transport[[#Headers],[Transport type]], 0)</f>
        <v>17.3</v>
      </c>
    </row>
    <row r="33" spans="4:12" ht="20.100000000000001" customHeight="1" x14ac:dyDescent="0.25">
      <c r="D33" s="25" t="str" cm="1">
        <f t="array" ref="D33">Common_InputFunctions.Utility_DisplayArrayInTable(Fuel_SourceData.Fuel_Scope1Scope3EmissionFactorsTransport_Data(), Table_Fuel_EFs_Transport[[#Headers],[Transport type]], 0)</f>
        <v>Vessels</v>
      </c>
      <c r="E33" s="25" t="str" cm="1">
        <f t="array" ref="E33">Common_InputFunctions.Utility_DisplayArrayInTable(Fuel_SourceData.Fuel_Scope1Scope3EmissionFactorsTransport_Data(), Table_Fuel_EFs_Transport[[#Headers],[Transport type]], 0)</f>
        <v>Fuel Oil</v>
      </c>
      <c r="F33" s="25" cm="1">
        <f t="array" ref="F33">Common_InputFunctions.Utility_DisplayArrayInTable(Fuel_SourceData.Fuel_Scope1Scope3EmissionFactorsTransport_Data(), Table_Fuel_EFs_Transport[[#Headers],[Transport type]], 0)</f>
        <v>39.700000000000003</v>
      </c>
      <c r="G33" s="25" t="str" cm="1">
        <f t="array" ref="G33">Common_InputFunctions.Utility_DisplayArrayInTable(Fuel_SourceData.Fuel_Scope1Scope3EmissionFactorsTransport_Data(), Table_Fuel_EFs_Transport[[#Headers],[Transport type]], 0)</f>
        <v>kL</v>
      </c>
      <c r="H33" s="25" cm="1">
        <f t="array" ref="H33">Common_InputFunctions.Utility_DisplayArrayInTable(Fuel_SourceData.Fuel_Scope1Scope3EmissionFactorsTransport_Data(), Table_Fuel_EFs_Transport[[#Headers],[Transport type]], 0)</f>
        <v>73.599999999999994</v>
      </c>
      <c r="I33" s="25" cm="1">
        <f t="array" ref="I33">Common_InputFunctions.Utility_DisplayArrayInTable(Fuel_SourceData.Fuel_Scope1Scope3EmissionFactorsTransport_Data(), Table_Fuel_EFs_Transport[[#Headers],[Transport type]], 0)</f>
        <v>0.2</v>
      </c>
      <c r="J33" s="25" cm="1">
        <f t="array" ref="J33">Common_InputFunctions.Utility_DisplayArrayInTable(Fuel_SourceData.Fuel_Scope1Scope3EmissionFactorsTransport_Data(), Table_Fuel_EFs_Transport[[#Headers],[Transport type]], 0)</f>
        <v>0.5</v>
      </c>
      <c r="K33" s="25" t="str" cm="1">
        <f t="array" ref="K33">Common_InputFunctions.Utility_DisplayArrayInTable(Fuel_SourceData.Fuel_Scope1Scope3EmissionFactorsTransport_Data(), Table_Fuel_EFs_Transport[[#Headers],[Transport type]], 0)</f>
        <v/>
      </c>
      <c r="L33" s="25" cm="1">
        <f t="array" ref="L33">Common_InputFunctions.Utility_DisplayArrayInTable(Fuel_SourceData.Fuel_Scope1Scope3EmissionFactorsTransport_Data(), Table_Fuel_EFs_Transport[[#Headers],[Transport type]], 0)</f>
        <v>18</v>
      </c>
    </row>
    <row r="34" spans="4:12" ht="20.100000000000001" customHeight="1" x14ac:dyDescent="0.25">
      <c r="D34" s="25" t="str" cm="1">
        <f t="array" ref="D34">Common_InputFunctions.Utility_DisplayArrayInTable(Fuel_SourceData.Fuel_Scope1Scope3EmissionFactorsTransport_Data(), Table_Fuel_EFs_Transport[[#Headers],[Transport type]], 0)</f>
        <v>Off-road Agriculture and forestry equipment</v>
      </c>
      <c r="E34" s="25" t="str" cm="1">
        <f t="array" ref="E34">Common_InputFunctions.Utility_DisplayArrayInTable(Fuel_SourceData.Fuel_Scope1Scope3EmissionFactorsTransport_Data(), Table_Fuel_EFs_Transport[[#Headers],[Transport type]], 0)</f>
        <v>Diesel oil</v>
      </c>
      <c r="F34" s="25" cm="1">
        <f t="array" ref="F34">Common_InputFunctions.Utility_DisplayArrayInTable(Fuel_SourceData.Fuel_Scope1Scope3EmissionFactorsTransport_Data(), Table_Fuel_EFs_Transport[[#Headers],[Transport type]], 0)</f>
        <v>38.6</v>
      </c>
      <c r="G34" s="25" t="str" cm="1">
        <f t="array" ref="G34">Common_InputFunctions.Utility_DisplayArrayInTable(Fuel_SourceData.Fuel_Scope1Scope3EmissionFactorsTransport_Data(), Table_Fuel_EFs_Transport[[#Headers],[Transport type]], 0)</f>
        <v>kL</v>
      </c>
      <c r="H34" s="25" cm="1">
        <f t="array" ref="H34">Common_InputFunctions.Utility_DisplayArrayInTable(Fuel_SourceData.Fuel_Scope1Scope3EmissionFactorsTransport_Data(), Table_Fuel_EFs_Transport[[#Headers],[Transport type]], 0)</f>
        <v>69.900000000000006</v>
      </c>
      <c r="I34" s="25" cm="1">
        <f t="array" ref="I34">Common_InputFunctions.Utility_DisplayArrayInTable(Fuel_SourceData.Fuel_Scope1Scope3EmissionFactorsTransport_Data(), Table_Fuel_EFs_Transport[[#Headers],[Transport type]], 0)</f>
        <v>0.3</v>
      </c>
      <c r="J34" s="25" cm="1">
        <f t="array" ref="J34">Common_InputFunctions.Utility_DisplayArrayInTable(Fuel_SourceData.Fuel_Scope1Scope3EmissionFactorsTransport_Data(), Table_Fuel_EFs_Transport[[#Headers],[Transport type]], 0)</f>
        <v>0.5</v>
      </c>
      <c r="K34" s="25" t="str" cm="1">
        <f t="array" ref="K34">Common_InputFunctions.Utility_DisplayArrayInTable(Fuel_SourceData.Fuel_Scope1Scope3EmissionFactorsTransport_Data(), Table_Fuel_EFs_Transport[[#Headers],[Transport type]], 0)</f>
        <v/>
      </c>
      <c r="L34" s="25"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7"/>
      <c r="F49" s="17"/>
      <c r="G49" s="17"/>
      <c r="H49" s="17"/>
      <c r="I49" s="17"/>
      <c r="J49" s="17"/>
      <c r="K49" s="17"/>
      <c r="L49" s="17"/>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4:12" ht="20.100000000000001" customHeight="1" x14ac:dyDescent="0.25">
      <c r="D51" s="11" t="str" cm="1">
        <f t="array" ref="D51">Fuel_SourceData.Fuel_Scope1Scope3EmissionFactorsStationaryLiquid_Source()</f>
        <v>Australian National Greenhouse Accounts Factors 2025 - Table 8</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7" cm="1">
        <f t="array" ref="E54">Common_InputFunctions.Utility_DisplayArrayInTable(Fuel_SourceData.Fuel_Scope1Scope3EmissionFactorsStationaryLiquid_Data(), Table_Fuel_EFs_StationaryLiquid[[#Headers],[Fuel combusted]],0)</f>
        <v>38.799999999999997</v>
      </c>
      <c r="F54" s="27" t="str" cm="1">
        <f t="array" ref="F54">Common_InputFunctions.Utility_DisplayArrayInTable(Fuel_SourceData.Fuel_Scope1Scope3EmissionFactorsStationaryLiquid_Data(), Table_Fuel_EFs_StationaryLiquid[[#Headers],[Fuel combusted]],0)</f>
        <v>kl</v>
      </c>
      <c r="G54" s="27" cm="1">
        <f t="array" ref="G54">Common_InputFunctions.Utility_DisplayArrayInTable(Fuel_SourceData.Fuel_Scope1Scope3EmissionFactorsStationaryLiquid_Data(), Table_Fuel_EFs_StationaryLiquid[[#Headers],[Fuel combusted]],0)</f>
        <v>13.9</v>
      </c>
      <c r="H54" s="27" cm="1">
        <f t="array" ref="H54">Common_InputFunctions.Utility_DisplayArrayInTable(Fuel_SourceData.Fuel_Scope1Scope3EmissionFactorsStationaryLiquid_Data(), Table_Fuel_EFs_StationaryLiquid[[#Headers],[Fuel combusted]],0)</f>
        <v>0</v>
      </c>
      <c r="I54" s="27" cm="1">
        <f t="array" ref="I54">Common_InputFunctions.Utility_DisplayArrayInTable(Fuel_SourceData.Fuel_Scope1Scope3EmissionFactorsStationaryLiquid_Data(), Table_Fuel_EFs_StationaryLiquid[[#Headers],[Fuel combusted]],0)</f>
        <v>0</v>
      </c>
      <c r="J54" s="27" cm="1">
        <f t="array" ref="J54">Common_InputFunctions.Utility_DisplayArrayInTable(Fuel_SourceData.Fuel_Scope1Scope3EmissionFactorsStationaryLiquid_Data(), Table_Fuel_EFs_StationaryLiquid[[#Headers],[Fuel combusted]],0)</f>
        <v>13.9</v>
      </c>
      <c r="K54" s="27" cm="1">
        <f t="array" ref="K54">Common_InputFunctions.Utility_DisplayArrayInTable(Fuel_SourceData.Fuel_Scope1Scope3EmissionFactorsStationaryLiquid_Data(), Table_Fuel_EFs_StationaryLiquid[[#Headers],[Fuel combusted]],0)</f>
        <v>18</v>
      </c>
      <c r="L54" s="17"/>
    </row>
    <row r="55" spans="4:12" ht="20.100000000000001" customHeight="1" x14ac:dyDescent="0.25">
      <c r="D55" s="27" t="str" cm="1">
        <f t="array" ref="D55">Common_InputFunctions.Utility_DisplayArrayInTable(Fuel_SourceData.Fuel_Scope1Scope3EmissionFactorsStationaryLiquid_Data(), Table_Fuel_EFs_StationaryLiquid[[#Headers],[Fuel combusted]],0)</f>
        <v>Petroleum based greases</v>
      </c>
      <c r="E55" s="27" cm="1">
        <f t="array" ref="E55">Common_InputFunctions.Utility_DisplayArrayInTable(Fuel_SourceData.Fuel_Scope1Scope3EmissionFactorsStationaryLiquid_Data(), Table_Fuel_EFs_StationaryLiquid[[#Headers],[Fuel combusted]],0)</f>
        <v>38.799999999999997</v>
      </c>
      <c r="F55" s="27" t="str" cm="1">
        <f t="array" ref="F55">Common_InputFunctions.Utility_DisplayArrayInTable(Fuel_SourceData.Fuel_Scope1Scope3EmissionFactorsStationaryLiquid_Data(), Table_Fuel_EFs_StationaryLiquid[[#Headers],[Fuel combusted]],0)</f>
        <v>kl</v>
      </c>
      <c r="G55" s="27" cm="1">
        <f t="array" ref="G55">Common_InputFunctions.Utility_DisplayArrayInTable(Fuel_SourceData.Fuel_Scope1Scope3EmissionFactorsStationaryLiquid_Data(), Table_Fuel_EFs_StationaryLiquid[[#Headers],[Fuel combusted]],0)</f>
        <v>3.5</v>
      </c>
      <c r="H55" s="27" cm="1">
        <f t="array" ref="H55">Common_InputFunctions.Utility_DisplayArrayInTable(Fuel_SourceData.Fuel_Scope1Scope3EmissionFactorsStationaryLiquid_Data(), Table_Fuel_EFs_StationaryLiquid[[#Headers],[Fuel combusted]],0)</f>
        <v>0</v>
      </c>
      <c r="I55" s="27" cm="1">
        <f t="array" ref="I55">Common_InputFunctions.Utility_DisplayArrayInTable(Fuel_SourceData.Fuel_Scope1Scope3EmissionFactorsStationaryLiquid_Data(), Table_Fuel_EFs_StationaryLiquid[[#Headers],[Fuel combusted]],0)</f>
        <v>0</v>
      </c>
      <c r="J55" s="27" cm="1">
        <f t="array" ref="J55">Common_InputFunctions.Utility_DisplayArrayInTable(Fuel_SourceData.Fuel_Scope1Scope3EmissionFactorsStationaryLiquid_Data(), Table_Fuel_EFs_StationaryLiquid[[#Headers],[Fuel combusted]],0)</f>
        <v>3.5</v>
      </c>
      <c r="K55" s="27" cm="1">
        <f t="array" ref="K55">Common_InputFunctions.Utility_DisplayArrayInTable(Fuel_SourceData.Fuel_Scope1Scope3EmissionFactorsStationaryLiquid_Data(), Table_Fuel_EFs_StationaryLiquid[[#Headers],[Fuel combusted]],0)</f>
        <v>18</v>
      </c>
      <c r="L55" s="17"/>
    </row>
    <row r="56" spans="4:12" ht="20.100000000000001" customHeight="1" x14ac:dyDescent="0.25">
      <c r="D56" s="27" t="str" cm="1">
        <f t="array" ref="D56">Common_InputFunctions.Utility_DisplayArrayInTable(Fuel_SourceData.Fuel_Scope1Scope3EmissionFactorsStationaryLiquid_Data(), Table_Fuel_EFs_StationaryLiquid[[#Headers],[Fuel combusted]],0)</f>
        <v>Crude oil including crude oil condensates</v>
      </c>
      <c r="E56" s="27" cm="1">
        <f t="array" ref="E56">Common_InputFunctions.Utility_DisplayArrayInTable(Fuel_SourceData.Fuel_Scope1Scope3EmissionFactorsStationaryLiquid_Data(), Table_Fuel_EFs_StationaryLiquid[[#Headers],[Fuel combusted]],0)</f>
        <v>45.3</v>
      </c>
      <c r="F56" s="27" t="str" cm="1">
        <f t="array" ref="F56">Common_InputFunctions.Utility_DisplayArrayInTable(Fuel_SourceData.Fuel_Scope1Scope3EmissionFactorsStationaryLiquid_Data(), Table_Fuel_EFs_StationaryLiquid[[#Headers],[Fuel combusted]],0)</f>
        <v>t</v>
      </c>
      <c r="G56" s="27" cm="1">
        <f t="array" ref="G56">Common_InputFunctions.Utility_DisplayArrayInTable(Fuel_SourceData.Fuel_Scope1Scope3EmissionFactorsStationaryLiquid_Data(), Table_Fuel_EFs_StationaryLiquid[[#Headers],[Fuel combusted]],0)</f>
        <v>69.599999999999994</v>
      </c>
      <c r="H56" s="27" cm="1">
        <f t="array" ref="H56">Common_InputFunctions.Utility_DisplayArrayInTable(Fuel_SourceData.Fuel_Scope1Scope3EmissionFactorsStationaryLiquid_Data(), Table_Fuel_EFs_StationaryLiquid[[#Headers],[Fuel combusted]],0)</f>
        <v>0.08</v>
      </c>
      <c r="I56" s="27" cm="1">
        <f t="array" ref="I56">Common_InputFunctions.Utility_DisplayArrayInTable(Fuel_SourceData.Fuel_Scope1Scope3EmissionFactorsStationaryLiquid_Data(), Table_Fuel_EFs_StationaryLiquid[[#Headers],[Fuel combusted]],0)</f>
        <v>0.2</v>
      </c>
      <c r="J56" s="27" cm="1">
        <f t="array" ref="J56">Common_InputFunctions.Utility_DisplayArrayInTable(Fuel_SourceData.Fuel_Scope1Scope3EmissionFactorsStationaryLiquid_Data(), Table_Fuel_EFs_StationaryLiquid[[#Headers],[Fuel combusted]],0)</f>
        <v>69.88</v>
      </c>
      <c r="K56" s="27" t="str" cm="1">
        <f t="array" ref="K56">Common_InputFunctions.Utility_DisplayArrayInTable(Fuel_SourceData.Fuel_Scope1Scope3EmissionFactorsStationaryLiquid_Data(), Table_Fuel_EFs_StationaryLiquid[[#Headers],[Fuel combusted]],0)</f>
        <v>NE</v>
      </c>
      <c r="L56" s="17"/>
    </row>
    <row r="57" spans="4:12" ht="20.100000000000001" customHeight="1" x14ac:dyDescent="0.25">
      <c r="D57" s="27" t="str" cm="1">
        <f t="array" ref="D57">Common_InputFunctions.Utility_DisplayArrayInTable(Fuel_SourceData.Fuel_Scope1Scope3EmissionFactorsStationaryLiquid_Data(), Table_Fuel_EFs_StationaryLiquid[[#Headers],[Fuel combusted]],0)</f>
        <v>Other natural gas liquids</v>
      </c>
      <c r="E57" s="27" cm="1">
        <f t="array" ref="E57">Common_InputFunctions.Utility_DisplayArrayInTable(Fuel_SourceData.Fuel_Scope1Scope3EmissionFactorsStationaryLiquid_Data(), Table_Fuel_EFs_StationaryLiquid[[#Headers],[Fuel combusted]],0)</f>
        <v>46.5</v>
      </c>
      <c r="F57" s="27" t="str" cm="1">
        <f t="array" ref="F57">Common_InputFunctions.Utility_DisplayArrayInTable(Fuel_SourceData.Fuel_Scope1Scope3EmissionFactorsStationaryLiquid_Data(), Table_Fuel_EFs_StationaryLiquid[[#Headers],[Fuel combusted]],0)</f>
        <v>t</v>
      </c>
      <c r="G57" s="27" cm="1">
        <f t="array" ref="G57">Common_InputFunctions.Utility_DisplayArrayInTable(Fuel_SourceData.Fuel_Scope1Scope3EmissionFactorsStationaryLiquid_Data(), Table_Fuel_EFs_StationaryLiquid[[#Headers],[Fuel combusted]],0)</f>
        <v>61</v>
      </c>
      <c r="H57" s="27" cm="1">
        <f t="array" ref="H57">Common_InputFunctions.Utility_DisplayArrayInTable(Fuel_SourceData.Fuel_Scope1Scope3EmissionFactorsStationaryLiquid_Data(), Table_Fuel_EFs_StationaryLiquid[[#Headers],[Fuel combusted]],0)</f>
        <v>0.08</v>
      </c>
      <c r="I57" s="27" cm="1">
        <f t="array" ref="I57">Common_InputFunctions.Utility_DisplayArrayInTable(Fuel_SourceData.Fuel_Scope1Scope3EmissionFactorsStationaryLiquid_Data(), Table_Fuel_EFs_StationaryLiquid[[#Headers],[Fuel combusted]],0)</f>
        <v>0.2</v>
      </c>
      <c r="J57" s="27" cm="1">
        <f t="array" ref="J57">Common_InputFunctions.Utility_DisplayArrayInTable(Fuel_SourceData.Fuel_Scope1Scope3EmissionFactorsStationaryLiquid_Data(), Table_Fuel_EFs_StationaryLiquid[[#Headers],[Fuel combusted]],0)</f>
        <v>61.28</v>
      </c>
      <c r="K57" s="27" t="str" cm="1">
        <f t="array" ref="K57">Common_InputFunctions.Utility_DisplayArrayInTable(Fuel_SourceData.Fuel_Scope1Scope3EmissionFactorsStationaryLiquid_Data(), Table_Fuel_EFs_StationaryLiquid[[#Headers],[Fuel combusted]],0)</f>
        <v>NE</v>
      </c>
      <c r="L57" s="17"/>
    </row>
    <row r="58" spans="4:12" ht="20.100000000000001" customHeight="1" x14ac:dyDescent="0.25">
      <c r="D58" s="27"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7" cm="1">
        <f t="array" ref="E58">Common_InputFunctions.Utility_DisplayArrayInTable(Fuel_SourceData.Fuel_Scope1Scope3EmissionFactorsStationaryLiquid_Data(), Table_Fuel_EFs_StationaryLiquid[[#Headers],[Fuel combusted]],0)</f>
        <v>34.200000000000003</v>
      </c>
      <c r="F58" s="27" t="str" cm="1">
        <f t="array" ref="F58">Common_InputFunctions.Utility_DisplayArrayInTable(Fuel_SourceData.Fuel_Scope1Scope3EmissionFactorsStationaryLiquid_Data(), Table_Fuel_EFs_StationaryLiquid[[#Headers],[Fuel combusted]],0)</f>
        <v>kL</v>
      </c>
      <c r="G58" s="27" cm="1">
        <f t="array" ref="G58">Common_InputFunctions.Utility_DisplayArrayInTable(Fuel_SourceData.Fuel_Scope1Scope3EmissionFactorsStationaryLiquid_Data(), Table_Fuel_EFs_StationaryLiquid[[#Headers],[Fuel combusted]],0)</f>
        <v>67.400000000000006</v>
      </c>
      <c r="H58" s="27" cm="1">
        <f t="array" ref="H58">Common_InputFunctions.Utility_DisplayArrayInTable(Fuel_SourceData.Fuel_Scope1Scope3EmissionFactorsStationaryLiquid_Data(), Table_Fuel_EFs_StationaryLiquid[[#Headers],[Fuel combusted]],0)</f>
        <v>0.2</v>
      </c>
      <c r="I58" s="27" cm="1">
        <f t="array" ref="I58">Common_InputFunctions.Utility_DisplayArrayInTable(Fuel_SourceData.Fuel_Scope1Scope3EmissionFactorsStationaryLiquid_Data(), Table_Fuel_EFs_StationaryLiquid[[#Headers],[Fuel combusted]],0)</f>
        <v>0.2</v>
      </c>
      <c r="J58" s="27" cm="1">
        <f t="array" ref="J58">Common_InputFunctions.Utility_DisplayArrayInTable(Fuel_SourceData.Fuel_Scope1Scope3EmissionFactorsStationaryLiquid_Data(), Table_Fuel_EFs_StationaryLiquid[[#Headers],[Fuel combusted]],0)</f>
        <v>67.8</v>
      </c>
      <c r="K58" s="27" cm="1">
        <f t="array" ref="K58">Common_InputFunctions.Utility_DisplayArrayInTable(Fuel_SourceData.Fuel_Scope1Scope3EmissionFactorsStationaryLiquid_Data(), Table_Fuel_EFs_StationaryLiquid[[#Headers],[Fuel combusted]],0)</f>
        <v>17.2</v>
      </c>
      <c r="L58" s="17"/>
    </row>
    <row r="59" spans="4:12" ht="20.100000000000001" customHeight="1" x14ac:dyDescent="0.25">
      <c r="D59" s="27" t="str" cm="1">
        <f t="array" ref="D59">Common_InputFunctions.Utility_DisplayArrayInTable(Fuel_SourceData.Fuel_Scope1Scope3EmissionFactorsStationaryLiquid_Data(), Table_Fuel_EFs_StationaryLiquid[[#Headers],[Fuel combusted]],0)</f>
        <v>Aviation gasoline</v>
      </c>
      <c r="E59" s="27" cm="1">
        <f t="array" ref="E59">Common_InputFunctions.Utility_DisplayArrayInTable(Fuel_SourceData.Fuel_Scope1Scope3EmissionFactorsStationaryLiquid_Data(), Table_Fuel_EFs_StationaryLiquid[[#Headers],[Fuel combusted]],0)</f>
        <v>33.1</v>
      </c>
      <c r="F59" s="27" t="str" cm="1">
        <f t="array" ref="F59">Common_InputFunctions.Utility_DisplayArrayInTable(Fuel_SourceData.Fuel_Scope1Scope3EmissionFactorsStationaryLiquid_Data(), Table_Fuel_EFs_StationaryLiquid[[#Headers],[Fuel combusted]],0)</f>
        <v>kL</v>
      </c>
      <c r="G59" s="27" cm="1">
        <f t="array" ref="G59">Common_InputFunctions.Utility_DisplayArrayInTable(Fuel_SourceData.Fuel_Scope1Scope3EmissionFactorsStationaryLiquid_Data(), Table_Fuel_EFs_StationaryLiquid[[#Headers],[Fuel combusted]],0)</f>
        <v>67</v>
      </c>
      <c r="H59" s="27" cm="1">
        <f t="array" ref="H59">Common_InputFunctions.Utility_DisplayArrayInTable(Fuel_SourceData.Fuel_Scope1Scope3EmissionFactorsStationaryLiquid_Data(), Table_Fuel_EFs_StationaryLiquid[[#Headers],[Fuel combusted]],0)</f>
        <v>0.2</v>
      </c>
      <c r="I59" s="27" cm="1">
        <f t="array" ref="I59">Common_InputFunctions.Utility_DisplayArrayInTable(Fuel_SourceData.Fuel_Scope1Scope3EmissionFactorsStationaryLiquid_Data(), Table_Fuel_EFs_StationaryLiquid[[#Headers],[Fuel combusted]],0)</f>
        <v>0.2</v>
      </c>
      <c r="J59" s="27" cm="1">
        <f t="array" ref="J59">Common_InputFunctions.Utility_DisplayArrayInTable(Fuel_SourceData.Fuel_Scope1Scope3EmissionFactorsStationaryLiquid_Data(), Table_Fuel_EFs_StationaryLiquid[[#Headers],[Fuel combusted]],0)</f>
        <v>67.400000000000006</v>
      </c>
      <c r="K59" s="27" cm="1">
        <f t="array" ref="K59">Common_InputFunctions.Utility_DisplayArrayInTable(Fuel_SourceData.Fuel_Scope1Scope3EmissionFactorsStationaryLiquid_Data(), Table_Fuel_EFs_StationaryLiquid[[#Headers],[Fuel combusted]],0)</f>
        <v>18</v>
      </c>
      <c r="L59" s="17"/>
    </row>
    <row r="60" spans="4:12" ht="20.100000000000001" customHeight="1" x14ac:dyDescent="0.25">
      <c r="D60" s="27" t="str" cm="1">
        <f t="array" ref="D60">Common_InputFunctions.Utility_DisplayArrayInTable(Fuel_SourceData.Fuel_Scope1Scope3EmissionFactorsStationaryLiquid_Data(), Table_Fuel_EFs_StationaryLiquid[[#Headers],[Fuel combusted]],0)</f>
        <v>Kerosene (other than for use as fuel in an aircraft)</v>
      </c>
      <c r="E60" s="27" cm="1">
        <f t="array" ref="E60">Common_InputFunctions.Utility_DisplayArrayInTable(Fuel_SourceData.Fuel_Scope1Scope3EmissionFactorsStationaryLiquid_Data(), Table_Fuel_EFs_StationaryLiquid[[#Headers],[Fuel combusted]],0)</f>
        <v>37.5</v>
      </c>
      <c r="F60" s="27" t="str" cm="1">
        <f t="array" ref="F60">Common_InputFunctions.Utility_DisplayArrayInTable(Fuel_SourceData.Fuel_Scope1Scope3EmissionFactorsStationaryLiquid_Data(), Table_Fuel_EFs_StationaryLiquid[[#Headers],[Fuel combusted]],0)</f>
        <v>kL</v>
      </c>
      <c r="G60" s="27" cm="1">
        <f t="array" ref="G60">Common_InputFunctions.Utility_DisplayArrayInTable(Fuel_SourceData.Fuel_Scope1Scope3EmissionFactorsStationaryLiquid_Data(), Table_Fuel_EFs_StationaryLiquid[[#Headers],[Fuel combusted]],0)</f>
        <v>68.900000000000006</v>
      </c>
      <c r="H60" s="27" cm="1">
        <f t="array" ref="H60">Common_InputFunctions.Utility_DisplayArrayInTable(Fuel_SourceData.Fuel_Scope1Scope3EmissionFactorsStationaryLiquid_Data(), Table_Fuel_EFs_StationaryLiquid[[#Headers],[Fuel combusted]],0)</f>
        <v>0.01</v>
      </c>
      <c r="I60" s="27" cm="1">
        <f t="array" ref="I60">Common_InputFunctions.Utility_DisplayArrayInTable(Fuel_SourceData.Fuel_Scope1Scope3EmissionFactorsStationaryLiquid_Data(), Table_Fuel_EFs_StationaryLiquid[[#Headers],[Fuel combusted]],0)</f>
        <v>0.2</v>
      </c>
      <c r="J60" s="27" cm="1">
        <f t="array" ref="J60">Common_InputFunctions.Utility_DisplayArrayInTable(Fuel_SourceData.Fuel_Scope1Scope3EmissionFactorsStationaryLiquid_Data(), Table_Fuel_EFs_StationaryLiquid[[#Headers],[Fuel combusted]],0)</f>
        <v>69.11</v>
      </c>
      <c r="K60" s="27" cm="1">
        <f t="array" ref="K60">Common_InputFunctions.Utility_DisplayArrayInTable(Fuel_SourceData.Fuel_Scope1Scope3EmissionFactorsStationaryLiquid_Data(), Table_Fuel_EFs_StationaryLiquid[[#Headers],[Fuel combusted]],0)</f>
        <v>18</v>
      </c>
      <c r="L60" s="17"/>
    </row>
    <row r="61" spans="4:12" ht="20.100000000000001" customHeight="1" x14ac:dyDescent="0.25">
      <c r="D61" s="27" t="str" cm="1">
        <f t="array" ref="D61">Common_InputFunctions.Utility_DisplayArrayInTable(Fuel_SourceData.Fuel_Scope1Scope3EmissionFactorsStationaryLiquid_Data(), Table_Fuel_EFs_StationaryLiquid[[#Headers],[Fuel combusted]],0)</f>
        <v>Aviation turbine fuel / kerosene</v>
      </c>
      <c r="E61" s="27" cm="1">
        <f t="array" ref="E61">Common_InputFunctions.Utility_DisplayArrayInTable(Fuel_SourceData.Fuel_Scope1Scope3EmissionFactorsStationaryLiquid_Data(), Table_Fuel_EFs_StationaryLiquid[[#Headers],[Fuel combusted]],0)</f>
        <v>36.799999999999997</v>
      </c>
      <c r="F61" s="27" t="str" cm="1">
        <f t="array" ref="F61">Common_InputFunctions.Utility_DisplayArrayInTable(Fuel_SourceData.Fuel_Scope1Scope3EmissionFactorsStationaryLiquid_Data(), Table_Fuel_EFs_StationaryLiquid[[#Headers],[Fuel combusted]],0)</f>
        <v>kL</v>
      </c>
      <c r="G61" s="27" cm="1">
        <f t="array" ref="G61">Common_InputFunctions.Utility_DisplayArrayInTable(Fuel_SourceData.Fuel_Scope1Scope3EmissionFactorsStationaryLiquid_Data(), Table_Fuel_EFs_StationaryLiquid[[#Headers],[Fuel combusted]],0)</f>
        <v>69.599999999999994</v>
      </c>
      <c r="H61" s="27" cm="1">
        <f t="array" ref="H61">Common_InputFunctions.Utility_DisplayArrayInTable(Fuel_SourceData.Fuel_Scope1Scope3EmissionFactorsStationaryLiquid_Data(), Table_Fuel_EFs_StationaryLiquid[[#Headers],[Fuel combusted]],0)</f>
        <v>0.02</v>
      </c>
      <c r="I61" s="27" cm="1">
        <f t="array" ref="I61">Common_InputFunctions.Utility_DisplayArrayInTable(Fuel_SourceData.Fuel_Scope1Scope3EmissionFactorsStationaryLiquid_Data(), Table_Fuel_EFs_StationaryLiquid[[#Headers],[Fuel combusted]],0)</f>
        <v>0.2</v>
      </c>
      <c r="J61" s="27" cm="1">
        <f t="array" ref="J61">Common_InputFunctions.Utility_DisplayArrayInTable(Fuel_SourceData.Fuel_Scope1Scope3EmissionFactorsStationaryLiquid_Data(), Table_Fuel_EFs_StationaryLiquid[[#Headers],[Fuel combusted]],0)</f>
        <v>69.819999999999993</v>
      </c>
      <c r="K61" s="27" cm="1">
        <f t="array" ref="K61">Common_InputFunctions.Utility_DisplayArrayInTable(Fuel_SourceData.Fuel_Scope1Scope3EmissionFactorsStationaryLiquid_Data(), Table_Fuel_EFs_StationaryLiquid[[#Headers],[Fuel combusted]],0)</f>
        <v>18</v>
      </c>
      <c r="L61" s="17"/>
    </row>
    <row r="62" spans="4:12" ht="20.100000000000001" customHeight="1" x14ac:dyDescent="0.25">
      <c r="D62" s="27" t="str" cm="1">
        <f t="array" ref="D62">Common_InputFunctions.Utility_DisplayArrayInTable(Fuel_SourceData.Fuel_Scope1Scope3EmissionFactorsStationaryLiquid_Data(), Table_Fuel_EFs_StationaryLiquid[[#Headers],[Fuel combusted]],0)</f>
        <v>Heating oil</v>
      </c>
      <c r="E62" s="27" cm="1">
        <f t="array" ref="E62">Common_InputFunctions.Utility_DisplayArrayInTable(Fuel_SourceData.Fuel_Scope1Scope3EmissionFactorsStationaryLiquid_Data(), Table_Fuel_EFs_StationaryLiquid[[#Headers],[Fuel combusted]],0)</f>
        <v>37.299999999999997</v>
      </c>
      <c r="F62" s="27" t="str" cm="1">
        <f t="array" ref="F62">Common_InputFunctions.Utility_DisplayArrayInTable(Fuel_SourceData.Fuel_Scope1Scope3EmissionFactorsStationaryLiquid_Data(), Table_Fuel_EFs_StationaryLiquid[[#Headers],[Fuel combusted]],0)</f>
        <v>kL</v>
      </c>
      <c r="G62" s="27" cm="1">
        <f t="array" ref="G62">Common_InputFunctions.Utility_DisplayArrayInTable(Fuel_SourceData.Fuel_Scope1Scope3EmissionFactorsStationaryLiquid_Data(), Table_Fuel_EFs_StationaryLiquid[[#Headers],[Fuel combusted]],0)</f>
        <v>69.5</v>
      </c>
      <c r="H62" s="27" cm="1">
        <f t="array" ref="H62">Common_InputFunctions.Utility_DisplayArrayInTable(Fuel_SourceData.Fuel_Scope1Scope3EmissionFactorsStationaryLiquid_Data(), Table_Fuel_EFs_StationaryLiquid[[#Headers],[Fuel combusted]],0)</f>
        <v>0.03</v>
      </c>
      <c r="I62" s="27" cm="1">
        <f t="array" ref="I62">Common_InputFunctions.Utility_DisplayArrayInTable(Fuel_SourceData.Fuel_Scope1Scope3EmissionFactorsStationaryLiquid_Data(), Table_Fuel_EFs_StationaryLiquid[[#Headers],[Fuel combusted]],0)</f>
        <v>0.2</v>
      </c>
      <c r="J62" s="27" cm="1">
        <f t="array" ref="J62">Common_InputFunctions.Utility_DisplayArrayInTable(Fuel_SourceData.Fuel_Scope1Scope3EmissionFactorsStationaryLiquid_Data(), Table_Fuel_EFs_StationaryLiquid[[#Headers],[Fuel combusted]],0)</f>
        <v>69.73</v>
      </c>
      <c r="K62" s="27" cm="1">
        <f t="array" ref="K62">Common_InputFunctions.Utility_DisplayArrayInTable(Fuel_SourceData.Fuel_Scope1Scope3EmissionFactorsStationaryLiquid_Data(), Table_Fuel_EFs_StationaryLiquid[[#Headers],[Fuel combusted]],0)</f>
        <v>18</v>
      </c>
      <c r="L62" s="17"/>
    </row>
    <row r="63" spans="4:12" ht="20.100000000000001" customHeight="1" x14ac:dyDescent="0.25">
      <c r="D63" s="27" t="str" cm="1">
        <f t="array" ref="D63">Common_InputFunctions.Utility_DisplayArrayInTable(Fuel_SourceData.Fuel_Scope1Scope3EmissionFactorsStationaryLiquid_Data(), Table_Fuel_EFs_StationaryLiquid[[#Headers],[Fuel combusted]],0)</f>
        <v>Diesel oil</v>
      </c>
      <c r="E63" s="27" cm="1">
        <f t="array" ref="E63">Common_InputFunctions.Utility_DisplayArrayInTable(Fuel_SourceData.Fuel_Scope1Scope3EmissionFactorsStationaryLiquid_Data(), Table_Fuel_EFs_StationaryLiquid[[#Headers],[Fuel combusted]],0)</f>
        <v>38.6</v>
      </c>
      <c r="F63" s="27" t="str" cm="1">
        <f t="array" ref="F63">Common_InputFunctions.Utility_DisplayArrayInTable(Fuel_SourceData.Fuel_Scope1Scope3EmissionFactorsStationaryLiquid_Data(), Table_Fuel_EFs_StationaryLiquid[[#Headers],[Fuel combusted]],0)</f>
        <v>kL</v>
      </c>
      <c r="G63" s="27" cm="1">
        <f t="array" ref="G63">Common_InputFunctions.Utility_DisplayArrayInTable(Fuel_SourceData.Fuel_Scope1Scope3EmissionFactorsStationaryLiquid_Data(), Table_Fuel_EFs_StationaryLiquid[[#Headers],[Fuel combusted]],0)</f>
        <v>69.900000000000006</v>
      </c>
      <c r="H63" s="27" cm="1">
        <f t="array" ref="H63">Common_InputFunctions.Utility_DisplayArrayInTable(Fuel_SourceData.Fuel_Scope1Scope3EmissionFactorsStationaryLiquid_Data(), Table_Fuel_EFs_StationaryLiquid[[#Headers],[Fuel combusted]],0)</f>
        <v>0.1</v>
      </c>
      <c r="I63" s="27" cm="1">
        <f t="array" ref="I63">Common_InputFunctions.Utility_DisplayArrayInTable(Fuel_SourceData.Fuel_Scope1Scope3EmissionFactorsStationaryLiquid_Data(), Table_Fuel_EFs_StationaryLiquid[[#Headers],[Fuel combusted]],0)</f>
        <v>0.2</v>
      </c>
      <c r="J63" s="27" cm="1">
        <f t="array" ref="J63">Common_InputFunctions.Utility_DisplayArrayInTable(Fuel_SourceData.Fuel_Scope1Scope3EmissionFactorsStationaryLiquid_Data(), Table_Fuel_EFs_StationaryLiquid[[#Headers],[Fuel combusted]],0)</f>
        <v>70.2</v>
      </c>
      <c r="K63" s="27" cm="1">
        <f t="array" ref="K63">Common_InputFunctions.Utility_DisplayArrayInTable(Fuel_SourceData.Fuel_Scope1Scope3EmissionFactorsStationaryLiquid_Data(), Table_Fuel_EFs_StationaryLiquid[[#Headers],[Fuel combusted]],0)</f>
        <v>17.3</v>
      </c>
      <c r="L63" s="17"/>
    </row>
    <row r="64" spans="4:12" ht="20.100000000000001" customHeight="1" x14ac:dyDescent="0.25">
      <c r="D64" s="27" t="str" cm="1">
        <f t="array" ref="D64">Common_InputFunctions.Utility_DisplayArrayInTable(Fuel_SourceData.Fuel_Scope1Scope3EmissionFactorsStationaryLiquid_Data(), Table_Fuel_EFs_StationaryLiquid[[#Headers],[Fuel combusted]],0)</f>
        <v>Fuel oil</v>
      </c>
      <c r="E64" s="27" cm="1">
        <f t="array" ref="E64">Common_InputFunctions.Utility_DisplayArrayInTable(Fuel_SourceData.Fuel_Scope1Scope3EmissionFactorsStationaryLiquid_Data(), Table_Fuel_EFs_StationaryLiquid[[#Headers],[Fuel combusted]],0)</f>
        <v>39.700000000000003</v>
      </c>
      <c r="F64" s="27" t="str" cm="1">
        <f t="array" ref="F64">Common_InputFunctions.Utility_DisplayArrayInTable(Fuel_SourceData.Fuel_Scope1Scope3EmissionFactorsStationaryLiquid_Data(), Table_Fuel_EFs_StationaryLiquid[[#Headers],[Fuel combusted]],0)</f>
        <v>kL</v>
      </c>
      <c r="G64" s="27" cm="1">
        <f t="array" ref="G64">Common_InputFunctions.Utility_DisplayArrayInTable(Fuel_SourceData.Fuel_Scope1Scope3EmissionFactorsStationaryLiquid_Data(), Table_Fuel_EFs_StationaryLiquid[[#Headers],[Fuel combusted]],0)</f>
        <v>73.599999999999994</v>
      </c>
      <c r="H64" s="27" cm="1">
        <f t="array" ref="H64">Common_InputFunctions.Utility_DisplayArrayInTable(Fuel_SourceData.Fuel_Scope1Scope3EmissionFactorsStationaryLiquid_Data(), Table_Fuel_EFs_StationaryLiquid[[#Headers],[Fuel combusted]],0)</f>
        <v>0.04</v>
      </c>
      <c r="I64" s="27" cm="1">
        <f t="array" ref="I64">Common_InputFunctions.Utility_DisplayArrayInTable(Fuel_SourceData.Fuel_Scope1Scope3EmissionFactorsStationaryLiquid_Data(), Table_Fuel_EFs_StationaryLiquid[[#Headers],[Fuel combusted]],0)</f>
        <v>0.2</v>
      </c>
      <c r="J64" s="27" cm="1">
        <f t="array" ref="J64">Common_InputFunctions.Utility_DisplayArrayInTable(Fuel_SourceData.Fuel_Scope1Scope3EmissionFactorsStationaryLiquid_Data(), Table_Fuel_EFs_StationaryLiquid[[#Headers],[Fuel combusted]],0)</f>
        <v>73.84</v>
      </c>
      <c r="K64" s="27" cm="1">
        <f t="array" ref="K64">Common_InputFunctions.Utility_DisplayArrayInTable(Fuel_SourceData.Fuel_Scope1Scope3EmissionFactorsStationaryLiquid_Data(), Table_Fuel_EFs_StationaryLiquid[[#Headers],[Fuel combusted]],0)</f>
        <v>18</v>
      </c>
      <c r="L64" s="17"/>
    </row>
    <row r="65" spans="4:13" ht="20.100000000000001" customHeight="1" x14ac:dyDescent="0.25">
      <c r="D65" s="27" t="str" cm="1">
        <f t="array" ref="D65">Common_InputFunctions.Utility_DisplayArrayInTable(Fuel_SourceData.Fuel_Scope1Scope3EmissionFactorsStationaryLiquid_Data(), Table_Fuel_EFs_StationaryLiquid[[#Headers],[Fuel combusted]],0)</f>
        <v>Liquefied aromatic hydrocarbons</v>
      </c>
      <c r="E65" s="27" cm="1">
        <f t="array" ref="E65">Common_InputFunctions.Utility_DisplayArrayInTable(Fuel_SourceData.Fuel_Scope1Scope3EmissionFactorsStationaryLiquid_Data(), Table_Fuel_EFs_StationaryLiquid[[#Headers],[Fuel combusted]],0)</f>
        <v>34.4</v>
      </c>
      <c r="F65" s="27" t="str" cm="1">
        <f t="array" ref="F65">Common_InputFunctions.Utility_DisplayArrayInTable(Fuel_SourceData.Fuel_Scope1Scope3EmissionFactorsStationaryLiquid_Data(), Table_Fuel_EFs_StationaryLiquid[[#Headers],[Fuel combusted]],0)</f>
        <v>kL</v>
      </c>
      <c r="G65" s="27" cm="1">
        <f t="array" ref="G65">Common_InputFunctions.Utility_DisplayArrayInTable(Fuel_SourceData.Fuel_Scope1Scope3EmissionFactorsStationaryLiquid_Data(), Table_Fuel_EFs_StationaryLiquid[[#Headers],[Fuel combusted]],0)</f>
        <v>69.7</v>
      </c>
      <c r="H65" s="27" cm="1">
        <f t="array" ref="H65">Common_InputFunctions.Utility_DisplayArrayInTable(Fuel_SourceData.Fuel_Scope1Scope3EmissionFactorsStationaryLiquid_Data(), Table_Fuel_EFs_StationaryLiquid[[#Headers],[Fuel combusted]],0)</f>
        <v>0.03</v>
      </c>
      <c r="I65" s="27" cm="1">
        <f t="array" ref="I65">Common_InputFunctions.Utility_DisplayArrayInTable(Fuel_SourceData.Fuel_Scope1Scope3EmissionFactorsStationaryLiquid_Data(), Table_Fuel_EFs_StationaryLiquid[[#Headers],[Fuel combusted]],0)</f>
        <v>0.2</v>
      </c>
      <c r="J65" s="27" cm="1">
        <f t="array" ref="J65">Common_InputFunctions.Utility_DisplayArrayInTable(Fuel_SourceData.Fuel_Scope1Scope3EmissionFactorsStationaryLiquid_Data(), Table_Fuel_EFs_StationaryLiquid[[#Headers],[Fuel combusted]],0)</f>
        <v>69.930000000000007</v>
      </c>
      <c r="K65" s="27" cm="1">
        <f t="array" ref="K65">Common_InputFunctions.Utility_DisplayArrayInTable(Fuel_SourceData.Fuel_Scope1Scope3EmissionFactorsStationaryLiquid_Data(), Table_Fuel_EFs_StationaryLiquid[[#Headers],[Fuel combusted]],0)</f>
        <v>18</v>
      </c>
      <c r="L65" s="17"/>
    </row>
    <row r="66" spans="4:13" ht="20.100000000000001" customHeight="1" x14ac:dyDescent="0.25">
      <c r="D66" s="27" t="str" cm="1">
        <f t="array" ref="D66">Common_InputFunctions.Utility_DisplayArrayInTable(Fuel_SourceData.Fuel_Scope1Scope3EmissionFactorsStationaryLiquid_Data(), Table_Fuel_EFs_StationaryLiquid[[#Headers],[Fuel combusted]],0)</f>
        <v>Solvents: mineral turpentine or white spirits</v>
      </c>
      <c r="E66" s="27" cm="1">
        <f t="array" ref="E66">Common_InputFunctions.Utility_DisplayArrayInTable(Fuel_SourceData.Fuel_Scope1Scope3EmissionFactorsStationaryLiquid_Data(), Table_Fuel_EFs_StationaryLiquid[[#Headers],[Fuel combusted]],0)</f>
        <v>34.4</v>
      </c>
      <c r="F66" s="27" t="str" cm="1">
        <f t="array" ref="F66">Common_InputFunctions.Utility_DisplayArrayInTable(Fuel_SourceData.Fuel_Scope1Scope3EmissionFactorsStationaryLiquid_Data(), Table_Fuel_EFs_StationaryLiquid[[#Headers],[Fuel combusted]],0)</f>
        <v>kL</v>
      </c>
      <c r="G66" s="27" cm="1">
        <f t="array" ref="G66">Common_InputFunctions.Utility_DisplayArrayInTable(Fuel_SourceData.Fuel_Scope1Scope3EmissionFactorsStationaryLiquid_Data(), Table_Fuel_EFs_StationaryLiquid[[#Headers],[Fuel combusted]],0)</f>
        <v>69.7</v>
      </c>
      <c r="H66" s="27" cm="1">
        <f t="array" ref="H66">Common_InputFunctions.Utility_DisplayArrayInTable(Fuel_SourceData.Fuel_Scope1Scope3EmissionFactorsStationaryLiquid_Data(), Table_Fuel_EFs_StationaryLiquid[[#Headers],[Fuel combusted]],0)</f>
        <v>0.03</v>
      </c>
      <c r="I66" s="27" cm="1">
        <f t="array" ref="I66">Common_InputFunctions.Utility_DisplayArrayInTable(Fuel_SourceData.Fuel_Scope1Scope3EmissionFactorsStationaryLiquid_Data(), Table_Fuel_EFs_StationaryLiquid[[#Headers],[Fuel combusted]],0)</f>
        <v>0.2</v>
      </c>
      <c r="J66" s="27" cm="1">
        <f t="array" ref="J66">Common_InputFunctions.Utility_DisplayArrayInTable(Fuel_SourceData.Fuel_Scope1Scope3EmissionFactorsStationaryLiquid_Data(), Table_Fuel_EFs_StationaryLiquid[[#Headers],[Fuel combusted]],0)</f>
        <v>69.930000000000007</v>
      </c>
      <c r="K66" s="27" cm="1">
        <f t="array" ref="K66">Common_InputFunctions.Utility_DisplayArrayInTable(Fuel_SourceData.Fuel_Scope1Scope3EmissionFactorsStationaryLiquid_Data(), Table_Fuel_EFs_StationaryLiquid[[#Headers],[Fuel combusted]],0)</f>
        <v>18</v>
      </c>
      <c r="L66" s="17"/>
    </row>
    <row r="67" spans="4:13" ht="20.100000000000001" customHeight="1" x14ac:dyDescent="0.25">
      <c r="D67" s="27" t="str" cm="1">
        <f t="array" ref="D67">Common_InputFunctions.Utility_DisplayArrayInTable(Fuel_SourceData.Fuel_Scope1Scope3EmissionFactorsStationaryLiquid_Data(), Table_Fuel_EFs_StationaryLiquid[[#Headers],[Fuel combusted]],0)</f>
        <v>Liquefied petroleum gas (LPG)</v>
      </c>
      <c r="E67" s="27" cm="1">
        <f t="array" ref="E67">Common_InputFunctions.Utility_DisplayArrayInTable(Fuel_SourceData.Fuel_Scope1Scope3EmissionFactorsStationaryLiquid_Data(), Table_Fuel_EFs_StationaryLiquid[[#Headers],[Fuel combusted]],0)</f>
        <v>25.7</v>
      </c>
      <c r="F67" s="27" t="str" cm="1">
        <f t="array" ref="F67">Common_InputFunctions.Utility_DisplayArrayInTable(Fuel_SourceData.Fuel_Scope1Scope3EmissionFactorsStationaryLiquid_Data(), Table_Fuel_EFs_StationaryLiquid[[#Headers],[Fuel combusted]],0)</f>
        <v>kL</v>
      </c>
      <c r="G67" s="27" cm="1">
        <f t="array" ref="G67">Common_InputFunctions.Utility_DisplayArrayInTable(Fuel_SourceData.Fuel_Scope1Scope3EmissionFactorsStationaryLiquid_Data(), Table_Fuel_EFs_StationaryLiquid[[#Headers],[Fuel combusted]],0)</f>
        <v>60.2</v>
      </c>
      <c r="H67" s="27" cm="1">
        <f t="array" ref="H67">Common_InputFunctions.Utility_DisplayArrayInTable(Fuel_SourceData.Fuel_Scope1Scope3EmissionFactorsStationaryLiquid_Data(), Table_Fuel_EFs_StationaryLiquid[[#Headers],[Fuel combusted]],0)</f>
        <v>0.2</v>
      </c>
      <c r="I67" s="27" cm="1">
        <f t="array" ref="I67">Common_InputFunctions.Utility_DisplayArrayInTable(Fuel_SourceData.Fuel_Scope1Scope3EmissionFactorsStationaryLiquid_Data(), Table_Fuel_EFs_StationaryLiquid[[#Headers],[Fuel combusted]],0)</f>
        <v>0.2</v>
      </c>
      <c r="J67" s="27" cm="1">
        <f t="array" ref="J67">Common_InputFunctions.Utility_DisplayArrayInTable(Fuel_SourceData.Fuel_Scope1Scope3EmissionFactorsStationaryLiquid_Data(), Table_Fuel_EFs_StationaryLiquid[[#Headers],[Fuel combusted]],0)</f>
        <v>60.6</v>
      </c>
      <c r="K67" s="27" cm="1">
        <f t="array" ref="K67">Common_InputFunctions.Utility_DisplayArrayInTable(Fuel_SourceData.Fuel_Scope1Scope3EmissionFactorsStationaryLiquid_Data(), Table_Fuel_EFs_StationaryLiquid[[#Headers],[Fuel combusted]],0)</f>
        <v>20.2</v>
      </c>
      <c r="L67" s="17"/>
    </row>
    <row r="68" spans="4:13" ht="20.100000000000001" customHeight="1" x14ac:dyDescent="0.25">
      <c r="D68" s="27" t="str" cm="1">
        <f t="array" ref="D68">Common_InputFunctions.Utility_DisplayArrayInTable(Fuel_SourceData.Fuel_Scope1Scope3EmissionFactorsStationaryLiquid_Data(), Table_Fuel_EFs_StationaryLiquid[[#Headers],[Fuel combusted]],0)</f>
        <v>Naphtha</v>
      </c>
      <c r="E68" s="27" cm="1">
        <f t="array" ref="E68">Common_InputFunctions.Utility_DisplayArrayInTable(Fuel_SourceData.Fuel_Scope1Scope3EmissionFactorsStationaryLiquid_Data(), Table_Fuel_EFs_StationaryLiquid[[#Headers],[Fuel combusted]],0)</f>
        <v>31.4</v>
      </c>
      <c r="F68" s="27" t="str" cm="1">
        <f t="array" ref="F68">Common_InputFunctions.Utility_DisplayArrayInTable(Fuel_SourceData.Fuel_Scope1Scope3EmissionFactorsStationaryLiquid_Data(), Table_Fuel_EFs_StationaryLiquid[[#Headers],[Fuel combusted]],0)</f>
        <v>kL</v>
      </c>
      <c r="G68" s="27" cm="1">
        <f t="array" ref="G68">Common_InputFunctions.Utility_DisplayArrayInTable(Fuel_SourceData.Fuel_Scope1Scope3EmissionFactorsStationaryLiquid_Data(), Table_Fuel_EFs_StationaryLiquid[[#Headers],[Fuel combusted]],0)</f>
        <v>69.8</v>
      </c>
      <c r="H68" s="27" cm="1">
        <f t="array" ref="H68">Common_InputFunctions.Utility_DisplayArrayInTable(Fuel_SourceData.Fuel_Scope1Scope3EmissionFactorsStationaryLiquid_Data(), Table_Fuel_EFs_StationaryLiquid[[#Headers],[Fuel combusted]],0)</f>
        <v>0.01</v>
      </c>
      <c r="I68" s="27" cm="1">
        <f t="array" ref="I68">Common_InputFunctions.Utility_DisplayArrayInTable(Fuel_SourceData.Fuel_Scope1Scope3EmissionFactorsStationaryLiquid_Data(), Table_Fuel_EFs_StationaryLiquid[[#Headers],[Fuel combusted]],0)</f>
        <v>0.01</v>
      </c>
      <c r="J68" s="27" cm="1">
        <f t="array" ref="J68">Common_InputFunctions.Utility_DisplayArrayInTable(Fuel_SourceData.Fuel_Scope1Scope3EmissionFactorsStationaryLiquid_Data(), Table_Fuel_EFs_StationaryLiquid[[#Headers],[Fuel combusted]],0)</f>
        <v>69.819999999999993</v>
      </c>
      <c r="K68" s="27" cm="1">
        <f t="array" ref="K68">Common_InputFunctions.Utility_DisplayArrayInTable(Fuel_SourceData.Fuel_Scope1Scope3EmissionFactorsStationaryLiquid_Data(), Table_Fuel_EFs_StationaryLiquid[[#Headers],[Fuel combusted]],0)</f>
        <v>18</v>
      </c>
      <c r="L68" s="17"/>
    </row>
    <row r="69" spans="4:13" ht="20.100000000000001" customHeight="1" x14ac:dyDescent="0.25">
      <c r="D69" s="27" t="str" cm="1">
        <f t="array" ref="D69">Common_InputFunctions.Utility_DisplayArrayInTable(Fuel_SourceData.Fuel_Scope1Scope3EmissionFactorsStationaryLiquid_Data(), Table_Fuel_EFs_StationaryLiquid[[#Headers],[Fuel combusted]],0)</f>
        <v>Petroleum coke</v>
      </c>
      <c r="E69" s="27" cm="1">
        <f t="array" ref="E69">Common_InputFunctions.Utility_DisplayArrayInTable(Fuel_SourceData.Fuel_Scope1Scope3EmissionFactorsStationaryLiquid_Data(), Table_Fuel_EFs_StationaryLiquid[[#Headers],[Fuel combusted]],0)</f>
        <v>34.200000000000003</v>
      </c>
      <c r="F69" s="27" t="str" cm="1">
        <f t="array" ref="F69">Common_InputFunctions.Utility_DisplayArrayInTable(Fuel_SourceData.Fuel_Scope1Scope3EmissionFactorsStationaryLiquid_Data(), Table_Fuel_EFs_StationaryLiquid[[#Headers],[Fuel combusted]],0)</f>
        <v>t</v>
      </c>
      <c r="G69" s="27" cm="1">
        <f t="array" ref="G69">Common_InputFunctions.Utility_DisplayArrayInTable(Fuel_SourceData.Fuel_Scope1Scope3EmissionFactorsStationaryLiquid_Data(), Table_Fuel_EFs_StationaryLiquid[[#Headers],[Fuel combusted]],0)</f>
        <v>92.6</v>
      </c>
      <c r="H69" s="27" cm="1">
        <f t="array" ref="H69">Common_InputFunctions.Utility_DisplayArrayInTable(Fuel_SourceData.Fuel_Scope1Scope3EmissionFactorsStationaryLiquid_Data(), Table_Fuel_EFs_StationaryLiquid[[#Headers],[Fuel combusted]],0)</f>
        <v>0.08</v>
      </c>
      <c r="I69" s="27" cm="1">
        <f t="array" ref="I69">Common_InputFunctions.Utility_DisplayArrayInTable(Fuel_SourceData.Fuel_Scope1Scope3EmissionFactorsStationaryLiquid_Data(), Table_Fuel_EFs_StationaryLiquid[[#Headers],[Fuel combusted]],0)</f>
        <v>0.2</v>
      </c>
      <c r="J69" s="27" cm="1">
        <f t="array" ref="J69">Common_InputFunctions.Utility_DisplayArrayInTable(Fuel_SourceData.Fuel_Scope1Scope3EmissionFactorsStationaryLiquid_Data(), Table_Fuel_EFs_StationaryLiquid[[#Headers],[Fuel combusted]],0)</f>
        <v>92.88</v>
      </c>
      <c r="K69" s="27" cm="1">
        <f t="array" ref="K69">Common_InputFunctions.Utility_DisplayArrayInTable(Fuel_SourceData.Fuel_Scope1Scope3EmissionFactorsStationaryLiquid_Data(), Table_Fuel_EFs_StationaryLiquid[[#Headers],[Fuel combusted]],0)</f>
        <v>18</v>
      </c>
      <c r="L69" s="17"/>
    </row>
    <row r="70" spans="4:13" ht="20.100000000000001" customHeight="1" x14ac:dyDescent="0.25">
      <c r="D70" s="27" t="str" cm="1">
        <f t="array" ref="D70">Common_InputFunctions.Utility_DisplayArrayInTable(Fuel_SourceData.Fuel_Scope1Scope3EmissionFactorsStationaryLiquid_Data(), Table_Fuel_EFs_StationaryLiquid[[#Headers],[Fuel combusted]],0)</f>
        <v>Refinery gas and liquids</v>
      </c>
      <c r="E70" s="27" cm="1">
        <f t="array" ref="E70">Common_InputFunctions.Utility_DisplayArrayInTable(Fuel_SourceData.Fuel_Scope1Scope3EmissionFactorsStationaryLiquid_Data(), Table_Fuel_EFs_StationaryLiquid[[#Headers],[Fuel combusted]],0)</f>
        <v>42.9</v>
      </c>
      <c r="F70" s="27" t="str" cm="1">
        <f t="array" ref="F70">Common_InputFunctions.Utility_DisplayArrayInTable(Fuel_SourceData.Fuel_Scope1Scope3EmissionFactorsStationaryLiquid_Data(), Table_Fuel_EFs_StationaryLiquid[[#Headers],[Fuel combusted]],0)</f>
        <v>t</v>
      </c>
      <c r="G70" s="27" cm="1">
        <f t="array" ref="G70">Common_InputFunctions.Utility_DisplayArrayInTable(Fuel_SourceData.Fuel_Scope1Scope3EmissionFactorsStationaryLiquid_Data(), Table_Fuel_EFs_StationaryLiquid[[#Headers],[Fuel combusted]],0)</f>
        <v>54.7</v>
      </c>
      <c r="H70" s="27" cm="1">
        <f t="array" ref="H70">Common_InputFunctions.Utility_DisplayArrayInTable(Fuel_SourceData.Fuel_Scope1Scope3EmissionFactorsStationaryLiquid_Data(), Table_Fuel_EFs_StationaryLiquid[[#Headers],[Fuel combusted]],0)</f>
        <v>0.03</v>
      </c>
      <c r="I70" s="27" cm="1">
        <f t="array" ref="I70">Common_InputFunctions.Utility_DisplayArrayInTable(Fuel_SourceData.Fuel_Scope1Scope3EmissionFactorsStationaryLiquid_Data(), Table_Fuel_EFs_StationaryLiquid[[#Headers],[Fuel combusted]],0)</f>
        <v>0.03</v>
      </c>
      <c r="J70" s="27" cm="1">
        <f t="array" ref="J70">Common_InputFunctions.Utility_DisplayArrayInTable(Fuel_SourceData.Fuel_Scope1Scope3EmissionFactorsStationaryLiquid_Data(), Table_Fuel_EFs_StationaryLiquid[[#Headers],[Fuel combusted]],0)</f>
        <v>54.76</v>
      </c>
      <c r="K70" s="27" cm="1">
        <f t="array" ref="K70">Common_InputFunctions.Utility_DisplayArrayInTable(Fuel_SourceData.Fuel_Scope1Scope3EmissionFactorsStationaryLiquid_Data(), Table_Fuel_EFs_StationaryLiquid[[#Headers],[Fuel combusted]],0)</f>
        <v>18</v>
      </c>
      <c r="L70" s="17"/>
    </row>
    <row r="71" spans="4:13" ht="20.100000000000001" customHeight="1" x14ac:dyDescent="0.25">
      <c r="D71" s="27" t="str" cm="1">
        <f t="array" ref="D71">Common_InputFunctions.Utility_DisplayArrayInTable(Fuel_SourceData.Fuel_Scope1Scope3EmissionFactorsStationaryLiquid_Data(), Table_Fuel_EFs_StationaryLiquid[[#Headers],[Fuel combusted]],0)</f>
        <v>Refinery coke</v>
      </c>
      <c r="E71" s="27" cm="1">
        <f t="array" ref="E71">Common_InputFunctions.Utility_DisplayArrayInTable(Fuel_SourceData.Fuel_Scope1Scope3EmissionFactorsStationaryLiquid_Data(), Table_Fuel_EFs_StationaryLiquid[[#Headers],[Fuel combusted]],0)</f>
        <v>34.200000000000003</v>
      </c>
      <c r="F71" s="27" t="str" cm="1">
        <f t="array" ref="F71">Common_InputFunctions.Utility_DisplayArrayInTable(Fuel_SourceData.Fuel_Scope1Scope3EmissionFactorsStationaryLiquid_Data(), Table_Fuel_EFs_StationaryLiquid[[#Headers],[Fuel combusted]],0)</f>
        <v>t</v>
      </c>
      <c r="G71" s="27" cm="1">
        <f t="array" ref="G71">Common_InputFunctions.Utility_DisplayArrayInTable(Fuel_SourceData.Fuel_Scope1Scope3EmissionFactorsStationaryLiquid_Data(), Table_Fuel_EFs_StationaryLiquid[[#Headers],[Fuel combusted]],0)</f>
        <v>92.6</v>
      </c>
      <c r="H71" s="27" cm="1">
        <f t="array" ref="H71">Common_InputFunctions.Utility_DisplayArrayInTable(Fuel_SourceData.Fuel_Scope1Scope3EmissionFactorsStationaryLiquid_Data(), Table_Fuel_EFs_StationaryLiquid[[#Headers],[Fuel combusted]],0)</f>
        <v>0.08</v>
      </c>
      <c r="I71" s="27" cm="1">
        <f t="array" ref="I71">Common_InputFunctions.Utility_DisplayArrayInTable(Fuel_SourceData.Fuel_Scope1Scope3EmissionFactorsStationaryLiquid_Data(), Table_Fuel_EFs_StationaryLiquid[[#Headers],[Fuel combusted]],0)</f>
        <v>0.2</v>
      </c>
      <c r="J71" s="27" cm="1">
        <f t="array" ref="J71">Common_InputFunctions.Utility_DisplayArrayInTable(Fuel_SourceData.Fuel_Scope1Scope3EmissionFactorsStationaryLiquid_Data(), Table_Fuel_EFs_StationaryLiquid[[#Headers],[Fuel combusted]],0)</f>
        <v>92.88</v>
      </c>
      <c r="K71" s="27" cm="1">
        <f t="array" ref="K71">Common_InputFunctions.Utility_DisplayArrayInTable(Fuel_SourceData.Fuel_Scope1Scope3EmissionFactorsStationaryLiquid_Data(), Table_Fuel_EFs_StationaryLiquid[[#Headers],[Fuel combusted]],0)</f>
        <v>18</v>
      </c>
      <c r="L71" s="17"/>
    </row>
    <row r="72" spans="4:13" ht="20.100000000000001" customHeight="1" x14ac:dyDescent="0.25">
      <c r="D72" s="27" t="str" cm="1">
        <f t="array" ref="D72">Common_InputFunctions.Utility_DisplayArrayInTable(Fuel_SourceData.Fuel_Scope1Scope3EmissionFactorsStationaryLiquid_Data(), Table_Fuel_EFs_StationaryLiquid[[#Headers],[Fuel combusted]],0)</f>
        <v>Petroleum based products other than mentioned in the items above</v>
      </c>
      <c r="E72" s="27" cm="1">
        <f t="array" ref="E72">Common_InputFunctions.Utility_DisplayArrayInTable(Fuel_SourceData.Fuel_Scope1Scope3EmissionFactorsStationaryLiquid_Data(), Table_Fuel_EFs_StationaryLiquid[[#Headers],[Fuel combusted]],0)</f>
        <v>34.4</v>
      </c>
      <c r="F72" s="27" t="str" cm="1">
        <f t="array" ref="F72">Common_InputFunctions.Utility_DisplayArrayInTable(Fuel_SourceData.Fuel_Scope1Scope3EmissionFactorsStationaryLiquid_Data(), Table_Fuel_EFs_StationaryLiquid[[#Headers],[Fuel combusted]],0)</f>
        <v>kL</v>
      </c>
      <c r="G72" s="27" cm="1">
        <f t="array" ref="G72">Common_InputFunctions.Utility_DisplayArrayInTable(Fuel_SourceData.Fuel_Scope1Scope3EmissionFactorsStationaryLiquid_Data(), Table_Fuel_EFs_StationaryLiquid[[#Headers],[Fuel combusted]],0)</f>
        <v>69.8</v>
      </c>
      <c r="H72" s="27" cm="1">
        <f t="array" ref="H72">Common_InputFunctions.Utility_DisplayArrayInTable(Fuel_SourceData.Fuel_Scope1Scope3EmissionFactorsStationaryLiquid_Data(), Table_Fuel_EFs_StationaryLiquid[[#Headers],[Fuel combusted]],0)</f>
        <v>0.02</v>
      </c>
      <c r="I72" s="27" cm="1">
        <f t="array" ref="I72">Common_InputFunctions.Utility_DisplayArrayInTable(Fuel_SourceData.Fuel_Scope1Scope3EmissionFactorsStationaryLiquid_Data(), Table_Fuel_EFs_StationaryLiquid[[#Headers],[Fuel combusted]],0)</f>
        <v>0.1</v>
      </c>
      <c r="J72" s="27" cm="1">
        <f t="array" ref="J72">Common_InputFunctions.Utility_DisplayArrayInTable(Fuel_SourceData.Fuel_Scope1Scope3EmissionFactorsStationaryLiquid_Data(), Table_Fuel_EFs_StationaryLiquid[[#Headers],[Fuel combusted]],0)</f>
        <v>69.92</v>
      </c>
      <c r="K72" s="27" cm="1">
        <f t="array" ref="K72">Common_InputFunctions.Utility_DisplayArrayInTable(Fuel_SourceData.Fuel_Scope1Scope3EmissionFactorsStationaryLiquid_Data(), Table_Fuel_EFs_StationaryLiquid[[#Headers],[Fuel combusted]],0)</f>
        <v>18</v>
      </c>
      <c r="L72" s="17"/>
    </row>
    <row r="73" spans="4:13" ht="20.100000000000001" customHeight="1" x14ac:dyDescent="0.25">
      <c r="D73" s="27" t="str" cm="1">
        <f t="array" ref="D73">Common_InputFunctions.Utility_DisplayArrayInTable(Fuel_SourceData.Fuel_Scope1Scope3EmissionFactorsStationaryLiquid_Data(), Table_Fuel_EFs_StationaryLiquid[[#Headers],[Fuel combusted]],0)</f>
        <v>Biodiesel</v>
      </c>
      <c r="E73" s="27" cm="1">
        <f t="array" ref="E73">Common_InputFunctions.Utility_DisplayArrayInTable(Fuel_SourceData.Fuel_Scope1Scope3EmissionFactorsStationaryLiquid_Data(), Table_Fuel_EFs_StationaryLiquid[[#Headers],[Fuel combusted]],0)</f>
        <v>34.6</v>
      </c>
      <c r="F73" s="27" t="str" cm="1">
        <f t="array" ref="F73">Common_InputFunctions.Utility_DisplayArrayInTable(Fuel_SourceData.Fuel_Scope1Scope3EmissionFactorsStationaryLiquid_Data(), Table_Fuel_EFs_StationaryLiquid[[#Headers],[Fuel combusted]],0)</f>
        <v>kL</v>
      </c>
      <c r="G73" s="27" cm="1">
        <f t="array" ref="G73">Common_InputFunctions.Utility_DisplayArrayInTable(Fuel_SourceData.Fuel_Scope1Scope3EmissionFactorsStationaryLiquid_Data(), Table_Fuel_EFs_StationaryLiquid[[#Headers],[Fuel combusted]],0)</f>
        <v>0</v>
      </c>
      <c r="H73" s="27" cm="1">
        <f t="array" ref="H73">Common_InputFunctions.Utility_DisplayArrayInTable(Fuel_SourceData.Fuel_Scope1Scope3EmissionFactorsStationaryLiquid_Data(), Table_Fuel_EFs_StationaryLiquid[[#Headers],[Fuel combusted]],0)</f>
        <v>0.08</v>
      </c>
      <c r="I73" s="27" cm="1">
        <f t="array" ref="I73">Common_InputFunctions.Utility_DisplayArrayInTable(Fuel_SourceData.Fuel_Scope1Scope3EmissionFactorsStationaryLiquid_Data(), Table_Fuel_EFs_StationaryLiquid[[#Headers],[Fuel combusted]],0)</f>
        <v>0.2</v>
      </c>
      <c r="J73" s="27" cm="1">
        <f t="array" ref="J73">Common_InputFunctions.Utility_DisplayArrayInTable(Fuel_SourceData.Fuel_Scope1Scope3EmissionFactorsStationaryLiquid_Data(), Table_Fuel_EFs_StationaryLiquid[[#Headers],[Fuel combusted]],0)</f>
        <v>0.28000000000000003</v>
      </c>
      <c r="K73" s="27" t="str" cm="1">
        <f t="array" ref="K73">Common_InputFunctions.Utility_DisplayArrayInTable(Fuel_SourceData.Fuel_Scope1Scope3EmissionFactorsStationaryLiquid_Data(), Table_Fuel_EFs_StationaryLiquid[[#Headers],[Fuel combusted]],0)</f>
        <v>NE</v>
      </c>
      <c r="L73" s="17"/>
    </row>
    <row r="74" spans="4:13" ht="20.100000000000001" customHeight="1" x14ac:dyDescent="0.25">
      <c r="D74" s="27" t="str" cm="1">
        <f t="array" ref="D74">Common_InputFunctions.Utility_DisplayArrayInTable(Fuel_SourceData.Fuel_Scope1Scope3EmissionFactorsStationaryLiquid_Data(), Table_Fuel_EFs_StationaryLiquid[[#Headers],[Fuel combusted]],0)</f>
        <v>Ethanol for use as a fuel in an internal combustion engine</v>
      </c>
      <c r="E74" s="27" cm="1">
        <f t="array" ref="E74">Common_InputFunctions.Utility_DisplayArrayInTable(Fuel_SourceData.Fuel_Scope1Scope3EmissionFactorsStationaryLiquid_Data(), Table_Fuel_EFs_StationaryLiquid[[#Headers],[Fuel combusted]],0)</f>
        <v>23.4</v>
      </c>
      <c r="F74" s="27" t="str" cm="1">
        <f t="array" ref="F74">Common_InputFunctions.Utility_DisplayArrayInTable(Fuel_SourceData.Fuel_Scope1Scope3EmissionFactorsStationaryLiquid_Data(), Table_Fuel_EFs_StationaryLiquid[[#Headers],[Fuel combusted]],0)</f>
        <v>kL</v>
      </c>
      <c r="G74" s="27" cm="1">
        <f t="array" ref="G74">Common_InputFunctions.Utility_DisplayArrayInTable(Fuel_SourceData.Fuel_Scope1Scope3EmissionFactorsStationaryLiquid_Data(), Table_Fuel_EFs_StationaryLiquid[[#Headers],[Fuel combusted]],0)</f>
        <v>0</v>
      </c>
      <c r="H74" s="27" cm="1">
        <f t="array" ref="H74">Common_InputFunctions.Utility_DisplayArrayInTable(Fuel_SourceData.Fuel_Scope1Scope3EmissionFactorsStationaryLiquid_Data(), Table_Fuel_EFs_StationaryLiquid[[#Headers],[Fuel combusted]],0)</f>
        <v>0.08</v>
      </c>
      <c r="I74" s="27" cm="1">
        <f t="array" ref="I74">Common_InputFunctions.Utility_DisplayArrayInTable(Fuel_SourceData.Fuel_Scope1Scope3EmissionFactorsStationaryLiquid_Data(), Table_Fuel_EFs_StationaryLiquid[[#Headers],[Fuel combusted]],0)</f>
        <v>0.2</v>
      </c>
      <c r="J74" s="27" cm="1">
        <f t="array" ref="J74">Common_InputFunctions.Utility_DisplayArrayInTable(Fuel_SourceData.Fuel_Scope1Scope3EmissionFactorsStationaryLiquid_Data(), Table_Fuel_EFs_StationaryLiquid[[#Headers],[Fuel combusted]],0)</f>
        <v>0.28000000000000003</v>
      </c>
      <c r="K74" s="27" t="str" cm="1">
        <f t="array" ref="K74">Common_InputFunctions.Utility_DisplayArrayInTable(Fuel_SourceData.Fuel_Scope1Scope3EmissionFactorsStationaryLiquid_Data(), Table_Fuel_EFs_StationaryLiquid[[#Headers],[Fuel combusted]],0)</f>
        <v>NE</v>
      </c>
      <c r="L74" s="17"/>
    </row>
    <row r="75" spans="4:13" ht="20.100000000000001" customHeight="1" x14ac:dyDescent="0.25">
      <c r="D75" s="27" t="str" cm="1">
        <f t="array" ref="D75">Common_InputFunctions.Utility_DisplayArrayInTable(Fuel_SourceData.Fuel_Scope1Scope3EmissionFactorsStationaryLiquid_Data(), Table_Fuel_EFs_StationaryLiquid[[#Headers],[Fuel combusted]],0)</f>
        <v>Biofuels other than those mentioned in the items above and below</v>
      </c>
      <c r="E75" s="27" cm="1">
        <f t="array" ref="E75">Common_InputFunctions.Utility_DisplayArrayInTable(Fuel_SourceData.Fuel_Scope1Scope3EmissionFactorsStationaryLiquid_Data(), Table_Fuel_EFs_StationaryLiquid[[#Headers],[Fuel combusted]],0)</f>
        <v>23.4</v>
      </c>
      <c r="F75" s="27" t="str" cm="1">
        <f t="array" ref="F75">Common_InputFunctions.Utility_DisplayArrayInTable(Fuel_SourceData.Fuel_Scope1Scope3EmissionFactorsStationaryLiquid_Data(), Table_Fuel_EFs_StationaryLiquid[[#Headers],[Fuel combusted]],0)</f>
        <v>kL</v>
      </c>
      <c r="G75" s="27" cm="1">
        <f t="array" ref="G75">Common_InputFunctions.Utility_DisplayArrayInTable(Fuel_SourceData.Fuel_Scope1Scope3EmissionFactorsStationaryLiquid_Data(), Table_Fuel_EFs_StationaryLiquid[[#Headers],[Fuel combusted]],0)</f>
        <v>0</v>
      </c>
      <c r="H75" s="27" cm="1">
        <f t="array" ref="H75">Common_InputFunctions.Utility_DisplayArrayInTable(Fuel_SourceData.Fuel_Scope1Scope3EmissionFactorsStationaryLiquid_Data(), Table_Fuel_EFs_StationaryLiquid[[#Headers],[Fuel combusted]],0)</f>
        <v>0.08</v>
      </c>
      <c r="I75" s="27" cm="1">
        <f t="array" ref="I75">Common_InputFunctions.Utility_DisplayArrayInTable(Fuel_SourceData.Fuel_Scope1Scope3EmissionFactorsStationaryLiquid_Data(), Table_Fuel_EFs_StationaryLiquid[[#Headers],[Fuel combusted]],0)</f>
        <v>0.2</v>
      </c>
      <c r="J75" s="27" cm="1">
        <f t="array" ref="J75">Common_InputFunctions.Utility_DisplayArrayInTable(Fuel_SourceData.Fuel_Scope1Scope3EmissionFactorsStationaryLiquid_Data(), Table_Fuel_EFs_StationaryLiquid[[#Headers],[Fuel combusted]],0)</f>
        <v>0.28000000000000003</v>
      </c>
      <c r="K75" s="27" t="str" cm="1">
        <f t="array" ref="K75">Common_InputFunctions.Utility_DisplayArrayInTable(Fuel_SourceData.Fuel_Scope1Scope3EmissionFactorsStationaryLiquid_Data(), Table_Fuel_EFs_StationaryLiquid[[#Headers],[Fuel combusted]],0)</f>
        <v>NE</v>
      </c>
      <c r="L75" s="17"/>
    </row>
    <row r="76" spans="4:13" ht="20.100000000000001" customHeight="1" x14ac:dyDescent="0.25">
      <c r="D76" s="27" t="str" cm="1">
        <f t="array" ref="D76">Common_InputFunctions.Utility_DisplayArrayInTable(Fuel_SourceData.Fuel_Scope1Scope3EmissionFactorsStationaryLiquid_Data(), Table_Fuel_EFs_StationaryLiquid[[#Headers],[Fuel combusted]],0)</f>
        <v>Renewable aviation kerosene</v>
      </c>
      <c r="E76" s="27" cm="1">
        <f t="array" ref="E76">Common_InputFunctions.Utility_DisplayArrayInTable(Fuel_SourceData.Fuel_Scope1Scope3EmissionFactorsStationaryLiquid_Data(), Table_Fuel_EFs_StationaryLiquid[[#Headers],[Fuel combusted]],0)</f>
        <v>36.799999999999997</v>
      </c>
      <c r="F76" s="27" t="str" cm="1">
        <f t="array" ref="F76">Common_InputFunctions.Utility_DisplayArrayInTable(Fuel_SourceData.Fuel_Scope1Scope3EmissionFactorsStationaryLiquid_Data(), Table_Fuel_EFs_StationaryLiquid[[#Headers],[Fuel combusted]],0)</f>
        <v>kL</v>
      </c>
      <c r="G76" s="27" cm="1">
        <f t="array" ref="G76">Common_InputFunctions.Utility_DisplayArrayInTable(Fuel_SourceData.Fuel_Scope1Scope3EmissionFactorsStationaryLiquid_Data(), Table_Fuel_EFs_StationaryLiquid[[#Headers],[Fuel combusted]],0)</f>
        <v>0</v>
      </c>
      <c r="H76" s="27" cm="1">
        <f t="array" ref="H76">Common_InputFunctions.Utility_DisplayArrayInTable(Fuel_SourceData.Fuel_Scope1Scope3EmissionFactorsStationaryLiquid_Data(), Table_Fuel_EFs_StationaryLiquid[[#Headers],[Fuel combusted]],0)</f>
        <v>0.02</v>
      </c>
      <c r="I76" s="27" cm="1">
        <f t="array" ref="I76">Common_InputFunctions.Utility_DisplayArrayInTable(Fuel_SourceData.Fuel_Scope1Scope3EmissionFactorsStationaryLiquid_Data(), Table_Fuel_EFs_StationaryLiquid[[#Headers],[Fuel combusted]],0)</f>
        <v>0.2</v>
      </c>
      <c r="J76" s="27" cm="1">
        <f t="array" ref="J76">Common_InputFunctions.Utility_DisplayArrayInTable(Fuel_SourceData.Fuel_Scope1Scope3EmissionFactorsStationaryLiquid_Data(), Table_Fuel_EFs_StationaryLiquid[[#Headers],[Fuel combusted]],0)</f>
        <v>0.22</v>
      </c>
      <c r="K76" s="27" t="str" cm="1">
        <f t="array" ref="K76">Common_InputFunctions.Utility_DisplayArrayInTable(Fuel_SourceData.Fuel_Scope1Scope3EmissionFactorsStationaryLiquid_Data(), Table_Fuel_EFs_StationaryLiquid[[#Headers],[Fuel combusted]],0)</f>
        <v>NE</v>
      </c>
      <c r="L76" s="17"/>
    </row>
    <row r="77" spans="4:13" ht="20.100000000000001" customHeight="1" x14ac:dyDescent="0.25">
      <c r="D77" s="27" t="str" cm="1">
        <f t="array" ref="D77">Common_InputFunctions.Utility_DisplayArrayInTable(Fuel_SourceData.Fuel_Scope1Scope3EmissionFactorsStationaryLiquid_Data(), Table_Fuel_EFs_StationaryLiquid[[#Headers],[Fuel combusted]],0)</f>
        <v>Renewable diesel</v>
      </c>
      <c r="E77" s="27" cm="1">
        <f t="array" ref="E77">Common_InputFunctions.Utility_DisplayArrayInTable(Fuel_SourceData.Fuel_Scope1Scope3EmissionFactorsStationaryLiquid_Data(), Table_Fuel_EFs_StationaryLiquid[[#Headers],[Fuel combusted]],0)</f>
        <v>38.6</v>
      </c>
      <c r="F77" s="27" t="str" cm="1">
        <f t="array" ref="F77">Common_InputFunctions.Utility_DisplayArrayInTable(Fuel_SourceData.Fuel_Scope1Scope3EmissionFactorsStationaryLiquid_Data(), Table_Fuel_EFs_StationaryLiquid[[#Headers],[Fuel combusted]],0)</f>
        <v>kL</v>
      </c>
      <c r="G77" s="27" cm="1">
        <f t="array" ref="G77">Common_InputFunctions.Utility_DisplayArrayInTable(Fuel_SourceData.Fuel_Scope1Scope3EmissionFactorsStationaryLiquid_Data(), Table_Fuel_EFs_StationaryLiquid[[#Headers],[Fuel combusted]],0)</f>
        <v>0</v>
      </c>
      <c r="H77" s="27" cm="1">
        <f t="array" ref="H77">Common_InputFunctions.Utility_DisplayArrayInTable(Fuel_SourceData.Fuel_Scope1Scope3EmissionFactorsStationaryLiquid_Data(), Table_Fuel_EFs_StationaryLiquid[[#Headers],[Fuel combusted]],0)</f>
        <v>0.1</v>
      </c>
      <c r="I77" s="27" cm="1">
        <f t="array" ref="I77">Common_InputFunctions.Utility_DisplayArrayInTable(Fuel_SourceData.Fuel_Scope1Scope3EmissionFactorsStationaryLiquid_Data(), Table_Fuel_EFs_StationaryLiquid[[#Headers],[Fuel combusted]],0)</f>
        <v>0.2</v>
      </c>
      <c r="J77" s="27" cm="1">
        <f t="array" ref="J77">Common_InputFunctions.Utility_DisplayArrayInTable(Fuel_SourceData.Fuel_Scope1Scope3EmissionFactorsStationaryLiquid_Data(), Table_Fuel_EFs_StationaryLiquid[[#Headers],[Fuel combusted]],0)</f>
        <v>0.3</v>
      </c>
      <c r="K77" s="27" t="str" cm="1">
        <f t="array" ref="K77">Common_InputFunctions.Utility_DisplayArrayInTable(Fuel_SourceData.Fuel_Scope1Scope3EmissionFactorsStationaryLiquid_Data(), Table_Fuel_EFs_StationaryLiquid[[#Headers],[Fuel combusted]],0)</f>
        <v>NE</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tr" cm="1">
        <f t="array" ref="D81">Fuel_SourceData.Fuel_Scope1EmissionFactorsStationaryGaseous_Title()</f>
        <v>Fuel scope 1 emission factors - Stationary gaseous fuels</v>
      </c>
      <c r="E81" s="17"/>
      <c r="F81" s="17"/>
      <c r="G81" s="17"/>
      <c r="H81" s="17"/>
      <c r="I81" s="17"/>
      <c r="J81" s="17"/>
      <c r="K81" s="17"/>
      <c r="L81" s="17"/>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4:12" ht="20.100000000000001" customHeight="1" x14ac:dyDescent="0.25">
      <c r="D83" s="11" t="str" cm="1">
        <f t="array" ref="D83">Fuel_SourceData.Fuel_Scope1EmissionFactorsStationaryGaseous_Source()</f>
        <v>Australian National Greenhouse Accounts Factors 2025 - Table 5</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tr" cm="1">
        <f t="array" ref="D87">Common_InputFunctions.Utility_DisplayArrayInTable(Fuel_SourceData.Fuel_Scope1EmissionFactorsStationaryGaseous_Data(), Table_Fuel_EFs_StationaryGaseous[[#Headers],[Fuel combusted]],0)</f>
        <v>Natural gas distributed in a pipeline</v>
      </c>
      <c r="E87" s="27" cm="1">
        <f t="array" ref="E87">Common_InputFunctions.Utility_DisplayArrayInTable(Fuel_SourceData.Fuel_Scope1EmissionFactorsStationaryGaseous_Data(), Table_Fuel_EFs_StationaryGaseous[[#Headers],[Fuel combusted]],0)</f>
        <v>3.9300000000000002E-2</v>
      </c>
      <c r="F87" s="27" t="str" cm="1">
        <f t="array" ref="F87">Common_InputFunctions.Utility_DisplayArrayInTable(Fuel_SourceData.Fuel_Scope1EmissionFactorsStationaryGaseous_Data(), Table_Fuel_EFs_StationaryGaseous[[#Headers],[Fuel combusted]],0)</f>
        <v>m3</v>
      </c>
      <c r="G87" s="27" cm="1">
        <f t="array" ref="G87">Common_InputFunctions.Utility_DisplayArrayInTable(Fuel_SourceData.Fuel_Scope1EmissionFactorsStationaryGaseous_Data(), Table_Fuel_EFs_StationaryGaseous[[#Headers],[Fuel combusted]],0)</f>
        <v>51.4</v>
      </c>
      <c r="H87" s="27" cm="1">
        <f t="array" ref="H87">Common_InputFunctions.Utility_DisplayArrayInTable(Fuel_SourceData.Fuel_Scope1EmissionFactorsStationaryGaseous_Data(), Table_Fuel_EFs_StationaryGaseous[[#Headers],[Fuel combusted]],0)</f>
        <v>0.1</v>
      </c>
      <c r="I87" s="27" cm="1">
        <f t="array" ref="I87">Common_InputFunctions.Utility_DisplayArrayInTable(Fuel_SourceData.Fuel_Scope1EmissionFactorsStationaryGaseous_Data(), Table_Fuel_EFs_StationaryGaseous[[#Headers],[Fuel combusted]],0)</f>
        <v>0.03</v>
      </c>
      <c r="J87" s="27" cm="1">
        <f t="array" ref="J87">Common_InputFunctions.Utility_DisplayArrayInTable(Fuel_SourceData.Fuel_Scope1EmissionFactorsStationaryGaseous_Data(), Table_Fuel_EFs_StationaryGaseous[[#Headers],[Fuel combusted]],0)</f>
        <v>51.53</v>
      </c>
      <c r="K87" s="17"/>
      <c r="L87" s="17"/>
    </row>
    <row r="88" spans="4:12" ht="20.100000000000001" customHeight="1" x14ac:dyDescent="0.25">
      <c r="D88" s="27" t="str" cm="1">
        <f t="array" ref="D88">Common_InputFunctions.Utility_DisplayArrayInTable(Fuel_SourceData.Fuel_Scope1EmissionFactorsStationaryGaseous_Data(), Table_Fuel_EFs_StationaryGaseous[[#Headers],[Fuel combusted]],0)</f>
        <v>Coal seam methane that is captured for combustion</v>
      </c>
      <c r="E88" s="27" cm="1">
        <f t="array" ref="E88">Common_InputFunctions.Utility_DisplayArrayInTable(Fuel_SourceData.Fuel_Scope1EmissionFactorsStationaryGaseous_Data(), Table_Fuel_EFs_StationaryGaseous[[#Headers],[Fuel combusted]],0)</f>
        <v>3.7699999999999997E-2</v>
      </c>
      <c r="F88" s="27" t="str" cm="1">
        <f t="array" ref="F88">Common_InputFunctions.Utility_DisplayArrayInTable(Fuel_SourceData.Fuel_Scope1EmissionFactorsStationaryGaseous_Data(), Table_Fuel_EFs_StationaryGaseous[[#Headers],[Fuel combusted]],0)</f>
        <v>m3</v>
      </c>
      <c r="G88" s="27" cm="1">
        <f t="array" ref="G88">Common_InputFunctions.Utility_DisplayArrayInTable(Fuel_SourceData.Fuel_Scope1EmissionFactorsStationaryGaseous_Data(), Table_Fuel_EFs_StationaryGaseous[[#Headers],[Fuel combusted]],0)</f>
        <v>51.4</v>
      </c>
      <c r="H88" s="27" cm="1">
        <f t="array" ref="H88">Common_InputFunctions.Utility_DisplayArrayInTable(Fuel_SourceData.Fuel_Scope1EmissionFactorsStationaryGaseous_Data(), Table_Fuel_EFs_StationaryGaseous[[#Headers],[Fuel combusted]],0)</f>
        <v>0.2</v>
      </c>
      <c r="I88" s="27" cm="1">
        <f t="array" ref="I88">Common_InputFunctions.Utility_DisplayArrayInTable(Fuel_SourceData.Fuel_Scope1EmissionFactorsStationaryGaseous_Data(), Table_Fuel_EFs_StationaryGaseous[[#Headers],[Fuel combusted]],0)</f>
        <v>0.03</v>
      </c>
      <c r="J88" s="27" cm="1">
        <f t="array" ref="J88">Common_InputFunctions.Utility_DisplayArrayInTable(Fuel_SourceData.Fuel_Scope1EmissionFactorsStationaryGaseous_Data(), Table_Fuel_EFs_StationaryGaseous[[#Headers],[Fuel combusted]],0)</f>
        <v>51.63</v>
      </c>
      <c r="K88" s="17"/>
      <c r="L88" s="17"/>
    </row>
    <row r="89" spans="4:12" ht="20.100000000000001" customHeight="1" x14ac:dyDescent="0.25">
      <c r="D89" s="27" t="str" cm="1">
        <f t="array" ref="D89">Common_InputFunctions.Utility_DisplayArrayInTable(Fuel_SourceData.Fuel_Scope1EmissionFactorsStationaryGaseous_Data(), Table_Fuel_EFs_StationaryGaseous[[#Headers],[Fuel combusted]],0)</f>
        <v>Coal mine waste gas that is captured for combustion</v>
      </c>
      <c r="E89" s="27" cm="1">
        <f t="array" ref="E89">Common_InputFunctions.Utility_DisplayArrayInTable(Fuel_SourceData.Fuel_Scope1EmissionFactorsStationaryGaseous_Data(), Table_Fuel_EFs_StationaryGaseous[[#Headers],[Fuel combusted]],0)</f>
        <v>3.7699999999999997E-2</v>
      </c>
      <c r="F89" s="27" t="str" cm="1">
        <f t="array" ref="F89">Common_InputFunctions.Utility_DisplayArrayInTable(Fuel_SourceData.Fuel_Scope1EmissionFactorsStationaryGaseous_Data(), Table_Fuel_EFs_StationaryGaseous[[#Headers],[Fuel combusted]],0)</f>
        <v>m3</v>
      </c>
      <c r="G89" s="27" cm="1">
        <f t="array" ref="G89">Common_InputFunctions.Utility_DisplayArrayInTable(Fuel_SourceData.Fuel_Scope1EmissionFactorsStationaryGaseous_Data(), Table_Fuel_EFs_StationaryGaseous[[#Headers],[Fuel combusted]],0)</f>
        <v>51.9</v>
      </c>
      <c r="H89" s="27" cm="1">
        <f t="array" ref="H89">Common_InputFunctions.Utility_DisplayArrayInTable(Fuel_SourceData.Fuel_Scope1EmissionFactorsStationaryGaseous_Data(), Table_Fuel_EFs_StationaryGaseous[[#Headers],[Fuel combusted]],0)</f>
        <v>4.5999999999999996</v>
      </c>
      <c r="I89" s="27" cm="1">
        <f t="array" ref="I89">Common_InputFunctions.Utility_DisplayArrayInTable(Fuel_SourceData.Fuel_Scope1EmissionFactorsStationaryGaseous_Data(), Table_Fuel_EFs_StationaryGaseous[[#Headers],[Fuel combusted]],0)</f>
        <v>0.3</v>
      </c>
      <c r="J89" s="27" cm="1">
        <f t="array" ref="J89">Common_InputFunctions.Utility_DisplayArrayInTable(Fuel_SourceData.Fuel_Scope1EmissionFactorsStationaryGaseous_Data(), Table_Fuel_EFs_StationaryGaseous[[#Headers],[Fuel combusted]],0)</f>
        <v>56.8</v>
      </c>
      <c r="K89" s="17"/>
      <c r="L89" s="17"/>
    </row>
    <row r="90" spans="4:12" ht="20.100000000000001" customHeight="1" x14ac:dyDescent="0.25">
      <c r="D90" s="27" t="str" cm="1">
        <f t="array" ref="D90">Common_InputFunctions.Utility_DisplayArrayInTable(Fuel_SourceData.Fuel_Scope1EmissionFactorsStationaryGaseous_Data(), Table_Fuel_EFs_StationaryGaseous[[#Headers],[Fuel combusted]],0)</f>
        <v>Compressed natural gas(reverting to standard conditions)</v>
      </c>
      <c r="E90" s="27" cm="1">
        <f t="array" ref="E90">Common_InputFunctions.Utility_DisplayArrayInTable(Fuel_SourceData.Fuel_Scope1EmissionFactorsStationaryGaseous_Data(), Table_Fuel_EFs_StationaryGaseous[[#Headers],[Fuel combusted]],0)</f>
        <v>3.9300000000000002E-2</v>
      </c>
      <c r="F90" s="27" t="str" cm="1">
        <f t="array" ref="F90">Common_InputFunctions.Utility_DisplayArrayInTable(Fuel_SourceData.Fuel_Scope1EmissionFactorsStationaryGaseous_Data(), Table_Fuel_EFs_StationaryGaseous[[#Headers],[Fuel combusted]],0)</f>
        <v>m3</v>
      </c>
      <c r="G90" s="27" cm="1">
        <f t="array" ref="G90">Common_InputFunctions.Utility_DisplayArrayInTable(Fuel_SourceData.Fuel_Scope1EmissionFactorsStationaryGaseous_Data(), Table_Fuel_EFs_StationaryGaseous[[#Headers],[Fuel combusted]],0)</f>
        <v>51.4</v>
      </c>
      <c r="H90" s="27" cm="1">
        <f t="array" ref="H90">Common_InputFunctions.Utility_DisplayArrayInTable(Fuel_SourceData.Fuel_Scope1EmissionFactorsStationaryGaseous_Data(), Table_Fuel_EFs_StationaryGaseous[[#Headers],[Fuel combusted]],0)</f>
        <v>0.1</v>
      </c>
      <c r="I90" s="27" cm="1">
        <f t="array" ref="I90">Common_InputFunctions.Utility_DisplayArrayInTable(Fuel_SourceData.Fuel_Scope1EmissionFactorsStationaryGaseous_Data(), Table_Fuel_EFs_StationaryGaseous[[#Headers],[Fuel combusted]],0)</f>
        <v>0.03</v>
      </c>
      <c r="J90" s="27" cm="1">
        <f t="array" ref="J90">Common_InputFunctions.Utility_DisplayArrayInTable(Fuel_SourceData.Fuel_Scope1EmissionFactorsStationaryGaseous_Data(), Table_Fuel_EFs_StationaryGaseous[[#Headers],[Fuel combusted]],0)</f>
        <v>51.53</v>
      </c>
      <c r="K90" s="17"/>
      <c r="L90" s="17"/>
    </row>
    <row r="91" spans="4:12" ht="20.100000000000001" customHeight="1" x14ac:dyDescent="0.25">
      <c r="D91" s="27" t="str" cm="1">
        <f t="array" ref="D91">Common_InputFunctions.Utility_DisplayArrayInTable(Fuel_SourceData.Fuel_Scope1EmissionFactorsStationaryGaseous_Data(), Table_Fuel_EFs_StationaryGaseous[[#Headers],[Fuel combusted]],0)</f>
        <v>Unprocessed natural gas</v>
      </c>
      <c r="E91" s="27" cm="1">
        <f t="array" ref="E91">Common_InputFunctions.Utility_DisplayArrayInTable(Fuel_SourceData.Fuel_Scope1EmissionFactorsStationaryGaseous_Data(), Table_Fuel_EFs_StationaryGaseous[[#Headers],[Fuel combusted]],0)</f>
        <v>3.9300000000000002E-2</v>
      </c>
      <c r="F91" s="27" t="str" cm="1">
        <f t="array" ref="F91">Common_InputFunctions.Utility_DisplayArrayInTable(Fuel_SourceData.Fuel_Scope1EmissionFactorsStationaryGaseous_Data(), Table_Fuel_EFs_StationaryGaseous[[#Headers],[Fuel combusted]],0)</f>
        <v>m3</v>
      </c>
      <c r="G91" s="27" cm="1">
        <f t="array" ref="G91">Common_InputFunctions.Utility_DisplayArrayInTable(Fuel_SourceData.Fuel_Scope1EmissionFactorsStationaryGaseous_Data(), Table_Fuel_EFs_StationaryGaseous[[#Headers],[Fuel combusted]],0)</f>
        <v>51.4</v>
      </c>
      <c r="H91" s="27" cm="1">
        <f t="array" ref="H91">Common_InputFunctions.Utility_DisplayArrayInTable(Fuel_SourceData.Fuel_Scope1EmissionFactorsStationaryGaseous_Data(), Table_Fuel_EFs_StationaryGaseous[[#Headers],[Fuel combusted]],0)</f>
        <v>0.1</v>
      </c>
      <c r="I91" s="27" cm="1">
        <f t="array" ref="I91">Common_InputFunctions.Utility_DisplayArrayInTable(Fuel_SourceData.Fuel_Scope1EmissionFactorsStationaryGaseous_Data(), Table_Fuel_EFs_StationaryGaseous[[#Headers],[Fuel combusted]],0)</f>
        <v>0.03</v>
      </c>
      <c r="J91" s="27" cm="1">
        <f t="array" ref="J91">Common_InputFunctions.Utility_DisplayArrayInTable(Fuel_SourceData.Fuel_Scope1EmissionFactorsStationaryGaseous_Data(), Table_Fuel_EFs_StationaryGaseous[[#Headers],[Fuel combusted]],0)</f>
        <v>51.53</v>
      </c>
      <c r="K91" s="17"/>
      <c r="L91" s="17"/>
    </row>
    <row r="92" spans="4:12" ht="20.100000000000001" customHeight="1" x14ac:dyDescent="0.25">
      <c r="D92" s="27" t="str" cm="1">
        <f t="array" ref="D92">Common_InputFunctions.Utility_DisplayArrayInTable(Fuel_SourceData.Fuel_Scope1EmissionFactorsStationaryGaseous_Data(), Table_Fuel_EFs_StationaryGaseous[[#Headers],[Fuel combusted]],0)</f>
        <v>Ethane</v>
      </c>
      <c r="E92" s="27" cm="1">
        <f t="array" ref="E92">Common_InputFunctions.Utility_DisplayArrayInTable(Fuel_SourceData.Fuel_Scope1EmissionFactorsStationaryGaseous_Data(), Table_Fuel_EFs_StationaryGaseous[[#Headers],[Fuel combusted]],0)</f>
        <v>6.2899999999999998E-2</v>
      </c>
      <c r="F92" s="27" t="str" cm="1">
        <f t="array" ref="F92">Common_InputFunctions.Utility_DisplayArrayInTable(Fuel_SourceData.Fuel_Scope1EmissionFactorsStationaryGaseous_Data(), Table_Fuel_EFs_StationaryGaseous[[#Headers],[Fuel combusted]],0)</f>
        <v>m3</v>
      </c>
      <c r="G92" s="27" cm="1">
        <f t="array" ref="G92">Common_InputFunctions.Utility_DisplayArrayInTable(Fuel_SourceData.Fuel_Scope1EmissionFactorsStationaryGaseous_Data(), Table_Fuel_EFs_StationaryGaseous[[#Headers],[Fuel combusted]],0)</f>
        <v>56.5</v>
      </c>
      <c r="H92" s="27" cm="1">
        <f t="array" ref="H92">Common_InputFunctions.Utility_DisplayArrayInTable(Fuel_SourceData.Fuel_Scope1EmissionFactorsStationaryGaseous_Data(), Table_Fuel_EFs_StationaryGaseous[[#Headers],[Fuel combusted]],0)</f>
        <v>0.03</v>
      </c>
      <c r="I92" s="27" cm="1">
        <f t="array" ref="I92">Common_InputFunctions.Utility_DisplayArrayInTable(Fuel_SourceData.Fuel_Scope1EmissionFactorsStationaryGaseous_Data(), Table_Fuel_EFs_StationaryGaseous[[#Headers],[Fuel combusted]],0)</f>
        <v>0.03</v>
      </c>
      <c r="J92" s="27" cm="1">
        <f t="array" ref="J92">Common_InputFunctions.Utility_DisplayArrayInTable(Fuel_SourceData.Fuel_Scope1EmissionFactorsStationaryGaseous_Data(), Table_Fuel_EFs_StationaryGaseous[[#Headers],[Fuel combusted]],0)</f>
        <v>56.56</v>
      </c>
      <c r="K92" s="17"/>
      <c r="L92" s="17"/>
    </row>
    <row r="93" spans="4:12" ht="20.100000000000001" customHeight="1" x14ac:dyDescent="0.25">
      <c r="D93" s="27" t="str" cm="1">
        <f t="array" ref="D93">Common_InputFunctions.Utility_DisplayArrayInTable(Fuel_SourceData.Fuel_Scope1EmissionFactorsStationaryGaseous_Data(), Table_Fuel_EFs_StationaryGaseous[[#Headers],[Fuel combusted]],0)</f>
        <v>Coke oven gas</v>
      </c>
      <c r="E93" s="27" cm="1">
        <f t="array" ref="E93">Common_InputFunctions.Utility_DisplayArrayInTable(Fuel_SourceData.Fuel_Scope1EmissionFactorsStationaryGaseous_Data(), Table_Fuel_EFs_StationaryGaseous[[#Headers],[Fuel combusted]],0)</f>
        <v>1.8100000000000002E-2</v>
      </c>
      <c r="F93" s="27" t="str" cm="1">
        <f t="array" ref="F93">Common_InputFunctions.Utility_DisplayArrayInTable(Fuel_SourceData.Fuel_Scope1EmissionFactorsStationaryGaseous_Data(), Table_Fuel_EFs_StationaryGaseous[[#Headers],[Fuel combusted]],0)</f>
        <v>m3</v>
      </c>
      <c r="G93" s="27" cm="1">
        <f t="array" ref="G93">Common_InputFunctions.Utility_DisplayArrayInTable(Fuel_SourceData.Fuel_Scope1EmissionFactorsStationaryGaseous_Data(), Table_Fuel_EFs_StationaryGaseous[[#Headers],[Fuel combusted]],0)</f>
        <v>37</v>
      </c>
      <c r="H93" s="27" cm="1">
        <f t="array" ref="H93">Common_InputFunctions.Utility_DisplayArrayInTable(Fuel_SourceData.Fuel_Scope1EmissionFactorsStationaryGaseous_Data(), Table_Fuel_EFs_StationaryGaseous[[#Headers],[Fuel combusted]],0)</f>
        <v>0.03</v>
      </c>
      <c r="I93" s="27" cm="1">
        <f t="array" ref="I93">Common_InputFunctions.Utility_DisplayArrayInTable(Fuel_SourceData.Fuel_Scope1EmissionFactorsStationaryGaseous_Data(), Table_Fuel_EFs_StationaryGaseous[[#Headers],[Fuel combusted]],0)</f>
        <v>0.05</v>
      </c>
      <c r="J93" s="27" cm="1">
        <f t="array" ref="J93">Common_InputFunctions.Utility_DisplayArrayInTable(Fuel_SourceData.Fuel_Scope1EmissionFactorsStationaryGaseous_Data(), Table_Fuel_EFs_StationaryGaseous[[#Headers],[Fuel combusted]],0)</f>
        <v>37.08</v>
      </c>
      <c r="K93" s="17"/>
      <c r="L93" s="17"/>
    </row>
    <row r="94" spans="4:12" ht="20.100000000000001" customHeight="1" x14ac:dyDescent="0.25">
      <c r="D94" s="27" t="str" cm="1">
        <f t="array" ref="D94">Common_InputFunctions.Utility_DisplayArrayInTable(Fuel_SourceData.Fuel_Scope1EmissionFactorsStationaryGaseous_Data(), Table_Fuel_EFs_StationaryGaseous[[#Headers],[Fuel combusted]],0)</f>
        <v>Blast furnace gas</v>
      </c>
      <c r="E94" s="27" cm="1">
        <f t="array" ref="E94">Common_InputFunctions.Utility_DisplayArrayInTable(Fuel_SourceData.Fuel_Scope1EmissionFactorsStationaryGaseous_Data(), Table_Fuel_EFs_StationaryGaseous[[#Headers],[Fuel combusted]],0)</f>
        <v>4.0000000000000001E-3</v>
      </c>
      <c r="F94" s="27" t="str" cm="1">
        <f t="array" ref="F94">Common_InputFunctions.Utility_DisplayArrayInTable(Fuel_SourceData.Fuel_Scope1EmissionFactorsStationaryGaseous_Data(), Table_Fuel_EFs_StationaryGaseous[[#Headers],[Fuel combusted]],0)</f>
        <v>m3</v>
      </c>
      <c r="G94" s="27" cm="1">
        <f t="array" ref="G94">Common_InputFunctions.Utility_DisplayArrayInTable(Fuel_SourceData.Fuel_Scope1EmissionFactorsStationaryGaseous_Data(), Table_Fuel_EFs_StationaryGaseous[[#Headers],[Fuel combusted]],0)</f>
        <v>234</v>
      </c>
      <c r="H94" s="27" cm="1">
        <f t="array" ref="H94">Common_InputFunctions.Utility_DisplayArrayInTable(Fuel_SourceData.Fuel_Scope1EmissionFactorsStationaryGaseous_Data(), Table_Fuel_EFs_StationaryGaseous[[#Headers],[Fuel combusted]],0)</f>
        <v>0.03</v>
      </c>
      <c r="I94" s="27" cm="1">
        <f t="array" ref="I94">Common_InputFunctions.Utility_DisplayArrayInTable(Fuel_SourceData.Fuel_Scope1EmissionFactorsStationaryGaseous_Data(), Table_Fuel_EFs_StationaryGaseous[[#Headers],[Fuel combusted]],0)</f>
        <v>0.02</v>
      </c>
      <c r="J94" s="27" cm="1">
        <f t="array" ref="J94">Common_InputFunctions.Utility_DisplayArrayInTable(Fuel_SourceData.Fuel_Scope1EmissionFactorsStationaryGaseous_Data(), Table_Fuel_EFs_StationaryGaseous[[#Headers],[Fuel combusted]],0)</f>
        <v>234.05</v>
      </c>
      <c r="K94" s="17"/>
      <c r="L94" s="17"/>
    </row>
    <row r="95" spans="4:12" ht="20.100000000000001" customHeight="1" x14ac:dyDescent="0.25">
      <c r="D95" s="27" t="str" cm="1">
        <f t="array" ref="D95">Common_InputFunctions.Utility_DisplayArrayInTable(Fuel_SourceData.Fuel_Scope1EmissionFactorsStationaryGaseous_Data(), Table_Fuel_EFs_StationaryGaseous[[#Headers],[Fuel combusted]],0)</f>
        <v>Town gas</v>
      </c>
      <c r="E95" s="27" cm="1">
        <f t="array" ref="E95">Common_InputFunctions.Utility_DisplayArrayInTable(Fuel_SourceData.Fuel_Scope1EmissionFactorsStationaryGaseous_Data(), Table_Fuel_EFs_StationaryGaseous[[#Headers],[Fuel combusted]],0)</f>
        <v>3.9E-2</v>
      </c>
      <c r="F95" s="27" t="str" cm="1">
        <f t="array" ref="F95">Common_InputFunctions.Utility_DisplayArrayInTable(Fuel_SourceData.Fuel_Scope1EmissionFactorsStationaryGaseous_Data(), Table_Fuel_EFs_StationaryGaseous[[#Headers],[Fuel combusted]],0)</f>
        <v>m3</v>
      </c>
      <c r="G95" s="27" cm="1">
        <f t="array" ref="G95">Common_InputFunctions.Utility_DisplayArrayInTable(Fuel_SourceData.Fuel_Scope1EmissionFactorsStationaryGaseous_Data(), Table_Fuel_EFs_StationaryGaseous[[#Headers],[Fuel combusted]],0)</f>
        <v>60.2</v>
      </c>
      <c r="H95" s="27" cm="1">
        <f t="array" ref="H95">Common_InputFunctions.Utility_DisplayArrayInTable(Fuel_SourceData.Fuel_Scope1EmissionFactorsStationaryGaseous_Data(), Table_Fuel_EFs_StationaryGaseous[[#Headers],[Fuel combusted]],0)</f>
        <v>0.04</v>
      </c>
      <c r="I95" s="27" cm="1">
        <f t="array" ref="I95">Common_InputFunctions.Utility_DisplayArrayInTable(Fuel_SourceData.Fuel_Scope1EmissionFactorsStationaryGaseous_Data(), Table_Fuel_EFs_StationaryGaseous[[#Headers],[Fuel combusted]],0)</f>
        <v>0.03</v>
      </c>
      <c r="J95" s="27" cm="1">
        <f t="array" ref="J95">Common_InputFunctions.Utility_DisplayArrayInTable(Fuel_SourceData.Fuel_Scope1EmissionFactorsStationaryGaseous_Data(), Table_Fuel_EFs_StationaryGaseous[[#Headers],[Fuel combusted]],0)</f>
        <v>60.27</v>
      </c>
      <c r="K95" s="17"/>
      <c r="L95" s="17"/>
    </row>
    <row r="96" spans="4:12" ht="20.100000000000001" customHeight="1" x14ac:dyDescent="0.25">
      <c r="D96" s="27" t="str" cm="1">
        <f t="array" ref="D96">Common_InputFunctions.Utility_DisplayArrayInTable(Fuel_SourceData.Fuel_Scope1EmissionFactorsStationaryGaseous_Data(), Table_Fuel_EFs_StationaryGaseous[[#Headers],[Fuel combusted]],0)</f>
        <v>Liquefied natural gas</v>
      </c>
      <c r="E96" s="27" cm="1">
        <f t="array" ref="E96">Common_InputFunctions.Utility_DisplayArrayInTable(Fuel_SourceData.Fuel_Scope1EmissionFactorsStationaryGaseous_Data(), Table_Fuel_EFs_StationaryGaseous[[#Headers],[Fuel combusted]],0)</f>
        <v>25.3</v>
      </c>
      <c r="F96" s="27" t="str" cm="1">
        <f t="array" ref="F96">Common_InputFunctions.Utility_DisplayArrayInTable(Fuel_SourceData.Fuel_Scope1EmissionFactorsStationaryGaseous_Data(), Table_Fuel_EFs_StationaryGaseous[[#Headers],[Fuel combusted]],0)</f>
        <v>kL</v>
      </c>
      <c r="G96" s="27" cm="1">
        <f t="array" ref="G96">Common_InputFunctions.Utility_DisplayArrayInTable(Fuel_SourceData.Fuel_Scope1EmissionFactorsStationaryGaseous_Data(), Table_Fuel_EFs_StationaryGaseous[[#Headers],[Fuel combusted]],0)</f>
        <v>51.4</v>
      </c>
      <c r="H96" s="27" cm="1">
        <f t="array" ref="H96">Common_InputFunctions.Utility_DisplayArrayInTable(Fuel_SourceData.Fuel_Scope1EmissionFactorsStationaryGaseous_Data(), Table_Fuel_EFs_StationaryGaseous[[#Headers],[Fuel combusted]],0)</f>
        <v>0.1</v>
      </c>
      <c r="I96" s="27" cm="1">
        <f t="array" ref="I96">Common_InputFunctions.Utility_DisplayArrayInTable(Fuel_SourceData.Fuel_Scope1EmissionFactorsStationaryGaseous_Data(), Table_Fuel_EFs_StationaryGaseous[[#Headers],[Fuel combusted]],0)</f>
        <v>0.03</v>
      </c>
      <c r="J96" s="27" cm="1">
        <f t="array" ref="J96">Common_InputFunctions.Utility_DisplayArrayInTable(Fuel_SourceData.Fuel_Scope1EmissionFactorsStationaryGaseous_Data(), Table_Fuel_EFs_StationaryGaseous[[#Headers],[Fuel combusted]],0)</f>
        <v>51.53</v>
      </c>
      <c r="K96" s="17"/>
      <c r="L96" s="17"/>
    </row>
    <row r="97" spans="4:13" ht="20.100000000000001" customHeight="1" x14ac:dyDescent="0.25">
      <c r="D97" s="27" t="str" cm="1">
        <f t="array" ref="D97">Common_InputFunctions.Utility_DisplayArrayInTable(Fuel_SourceData.Fuel_Scope1EmissionFactorsStationaryGaseous_Data(), Table_Fuel_EFs_StationaryGaseous[[#Headers],[Fuel combusted]],0)</f>
        <v>Gaseous fossil fuels other than those mentioned in the items above</v>
      </c>
      <c r="E97" s="27" cm="1">
        <f t="array" ref="E97">Common_InputFunctions.Utility_DisplayArrayInTable(Fuel_SourceData.Fuel_Scope1EmissionFactorsStationaryGaseous_Data(), Table_Fuel_EFs_StationaryGaseous[[#Headers],[Fuel combusted]],0)</f>
        <v>3.9E-2</v>
      </c>
      <c r="F97" s="27" t="str" cm="1">
        <f t="array" ref="F97">Common_InputFunctions.Utility_DisplayArrayInTable(Fuel_SourceData.Fuel_Scope1EmissionFactorsStationaryGaseous_Data(), Table_Fuel_EFs_StationaryGaseous[[#Headers],[Fuel combusted]],0)</f>
        <v>m3</v>
      </c>
      <c r="G97" s="27" cm="1">
        <f t="array" ref="G97">Common_InputFunctions.Utility_DisplayArrayInTable(Fuel_SourceData.Fuel_Scope1EmissionFactorsStationaryGaseous_Data(), Table_Fuel_EFs_StationaryGaseous[[#Headers],[Fuel combusted]],0)</f>
        <v>51.4</v>
      </c>
      <c r="H97" s="27" cm="1">
        <f t="array" ref="H97">Common_InputFunctions.Utility_DisplayArrayInTable(Fuel_SourceData.Fuel_Scope1EmissionFactorsStationaryGaseous_Data(), Table_Fuel_EFs_StationaryGaseous[[#Headers],[Fuel combusted]],0)</f>
        <v>0.1</v>
      </c>
      <c r="I97" s="27" cm="1">
        <f t="array" ref="I97">Common_InputFunctions.Utility_DisplayArrayInTable(Fuel_SourceData.Fuel_Scope1EmissionFactorsStationaryGaseous_Data(), Table_Fuel_EFs_StationaryGaseous[[#Headers],[Fuel combusted]],0)</f>
        <v>0.03</v>
      </c>
      <c r="J97" s="27" cm="1">
        <f t="array" ref="J97">Common_InputFunctions.Utility_DisplayArrayInTable(Fuel_SourceData.Fuel_Scope1EmissionFactorsStationaryGaseous_Data(), Table_Fuel_EFs_StationaryGaseous[[#Headers],[Fuel combusted]],0)</f>
        <v>51.53</v>
      </c>
      <c r="K97" s="17"/>
      <c r="L97" s="17"/>
    </row>
    <row r="98" spans="4:13" ht="20.100000000000001" customHeight="1" x14ac:dyDescent="0.25">
      <c r="D98" s="27" t="str" cm="1">
        <f t="array" ref="D98">Common_InputFunctions.Utility_DisplayArrayInTable(Fuel_SourceData.Fuel_Scope1EmissionFactorsStationaryGaseous_Data(), Table_Fuel_EFs_StationaryGaseous[[#Headers],[Fuel combusted]],0)</f>
        <v>Landfill biogas that is captured for combustion (methane only)</v>
      </c>
      <c r="E98" s="27" cm="1">
        <f t="array" ref="E98">Common_InputFunctions.Utility_DisplayArrayInTable(Fuel_SourceData.Fuel_Scope1EmissionFactorsStationaryGaseous_Data(), Table_Fuel_EFs_StationaryGaseous[[#Headers],[Fuel combusted]],0)</f>
        <v>3.7699999999999997E-2</v>
      </c>
      <c r="F98" s="27" t="str" cm="1">
        <f t="array" ref="F98">Common_InputFunctions.Utility_DisplayArrayInTable(Fuel_SourceData.Fuel_Scope1EmissionFactorsStationaryGaseous_Data(), Table_Fuel_EFs_StationaryGaseous[[#Headers],[Fuel combusted]],0)</f>
        <v>m3</v>
      </c>
      <c r="G98" s="27" cm="1">
        <f t="array" ref="G98">Common_InputFunctions.Utility_DisplayArrayInTable(Fuel_SourceData.Fuel_Scope1EmissionFactorsStationaryGaseous_Data(), Table_Fuel_EFs_StationaryGaseous[[#Headers],[Fuel combusted]],0)</f>
        <v>0</v>
      </c>
      <c r="H98" s="27" cm="1">
        <f t="array" ref="H98">Common_InputFunctions.Utility_DisplayArrayInTable(Fuel_SourceData.Fuel_Scope1EmissionFactorsStationaryGaseous_Data(), Table_Fuel_EFs_StationaryGaseous[[#Headers],[Fuel combusted]],0)</f>
        <v>6.4</v>
      </c>
      <c r="I98" s="27" cm="1">
        <f t="array" ref="I98">Common_InputFunctions.Utility_DisplayArrayInTable(Fuel_SourceData.Fuel_Scope1EmissionFactorsStationaryGaseous_Data(), Table_Fuel_EFs_StationaryGaseous[[#Headers],[Fuel combusted]],0)</f>
        <v>0.03</v>
      </c>
      <c r="J98" s="27" cm="1">
        <f t="array" ref="J98">Common_InputFunctions.Utility_DisplayArrayInTable(Fuel_SourceData.Fuel_Scope1EmissionFactorsStationaryGaseous_Data(), Table_Fuel_EFs_StationaryGaseous[[#Headers],[Fuel combusted]],0)</f>
        <v>6.43</v>
      </c>
      <c r="K98" s="17"/>
      <c r="L98" s="17"/>
    </row>
    <row r="99" spans="4:13" ht="20.100000000000001" customHeight="1" x14ac:dyDescent="0.25">
      <c r="D99" s="27" t="str" cm="1">
        <f t="array" ref="D99">Common_InputFunctions.Utility_DisplayArrayInTable(Fuel_SourceData.Fuel_Scope1EmissionFactorsStationaryGaseous_Data(), Table_Fuel_EFs_StationaryGaseous[[#Headers],[Fuel combusted]],0)</f>
        <v>Sludge biogas that is captured for combustion (methane only)</v>
      </c>
      <c r="E99" s="27" cm="1">
        <f t="array" ref="E99">Common_InputFunctions.Utility_DisplayArrayInTable(Fuel_SourceData.Fuel_Scope1EmissionFactorsStationaryGaseous_Data(), Table_Fuel_EFs_StationaryGaseous[[#Headers],[Fuel combusted]],0)</f>
        <v>3.7699999999999997E-2</v>
      </c>
      <c r="F99" s="27" t="str" cm="1">
        <f t="array" ref="F99">Common_InputFunctions.Utility_DisplayArrayInTable(Fuel_SourceData.Fuel_Scope1EmissionFactorsStationaryGaseous_Data(), Table_Fuel_EFs_StationaryGaseous[[#Headers],[Fuel combusted]],0)</f>
        <v>m3</v>
      </c>
      <c r="G99" s="27" cm="1">
        <f t="array" ref="G99">Common_InputFunctions.Utility_DisplayArrayInTable(Fuel_SourceData.Fuel_Scope1EmissionFactorsStationaryGaseous_Data(), Table_Fuel_EFs_StationaryGaseous[[#Headers],[Fuel combusted]],0)</f>
        <v>0</v>
      </c>
      <c r="H99" s="27" cm="1">
        <f t="array" ref="H99">Common_InputFunctions.Utility_DisplayArrayInTable(Fuel_SourceData.Fuel_Scope1EmissionFactorsStationaryGaseous_Data(), Table_Fuel_EFs_StationaryGaseous[[#Headers],[Fuel combusted]],0)</f>
        <v>6.4</v>
      </c>
      <c r="I99" s="27" cm="1">
        <f t="array" ref="I99">Common_InputFunctions.Utility_DisplayArrayInTable(Fuel_SourceData.Fuel_Scope1EmissionFactorsStationaryGaseous_Data(), Table_Fuel_EFs_StationaryGaseous[[#Headers],[Fuel combusted]],0)</f>
        <v>0.03</v>
      </c>
      <c r="J99" s="27" cm="1">
        <f t="array" ref="J99">Common_InputFunctions.Utility_DisplayArrayInTable(Fuel_SourceData.Fuel_Scope1EmissionFactorsStationaryGaseous_Data(), Table_Fuel_EFs_StationaryGaseous[[#Headers],[Fuel combusted]],0)</f>
        <v>6.43</v>
      </c>
      <c r="K99" s="17"/>
      <c r="L99" s="17"/>
    </row>
    <row r="100" spans="4:13" ht="20.100000000000001" customHeight="1" x14ac:dyDescent="0.25">
      <c r="D100" s="27"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7" cm="1">
        <f t="array" ref="E100">Common_InputFunctions.Utility_DisplayArrayInTable(Fuel_SourceData.Fuel_Scope1EmissionFactorsStationaryGaseous_Data(), Table_Fuel_EFs_StationaryGaseous[[#Headers],[Fuel combusted]],0)</f>
        <v>3.6999999999999998E-2</v>
      </c>
      <c r="F100" s="27" t="str" cm="1">
        <f t="array" ref="F100">Common_InputFunctions.Utility_DisplayArrayInTable(Fuel_SourceData.Fuel_Scope1EmissionFactorsStationaryGaseous_Data(), Table_Fuel_EFs_StationaryGaseous[[#Headers],[Fuel combusted]],0)</f>
        <v>m3</v>
      </c>
      <c r="G100" s="27" cm="1">
        <f t="array" ref="G100">Common_InputFunctions.Utility_DisplayArrayInTable(Fuel_SourceData.Fuel_Scope1EmissionFactorsStationaryGaseous_Data(), Table_Fuel_EFs_StationaryGaseous[[#Headers],[Fuel combusted]],0)</f>
        <v>0</v>
      </c>
      <c r="H100" s="27" cm="1">
        <f t="array" ref="H100">Common_InputFunctions.Utility_DisplayArrayInTable(Fuel_SourceData.Fuel_Scope1EmissionFactorsStationaryGaseous_Data(), Table_Fuel_EFs_StationaryGaseous[[#Headers],[Fuel combusted]],0)</f>
        <v>6.4</v>
      </c>
      <c r="I100" s="27" cm="1">
        <f t="array" ref="I100">Common_InputFunctions.Utility_DisplayArrayInTable(Fuel_SourceData.Fuel_Scope1EmissionFactorsStationaryGaseous_Data(), Table_Fuel_EFs_StationaryGaseous[[#Headers],[Fuel combusted]],0)</f>
        <v>0.03</v>
      </c>
      <c r="J100" s="27" cm="1">
        <f t="array" ref="J100">Common_InputFunctions.Utility_DisplayArrayInTable(Fuel_SourceData.Fuel_Scope1EmissionFactorsStationaryGaseous_Data(), Table_Fuel_EFs_StationaryGaseous[[#Headers],[Fuel combusted]],0)</f>
        <v>6.43</v>
      </c>
      <c r="K100" s="17"/>
      <c r="L100" s="17"/>
    </row>
    <row r="101" spans="4:13" ht="20.100000000000001" customHeight="1" x14ac:dyDescent="0.25">
      <c r="D101" s="27" t="str" cm="1">
        <f t="array" ref="D101">Common_InputFunctions.Utility_DisplayArrayInTable(Fuel_SourceData.Fuel_Scope1EmissionFactorsStationaryGaseous_Data(), Table_Fuel_EFs_StationaryGaseous[[#Headers],[Fuel combusted]],0)</f>
        <v>Biomethane</v>
      </c>
      <c r="E101" s="27" cm="1">
        <f t="array" ref="E101">Common_InputFunctions.Utility_DisplayArrayInTable(Fuel_SourceData.Fuel_Scope1EmissionFactorsStationaryGaseous_Data(), Table_Fuel_EFs_StationaryGaseous[[#Headers],[Fuel combusted]],0)</f>
        <v>3.9300000000000002E-2</v>
      </c>
      <c r="F101" s="27" t="str" cm="1">
        <f t="array" ref="F101">Common_InputFunctions.Utility_DisplayArrayInTable(Fuel_SourceData.Fuel_Scope1EmissionFactorsStationaryGaseous_Data(), Table_Fuel_EFs_StationaryGaseous[[#Headers],[Fuel combusted]],0)</f>
        <v>m3</v>
      </c>
      <c r="G101" s="27" cm="1">
        <f t="array" ref="G101">Common_InputFunctions.Utility_DisplayArrayInTable(Fuel_SourceData.Fuel_Scope1EmissionFactorsStationaryGaseous_Data(), Table_Fuel_EFs_StationaryGaseous[[#Headers],[Fuel combusted]],0)</f>
        <v>0</v>
      </c>
      <c r="H101" s="27" cm="1">
        <f t="array" ref="H101">Common_InputFunctions.Utility_DisplayArrayInTable(Fuel_SourceData.Fuel_Scope1EmissionFactorsStationaryGaseous_Data(), Table_Fuel_EFs_StationaryGaseous[[#Headers],[Fuel combusted]],0)</f>
        <v>0.1</v>
      </c>
      <c r="I101" s="27" cm="1">
        <f t="array" ref="I101">Common_InputFunctions.Utility_DisplayArrayInTable(Fuel_SourceData.Fuel_Scope1EmissionFactorsStationaryGaseous_Data(), Table_Fuel_EFs_StationaryGaseous[[#Headers],[Fuel combusted]],0)</f>
        <v>0.03</v>
      </c>
      <c r="J101" s="27" cm="1">
        <f t="array" ref="J101">Common_InputFunctions.Utility_DisplayArrayInTable(Fuel_SourceData.Fuel_Scope1EmissionFactorsStationaryGaseous_Data(), Table_Fuel_EFs_StationaryGaseous[[#Headers],[Fuel combusted]],0)</f>
        <v>0.13</v>
      </c>
      <c r="K101" s="17"/>
      <c r="L101" s="17"/>
    </row>
    <row r="102" spans="4:13" ht="20.100000000000001" customHeight="1" x14ac:dyDescent="0.25">
      <c r="D102" s="27" t="str" cm="1">
        <f t="array" ref="D102">Common_InputFunctions.Utility_DisplayArrayInTable(Fuel_SourceData.Fuel_Scope1EmissionFactorsStationaryGaseous_Data(), Table_Fuel_EFs_StationaryGaseous[[#Headers],[Fuel combusted]],0)</f>
        <v>Hydrogen</v>
      </c>
      <c r="E102" s="27" cm="1">
        <f t="array" ref="E102">Common_InputFunctions.Utility_DisplayArrayInTable(Fuel_SourceData.Fuel_Scope1EmissionFactorsStationaryGaseous_Data(), Table_Fuel_EFs_StationaryGaseous[[#Headers],[Fuel combusted]],0)</f>
        <v>1.2200000000000001E-2</v>
      </c>
      <c r="F102" s="27" t="str" cm="1">
        <f t="array" ref="F102">Common_InputFunctions.Utility_DisplayArrayInTable(Fuel_SourceData.Fuel_Scope1EmissionFactorsStationaryGaseous_Data(), Table_Fuel_EFs_StationaryGaseous[[#Headers],[Fuel combusted]],0)</f>
        <v>m3</v>
      </c>
      <c r="G102" s="27" cm="1">
        <f t="array" ref="G102">Common_InputFunctions.Utility_DisplayArrayInTable(Fuel_SourceData.Fuel_Scope1EmissionFactorsStationaryGaseous_Data(), Table_Fuel_EFs_StationaryGaseous[[#Headers],[Fuel combusted]],0)</f>
        <v>0</v>
      </c>
      <c r="H102" s="27" cm="1">
        <f t="array" ref="H102">Common_InputFunctions.Utility_DisplayArrayInTable(Fuel_SourceData.Fuel_Scope1EmissionFactorsStationaryGaseous_Data(), Table_Fuel_EFs_StationaryGaseous[[#Headers],[Fuel combusted]],0)</f>
        <v>0</v>
      </c>
      <c r="I102" s="27" cm="1">
        <f t="array" ref="I102">Common_InputFunctions.Utility_DisplayArrayInTable(Fuel_SourceData.Fuel_Scope1EmissionFactorsStationaryGaseous_Data(), Table_Fuel_EFs_StationaryGaseous[[#Headers],[Fuel combusted]],0)</f>
        <v>0.5</v>
      </c>
      <c r="J102" s="27" cm="1">
        <f t="array" ref="J102">Common_InputFunctions.Utility_DisplayArrayInTable(Fuel_SourceData.Fuel_Scope1EmissionFactorsStationaryGaseous_Data(), Table_Fuel_EFs_StationaryGaseous[[#Headers],[Fuel combusted]],0)</f>
        <v>0.5</v>
      </c>
      <c r="K102" s="17"/>
      <c r="L102" s="17"/>
    </row>
    <row r="103" spans="4:13" ht="20.100000000000001" customHeight="1" x14ac:dyDescent="0.25">
      <c r="D103" s="27" t="str" cm="1">
        <f t="array" ref="D103">Common_InputFunctions.Utility_DisplayArrayInTable(Fuel_SourceData.Fuel_Scope1EmissionFactorsStationaryGaseous_Data(), Table_Fuel_EFs_StationaryGaseous[[#Headers],[Fuel combusted]],0)</f>
        <v>Natural gas distributed in a pipeline - Gigajoules</v>
      </c>
      <c r="E103" s="27" cm="1">
        <f t="array" ref="E103">Common_InputFunctions.Utility_DisplayArrayInTable(Fuel_SourceData.Fuel_Scope1EmissionFactorsStationaryGaseous_Data(), Table_Fuel_EFs_StationaryGaseous[[#Headers],[Fuel combusted]],0)</f>
        <v>1</v>
      </c>
      <c r="F103" s="27" t="str" cm="1">
        <f t="array" ref="F103">Common_InputFunctions.Utility_DisplayArrayInTable(Fuel_SourceData.Fuel_Scope1EmissionFactorsStationaryGaseous_Data(), Table_Fuel_EFs_StationaryGaseous[[#Headers],[Fuel combusted]],0)</f>
        <v>GJ</v>
      </c>
      <c r="G103" s="27" cm="1">
        <f t="array" ref="G103">Common_InputFunctions.Utility_DisplayArrayInTable(Fuel_SourceData.Fuel_Scope1EmissionFactorsStationaryGaseous_Data(), Table_Fuel_EFs_StationaryGaseous[[#Headers],[Fuel combusted]],0)</f>
        <v>51.4</v>
      </c>
      <c r="H103" s="27" cm="1">
        <f t="array" ref="H103">Common_InputFunctions.Utility_DisplayArrayInTable(Fuel_SourceData.Fuel_Scope1EmissionFactorsStationaryGaseous_Data(), Table_Fuel_EFs_StationaryGaseous[[#Headers],[Fuel combusted]],0)</f>
        <v>0.1</v>
      </c>
      <c r="I103" s="27" cm="1">
        <f t="array" ref="I103">Common_InputFunctions.Utility_DisplayArrayInTable(Fuel_SourceData.Fuel_Scope1EmissionFactorsStationaryGaseous_Data(), Table_Fuel_EFs_StationaryGaseous[[#Headers],[Fuel combusted]],0)</f>
        <v>0.03</v>
      </c>
      <c r="J103" s="27" cm="1">
        <f t="array" ref="J103">Common_InputFunctions.Utility_DisplayArrayInTable(Fuel_SourceData.Fuel_Scope1EmissionFactorsStationaryGaseous_Data(), Table_Fuel_EFs_StationaryGaseous[[#Headers],[Fuel combusted]],0)</f>
        <v>51.53</v>
      </c>
      <c r="K103" s="17"/>
      <c r="L103" s="17"/>
    </row>
    <row r="104" spans="4:13" ht="20.100000000000001" customHeight="1" x14ac:dyDescent="0.25">
      <c r="D104" s="27" t="str" cm="1">
        <f t="array" ref="D104">Common_InputFunctions.Utility_DisplayArrayInTable(Fuel_SourceData.Fuel_Scope1EmissionFactorsStationaryGaseous_Data(), Table_Fuel_EFs_StationaryGaseous[[#Headers],[Fuel combusted]],0)</f>
        <v>Town gas - Gigajoules</v>
      </c>
      <c r="E104" s="27" cm="1">
        <f t="array" ref="E104">Common_InputFunctions.Utility_DisplayArrayInTable(Fuel_SourceData.Fuel_Scope1EmissionFactorsStationaryGaseous_Data(), Table_Fuel_EFs_StationaryGaseous[[#Headers],[Fuel combusted]],0)</f>
        <v>1</v>
      </c>
      <c r="F104" s="27" t="str" cm="1">
        <f t="array" ref="F104">Common_InputFunctions.Utility_DisplayArrayInTable(Fuel_SourceData.Fuel_Scope1EmissionFactorsStationaryGaseous_Data(), Table_Fuel_EFs_StationaryGaseous[[#Headers],[Fuel combusted]],0)</f>
        <v>GJ</v>
      </c>
      <c r="G104" s="27" cm="1">
        <f t="array" ref="G104">Common_InputFunctions.Utility_DisplayArrayInTable(Fuel_SourceData.Fuel_Scope1EmissionFactorsStationaryGaseous_Data(), Table_Fuel_EFs_StationaryGaseous[[#Headers],[Fuel combusted]],0)</f>
        <v>60.2</v>
      </c>
      <c r="H104" s="27" cm="1">
        <f t="array" ref="H104">Common_InputFunctions.Utility_DisplayArrayInTable(Fuel_SourceData.Fuel_Scope1EmissionFactorsStationaryGaseous_Data(), Table_Fuel_EFs_StationaryGaseous[[#Headers],[Fuel combusted]],0)</f>
        <v>0.04</v>
      </c>
      <c r="I104" s="27" cm="1">
        <f t="array" ref="I104">Common_InputFunctions.Utility_DisplayArrayInTable(Fuel_SourceData.Fuel_Scope1EmissionFactorsStationaryGaseous_Data(), Table_Fuel_EFs_StationaryGaseous[[#Headers],[Fuel combusted]],0)</f>
        <v>0.03</v>
      </c>
      <c r="J104" s="27" cm="1">
        <f t="array" ref="J104">Common_InputFunctions.Utility_DisplayArrayInTable(Fuel_SourceData.Fuel_Scope1EmissionFactorsStationaryGaseous_Data(), Table_Fuel_EFs_StationaryGaseous[[#Headers],[Fuel combusted]],0)</f>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tr" cm="1">
        <f t="array" ref="D107">Fuel_SourceData.Fuel_Scope3EmissionFactorsStationaryGaseous_Title()</f>
        <v>Fuel scope 3 emission factors - Stationary gaseous fuels</v>
      </c>
      <c r="E107" s="17"/>
      <c r="F107" s="17"/>
      <c r="G107" s="17"/>
      <c r="H107" s="17"/>
      <c r="I107" s="17"/>
      <c r="J107" s="17"/>
      <c r="K107" s="17"/>
      <c r="L107" s="17"/>
    </row>
    <row r="108" spans="4:13" ht="20.100000000000001" customHeight="1" x14ac:dyDescent="0.25">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4:13" ht="20.100000000000001" customHeight="1" x14ac:dyDescent="0.25">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87</v>
      </c>
      <c r="F112" s="20" t="s">
        <v>88</v>
      </c>
      <c r="G112" s="17"/>
      <c r="H112" s="28" t="s">
        <v>89</v>
      </c>
      <c r="I112" s="17"/>
      <c r="J112" s="17"/>
      <c r="K112" s="17"/>
      <c r="L112" s="17"/>
    </row>
    <row r="113" spans="4:13" ht="20.100000000000001" customHeight="1" x14ac:dyDescent="0.25">
      <c r="D113" s="29" t="str" cm="1">
        <f t="array" ref="D113">Common_InputFunctions.Utility_DisplayArrayInTable(Fuel_SourceData.Fuel_Scope3EmissionFactorsStationaryGaseous_Data(), Table_Fuel_EFs_StationaryGaseous34[[#Headers],[State or territory]],0)</f>
        <v>New South Wales</v>
      </c>
      <c r="E113" s="29" cm="1">
        <f t="array" ref="E113">Common_InputFunctions.Utility_DisplayArrayInTable(Fuel_SourceData.Fuel_Scope3EmissionFactorsStationaryGaseous_Data(), Table_Fuel_EFs_StationaryGaseous34[[#Headers],[State or territory]],0)</f>
        <v>13.1</v>
      </c>
      <c r="F113" s="29"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4:13" ht="20.100000000000001" customHeight="1" x14ac:dyDescent="0.25">
      <c r="D114" s="29" t="str" cm="1">
        <f t="array" ref="D114">Common_InputFunctions.Utility_DisplayArrayInTable(Fuel_SourceData.Fuel_Scope3EmissionFactorsStationaryGaseous_Data(), Table_Fuel_EFs_StationaryGaseous34[[#Headers],[State or territory]],0)</f>
        <v>ACT</v>
      </c>
      <c r="E114" s="29" cm="1">
        <f t="array" ref="E114">Common_InputFunctions.Utility_DisplayArrayInTable(Fuel_SourceData.Fuel_Scope3EmissionFactorsStationaryGaseous_Data(), Table_Fuel_EFs_StationaryGaseous34[[#Headers],[State or territory]],0)</f>
        <v>13.1</v>
      </c>
      <c r="F114" s="29" cm="1">
        <f t="array" ref="F114">Common_InputFunctions.Utility_DisplayArrayInTable(Fuel_SourceData.Fuel_Scope3EmissionFactorsStationaryGaseous_Data(), Table_Fuel_EFs_StationaryGaseous34[[#Headers],[State or territory]],0)</f>
        <v>14</v>
      </c>
      <c r="G114" s="30" t="str">
        <v/>
      </c>
      <c r="H114" s="8" t="str">
        <v>Gas reaches end users either from the metro distribution networks or direct from the high - pressure distribution pipelines.</v>
      </c>
      <c r="I114" s="17"/>
      <c r="J114" s="17"/>
      <c r="K114" s="17"/>
      <c r="L114" s="17"/>
    </row>
    <row r="115" spans="4:13" ht="20.100000000000001" customHeight="1" x14ac:dyDescent="0.25">
      <c r="D115" s="29" t="str" cm="1">
        <f t="array" ref="D115">Common_InputFunctions.Utility_DisplayArrayInTable(Fuel_SourceData.Fuel_Scope3EmissionFactorsStationaryGaseous_Data(), Table_Fuel_EFs_StationaryGaseous34[[#Headers],[State or territory]],0)</f>
        <v>Victoria</v>
      </c>
      <c r="E115" s="29" cm="1">
        <f t="array" ref="E115">Common_InputFunctions.Utility_DisplayArrayInTable(Fuel_SourceData.Fuel_Scope3EmissionFactorsStationaryGaseous_Data(), Table_Fuel_EFs_StationaryGaseous34[[#Headers],[State or territory]],0)</f>
        <v>4</v>
      </c>
      <c r="F115" s="29" cm="1">
        <f t="array" ref="F115">Common_InputFunctions.Utility_DisplayArrayInTable(Fuel_SourceData.Fuel_Scope3EmissionFactorsStationaryGaseous_Data(), Table_Fuel_EFs_StationaryGaseous34[[#Headers],[State or territory]],0)</f>
        <v>4</v>
      </c>
      <c r="G115" s="30" t="str">
        <v/>
      </c>
      <c r="H115" s="8" t="str">
        <v>Households and commercial users tend to be served by the former, and electricity generators and large industrial plants from the latter.</v>
      </c>
      <c r="I115" s="17"/>
      <c r="J115" s="17"/>
      <c r="K115" s="17"/>
      <c r="L115" s="17"/>
    </row>
    <row r="116" spans="4:13" ht="20.100000000000001" customHeight="1" x14ac:dyDescent="0.25">
      <c r="D116" s="29" t="str" cm="1">
        <f t="array" ref="D116">Common_InputFunctions.Utility_DisplayArrayInTable(Fuel_SourceData.Fuel_Scope3EmissionFactorsStationaryGaseous_Data(), Table_Fuel_EFs_StationaryGaseous34[[#Headers],[State or territory]],0)</f>
        <v>Queensland</v>
      </c>
      <c r="E116" s="29" cm="1">
        <f t="array" ref="E116">Common_InputFunctions.Utility_DisplayArrayInTable(Fuel_SourceData.Fuel_Scope3EmissionFactorsStationaryGaseous_Data(), Table_Fuel_EFs_StationaryGaseous34[[#Headers],[State or territory]],0)</f>
        <v>8.8000000000000007</v>
      </c>
      <c r="F116" s="29" cm="1">
        <f t="array" ref="F116">Common_InputFunctions.Utility_DisplayArrayInTable(Fuel_SourceData.Fuel_Scope3EmissionFactorsStationaryGaseous_Data(), Table_Fuel_EFs_StationaryGaseous34[[#Headers],[State or territory]],0)</f>
        <v>7.9</v>
      </c>
      <c r="G116" s="30" t="str">
        <v>-</v>
      </c>
      <c r="H116" s="8" t="str">
        <v>Metro is defined as located on or east of the dividing range in NSW, including Canberra and Queanbeyan, Melbourne, Brisbane, Adelaide or Perth.</v>
      </c>
      <c r="I116" s="17"/>
      <c r="J116" s="17"/>
      <c r="K116" s="17"/>
      <c r="L116" s="17"/>
    </row>
    <row r="117" spans="4:13" ht="20.100000000000001" customHeight="1" x14ac:dyDescent="0.25">
      <c r="D117" s="29" t="str" cm="1">
        <f t="array" ref="D117">Common_InputFunctions.Utility_DisplayArrayInTable(Fuel_SourceData.Fuel_Scope3EmissionFactorsStationaryGaseous_Data(), Table_Fuel_EFs_StationaryGaseous34[[#Headers],[State or territory]],0)</f>
        <v>South Australia</v>
      </c>
      <c r="E117" s="29" cm="1">
        <f t="array" ref="E117">Common_InputFunctions.Utility_DisplayArrayInTable(Fuel_SourceData.Fuel_Scope3EmissionFactorsStationaryGaseous_Data(), Table_Fuel_EFs_StationaryGaseous34[[#Headers],[State or territory]],0)</f>
        <v>10.7</v>
      </c>
      <c r="F117" s="29" cm="1">
        <f t="array" ref="F117">Common_InputFunctions.Utility_DisplayArrayInTable(Fuel_SourceData.Fuel_Scope3EmissionFactorsStationaryGaseous_Data(), Table_Fuel_EFs_StationaryGaseous34[[#Headers],[State or territory]],0)</f>
        <v>10.6</v>
      </c>
      <c r="G117" s="30" t="str">
        <v/>
      </c>
      <c r="H117" s="8" t="str">
        <v>Otherwise, the non - metro factor should be used.</v>
      </c>
      <c r="I117" s="17"/>
      <c r="J117" s="17"/>
      <c r="K117" s="17"/>
      <c r="L117" s="17"/>
    </row>
    <row r="118" spans="4:13" ht="20.100000000000001" customHeight="1" x14ac:dyDescent="0.25">
      <c r="D118" s="29" t="str" cm="1">
        <f t="array" ref="D118">Common_InputFunctions.Utility_DisplayArrayInTable(Fuel_SourceData.Fuel_Scope3EmissionFactorsStationaryGaseous_Data(), Table_Fuel_EFs_StationaryGaseous34[[#Headers],[State or territory]],0)</f>
        <v>Western Australia</v>
      </c>
      <c r="E118" s="29" cm="1">
        <f t="array" ref="E118">Common_InputFunctions.Utility_DisplayArrayInTable(Fuel_SourceData.Fuel_Scope3EmissionFactorsStationaryGaseous_Data(), Table_Fuel_EFs_StationaryGaseous34[[#Headers],[State or territory]],0)</f>
        <v>4.0999999999999996</v>
      </c>
      <c r="F118" s="29" cm="1">
        <f t="array" ref="F118">Common_InputFunctions.Utility_DisplayArrayInTable(Fuel_SourceData.Fuel_Scope3EmissionFactorsStationaryGaseous_Data(), Table_Fuel_EFs_StationaryGaseous34[[#Headers],[State or territory]],0)</f>
        <v>4</v>
      </c>
      <c r="G118" s="30" t="str">
        <v>-</v>
      </c>
      <c r="H118" s="8" t="str">
        <v>Factors are calculated for all natural gas distributed in a pipeline which may include coal seam methane.</v>
      </c>
      <c r="I118" s="17"/>
      <c r="J118" s="17"/>
      <c r="K118" s="17"/>
      <c r="L118" s="17"/>
    </row>
    <row r="119" spans="4:13" ht="20.100000000000001" customHeight="1" x14ac:dyDescent="0.25">
      <c r="D119" s="29" t="str" cm="1">
        <f t="array" ref="D119">Common_InputFunctions.Utility_DisplayArrayInTable(Fuel_SourceData.Fuel_Scope3EmissionFactorsStationaryGaseous_Data(), Table_Fuel_EFs_StationaryGaseous34[[#Headers],[State or territory]],0)</f>
        <v>Tasmania</v>
      </c>
      <c r="E119" s="29" cm="1">
        <f t="array" ref="E119">Common_InputFunctions.Utility_DisplayArrayInTable(Fuel_SourceData.Fuel_Scope3EmissionFactorsStationaryGaseous_Data(), Table_Fuel_EFs_StationaryGaseous34[[#Headers],[State or territory]],0)</f>
        <v>4</v>
      </c>
      <c r="F119" s="29" cm="1">
        <f t="array" ref="F119">Common_InputFunctions.Utility_DisplayArrayInTable(Fuel_SourceData.Fuel_Scope3EmissionFactorsStationaryGaseous_Data(), Table_Fuel_EFs_StationaryGaseous34[[#Headers],[State or territory]],0)</f>
        <v>4</v>
      </c>
      <c r="G119" s="30" t="str">
        <v>-</v>
      </c>
      <c r="H119" s="8" t="str">
        <v>Table 6 is not applicable to ethane. See Table 7 Indirect (Scope 3) emissions from the consumption of ethane.</v>
      </c>
      <c r="I119" s="17"/>
      <c r="J119" s="17"/>
      <c r="K119" s="17"/>
      <c r="L119" s="17"/>
    </row>
    <row r="120" spans="4:13" ht="20.100000000000001" customHeight="1" x14ac:dyDescent="0.25">
      <c r="D120" s="29" t="str" cm="1">
        <f t="array" ref="D120">Common_InputFunctions.Utility_DisplayArrayInTable(Fuel_SourceData.Fuel_Scope3EmissionFactorsStationaryGaseous_Data(), Table_Fuel_EFs_StationaryGaseous34[[#Headers],[State or territory]],0)</f>
        <v>Northern Territory</v>
      </c>
      <c r="E120" s="29" cm="1">
        <f t="array" ref="E120">Common_InputFunctions.Utility_DisplayArrayInTable(Fuel_SourceData.Fuel_Scope3EmissionFactorsStationaryGaseous_Data(), Table_Fuel_EFs_StationaryGaseous34[[#Headers],[State or territory]],0)</f>
        <v>4.0999999999999996</v>
      </c>
      <c r="F120" s="29" cm="1">
        <f t="array" ref="F120">Common_InputFunctions.Utility_DisplayArrayInTable(Fuel_SourceData.Fuel_Scope3EmissionFactorsStationaryGaseous_Data(), Table_Fuel_EFs_StationaryGaseous34[[#Headers],[State or territory]],0)</f>
        <v>4</v>
      </c>
      <c r="G120" s="30" t="str">
        <v>-</v>
      </c>
      <c r="H120" s="8" t="str">
        <v>C = Confidential. Scope 3 emission factors for Tasmania and the Northern Territory are not available due to confidentiality constraints that arise</v>
      </c>
      <c r="I120" s="17"/>
      <c r="J120" s="17"/>
      <c r="K120" s="17"/>
      <c r="L120" s="17"/>
    </row>
    <row r="121" spans="4:13" ht="20.100000000000001" customHeight="1" x14ac:dyDescent="0.25">
      <c r="D121" s="14"/>
      <c r="E121" s="14"/>
      <c r="F121" s="14"/>
      <c r="G121" s="30" t="str">
        <v/>
      </c>
      <c r="H121" s="8" t="str">
        <v>from the use of a limited number of NGER data inputs. It is suggested that for Tasmania the use of the Victorian emission factors is appropriate,</v>
      </c>
      <c r="I121" s="17"/>
      <c r="J121" s="17"/>
      <c r="K121" s="17"/>
      <c r="L121" s="17"/>
    </row>
    <row r="122" spans="4:13" ht="20.100000000000001" customHeight="1" x14ac:dyDescent="0.25">
      <c r="D122" s="17"/>
      <c r="F122" s="31"/>
      <c r="G122" s="30" t="str">
        <v/>
      </c>
      <c r="H122" s="8" t="str">
        <v>while for Northern Territory the use of the Western Australian emission factors is appropriate.</v>
      </c>
      <c r="I122" s="17"/>
      <c r="J122" s="17"/>
      <c r="K122" s="17"/>
      <c r="L122" s="17"/>
    </row>
    <row r="123" spans="4:13" ht="20.100000000000001" customHeight="1" x14ac:dyDescent="0.25">
      <c r="D123" s="32"/>
      <c r="F123" s="31"/>
      <c r="G123" s="30" t="str">
        <v>-</v>
      </c>
      <c r="H123" s="8" t="str">
        <v>Scope 3 emission factors do not include fugitive emission leakage from low pressure natural gas distribution pipeline networks while those from high pressure</v>
      </c>
      <c r="I123" s="17"/>
      <c r="J123" s="17"/>
      <c r="K123" s="17"/>
      <c r="L123" s="17"/>
    </row>
    <row r="124" spans="4:13" ht="20.100000000000001" customHeight="1" x14ac:dyDescent="0.25">
      <c r="D124" s="32"/>
      <c r="F124" s="31"/>
      <c r="G124" s="17" t="str">
        <v/>
      </c>
      <c r="H124" s="8" t="str">
        <v>gas networks are considered negligible.</v>
      </c>
      <c r="I124" s="17"/>
      <c r="J124" s="17"/>
      <c r="K124" s="17"/>
      <c r="L124" s="17"/>
    </row>
    <row r="125" spans="4:13" ht="20.100000000000001" customHeight="1" x14ac:dyDescent="0.25">
      <c r="D125" s="32"/>
      <c r="F125" s="31"/>
      <c r="G125" s="17"/>
      <c r="H125" s="17"/>
      <c r="I125" s="17"/>
      <c r="J125" s="17"/>
      <c r="K125" s="17"/>
      <c r="L125" s="17"/>
    </row>
    <row r="126" spans="4:13" ht="20.100000000000001" customHeight="1" x14ac:dyDescent="0.25">
      <c r="D126" s="17"/>
      <c r="E126" s="17"/>
      <c r="F126" s="17"/>
      <c r="G126" s="17"/>
      <c r="H126" s="17"/>
      <c r="I126" s="17"/>
      <c r="J126" s="17"/>
      <c r="K126" s="17"/>
      <c r="L126" s="17"/>
      <c r="M126" s="17"/>
    </row>
    <row r="127" spans="4:13" ht="20.100000000000001" customHeight="1" x14ac:dyDescent="0.25">
      <c r="D127" s="17"/>
      <c r="E127" s="17"/>
      <c r="F127" s="17"/>
      <c r="G127" s="17"/>
      <c r="H127" s="17"/>
      <c r="I127" s="17"/>
      <c r="J127" s="17"/>
      <c r="K127" s="17"/>
      <c r="L127" s="17"/>
      <c r="M127" s="17"/>
    </row>
    <row r="128" spans="4:13" ht="20.100000000000001" customHeight="1" x14ac:dyDescent="0.25">
      <c r="D128" s="17"/>
      <c r="E128" s="17"/>
      <c r="F128" s="17"/>
      <c r="G128" s="17"/>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90</v>
      </c>
      <c r="E130" s="34" t="s">
        <v>91</v>
      </c>
      <c r="F130" s="34" t="s">
        <v>92</v>
      </c>
      <c r="G130" s="34" t="s">
        <v>93</v>
      </c>
      <c r="H130" s="34" t="s">
        <v>94</v>
      </c>
      <c r="I130" s="34" t="s">
        <v>95</v>
      </c>
      <c r="J130" s="34" t="s">
        <v>96</v>
      </c>
      <c r="K130" s="17"/>
      <c r="L130" s="17"/>
      <c r="M130" s="17"/>
      <c r="AG130" s="8"/>
    </row>
    <row r="131" spans="4:33" ht="20.100000000000001" customHeight="1" x14ac:dyDescent="0.25">
      <c r="D131" s="35" t="str">
        <f>$D$143</f>
        <v>Petrol</v>
      </c>
      <c r="E131" s="35" t="str">
        <f>$D$143</f>
        <v>Petrol</v>
      </c>
      <c r="F131" s="35" t="str">
        <f>$D$150</f>
        <v>Avgas</v>
      </c>
      <c r="G131" s="35" t="str">
        <f>$D$143</f>
        <v>Petrol</v>
      </c>
      <c r="H131" s="35" t="str">
        <f>$D$144</f>
        <v>Diesel</v>
      </c>
      <c r="I131" s="35" t="str">
        <f>$D$143</f>
        <v>Petrol</v>
      </c>
      <c r="J131" s="35" t="str">
        <f>$D$143</f>
        <v>Petrol</v>
      </c>
      <c r="K131" s="17"/>
      <c r="L131" s="17"/>
      <c r="M131" s="17"/>
      <c r="AG131" s="8"/>
    </row>
    <row r="132" spans="4:33" ht="20.100000000000001" customHeight="1" x14ac:dyDescent="0.25">
      <c r="D132" s="35" t="str">
        <f>$D$144</f>
        <v>Diesel</v>
      </c>
      <c r="E132" s="35" t="str">
        <f>$D$144</f>
        <v>Diesel</v>
      </c>
      <c r="F132" s="35" t="str">
        <f>$D$151</f>
        <v>Jet A1, Jet B</v>
      </c>
      <c r="G132" s="35" t="str">
        <f>$D$144</f>
        <v>Diesel</v>
      </c>
      <c r="H132" s="35"/>
      <c r="I132" s="35" t="str">
        <f>$D$144</f>
        <v>Diesel</v>
      </c>
      <c r="J132" s="35" t="str">
        <f>$D$144</f>
        <v>Diesel</v>
      </c>
      <c r="K132" s="17"/>
      <c r="L132" s="17"/>
      <c r="M132" s="17"/>
      <c r="AG132" s="8"/>
    </row>
    <row r="133" spans="4:33" ht="20.100000000000001" customHeight="1" x14ac:dyDescent="0.25">
      <c r="D133" s="35" t="str">
        <f>$D$145</f>
        <v>Liquefied petroleum gas (LPG)</v>
      </c>
      <c r="E133" s="35" t="str">
        <f>$D$145</f>
        <v>Liquefied petroleum gas (LPG)</v>
      </c>
      <c r="F133" s="35" t="str">
        <f>$D$152</f>
        <v>Renewable aviation kerosene</v>
      </c>
      <c r="G133" s="35" t="str">
        <f>$D$145</f>
        <v>Liquefied petroleum gas (LPG)</v>
      </c>
      <c r="H133" s="35"/>
      <c r="I133" s="35" t="s">
        <v>97</v>
      </c>
      <c r="J133" s="35" t="str">
        <f>$D$145</f>
        <v>Liquefied petroleum gas (LPG)</v>
      </c>
      <c r="K133" s="17"/>
      <c r="L133" s="17"/>
      <c r="M133" s="17"/>
      <c r="AG133" s="8"/>
    </row>
    <row r="134" spans="4:33" ht="20.100000000000001" customHeight="1" x14ac:dyDescent="0.25">
      <c r="D134" s="35" t="str">
        <f>$D$146</f>
        <v>Biodiesel</v>
      </c>
      <c r="E134" s="35" t="str">
        <f>$D$146</f>
        <v>Biodiesel</v>
      </c>
      <c r="F134" s="34"/>
      <c r="G134" s="35" t="str">
        <f>$D$160</f>
        <v>Fuel oil</v>
      </c>
      <c r="H134" s="35"/>
      <c r="I134" s="35"/>
      <c r="J134" s="35" t="str">
        <f>$D$146</f>
        <v>Biodiesel</v>
      </c>
      <c r="K134" s="17"/>
      <c r="L134" s="17"/>
      <c r="M134" s="17"/>
      <c r="AG134" s="8"/>
    </row>
    <row r="135" spans="4:33" ht="20.100000000000001" customHeight="1" x14ac:dyDescent="0.25">
      <c r="D135" s="35" t="str">
        <f>$D$147</f>
        <v>Ethanol</v>
      </c>
      <c r="E135" s="35" t="str">
        <f>$D$147</f>
        <v>Ethanol</v>
      </c>
      <c r="F135" s="34"/>
      <c r="G135" s="35" t="str">
        <f>$D$147</f>
        <v>Ethanol</v>
      </c>
      <c r="H135" s="35"/>
      <c r="I135" s="35"/>
      <c r="J135" s="35" t="str">
        <f>$D$147</f>
        <v>Ethanol</v>
      </c>
      <c r="K135" s="17"/>
      <c r="L135" s="17"/>
      <c r="M135" s="17"/>
      <c r="AG135" s="8"/>
    </row>
    <row r="136" spans="4:33" ht="20.100000000000001" customHeight="1" x14ac:dyDescent="0.25">
      <c r="D136" s="35" t="str">
        <f>$D$148</f>
        <v>Other biofuels</v>
      </c>
      <c r="E136" s="35" t="str">
        <f>$D$148</f>
        <v>Other biofuels</v>
      </c>
      <c r="F136" s="34"/>
      <c r="G136" s="35" t="str">
        <f>$D$146</f>
        <v>Biodiesel</v>
      </c>
      <c r="H136" s="35"/>
      <c r="I136" s="35"/>
      <c r="J136" s="35" t="str">
        <f>$D$148</f>
        <v>Other biofuels</v>
      </c>
      <c r="K136" s="17"/>
      <c r="L136" s="17"/>
      <c r="M136" s="17"/>
      <c r="AG136" s="8"/>
    </row>
    <row r="137" spans="4:33" ht="20.100000000000001" customHeight="1" x14ac:dyDescent="0.25">
      <c r="D137" s="35" t="str">
        <f>$D$149</f>
        <v>Renewable diesel</v>
      </c>
      <c r="E137" s="35" t="str">
        <f>$D$149</f>
        <v>Renewable diesel</v>
      </c>
      <c r="F137" s="34"/>
      <c r="G137" s="35" t="str">
        <f>$D$149</f>
        <v>Renewable diesel</v>
      </c>
      <c r="H137" s="35"/>
      <c r="I137" s="35"/>
      <c r="J137" s="35" t="str">
        <f>$D$149</f>
        <v>Renewable diesel</v>
      </c>
      <c r="K137" s="17"/>
      <c r="L137" s="17"/>
      <c r="M137" s="17"/>
      <c r="AG137" s="8"/>
    </row>
    <row r="138" spans="4:33" ht="20.100000000000001" customHeight="1" x14ac:dyDescent="0.25">
      <c r="D138" s="34"/>
      <c r="E138" s="36" t="str">
        <f>$D$161</f>
        <v>Natural gas (via pipeline) in GJ</v>
      </c>
      <c r="F138" s="36"/>
      <c r="G138" s="35" t="str">
        <f>$D$148</f>
        <v>Other biofuels</v>
      </c>
      <c r="H138" s="35"/>
      <c r="I138" s="35"/>
      <c r="J138" s="36" t="str">
        <f>$D$161</f>
        <v>Natural gas (via pipeline) in GJ</v>
      </c>
      <c r="K138" s="17"/>
      <c r="L138" s="17"/>
      <c r="M138" s="17"/>
      <c r="AG138" s="8"/>
    </row>
    <row r="139" spans="4:33" ht="20.100000000000001" customHeight="1" x14ac:dyDescent="0.25">
      <c r="D139" s="36"/>
      <c r="E139" s="36" t="str">
        <f>$D$162</f>
        <v>Town gas in GJ</v>
      </c>
      <c r="F139" s="36"/>
      <c r="G139" s="36"/>
      <c r="H139" s="36"/>
      <c r="I139" s="36"/>
      <c r="J139" s="36" t="str">
        <f>$D$162</f>
        <v>Town gas in GJ</v>
      </c>
      <c r="K139" s="17"/>
      <c r="L139" s="17"/>
      <c r="M139" s="17"/>
      <c r="AG139" s="8"/>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98</v>
      </c>
      <c r="E142" s="3" t="s">
        <v>99</v>
      </c>
      <c r="F142" s="17"/>
      <c r="G142" s="17"/>
      <c r="H142" s="17"/>
      <c r="I142" s="17"/>
      <c r="J142" s="17"/>
      <c r="K142" s="17"/>
      <c r="L142" s="17"/>
    </row>
    <row r="143" spans="4:33" ht="20.100000000000001" customHeight="1" x14ac:dyDescent="0.25">
      <c r="D143" s="35" t="s">
        <v>100</v>
      </c>
      <c r="E143" s="3" t="s">
        <v>101</v>
      </c>
      <c r="F143" s="17"/>
      <c r="G143" s="17"/>
      <c r="H143" s="17"/>
      <c r="I143" s="17"/>
      <c r="J143" s="17"/>
      <c r="K143" s="17"/>
      <c r="L143" s="17"/>
    </row>
    <row r="144" spans="4:33" ht="20.100000000000001" customHeight="1" x14ac:dyDescent="0.25">
      <c r="D144" s="35" t="s">
        <v>102</v>
      </c>
      <c r="E144" s="3" t="s">
        <v>101</v>
      </c>
      <c r="F144" s="17"/>
      <c r="G144" s="17"/>
      <c r="H144" s="17"/>
      <c r="I144" s="17"/>
      <c r="J144" s="17"/>
      <c r="K144" s="17"/>
      <c r="L144" s="17"/>
    </row>
    <row r="145" spans="4:12" ht="20.100000000000001" customHeight="1" x14ac:dyDescent="0.25">
      <c r="D145" s="35" t="s">
        <v>103</v>
      </c>
      <c r="E145" s="3" t="s">
        <v>101</v>
      </c>
      <c r="F145" s="17"/>
      <c r="G145" s="17"/>
      <c r="H145" s="17"/>
      <c r="I145" s="17"/>
      <c r="J145" s="17"/>
      <c r="K145" s="17"/>
      <c r="L145" s="17"/>
    </row>
    <row r="146" spans="4:12" ht="20.100000000000001" customHeight="1" x14ac:dyDescent="0.25">
      <c r="D146" s="35" t="s">
        <v>104</v>
      </c>
      <c r="E146" s="3" t="s">
        <v>101</v>
      </c>
      <c r="F146" s="17"/>
      <c r="G146" s="17"/>
      <c r="H146" s="17"/>
      <c r="I146" s="17"/>
      <c r="J146" s="17"/>
      <c r="K146" s="17"/>
      <c r="L146" s="17"/>
    </row>
    <row r="147" spans="4:12" ht="20.100000000000001" customHeight="1" x14ac:dyDescent="0.25">
      <c r="D147" s="35" t="s">
        <v>105</v>
      </c>
      <c r="E147" s="3" t="s">
        <v>101</v>
      </c>
      <c r="F147" s="17"/>
      <c r="G147" s="17"/>
      <c r="H147" s="17"/>
      <c r="I147" s="17"/>
      <c r="J147" s="17"/>
      <c r="K147" s="17"/>
      <c r="L147" s="17"/>
    </row>
    <row r="148" spans="4:12" ht="20.100000000000001" customHeight="1" x14ac:dyDescent="0.25">
      <c r="D148" s="35" t="s">
        <v>106</v>
      </c>
      <c r="E148" s="3" t="s">
        <v>101</v>
      </c>
      <c r="F148" s="17"/>
      <c r="G148" s="17"/>
      <c r="H148" s="17"/>
      <c r="I148" s="17"/>
      <c r="J148" s="17"/>
      <c r="K148" s="17"/>
      <c r="L148" s="17"/>
    </row>
    <row r="149" spans="4:12" ht="20.100000000000001" customHeight="1" x14ac:dyDescent="0.25">
      <c r="D149" s="35" t="s">
        <v>107</v>
      </c>
      <c r="E149" s="3" t="s">
        <v>101</v>
      </c>
      <c r="F149" s="17"/>
      <c r="G149" s="17"/>
      <c r="H149" s="17"/>
      <c r="I149" s="17"/>
      <c r="J149" s="17"/>
      <c r="K149" s="17"/>
      <c r="L149" s="17"/>
    </row>
    <row r="150" spans="4:12" ht="20.100000000000001" customHeight="1" x14ac:dyDescent="0.25">
      <c r="D150" s="35" t="s">
        <v>108</v>
      </c>
      <c r="E150" s="3" t="s">
        <v>101</v>
      </c>
      <c r="F150" s="17"/>
      <c r="G150" s="17"/>
      <c r="H150" s="17"/>
      <c r="I150" s="17"/>
      <c r="J150" s="17"/>
      <c r="K150" s="17"/>
      <c r="L150" s="17"/>
    </row>
    <row r="151" spans="4:12" ht="20.100000000000001" customHeight="1" x14ac:dyDescent="0.25">
      <c r="D151" s="35" t="s">
        <v>109</v>
      </c>
      <c r="E151" s="3" t="s">
        <v>101</v>
      </c>
      <c r="F151" s="17"/>
      <c r="G151" s="17"/>
      <c r="H151" s="17"/>
      <c r="I151" s="17"/>
      <c r="J151" s="17"/>
      <c r="K151" s="17"/>
      <c r="L151" s="17"/>
    </row>
    <row r="152" spans="4:12" ht="20.100000000000001" customHeight="1" x14ac:dyDescent="0.25">
      <c r="D152" s="37" t="s">
        <v>110</v>
      </c>
      <c r="E152" s="14" t="s">
        <v>101</v>
      </c>
      <c r="F152" s="17"/>
      <c r="G152" s="17"/>
      <c r="H152" s="17"/>
      <c r="I152" s="17"/>
      <c r="J152" s="17"/>
      <c r="K152" s="17"/>
      <c r="L152" s="17"/>
    </row>
    <row r="153" spans="4:12" ht="20.100000000000001" customHeight="1" x14ac:dyDescent="0.25">
      <c r="D153" s="37" t="s">
        <v>111</v>
      </c>
      <c r="E153" s="14" t="s">
        <v>101</v>
      </c>
      <c r="F153" s="17"/>
      <c r="G153" s="17"/>
      <c r="H153" s="17"/>
      <c r="I153" s="17"/>
      <c r="J153" s="17"/>
      <c r="K153" s="17"/>
      <c r="L153" s="17"/>
    </row>
    <row r="154" spans="4:12" ht="20.100000000000001" customHeight="1" x14ac:dyDescent="0.25">
      <c r="D154" s="37" t="s">
        <v>112</v>
      </c>
      <c r="E154" s="14" t="s">
        <v>101</v>
      </c>
      <c r="F154" s="17"/>
      <c r="G154" s="17"/>
      <c r="H154" s="17"/>
      <c r="I154" s="17"/>
      <c r="J154" s="17"/>
      <c r="K154" s="17"/>
      <c r="L154" s="17"/>
    </row>
    <row r="155" spans="4:12" ht="20.100000000000001" customHeight="1" x14ac:dyDescent="0.25">
      <c r="D155" s="37" t="s">
        <v>113</v>
      </c>
      <c r="E155" s="14" t="s">
        <v>101</v>
      </c>
      <c r="F155" s="17"/>
      <c r="G155" s="17"/>
      <c r="H155" s="17"/>
      <c r="I155" s="17"/>
      <c r="J155" s="17"/>
      <c r="K155" s="17"/>
      <c r="L155" s="17"/>
    </row>
    <row r="156" spans="4:12" ht="20.100000000000001" customHeight="1" x14ac:dyDescent="0.25">
      <c r="D156" s="37" t="s">
        <v>114</v>
      </c>
      <c r="E156" s="14" t="s">
        <v>101</v>
      </c>
      <c r="F156" s="17"/>
      <c r="G156" s="17"/>
      <c r="H156" s="17"/>
      <c r="I156" s="17"/>
      <c r="J156" s="17"/>
      <c r="K156" s="17"/>
      <c r="L156" s="17"/>
    </row>
    <row r="157" spans="4:12" ht="20.100000000000001" customHeight="1" x14ac:dyDescent="0.25">
      <c r="D157" s="37" t="s">
        <v>115</v>
      </c>
      <c r="E157" s="14" t="s">
        <v>101</v>
      </c>
      <c r="F157" s="17"/>
      <c r="G157" s="17"/>
      <c r="H157" s="17"/>
      <c r="I157" s="17"/>
      <c r="J157" s="17"/>
      <c r="K157" s="17"/>
      <c r="L157" s="17"/>
    </row>
    <row r="158" spans="4:12" ht="20.100000000000001" customHeight="1" x14ac:dyDescent="0.25">
      <c r="D158" s="37" t="s">
        <v>116</v>
      </c>
      <c r="E158" s="14" t="s">
        <v>101</v>
      </c>
      <c r="F158" s="17"/>
      <c r="G158" s="17"/>
      <c r="H158" s="17"/>
      <c r="I158" s="17"/>
      <c r="J158" s="17"/>
      <c r="K158" s="17"/>
      <c r="L158" s="17"/>
    </row>
    <row r="159" spans="4:12" ht="20.100000000000001" customHeight="1" x14ac:dyDescent="0.25">
      <c r="D159" s="37" t="s">
        <v>117</v>
      </c>
      <c r="E159" s="14" t="s">
        <v>101</v>
      </c>
      <c r="F159" s="17"/>
      <c r="G159" s="17"/>
      <c r="H159" s="17"/>
      <c r="I159" s="17"/>
      <c r="J159" s="17"/>
      <c r="K159" s="17"/>
      <c r="L159" s="17"/>
    </row>
    <row r="160" spans="4:12" ht="20.100000000000001" customHeight="1" x14ac:dyDescent="0.25">
      <c r="D160" s="37" t="s">
        <v>97</v>
      </c>
      <c r="E160" s="14" t="s">
        <v>101</v>
      </c>
      <c r="F160" s="17"/>
      <c r="G160" s="17"/>
      <c r="H160" s="17"/>
      <c r="I160" s="17"/>
      <c r="J160" s="17"/>
      <c r="K160" s="17"/>
      <c r="L160" s="17"/>
    </row>
    <row r="161" spans="4:12" ht="20.100000000000001" customHeight="1" x14ac:dyDescent="0.25">
      <c r="D161" s="36" t="s">
        <v>118</v>
      </c>
      <c r="E161" s="17" t="s">
        <v>119</v>
      </c>
      <c r="F161" s="17"/>
      <c r="G161" s="17"/>
      <c r="H161" s="17"/>
      <c r="I161" s="17"/>
      <c r="J161" s="17"/>
      <c r="K161" s="17"/>
      <c r="L161" s="17"/>
    </row>
    <row r="162" spans="4:12" ht="20.100000000000001" customHeight="1" x14ac:dyDescent="0.25">
      <c r="D162" s="17" t="s">
        <v>120</v>
      </c>
      <c r="E162" s="17" t="s">
        <v>119</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dimension ref="A1:AI165"/>
  <sheetViews>
    <sheetView showGridLines="0" zoomScaleNormal="100" workbookViewId="0">
      <selection activeCell="F18" sqref="F18"/>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240</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241</v>
      </c>
      <c r="E9" s="26" t="s">
        <v>242</v>
      </c>
      <c r="F9" s="26" t="s">
        <v>243</v>
      </c>
    </row>
    <row r="10" spans="1:35" ht="20.100000000000001" customHeight="1" x14ac:dyDescent="0.25">
      <c r="A10" s="21"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3"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4"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65" t="s">
        <v>241</v>
      </c>
      <c r="E24" s="65" t="s">
        <v>244</v>
      </c>
      <c r="F24" s="65" t="s">
        <v>245</v>
      </c>
      <c r="G24" s="65" t="s">
        <v>246</v>
      </c>
      <c r="H24" s="65" t="s">
        <v>247</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23AD1-C9C2-421A-B7E6-200CAC66A40A}">
  <dimension ref="A1:BY259"/>
  <sheetViews>
    <sheetView showGridLines="0" zoomScale="85" zoomScaleNormal="85" workbookViewId="0">
      <selection activeCell="D19" sqref="D19"/>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c r="D98" s="13" t="str" cm="1">
        <f t="array" ref="D98:D101">Common_SourceData.Common_SourceData_ClimateZones_Appendices()</f>
        <v>Note:</v>
      </c>
    </row>
    <row r="99" spans="4:20" ht="20.100000000000001" customHeight="1" x14ac:dyDescent="0.25">
      <c r="D99" s="13" t="str">
        <v>MAT = mean annual temperature</v>
      </c>
    </row>
    <row r="100" spans="4:20" ht="20.100000000000001" customHeight="1" x14ac:dyDescent="0.25">
      <c r="D100" s="13" t="str">
        <v>MAP = mean annual precipitation</v>
      </c>
    </row>
    <row r="101" spans="4:20" ht="20.100000000000001" customHeight="1" x14ac:dyDescent="0.25">
      <c r="D101" s="13" t="str">
        <v>PET = potential evapotranspiration</v>
      </c>
    </row>
    <row r="102" spans="4:20" ht="20.100000000000001" customHeight="1" x14ac:dyDescent="0.25">
      <c r="D102" s="13"/>
    </row>
    <row r="103" spans="4:20" ht="20.100000000000001" customHeight="1" x14ac:dyDescent="0.25"/>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JwBOAGEAdAB1AHIAYQBsACAAZwBhAHMAIABkAGkAcwB0AHIAaQBiAHUAdABlAGQAIABpAG4AIABhACAAcABpAHAAZQBsAGkAbgBlACAALQAgAEcAaQBnAGEAagBvAHUAbABlAHMAJwAgAGEAbgBkACAAJwBUAG8AdwBuACAAZwBhAHMAIAAtACAARwBpAGcAYQBqAG8AdQBsAGUAcwAn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JwBDAC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AnAE4ARQAn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JwBOAEUAJ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BcAG4AIAAgACAAIABYAEwATwBPAEsAVQBQACgAMQAsACAAKABMAG8AbwBrAHUAcABBAHIAcgBhAHkAMQA9AEwAbwBvAGsAdQBwAFYAYQBsAHUAZQAxACkAKgAoAEwAbwBvAGsAdQBwAEEAcgByAGEAeQAyAD0ATABvAG8AawB1AHAAVgBhAGwAdQBlADIAKQAsACAAUgBlAHQAdQByAG4AQQByAHIAYQB5ACwAIABcACIAXAAi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BcAG4AIAAgACAAIABYAEwATwBPAEsAVQBQACgATABvAG8AawB1AHAAVgBhAGwAdQBlADEALAAgAEwAbwBvAGsAdQBwAEEAcgByAGEAeQAxACwAXABuACAAIAAgACAAIAAgACAAIABYAEwATwBPAEsAVQBQACgATABvAG8AawB1AHAAVgBhAGwAdQBlADIALAAgAEwAbwBvAGsAdQBwAEEAcgByAGEAeQAyACwAIABSAGUAdAB1AHIAbgBBAHIAcgBhAHk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DwAdAA+ADwAcwA+AFwAIgAgAC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PAAvAHMAPgA8AHMAPgBcACIAXABuACAAIAAgACAAIAAgACAAIAApACAAJgBcAG4AIAAgACAAIAAgACAAIAAgAFwAIgA8AC8AcwA+ADwALwB0AD4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DwAPQBhAHYAZwBUAGUAbQBwACkAKgBcAG4AIAAgACAAIAAgACAAIAAgACgAVgBBAEwAVQBFACgAbQBhAHgAVABlAG0AcABBAHIAcgBhAHkAKQA+AD0AYQB2AGcAVABlAG0AcAApACoAXABuACAAIAAgACAAIAAgACAAIAAoAFYAQQBMAFUARQAoAG0AaQBuAFIAYQBpAG4AZgBhAGwAbABBAHIAcgBhAHkAKQA8AD0AYQB2AGcAUgBhAGkAbgApACoAXABuACAAIAAgACAAIAAgACAAIAAoAFYAQQBMAFUARQAoAG0AYQB4AFIAYQBpAG4AZgBhAGwAbABBAHIAcgBhAHkAKQA+AD0AYQB2AGcAUgBhAGkAbgApACoAXABuACAAIAAgACAAIAAgACAAIAAoAFYAQQBMAFUARQAoAG0AaQBuAEYAcgBvAHMAdABBAHIAcgBhAHkAKQA8AD0AZgByAG8AcwB0AEQAYQB5AHMAKQAqAFwAbgAgACAAIAAgACAAIAAgACAAKABWAEEATABVAEUAKABtAGEAeABGAHIAbwBzAHQAQQByAHIAYQB5ACkAPgA9AGYAcgBvAHMAdABEAGEAeQBzACkAKgBcAG4AIAAgACAAIAAgACAAIAAgACgAVgBBAEwAVQBFACgAbQBpAG4ARQBsAGUAdgBhAHQAaQBvAG4AQQByAHIAYQB5ACkAPAA9AGUAbABlAHYAKQAqAFwAbgAgACAAIAAgACAAIAAgACAAKABWAEEATABVAEUAKABtAGEAeABFAGwAZQB2AGEAdABpAG8AbgBBAHIAcgBhAHkAKQA+AD0AZQBsAGUAdgApACoAXABuACAAIAAgACAAIAAgACAAIAAoAFYAQQBMAFUARQAoAG0AaQBuAFAARQBUAEEAcgByAGEAeQApADwAPQBtAGEAcABfAHAAZQB0ACkAKgBcAG4AIAAgACAAIAAgACAAIAAgACgAVgBBAEwAVQBFACgAbQBhAHgAUABFAFQAQQByAHIAYQB5ACkAPg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DwAPQBMAG8AbwBrAHUAcABWAGEAbAB1AGUAKQAqAFwAbgAgACAAIAAgACAAIAAgACAAKABWAEEATABVAEUAKABNAGEAeABBAHIAcgBhAHkAKQA+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A8ACAAUwApACwAXABuACAAIAAgACAAIAAgACAAIABsAGEAcwB0AFkAZQBhAHIALAB5AGIALQAoAEQAQQBUAEUAKAB5AGIALABtACwAZAApAD4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CcAdAAgAG8AdgBlAHIAbABhAHAAOwAgAG0AbwB2AGUAIAB0AG8AIABuAGUAeAB0ACAAeQBlAGEAcgAqAC8AXABuACAAIAAgACAAIAAgACAAIABmAGkAcgBzAHQAWQBlAGEAcgAsAHkAYQArACgAUABlAHIAaQBvAGQARQBuAGQAKABEAEEAVABFACgAeQBhACwAbQAsAGQAKQApADwAUwApACwAIAAvACoAaQBmACAAdABoAGUAIABhAG4AYwBoAG8AcgAgAGYAbwByACAAeQBiACAAcwB0AGEAcgB0AHMAIABhAGYAdABlAHIAIABFACwAaQB0ACAAYwBhAG4AJwB0ACAAbwB2AGUAcgBsAGEAcAA7ACAAbQBvAHYAZQAgAHQAbwAgAHAAcgBlAHYAaQBvAHUAcwAgAHkAZQBhAHIAKgAvAFwAbgAgACAAIAAgACAAIAAgACAAbABhAHMAdABZAGUAYQByACwAeQBiAC0AKABEAEEAVABFACgAeQBiACwAbQAsAGQAKQA+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AmACAAXAAiACAAdABvACAAXAAiACAAJgAgAGUAbgBkAHMAVABlAHgAdAAgAC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CcAXAAiACAAJgAgAHMAaAAgACYAIABcACIAJwAhAFwAIgAgAC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FwAbg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JwBGAHIAeQAnACAAdABvACAAJwBEAHIAeQAn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D4AIAAxADgAIABDAFwAIgAsACAAXAAiAEEAbgB5AFwAIgAsACAAXAAiAGQiIAA3AFwAIgAsACAAXAAiAD4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A+ACAAMQA4ACAAQwBcACIALAAgAFwAIgA+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D4AIAAxADgAIABDAFwAIgAsACAAXAAiAD4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D4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PgAgADEAMAAgAEMAXAAiACwAIABcACIAQQBuAHkAXAAiACwAIABcACIAQQBuAHkAXAAiACwAIABcACIAQQBuAHkAXAAiACwAIABcACIAPg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Pg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PgAgADAAIABDACAALQAgAGQiIAAxADAAIABDAFwAIgAsACAAXAAiAEEAbgB5AFwAIgAsACAAXAAiAEEAbgB5AFwAIgAsACAAXAAiAEEAbgB5AFwAIgAsACAAXAAiAD4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D4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Pg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A+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AnAEEAcQB1AGEAYwB1AGwAdAB1AHIAZQAnACAAcgBvAHcALgBcACIAOwBcAG4AIAAgACAAIAAgACAAIAAgACAAIABcACIAUgBlAG0AbwB2AGUAZAAgAGEAcwB0AGUAcgBpAHMAawBzACAAdABvACAAYQBpAGQAIABsAG8AbwBrAHUAcAAuAFwAIgA7AFwAbgAgACAAIAAgACAAIAAgACAAIAAgAFwAIgBBAGQAZABlAGQAIAAnAHAAcgBvAGQAdQBjAHQAaQBvAG4AIABzAHkAcwB0AGUAbQAgAG8AbgBsAHkAJwAsACAAJwByAGEAaQBuAGYAYQBsAGwAIAB6AG8AbgBlACcAIABhAG4AZAAgACcAaQByAHIAaQBnAGEAdABpAG8AbgAgAG0AZQB0AGgAbwBkACcAIABjAG8AbAB1AG0AbgBzACAAdABvACAAYQBpAGQAIABsAG8AbwBrAHUAcAAuAFwAIgA7AFwAbgAgACAAIAAgACAAIAAgACAAIAAgAFwAIgBEAHUAcABsAGkAYwBhAHQAZQBkACAAJwBuAG8AbgAtAGkAcgByAGkAZwBhAHQAZQBkACAAcABhAHMAdAB1AHIAZQAn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C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J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JwBEAHIAeQAgAGMAbABpAG0AYQB0AGUAIAB6AG8AbgBlAHMAJwAgAHQAbwAgAHMAaQBuAGcAdQBsAGEAcgAgACcARAByAHkAIABjAGwAaQBtAGEAdABlACAAegBvAG4AZQAn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PA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JwBQAG8AdQBsAHQAcgB5ACAAdwBpAHQAaAAgAGEAbgBkACAAdwBpAHQAaABvAHUAdAAgAGwAaQB0AHQAZQByACcAIABjAG8AbAB1AG0AbgAgAHcAaQB0AGgAIABzAGUAcABhAHIAYQB0AGUAIABOAEkAUgAgAGQAZQBmAGkAbgBpAHQAaQBvAG4AcwAgAHQAbwAgAGEAaQBkACAAbABvAG8AawB1AHAALgAgAEEAZABkAGUAZAAgACcATQBBAFQAIAByAGEAdwAn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C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Am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BMgTgAgACsAIABOAE8AeAAT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EAMgAsACAAMgA4ACwAXABuACAATABBAE0AQgBEAEEAKAByACwAYwAsAFwAbgAgACAASQBOAEQARQBYACgAewBcAG4AXAAiAEkAbgBjAGwAdQBkAGUAIABvAHIAIABlAHgAYwBsAHUAZABlAFwAIgAsAFwAIgBOAG8AdABlAHMAXAAiACwAXAAiAEMAbwBtAHAAYQBuAHkAXAAiACwAXAAiAFAAcgBvAGQAdQBjAHQAIABOAGEAbQBlAFwAIgAsAFwAIgBVAG4AaQB0AFwAIgAsAFwAIgBEAGUAbgBzAGkAdAB5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DsAXABuAFwAIgBJAG4AYwBsAHUAZABlAFwAIgAsAFwAIgBcACIALABcACIAQwBhAG0AcABiAGUAbABsAHMAIABmAGUAcgB0AGkAbABpAHMAZQByAHMAIABBAHUAcwB0AHIAYQBsAGkAYQBcACIALABcACIAQQBxAHUAYQAgAEYAaQBuAGkAcwBoAFwAIgAsAFwAIgBMAFwAIgAsADEALgAyADYALABcACIAXAAi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HAHIAbwB3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OAGkAdAByAG8AIABBAE4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TAHQAYQByAHQAXAAiACwAXAAiAEwAXAAiACwAMQAuADIANQAsAFwAIgBcACI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QwBvAG0AcABsAGUAdABl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QAaABpAG8ALQBFAG0AZQByAGcAZQ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RgBsAG8AdQByAGkAcwBo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7AFwAbgBcACIASQBuAGMAbAB1AGQAZQBcACIALABcACIAXAAiACwAXAAiAEMAYQBtAHAAYgBlAGwAbABzACAAZgBlAHIAdABpAGwAaQBzAGUAcgBzACAAQQB1AHMAdAByAGEAbABpAGEAXAAiACwAXAAiAEIAcgBvAG4AegBlAFwAIgAsAFwAIgBrAGcAXAAiACwAMQAsAFwAIgBcACIALABcACIAXAAiACwAXAAiAE0AdQByAGkAYQB0AGUAIABvAGYAIABQ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Cw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BcAG4AfQAsACAAcgAsACAAYwApAFwAbgApACkAKQA7AFwAbgBcAG4ALwAqAFwAbgBGAGUAcgB0AGkAbABpAHMAZQByAF8AUAByAG8AZAB1AGMAdABzAF8ARABhAHQAYQAyAFwAbgA9AEwAQQBNAEIARABBACgAXABuACAATQBBAEsARQBBAFIAUgBBAFkAKAA2ACwAIAAyADgALABcAG4AIABMAEEATQBCAEQAQQAoAHIALABjACwAXABuACAAIABJAE4ARABFAFgAKAB7AFwAbgBcACIARQB4AGMAbAB1AGQAZQAgAC0AIABBAGIAcwBlAG4AdAAgAGkAbgBnAHIAZQBkAGkAZQBuAHQAcwAgAD4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Pg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QAHIAbwBkAHUAYwB0ACwAIABQAHIAbwBkAHUAYwB0AEEAdAB0AHIAaQBiAHUAdABlACwAIABQAHIAbwBkAHUAYwB0AEEAcgByAGEAeQAsACAAUAByAG8AZAB1AGMAdABBAHIAcgBhAHkAQwBvAGwAdQBtAG4ALAAgAFAAcgBvAGQAdQBjAHQAQQByAHIAYQB5AEgAZQBhAGQAZQByAHMALABcAG4AIAAgAEkARgBFAFIAUgBPAFIAKABcAG4AIAAgACAAIABJAE4ARABFAFgAKABcAG4AIAAgACAAIAAgACAAUAByAG8AZAB1AGMAdABBAHIAcgBhAHkALABcAG4AIAAgACAAIAAgACAAWABNAEEAVABDAEgAKABUAFIASQBNACgAUAByAG8AZAB1AGMAdAApACwAIABQAHIAbwBkAHUAYwB0AEEAcgByAGEAeQBDAG8AbAB1AG0AbgAsACAAMAApACwAXABuACAAIAAgACAAIAAgAFgATQBBAFQAQwBIACgAVABSAEkATQAoAFAAcgBvAGQAdQBjAHQAQQB0AHQAcgBpAGIAdQB0AGUAKQAsACAAUAByAG8AZAB1AGMAdABBAHIAcgBhAHkASABlAGEAZABlAHIAcwAsACAAMAApAFwAbgAgACAAIAAgACkALABcAG4AIAAgACAAIABcACIAXAAiAFwAbgAgACAAKQBcAG4AKQA7AFwAbgBcAG4AXABuAEYAZQByAHQAaQBsAGkAcwBlAHIAXwBTAHUAbQBQAHIAbwBkAHUAYwB0AEEAcABwAGwAaQBlAGQAXABuAD0ATABBAE0AQgBEAEEAKABcAG4AIAAgAEwAbwBvAGsAdQBwAFQAYQByAGcAZQB0ADEALABMAG8AbwBrAHUAcABBAHIAcgBhAHkAMQAsAEEAbQBvAHUAbgB0AEEAcABwAGwAaQBlAGQALABbAEwAbwBvAGsAdQBwAFQAYQByAGcAZQB0ADIAXQAsAFsATABvAG8AawB1AHAAQQByAHIAYQB5ADIAXQAsAFwAbgAgACAATABFAFQAKABcAG4AIAAgACAAIABjAHIAaQB0AGUAcgBpAGEAMQAsAC0ALQAoAEwAbwBvAGsAdQBwAEEAcgByAGEAeQAxAD0ATABvAG8AawB1AHAAVABhAHIAZwBlAHQAMQApACwAXABuACAAIAAgACAAYwByAGkAdABlAHIAaQBhADIALABJAEYAKABJAFMATwBNAEkAVABUAEUARAAoAEwAbwBvAGsAdQBwAFQAYQByAGcAZQB0ADIAKQAsADEALAAtAC0AKABMAG8AbwBrAHUAcABBAHIAcgBhAHkAMgA9AEwAbwBvAGsAdQBwAFQAYQByAGcAZQB0ADIAKQApACwAXABuACAAIAAgACAAUwBVAE0AUABSAE8ARABVAEMAVAAoAGMAcgBpAHQAZQByAGkAYQAxACoAYwByAGkAdABlAHIAaQBhADIAKgBBAG0AbwB1AG4AdABBAHAAcABsAGkAZQBkACkAXABuACAAIAApAFwAbgApADsAXABuAFwAbgBGAGUAcgB0AGkAbABpAHMAZQByAF8AVABvAHQAYQBsAFMAbwBpAGwAQQBtAGUAbgBkAG0AZQBuAHQAQQBwAHAAbABpAGUAZABcAG4APQBMAEEATQBCAEQAQQAoAFwAbgAgACAAQQBtAG8AdQBuAHQAQQBwAHAAbABpAGUAZAAsACAAQQBtAGUAbgBkAG0AZQBuAHQAUABlAHIAYwBlAG4AdAAsAFwAbgAgACAAUwBVAE0AUABSAE8ARABVAEMAVAAoAEEAbQBvAHUAbgB0AEEAcABwAGwAaQBlAGQAIAAqACAAQQBtAGUAbgBkAG0AZQBuAHQAUABlAHIAYwBlAG4AdAApAFwAbgApADsAXABuAFwAbg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IAAoAEEAbQBvAHUAbgB0AEEAcABwAGwAaQBlAGQAKgBQAHIAbwBkAHUAYwB0AEkAbgBnAHIAZQBkAGkAZQBuAHQAUABlAHIAYwBlAG4AdAAxACkALABcAG4AIAAgACAAIABjAGEAbABjAHUAbABhAHQAZQBkAEEAbQBvAHUAbgB0ADIALAAgACgAQQBtAG8AdQBuAHQAQQBwAHAAbABpAGUAZAAqAFAAcgBvAGQAdQBjAHQASQBuAGcAcgBlAGQAaQBlAG4AdABQAGUAcgBjAGUAbgB0ADIAKQAsAFwAbgAgACAAIAAgAGMAYQBsAGMAdQBsAGEAdABlAGQAQQBtAG8AdQBuAHQAMwAsACAAKABBAG0AbwB1AG4AdABBAHAAcABsAGkAZQBkACoAUAByAG8AZAB1AGMAdABJAG4AZwByAGUAZABpAGUAbgB0AFAAZQByAGMAZQBuAHQAMwApACwAIABcAG4AIAAgACAAIABjAGEAbABjAHUAbABhAHQAZQBkAEEAbQBvAHUAbgB0ADQALAAgACgAQQBtAG8AdQBuAHQAQQBwAHAAbABpAGUAZAAqAFAAcgBvAGQAdQBjAHQASQBuAGcAcgBlAGQAaQBlAG4AdABQAGUAcgBjAGUAbgB0ADQAKQAsACAAXABuACAAIAAgACAAYwBhAGwAYwB1AGwAYQB0AGUAZABBAG0AbwB1AG4AdAA1ACwAIAAoAEEAbQBvAHUAbgB0AEEAcABwAGwAaQBlAGQAKgBQAHIAbwBkAHUAYwB0AEkAbgBnAHIAZQBkAGkAZQBuAHQAUABlAHIAYwBlAG4AdAA1ACkALAAgAFwAbgAgACAAIAAgAGMAYQBsAGMAdQBsAGEAdABlAGQAQQBtAG8AdQBuAHQANgAsACAAKABBAG0AbwB1AG4AdABBAHAAcABsAGkAZQBkACoAUAByAG8AZAB1AGMAdABJAG4AZwByAGUAZABpAGUAbgB0AFAAZQByAGMAZQBuAHQANgApACwAIAAgAFwAbgAgACAAIAAgAEYAZQByAHQAaQBsAGkAcwBlAHIAXwBTAHUAbQBQAHIAbwBkAHUAYwB0AEEAcABwAGwAaQBlAGQAKABcAG4AIAAgACAAIAAgACAAQwBoAGUAbQBpAGMAYQBsAEMAbwBtAHAAbwB1AG4AZAAsACAAUAByAG8AZAB1AGMAdABJAG4AZwByAGUAZABpAGUAbgB0ADEALAAgAGMAYQBsAGMAdQBsAGEAdABlAGQAQQBtAG8AdQBuAHQAMQBcAG4AIAAgACAAIAApACsAXABuACAAIAAgACAASQBGAEUAUgBSAE8AUgAoAEYAZQByAHQAaQBsAGkAcwBlAHIAXwBTAHUAbQBQAHIAbwBkAHUAYwB0AEEAcABwAGwAaQBlAGQAKABcAG4AIAAgACAAIAAgACAAQwBoAGUAbQBpAGMAYQBsAEMAbwBtAHAAbwB1AG4AZAAsACAAUAByAG8AZAB1AGMAdABJAG4AZwByAGUAZABpAGUAbgB0ADIALAAgAGMAYQBsAGMAdQBsAGEAdABlAGQAQQBtAG8AdQBuAHQAMgBcAG4AIAAgACAAIAApACwAIAAwACkAKwBcAG4AIAAgACAAIABJAEYARQBSAFIATwBSACgARgBlAHIAdABpAGwAaQBzAGUAcgBfAFMAdQBtAFAAcgBvAGQAdQBjAHQAQQBwAHAAbABpAGUAZAAoAFwAbgAgACAAIAAgACAAIABDAGgAZQBtAGkAYwBhAGwAQwBvAG0AcABvAHUAbgBkACwAIABQAHIAbwBkAHUAYwB0AEkAbgBnAHIAZQBkAGkAZQBuAHQAMwAsACAAYwBhAGwAYwB1AGwAYQB0AGUAZABBAG0AbwB1AG4AdAAzAFwAbgAgACAAIAAgACkALAAgADAAKQArAFwAbgAgACAAIAAgAEkARgBFAFIAUgBPAFIAKABGAGUAcgB0AGkAbABpAHMAZQByAF8AUwB1AG0AUAByAG8AZAB1AGMAdABBAHAAcABsAGkAZQBkACgAXABuACAAIAAgACAAIAAgAEMAaABlAG0AaQBjAGEAbABDAG8AbQBwAG8AdQBuAGQALAAgAFAAcgBvAGQAdQBjAHQASQBuAGcAcgBlAGQAaQBlAG4AdAA0ACwAIABjAGEAbABjAHUAbABhAHQAZQBkAEEAbQBvAHUAbgB0ADQAXABuACAAIAAgACAAKQAsACAAMAApACsAXABuACAAIAAgACAASQBGAEUAUgBSAE8AUgAoAEYAZQByAHQAaQBsAGkAcwBlAHIAXwBTAHUAbQBQAHIAbwBkAHUAYwB0AEEAcABwAGwAaQBlAGQAKABcAG4AIAAgACAAIAAgACAAQwBoAGUAbQBpAGMAYQBsAEMAbwBtAHAAbwB1AG4AZAAsACAAUAByAG8AZAB1AGMAdABJAG4AZwByAGUAZABpAGUAbgB0ADUALAAgAGMAYQBsAGMAdQBsAGEAdABlAGQAQQBtAG8AdQBuAHQANQBcAG4AIAAgACAAIAApACwAIAAwACkAKwBcAG4AIAAgACAAIABJAEYARQBSAFIATwBSACgARgBlAHIAdABpAGwAaQBzAGUAcgBfAFMAdQBtAFAAcgBvAGQAdQBjAHQAQQBwAHAAbABpAGUAZAAoAFwAbgAgACAAIAAgACAAIABDAGgAZQBtAGkAYwBhAGwAQwBvAG0AcABvAHUAbgBkACwAIABQAHIAbwBkAHUAYwB0AEkAbgBnAHIAZQBkAGkAZQBuAHQANgAsACAAYwBhAGwAYwB1AGwAYQB0AGUAZABBAG0AbwB1AG4AdAA2AFwAbgAgACAAIAAgACkALAAgAD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CAAKABBAG0AbwB1AG4AdABBAHAAcABsAGkAZQBkACoAUAByAG8AZAB1AGMAdABJAG4AZwByAGUAZABpAGUAbgB0AFAAZQByAGMAZQBuAHQAMQApACwAXABuACAAIAAgACAAYwBhAGwAYwB1AGwAYQB0AGUAZABBAG0AbwB1AG4AdAAyACwAIAAoAEEAbQBvAHUAbgB0AEEAcABwAGwAaQBlAGQAKgBQAHIAbwBkAHUAYwB0AEkAbgBnAHIAZQBkAGkAZQBuAHQAUABlAHIAYwBlAG4AdAAyACkALABcAG4AIAAgACAAIABjAGEAbABjAHUAbABhAHQAZQBkAEEAbQBvAHUAbgB0ADMALAAgACgAQQBtAG8AdQBuAHQAQQBwAHAAbABpAGUAZAAqAFAAcgBvAGQAdQBjAHQASQBuAGcAcgBlAGQAaQBlAG4AdABQAGUAcgBjAGUAbgB0ADMAKQAsACAAXABuACAAIAAgACAAYwBhAGwAYwB1AGwAYQB0AGUAZABBAG0AbwB1AG4AdAA0ACwAIAAoAEEAbQBvAHUAbgB0AEEAcABwAGwAaQBlAGQAKgBQAHIAbwBkAHUAYwB0AEkAbgBnAHIAZQBkAGkAZQBuAHQAUABlAHIAYwBlAG4AdAA0ACkALAAgAFwAbgAgACAAIAAgAGMAYQBsAGMAdQBsAGEAdABlAGQAQQBtAG8AdQBuAHQANQAsACAAKABBAG0AbwB1AG4AdABBAHAAcABsAGkAZQBkACoAUAByAG8AZAB1AGMAdABJAG4AZwByAGUAZABpAGUAbgB0AFAAZQByAGMAZQBuAHQANQApACwAIABcAG4AIAAgACAAIABjAGEAbABjAHUAbABhAHQAZQBkAEEAbQBvAHUAbgB0ADYALAAgACgAQQBtAG8AdQBuAHQAQQBwAHAAbABpAGUAZAAqAFAAcgBvAGQAdQBjAHQASQBuAGcAcgBlAGQAaQBlAG4AdABQAGUAcgBjAGUAbgB0ADYAKQAsAFwAbgAgACAAIAAgAFAAcgBvAGQAdQBjAHQASQBuAGcAcgBlAGQAaQBlAG4AdABTAG8AdQByAGMAZQAsACAASQBGACgAUAByAG8AZAB1AGMAdABJAG4AZwByAGUAZABpAGUAbgB0AFMAbwB1AHIAYwBlAD0AXAAiAFwAIgAsACAAXAAiAEcAbABvAGIAYQBsAFwAIgAsACAAUAByAG8AZAB1AGMAdABJAG4AZwByAGUAZABpAGUAbgB0AFMAbwB1AHIAYwBlACkALABcAG4AIAAgACAAIABGAGUAcgB0AGkAbABpAHMAZQByAF8AUwB1AG0AUAByAG8AZAB1AGMAdABBAHAAcABsAGkAZQBkACgAXABuACAAIAAgACAAIAAgAEMAaABlAG0AaQBjAGEAbABDAG8AbQBwAG8AdQBuAGQALAAgAFAAcgBvAGQAdQBjAHQASQBuAGcAcgBlAGQAaQBlAG4AdAAxACwAIABjAGEAbABjAHUAbABhAHQAZQBkAEEAbQBvAHUAbgB0ADEALAAgAFMAbwB1AHIAYwBlACwAIABQAHIAbwBkAHUAYwB0AEkAbgBnAHIAZQBkAGkAZQBuAHQAUwBvAHUAcgBjAGUAXABuACAAIAAgACAAKQArAFwAbgAgACAAIAAgAEkARgBFAFIAUgBPAFIAKABGAGUAcgB0AGkAbABpAHMAZQByAF8AUwB1AG0AUAByAG8AZAB1AGMAdABBAHAAcABsAGkAZQBkACgAXABuACAAIAAgACAAIAAgAEMAaABlAG0AaQBjAGEAbABDAG8AbQBwAG8AdQBuAGQALAAgAFAAcgBvAGQAdQBjAHQASQBuAGcAcgBlAGQAaQBlAG4AdAAyACwAIABjAGEAbABjAHUAbABhAHQAZQBkAEEAbQBvAHUAbgB0ADIALAAgAFMAbwB1AHIAYwBlACwAIABQAHIAbwBkAHUAYwB0AEkAbgBnAHIAZQBkAGkAZQBuAH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MALAAgAGMAYQBsAGMAdQBsAGEAdABlAGQAQQBtAG8AdQBuAHQAMwAsACAAUwBvAHUAcgBjAGUALAAgAFAAcgBvAGQAdQBjAHQASQBuAGcAcgBlAGQAaQBlAG4AdABTAG8AdQByAGMAZQBcAG4AIAAgACAAIAApACwAIAAwACkAKwBcAG4AIAAgACAAIABJAEYARQBSAFIATwBSACgARgBlAHIAdABpAGwAaQBzAGUAcgBfAFMAdQBtAFAAcgBvAGQAdQBjAHQAQQBwAHAAbABpAGUAZAAoAFwAbgAgACAAIAAgACAAIABDAGgAZQBtAGkAYwBhAGwAQwBvAG0AcABvAHUAbgBkACwAIABQAHIAbwBkAHUAYwB0AEkAbgBnAHIAZQBkAGkAZQBuAHQANAAsACAAYwBhAGwAYwB1AGwAYQB0AGUAZABBAG0AbwB1AG4AdAA0ACwAIABTAG8AdQByAGMAZQAsACAAUAByAG8AZAB1AGMAdABJAG4AZwByAGUAZABpAGUAbgB0AFMAbwB1AHIAYwBlAFwAbgAgACAAIAAgACkALAAgADAAKQArAFwAbgAgACAAIAAgAEkARgBFAFIAUgBPAFIAKABGAGUAcgB0AGkAbABpAHMAZQByAF8AUwB1AG0AUAByAG8AZAB1AGMAdABBAHAAcABsAGkAZQBkACgAXABuACAAIAAgACAAIAAgAEMAaABlAG0AaQBjAGEAbABDAG8AbQBwAG8AdQBuAGQALAAgAFAAcgBvAGQAdQBjAHQASQBuAGcAcgBlAGQAaQBlAG4AdAA1ACwAIABjAGEAbABjAHUAbABhAHQAZQBkAEEAbQBvAHUAbgB0ADUALAAgAFMAbwB1AHIAYwBlACwAIABQAHIAbwBkAHUAYwB0AEkAbgBnAHIAZQBkAGkAZQBuAH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YALAAgAGMAYQBsAGMAdQBsAGEAdABlAGQAQQBtAG8AdQBuAHQANgAsACAAUwBvAHUAcgBjAGUALAAgAFAAcgBvAGQAdQBjAHQASQBuAGcAcgBlAGQAaQBlAG4AdABTAG8AdQByAGMAZQBcAG4AIAAgACAAIAApACwAIAAwACkAXABuACAAIAApAFwAbgApADsAXABuAFwAbgBGAGUAcgB0AGkAbABpAHMAZQByAF8ARwBlAHQAUwBjAG8AcABlADMARQBGAFwAbgA9AEwAQQBNAEIARABBACgAXABuACAAIAAgACAAQwBoAGUAbQBpAGMAYQBsAEMAbwBtAHAAbwB1AG4AZAAsACAAUwBjAG8AcABlADMAQQByAHIAYQB5ACwAIABDAGgAZQBtAGkAYwBhAGwAQwBvAG0AcABvAHUAbgBkAEMAbwBsAHUAbQBuACwAIABTAG8AdQByAGMAZQAsACAAUwBvAHUAcgBjAGUAUgBvAHcALABcAG4AIAAgACAAIABJAE4ARABFAFgAKABTAGMAbwBwAGUAMwBBAHIAcgBhAHkALABcAG4AIAAgACAAIAAgACAAIABNAEEAVABDAEgAKABDAGgAZQBtAGkAYwBhAGwAQwBvAG0AcABvAHUAbgBkACwAIABDAGgAZQBtAGkAYwBhAGwAQwBvAG0AcABvAHUAbgBkAEMAbwBsAHUAbQBuACwAIAAwACkALABcAG4AIAAgACAAIAAgACAAIABNAEEAVABDAEgAKABTAG8AdQByAGMAZQAsACAAUwBvAHUAcgBjAGUAUgBvAHcALAAgADAAKQBcAG4AIAAgACAAIAApAFwAbgApADsAXABuAFwAbgBGAGUAcgB0AGkAbABpAHMAZQByAF8ARwBlAHQAQwBoAGUAbQBpAGMAYQBsAEMAbwBtAHAAbwB1AG4AZABFAGwAZQBtAGUAbgB0AEYAcgBhAGMAdABpAG8AbgBcAG4APQBMAEEATQBCAEQAQQAoAFwAbgAgACAAIAAgAEMAaABlAG0AaQBjAGEAbABDAG8AbQBwAG8AdQBuAGQALAAgAEUAbABlAG0AZQBuAHQALAAgAEMAaABlAG0AaQBjAGEAbABDAG8AbQBwAG8AdQBuAGQAQQByAHIAYQB5ACwAIABDAGgAZQBtAGkAYwBhAGwAQwBvAG0AcABvAHUAbgBkAEMAbwBsAHUAbQBuACwAIABFAGwAZQBtAGUAbgB0AFIAbwB3ACwAXABuACAAIAAgACAASQBOAEQARQBYACgAQwBoAGUAbQBpAGMAYQBsAEMAbwBtAHAAbwB1AG4AZABBAHIAcgBhAHkALABcAG4AIAAgACAAIAAgACAATQBBAFQAQwBIACgAQwBoAGUAbQBpAGMAYQBsAEMAbwBtAHAAbwB1AG4AZAAsACAAQwBoAGUAbQBpAGMAYQBsAEMAbwBtAHAAbwB1AG4AZABDAG8AbAB1AG0AbgAsACAAMAApACwAXABuACAAIAAgACAAIAAgAE0AQQBUAEMASAAoAEUAbABlAG0AZQBuAHQALAAgAEUAbABlAG0AZQBuAHQAUgBvAHcALAAgADAAKQBcAG4AIAAg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TAGMAbwBwAGUAMwBfAEkAbgBvAHIAZwBhAG4AaQBjAEYAZQByAHQAaQBsAGkAcwBlAHIAcwBfAFQAaQB0AGwAZQBcAG4APQBMAEEATQBCAEQAQQAoACgAXAAiAEkAbgBvAHIAZwBhAG4AaQBjACAAZgBlAHIAdABpAGwAaQBzAGUAcgAgAGMAaABlAG0AaQBjAGEAbAAgAGMAbwBtAHAAbwB1AG4AZAAgAHMAYwBvAHAAZQAgADMAXAAiACkAKQA7AFwAbgBcAG4AUwBjAG8AcABlADMAXwBJAG4AbwByAGcAYQBuAGkAYwBGAGUAcgB0AGkAbABpAHMAZQBy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JAG4AbwByAGcAYQBuAGkAYwBGAGUAcgB0AGkAbABpAHMAZQByAHMAXwBWAGEAcgBpAGEAdABpAG8AbgBcAG4APQBMAEEATQBCAEQAQQAoACgAXAAiAFwAIgApACkAOwBcAG4AXABuAFMAYwBvAHAAZQAzAF8ASQBuAG8AcgBnAGEAbgBpAGMARgBlAHIAdABpAGwAaQBzAGUAcgBzAF8ARABhAHQAYQBcAG4APQBMAEEATQBCAEQAQQAoAFwAbgAgACAATQBBAEsARQBBAFIAUgBBAFkAKAAyADY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cgB0AGkAbABpAHMAZQByAHMAXAAiACwAIABcACIASQBuAG8AcgBnAGEAbgBpAGMAIABmAGUAcgB0AGkAbABpAHMAZQByAHMAXAAiACwAIABcACIAQQBtAG0AbwBuAGkAYQAsACAAQQBVACAAbQBhAHIAawBlAHQAIABtAGkAeABcACIALAAgAFwAIgBHAGwAbwBiAGEAbABcACIALAAgAFwAIgBrAGcAXAAiACwAIAAyAC4AMwAyACwAIABcACIAYQB0ACAAbQBhAHIAawBlAHQAXAAiADsAXABuACAAIAAgACAAIAAgACAAIABcACIARgBlAHIAdABpAGwAaQBzAGUAcgBzAFwAIgAsACAAXAAiAEkAbgBvAHIAZwBhAG4AaQBjACAAZgBlAHIAdABpAGwAaQBzAGUAcgBzAFwAIgAsACAAXAAiAEEAbQBtAG8AbgBpAGEALAAgAEMAYQBuAGEAZABhAFwAIgAsACAAXAAiAEMAYQBuAGEAZABhAFwAIgAsACAAXAAiAGsAZwBcACIALAAgADIALgAxADIALAAgAFwAIgBhAHQAIABtAGEAcgBrAGUAdABcACIAOwBcAG4AIAAgACAAIAAgACAAIAAgAFwAIgBGAGUAcgB0AGkAbABpAHMAZQByAHMAXAAiACwAIABcACIASQBuAG8AcgBnAGEAbgBpAGMAIABmAGUAcgB0AGkAbABpAHMAZQByAHMAXAAiACwAIABcACIAQQBtAG0AbwBuAGkAYQAsACAAQwBoAGkAbgBhAFwAIgAsACAAXAAiAEMAaABpAG4AYQBcACIALAAgAFwAIgBrAGcAXAAiACwAIAA0AC4AMQA3ACwAIABcACIAYQB0ACAAbQBhAHIAawBlAHQAXAAiADsAXABuACAAIAAgACAAIAAgACAAIABcACIARgBlAHIAdABpAGwAaQBzAGUAcgBzAFwAIgAsACAAXAAiAEkAbgBvAHIAZwBhAG4AaQBjACAAZgBlAHIAdABpAGwAaQBzAGUAcgBzAFwAIgAsACAAXAAiAEEAbQBtAG8AbgBpAGEALAAgAFkAZQBtAGUAbgBcACIALAAgAFwAIgBZAGUAbQBlAG4AXAAiACwAIABcACIAawBnAFwAIgAsACAAMgAuADIANgAsACAAXAAiAGEAdAAgAG0AYQByAGsAZQB0AFwAIgA7AFwAbgAgACAAIAAgACAAIAAgACAAXAAiAEYAZQByAHQAaQBsAGkAcwBlAHIAcwBcACIALAAgAFwAIgBJAG4AbwByAGcAYQBuAGkAYwAgAGYAZQByAHQAaQBsAGkAcwBlAHIAcwBcACIALAAgAFwAIgBBAG0AbQBvAG4AaQB1AG0AIABuAGkAdAByAGEAdABlACwAIABBAFUAIABtAGEAcgBrAGUAdAAgAG0AaQB4AFwAIgAsACAAXAAiAEcAbABvAGIAYQBsAFwAIgAsACAAXAAiAGsAZwBcACIALAAgADIALgAyADEALAAgAFwAIgBhAHQAIABtAGEAcgBrAGUAdABcACIAOwBcAG4AIAAgACAAIAAgACAAIAAgAFwAIgBGAGUAcgB0AGkAbABpAHMAZQByAHMAXAAiACwAIABcACIASQBuAG8AcgBnAGEAbgBpAGMAIABmAGUAcgB0AGkAbABpAHMAZQByAHMAXAAiACwAIABcACIAQwBhAGwAYwBpAHUAbQAgAGEAbQBtAG8AbgBpAHUAbQAgAG4AaQB0AHIAYQB0AGUALAAgAEEAVQAgAG0AYQByAGsAZQB0ACAAbQBpAHgAXAAiACwAIABcACIARwBsAG8AYgBhAGwAXAAiACwAIABcACIAawBnAFwAIgAsACAAMQAuADEANQAsACAAXAAiAGEAdAAgAG0AYQByAGsAZQB0AFwAIgA7AFwAbgAgACAAIAAgACAAIAAgACAAXAAiAEYAZQByAHQAaQBsAGkAcwBlAHIAcwBcACIALAAgAFwAIgBJAG4AbwByAGcAYQBuAGkAYwAgAGYAZQByAHQAaQBsAGkAcwBlAHIAcwBcACIALAAgAFwAIgBDAGEAbABjAGkAdQBtACAAbgBpAHQAcgBhAHQAZQBcACIALAAgAFwAIgBHAGwAbwBiAGEAbABcACIALAAgAFwAIgBrAGcAXAAiACwAIAAwAC4ANwA1ACwAIABcACIAYQB0ACAAbQBhAHIAawBlAHQAXAAiADsAXABuACAAIAAgACAAIAAgACAAIABcACIARgBlAHIAdABpAGwAaQBzAGUAcgBzAFwAIgAsACAAXAAiAEkAbgBvAHIAZwBhAG4AaQBjACAAZgBlAHIAdABpAGwAaQBzAGUAcgBzAFwAIgAsACAAXAAiAEQAaQBhAG0AbQBvAG4AaQB1AG0AIABwAGgAbwBzAHAAaABhAHQAZQAsACAAQQBVACAAbQBhAHIAawBlAHQAIABtAGkAeABcACIALAAgAFwAIgBHAGwAbwBiAGEAbABcACIALAAgAFwAIgBrAGcAXAAiACwAIAAxAC4AMwA0ACwAIABcACIAYQB0ACAAbQBhAHIAawBlAHQAXAAiADsAXABuACAAIAAgACAAIAAgACAAIABcACIARgBlAHIAdABpAGwAaQBzAGUAcgBzAFwAIgAsACAAXAAiAEkAbgBvAHIAZwBhAG4AaQBjACAAZgBlAHIAdABpAGwAaQBzAGUAcgBzAFwAIgAsACAAXAAiAEQAbwB1AGIAbABlACAAcwB1AHAAZQByAHAAaABvAHMAcABoAGEAdABlACwAIABBAFUAIABtAGEAcgBrAGUAdAAgAG0AaQB4AFwAIgAsACAAXAAiAEcAbABvAGIAYQBsAFwAIgAsACAAXAAiAGsAZwBcACIALAAgADAALgAzADkAMgAsACAAXAAiAGEAdAAgAG0AYQByAGsAZQB0AFwAIgA7AFwAbgAgACAAIAAgACAAIAAgACAAXAAiAEYAZQByAHQAaQBsAGkAcwBlAHIAcwBcACIALAAgAFwAIgBJAG4AbwByAGcAYQBuAGkAYwAgAGYAZQByAHQAaQBsAGkAcwBlAHIAcwBcACIALAAgAFwAIgBNAG8AbgBvAGEAbQBtAG8AbgBpAHUAbQAgAHAAaABvAHMAcABoAGEAdABlACwAIABBAFUAIABtAGEAcgBrAGUAdAAgAG0AaQB4AFwAIgAsACAAXAAiAEcAbABvAGIAYQBsAFwAIgAsACAAXAAiAGsAZwBcACIALAAgADAALgA4ADIANwAsACAAXAAiAGEAdAAgAG0AYQByAGsAZQB0AFwAIgA7AFwAbgAgACAAIAAgACAAIAAgACAAXAAiAEYAZQByAHQAaQBsAGkAcwBlAHIAcwBcACIALAAgAFwAIgBJAG4AbwByAGcAYQBuAGkAYwAgAGYAZQByAHQAaQBsAGkAcwBlAHIAcwBcACIALAAgAFwAIgBNAHUAcgBpAGEAdABlACAAbwBmACAAcABvAHQAYQBzAGgALAAgAEEAVQAgAG0AYQByAGsAZQB0ACAAbQBpAHgAXAAiACwAIABcACIARwBsAG8AYgBhAGwAXAAiACwAIABcACIAawBnAFwAIgAsACAAMAAuADUANAA5ACwAIABcACIAYQB0ACAAbQBhAHIAawBlAHQAXAAiADsAXABuACAAIAAgACAAIAAgACAAIABcACIARgBlAHIAdABpAGwAaQBzAGUAcgBzAFwAIgAsACAAXAAiAEkAbgBvAHIAZwBhAG4AaQBjACAAZgBlAHIAdABpAGwAaQBzAGUAcgBzAFwAIgAsACAAXAAiAE4AaQB0AHIAbwBnAGUAbgAgAGYAcgBvAG0AIABhAG0AbQBvAG4AaQBhACwAIABBAFUAIABtAGEAcgBrAGUAdAAgAG0AaQB4AFwAIgAsACAAXAAiAEcAbABvAGIAYQBsAFwAIgAsACAAXAAiAGsAZwAgAE4AXAAiACwAIAAyAC4AOAAzACwAIABcACIAYQB0ACAAbQBhAHIAawBlAHQAXAAiADsAXABuACAAIAAgACAAIAAgACAAIABcACIARgBlAHIAdABpAGwAaQBzAGUAcgBzAFwAIgAsACAAXAAiAEkAbgBvAHIAZwBhAG4AaQBjACAAZgBlAHIAdABpAGwAaQBzAGUAcgBzAFwAIgAsACAAXAAiAE4AaQB0AHIAbwBnAGUAbgAgAGYAcgBvAG0AIABmAGUAcgB0AGkAbABpAHoAZQByACwAIABBAFUAIABtAGEAcgBrAGUAdAAgAG0AaQB4AFwAIgAsACAAXAAiAEcAbABvAGIAYQBsAFwAIgAsACAAXAAiAGsAZwAgAE4AXAAiACwAIAA0AC4AMgAsACAAXAAiAGEAdAAgAG0AYQByAGsAZQB0AFwAIgA7AFwAbgAgACAAIAAgACAAIAAgACAAXAAiAEYAZQByAHQAaQBsAGkAcwBlAHIAcwBcACIALAAgAFwAIgBJAG4AbwByAGcAYQBuAGkAYwAgAGYAZQByAHQAaQBsAGkAcwBlAHIAcwBcACIALAAgAFwAIgBOAGkAdAByAG8AZwBlAG4AIABmAHIAbwBtACAAbgBpAHQAcgBhAHQAZQAgAGYAZQByAHQAaQBsAGkAegBlAHIALAAgAEEAVQAgAG0AYQByAGsAZQB0ACAAbQBpAHgAXAAiACwAIABcACIARwBsAG8AYgBhAGwAXAAiACwAIABcACIAawBnACAATgBcACIALAAgADUALgA0ADcALAAgAFwAIgBhAHQAIABtAGEAcgBrAGUAdABcACIAOwBcAG4AIAAgACAAIAAgACAAIAAgAFwAIgBGAGUAcgB0AGkAbABpAHMAZQByAHMAXAAiACwAIABcACIASQBuAG8AcgBnAGEAbgBpAGMAIABmAGUAcgB0AGkAbABpAHMAZQByAHMAXAAiACwAIABcACIAUABoAG8AcwBwAGgAbwByAHUAcwAgAGYAcgBvAG0AIABmAGUAcgB0AGkAbABpAHoAZQByACwAIABBAFUAIABtAGEAcgBrAGUAdAAgAG0AaQB4AFwAIgAsACAAXAAiAEcAbABvAGIAYQBsAFwAIgAsACAAXAAiAGsAZwAgAFAAXAAiACwAIAAzAC4AOQA2ACwAIABcACIAYQB0ACAAbQBhAHIAawBlAHQAXAAiADsAXABuACAAIAAgACAAIAAgACAAIABcACIARgBlAHIAdABpAGwAaQBzAGUAcgBzAFwAIgAsACAAXAAiAEkAbgBvAHIAZwBhAG4AaQBjACAAZgBlAHIAdABpAGwAaQBzAGUAcgBzAFwAIgAsACAAXAAiAFAAbwB0AGEAcwBzAGkAdQBtACAAZgByAG8AbQAgAGYAZQByAHQAaQBsAGkAegBlAHIALAAgAEEAVQAgAG0AYQByAGsAZQB0ACAAbQBpAHgAXAAiACwAIABcACIARwBsAG8AYgBhAGwAXAAiACwAIABcACIAawBnACAASwBcACIALAAgADAALgA5ADAAOQAsACAAXAAiAGEAdAAgAG0AYQByAGsAZQB0AFwAIgA7AFwAbgAgACAAIAAgACAAIAAgACAAXAAiAEYAZQByAHQAaQBsAGkAcwBlAHIAcwBcACIALAAgAFwAIgBJAG4AbwByAGcAYQBuAGkAYwAgAGYAZQByAHQAaQBsAGkAcwBlAHIAcwBcACIALAAgAFwAIgBTAGkAbgBnAGwAZQAgAHMAdQBwAGUAcgBwAGgAbwBzAHAAaABhAHQAZQAsACAAQQBVACAAbQBhAHIAawBlAHQAIABtAGkAeABcACIALAAgAFwAIgBHAGwAbwBiAGEAbABcACIALAAgAFwAIgBrAGcAXAAiACwAIAAwAC4AMgAyADcALAAgAFwAIgBhAHQAIABtAGEAcgBrAGUAdABcACIAOwBcAG4AIAAgACAAIAAgACAAIAAgAFwAIgBGAGUAcgB0AGkAbABpAHMAZQByAHMAXAAiACwAIABcACIASQBuAG8AcgBnAGEAbgBpAGMAIABmAGUAcgB0AGkAbABpAHMAZQByAHMAXAAiACwAIABcACIAUwB1AGwAZgB1AHIAIABmAHIAbwBtACAAZgBlAHIAdABpAGwAaQB6AGUAcgAsACAAQQBVACAAbQBhAHIAawBlAHQAIABtAGkAeABcACIALAAgAFwAIgBHAGwAbwBiAGEAbABcACIALAAgAFwAIgBrAGcAIABTAFwAIgAsACAAMgAuADUALAAgAFwAIgBhAHQAIABtAGEAcgBrAGUAdABcACIAOwBcAG4AIAAgACAAIAAgACAAIAAgAFwAIgBGAGUAcgB0AGkAbABpAHMAZQByAHMAXAAiACwAIABcACIASQBuAG8AcgBnAGEAbgBpAGMAIABmAGUAcgB0AGkAbABpAHMAZQByAHMAXAAiACwAIABcACIAQQBtAG0AbwBuAGkAdQBtACAAcwB1AGwAcABoAGEAdABlACwAIABBAFUAIABtAGEAcgBrAGUAdAAgAG0AaQB4AFwAIgAsACAAXAAiAEcAbABvAGIAYQBsAFwAIgAsACAAXAAiAGsAZwBcACIALAAgADAALgA4ADYANQAsACAAXAAiAGEAdAAgAG0AYQByAGsAZQB0AFwAIgA7AFwAbgAgACAAIAAgACAAIAAgACAAXAAiAEYAZQByAHQAaQBsAGkAcwBlAHIAcwBcACIALAAgAFwAIgBJAG4AbwByAGcAYQBuAGkAYwAgAGYAZQByAHQAaQBsAGkAcwBlAHIAcwBcACIALAAgAFwAIgBVAHIAZQBhACAAYQBtAG0AbwBuAGkAdQBtACAAbgBpAHQAcgBhAHQAZQAsACAAQQBVACAAbQBhAHIAawBlAHQAIABtAGkAeABcACIALAAgAFwAIgBHAGwAbwBiAGEAbABcACIALAAgAFwAIgBrAGcAXAAiACwAIAAxAC4ANwA1ACwAIABcACIAYQB0ACAAbQBhAHIAawBlAHQAXAAiADsAXABuACAAIAAgACAAIAAgACAAIABcACIARgBlAHIAdABpAGwAaQBzAGUAcgBzAFwAIgAsACAAXAAiAEkAbgBvAHIAZwBhAG4AaQBjACAAZgBlAHIAdABpAGwAaQBzAGUAcgBzAFwAIgAsACAAXAAiAFUAcgBlAGEALAAgAEEAVQAgAG0AYQByAGsAZQB0ACAAbQBpAHgAXAAiACwAIABcACIARwBsAG8AYgBhAGwAXAAiACwAIABcACIAawBnAFwAIgAsACAAMAAuADkANgA4ACwAIABcACIAYQB0ACAAbQBhAHIAawBlAHQAXAAiADsAXABuACAAIAAgACAAIAAgACAAIABcACIARgBlAHIAdABpAGwAaQBzAGUAcgBzAFwAIgAsACAAXAAiAEkAbgBvAHIAZwBhAG4AaQBjACAAZgBlAHIAdABpAGwAaQBzAGUAcgBzAFwAIgAsACAAXAAiAFUAcgBlAGEALAAgAEMAYQBuAGEAZABhAFwAIgAsACAAXAAiAEMAYQBuAGEAZABhAFwAIgAsACAAXAAiAGsAZwBcACIALAAgADAALgA4ADIAMwAsACAAXAAiAGEAdAAgAG0AYQByAGsAZQB0AFwAIgA7AFwAbgAgACAAIAAgACAAIAAgACAAXAAiAEYAZQByAHQAaQBsAGkAcwBlAHIAcwBcACIALAAgAFwAIgBJAG4AbwByAGcAYQBuAGkAYwAgAGYAZQByAHQAaQBsAGkAcwBlAHIAcwBcACIALAAgAFwAIgBVAHIAZQBhACwAIABDAGgAaQBuAGEAXAAiACwAIABcACIAQwBoAGkAbgBhAFwAIgAsACAAXAAiAGsAZwBcACIALAAgADIALgAwADkALAAgAFwAIgBhAHQAIABtAGEAcgBrAGUAdABcACIAOwBcAG4AIAAgACAAIAAgACAAIAAgAFwAIgBGAGUAcgB0AGkAbABpAHMAZQByAHMAXAAiACwAIABcACIASQBuAG8AcgBnAGEAbgBpAGMAIABmAGUAcgB0AGkAbABpAHMAZQByAHMAXAAiACwAIABcACIAVQByAGUAYQAsACAAWQBlAG0AZQBuAFwAIgAsACAAXAAiAFkAZQBtAGUAbgBcACIALAAgAFwAIgBrAGcAXAAiACwAIAAwAC4AOQA2ADMALAAgAFwAIgBhAHQAIABtAGEAcgBrAGUAdABcACIAOwBcAG4AIAAgACAAIAAgACAAIAAgAFwAIgBGAGUAcgB0AGkAbABpAHMAZQByAHMAXAAiACwAIABcACIASQBuAG8AcgBnAGEAbgBpAGMAIABmAGUAcgB0AGkAbABpAHMAZQByAHMAXAAiACwAIABcACIAWgBpAG4AYwAgAGYAcgBvAG0AIABmAGUAcgB0AGkAbABpAHoAZQByAFwAIgAsACAAXAAiAEcAbABvAGIAYQBsAFwAIgAsACAAXAAiAGsAZwAgAFoAbgBcACIALAAgADQALgA4ADIALAAgAFwAIgBhAHQAIABtAGEAcgBrAGU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TwByAGcAYQBuAGkAYwAgAGYAZQByAHQAaQBsAGkAcwBlAHIAcwAgAFwAbgA9AD0APQA9AD0APQA9AD0APQA9AD0APQA9AD0APQA9AD0APQA9AD0APQA9AD0APQA9AD0APQA9AD0APQA9AD0APQA9AD0APQA9AD0APQA9AD0APQA9AD0APQA9AD0APQA9AD0APQA9AD0APQA9AD0APQA9AD0APQA9AD0APQA9AD0APQA9AD0APQA9AD0APQA9AD0APQA9AFwAbgAqAC8AXABuAFwAbgBTAGMAbwBwAGUAMwBfAE8AcgBnAGEAbgBpAGMARgBlAHIAdABpAGwAaQBzAGUAcgBzAF8AVABpAHQAbABlAFwAbgA9AEwAQQBNAEIARABBACgAKABcACIATwByAGcAYQBuAGkAYwAgAGYAZQByAHQAaQBsAGkAcwBlAHIAIABzAGMAbwBwAGUAIAAzAFwAIgApACkAOwBcAG4AXABuAFMAYwBvAHAAZQAzAF8ATwByAGcAYQBuAGkAYwBGAGUAcgB0AGkAbABpAHMAZQBy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PAHIAZwBhAG4AaQBjAEYAZQByAHQAaQBsAGkAcwBlAHIAcwBfAFYAYQByAGkAYQB0AGkAbwBuAFwAbgA9AEwAQQBNAEIARABBACgAKABcACIAXAAiACkAKQA7AFwAbgBcAG4AUwBjAG8AcABlADMAXwBPAHIAZwBhAG4AaQBjAEYAZQByAHQAaQBsAGkAcwBlAHIAcwBfAEQAYQB0AGEAXABuAD0ATABBAE0AQgBEAEEAKABcAG4AIAAgAE0AQQBLAEUAQQBSAFIAQQBZACgAMQAx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PAHIAZwBhAG4AaQBjACAARgBlAHIAdABpAGwAaQBzAGUAcgBzAFwAIgAsACAAXAAiAEQAYQBpAHIAeQAgAE0AYQBuAHUAcgBlAFwAIgAsACAAXAAiAFAAcgBpAG0AYQByAHkAIABNAE0AUwBcACIALAAgAFwAIgB0AFwAIgAsACAAMAAyADAAMQAwADEALAAgAFwAIgB0AFwAIgAsACAAXAAiAHQAIABDAE8AMgAtAGUAIAAvACAAdABcACIAOwBcAG4AIAAgACAAIAAgACAAIAAgAFwAIgBPAHIAZwBhAG4AaQBjACAARgBlAHIAdABpAGwAaQBzAGUAcgBzAFwAIgAsACAAXAAiAEQAYQBpAHIAeQAgAE0AYQBuAHUAcgBlAFwAIgAsACAAXAAiAFMAZQBjAG8AbgBkAGEAcgB5ACAATQBNAFMAXAAiACwAIABcACIAdABcACIALAAgADAAMgAwADEAMAAyACwAIABcACIAdABcACIALAAgAFwAIgB0ACAAQwBPADIALQBlACAALwAgAHQAXAAiADsAXABuACAAIAAgACAAIAAgACAAIABcACIATwByAGcAYQBuAGkAYwAgAEYAZQByAHQAaQBsAGkAcwBlAHIAcwBcACIALAAgAFwAIgBQAG8AcgBrACAATQBhAG4AdQByAGUAXAAiACwAIABcACIAUAByAGkAbQBhAHIAeQAgAE0ATQBTAFwAIgAsACAAXAAiAHQAXAAiACwAIAAwADIAMAAyADAAMQAsACAAXAAiAHQAXAAiACwAIABcACIAdAAgAEMATwAyAC0AZQAgAC8AIAB0AFwAIgA7AFwAbgAgACAAIAAgACAAIAAgACAAXAAiAE8AcgBnAGEAbgBpAGMAIABGAGUAcgB0AGkAbABpAHMAZQByAHMAXAAiACwAIABcACIAUABvAHIAawAgAE0AYQBuAHUAcgBlAFwAIgAsACAAXAAiAFMAZQBjAG8AbgBkAGEAcgB5ACAATQBNAFMAXAAiACwAIABcACIAdABcACIALAAgADAAMgAwADIAMAAyACwAIABcACIAdABcACIALAAgAFwAIgB0ACAAQwBPADIALQBlACAALwAgAHQAXAAiADsAXABuACAAIAAgACAAIAAgACAAIABcACIATwByAGcAYQBuAGkAYwAgAEYAZQByAHQAaQBsAGkAcwBlAHIAcwBcACIALAAgAFwAIgBGAGUAZQBkAGwAbwB0ACAATQBhAG4AdQByAGUAXAAiACwAIABcACIAUAByAGkAbQBhAHIAeQAgAE0ATQBTAFwAIgAsACAAXAAiAHQAXAAiACwAIAAwADIAMAAzADAAMQAsACAAXAAiAHQAXAAiACwAIABcACIAdAAgAEMATwAyAC0AZQAgAC8AIAB0AFwAIgA7AFwAbgAgACAAIAAgACAAIAAgACAAXAAiAE8AcgBnAGEAbgBpAGMAIABGAGUAcgB0AGkAbABpAHMAZQByAHMAXAAiACwAIABcACIARgBlAGUAZABsAG8AdAAgAE0AYQBuAHUAcgBlAFwAIgAsACAAXAAiAFMAZQBjAG8AbgBkAGEAcgB5ACAATQBNAFMAXAAiACwAIABcACIAdABcACIALAAgADAAMgAwADMAMAAyACwAIABcACIAdABcACIALAAgAFwAIgB0ACAAQwBPADIALQBlACAALwAgAHQAXAAiADsAXABuACAAIAAgACAAIAAgACAAIABcACIATwByAGcAYQBuAGkAYwAgAEYAZQByAHQAaQBsAGkAcwBlAHIAcwBcACIALAAgAFwAIgBGAGUAZQBkAGwAbwB0ACAATQBhAG4AdQByAGUAXAAiACwAIABcACIAVABlAHIAdABpAGEAcgB5ACAATQBNAFMAXAAiACwAIABcACIAdABcACIALAAgADAAMgAwADMAMAAzACwAIABcACIAdABcACIALAAgAFwAIgB0ACAAQwBPADIALQBlACAALwAgAHQAXAAiADsAXABuACAAIAAgACAAIAAgACAAIABcACIATwByAGcAYQBuAGkAYwAgAEYAZQByAHQAaQBsAGkAcwBlAHIAcwBcACIALAAgAFwAIgBQAG8AdQBsAHQAcgB5ACAATQBhAG4AdQByAGUAXAAiACwAIABcACIAUAByAGkAbQBhAHIAeQAgAE0ATQBTAFwAIgAsACAAXAAiAHQAXAAiACwAIAAwADIAMAA0ADAAMQAsACAAXAAiAHQAXAAiACwAIABcACIAdAAgAEMATwAyAC0AZQAgAC8AIAB0AFwAIgA7AFwAbgAgACAAIAAgACAAIAAgACAAXAAiAE8AcgBnAGEAbgBpAGMAIABGAGUAcgB0AGkAbABpAHMAZQByAHMAXAAiACwAIABcACIAUABvAHUAbAB0AHIAeQAgAE0AYQBuAHUAcgBlAFwAIgAsACAAXAAiAFMAZQBjAG8AbgBkAGEAcgB5ACAATQBNAFMAXAAiACwAIABcACIAdABcACIALAAgADAAMgAwADQAMAAyACwAIABcACIAdABcACIALAAgAFwAIgB0ACAAQwBPADIALQBlACAALwAgAHQAXAAiADsAXABuACAAIAAgACAAIAAgACAAIABcACIATwByAGcAYQBuAGkAYwAgAEYAZQByAHQAaQBsAGkAcwBlAHIAcwBcACIALAAgAFwAIgBPAHQAaABlAHIAXAAiACwAIABcACIATABvAGMAYQB0AGkAbwBuACAAbgBvAHQAIABzAHAAZQBjAGkAZgBpAGUAZABcACIALAAgAFwAIgB0AFwAIgAsACAAMAAyADAANQAwADE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g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UwBvAGkAbAAgAEEAbQBlAG4AZABtAGUAbgB0AHMAXAAiACwAIABcACIATABpAG0AZQBcACIALAAgAFwAIgBMAG8AYwBhAHQAaQBvAG4AIABuAG8AdAAgAHMAcABlAGMAaQBmAGkAZQBkAFwAIgAsACAAXAAiAHQAXAAiACwAIAAwADMAMAAxADAAMQAsACAAXAAiAHQAXAAiACwAIABcACIAdAAgAEMATwAyAC0AZQAgAC8AIAB0AFwAIgA7AFwAbgAgACAAIAAgACAAIAAgACAAXAAiAFMAbwBpAGwAIABBAG0AZQBuAGQAbQBlAG4AdABzAFwAIgAsACAAXAAiAEwAaQBtAGUAcwBhAG4AZABcACIALAAgAFwAIgBMAG8AYwBhAHQAaQBvAG4AIABuAG8AdAAgAHMAcABlAGMAaQBmAGkAZQBkAFwAIgAsACAAXAAiAHQAXAAiACwAIAAwADMAMAAxADAAMgAsACAAXAAiAHQAXAAiACwAIABcACIAdAAgAEMATwAyAC0AZQAgAC8AIAB0AFwAIgA7AFwAbgAgACAAIAAgACAAIAAgACAAXAAiAFMAbwBpAGwAIABBAG0AZQBuAGQAbQBlAG4AdABzAFwAIgAsACAAXAAiAEQAbwBsAG8AbQBpAHQAZQBcACIALAAgAFwAIgBMAG8AYwBhAHQAaQBvAG4AIABuAG8AdAAgAHMAcABlAGMAaQBmAGkAZQBkAFwAIgAsACAAXAAiAHQAXAAiACwAIAAwADMAMAAxADAAMwAsACAAXAAiAHQAXAAiACwAIABcACIAdAAgAEMATwAyAC0AZQAgAC8AIAB0AFwAIgA7AFwAbgAgACAAIAAgACAAIAAgACAAXAAiAFMAbwBpAGwAIABBAG0AZQBuAGQAbQBlAG4AdABzAFwAIgAsACAAXAAiAEcAeQBwAHMAdQBtAFwAIgAsACAAXAAiAEwAbwBjAGEAdABpAG8AbgAgAG4AbwB0ACAAcwBwAGUAYwBpAGYAaQBlAGQAXAAiACwAIABcACIAdABcACIALAAgADAAMwAwADEAMAA0ACwAIABcACIAdABcACIALAAgAFwAIgB0ACAAQwBPADIALQBlACAALwAgAHQAXAAiADsAXABuACAAIAAgACAAIAAgACAAIABcACIAUwBvAGkAbAAgAEEAbQBlAG4AZABtAGUAbgB0AHMAXAAiACwAIABcACIAUABvAHQAYQBzAGgAXAAiACwAIABcACIATABvAGMAYQB0AGkAbwBuACAAbgBvAHQAIABzAHAAZQBjAGkAZgBpAGUAZABcACIALAAgAFwAIgB0AFwAIgAsACAAMAAzADAAMQAwADU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QBnAHIAbwBjAGgAZQBtAGkAYwBhAGwAcwBcAG4APQA9AD0APQA9AD0APQA9AD0APQA9AD0APQA9AD0APQA9AD0APQA9AD0APQA9AD0APQA9AD0APQA9AD0APQA9AD0APQA9AD0APQA9AD0APQA9AD0APQA9AD0APQA9AD0APQA9AD0APQA9AD0APQA9AD0APQA9AD0APQA9AD0APQA9AD0APQA9AD0APQA9AD0APQA9AD0APQBcAG4AKgAvAFwAbgBcAG4AUwBjAG8AcABlADMAXwBBAGcAcgBvAGMAaABlAG0AaQBjAGEAbABzAF8AVABpAHQAbABlAFwAbgA9AEwAQQBNAEIARABBACgAKABcACIAQQBnAHIAbwBjAGgAZQBtAGkAYwBhAGwAcwAgAHMAYwBvAHAAZQAgADMAXAAiACkAKQA7AFwAbgBcAG4AUwBjAG8AcABlADMAXwBBAGcAcgBvAG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QBnAHIAbwBjAGgAZQBtAGkAYwBhAGwAcwBfAFYAYQByAGkAYQB0AGkAbwBuAFwAbgA9AEwAQQBNAEIARABBACgAKABcACIAXAAiACkAKQA7AFwAbgBcAG4AUwBjAG8AcABlADMAXwBBAGcAcgBvAGMAaABlAG0AaQBjAGEAbABzAF8ARABhAHQAYQBcAG4APQBMAEEATQBCAEQAQQAoAFwAbgAgACAATQBBAEsARQBBAFIAUgBBAFkAKAA2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BAGcAcgBvAGMAaABlAG0AaQBjAGEAbABzAFwAIgAsACAAXAAiAEcAbAB5AHAAaABvAHMAYQB0AGUAXAAiACwAIABcACIATABvAGMAYQB0AGkAbwBuACAAbgBvAHQAIABzAHAAZQBjAGkAZgBpAGUAZABcACIALAAgAFwAIgB0AFwAIgAsACAAMAA0ADAAMQAwADEALAAgAFwAIgB0AFwAIgAsACAAXAAiAHQAIABDAE8AMgAtAGUAIAAvACAAdABcACIAOwBcAG4AIAAgACAAIAAgACAAIAAgAFwAIgBBAGcAcgBvAGMAaABlAG0AaQBjAGEAbABzAFwAIgAsACAAXAAiAFAAYQByAGEAcQB1AGEAdAAsACAAZABpAHEAdQBhAHQAXAAiACwAIABcACIATABvAGMAYQB0AGkAbwBuACAAbgBvAHQAIABzAHAAZQBjAGkAZgBpAGUAZABcACIALAAgAFwAIgB0AFwAIgAsACAAMAA0ADAAMQAwADIALAAgAFwAIgB0AFwAIgAsACAAXAAiAHQAIABDAE8AMgAtAGUAIAAvACAAdABcACIAOwBcAG4AIAAgACAAIAAgACAAIAAgAFwAIgBBAGcAcgBvAGMAaABlAG0AaQBjAGEAbABzAFwAIgAsACAAXAAiAEcAZQBuAGUAcgBpAGMAIABIAGUAcgBiAGkAYwBpAGQAZQBcACIALAAgAFwAIgBMAG8AYwBhAHQAaQBvAG4AIABuAG8AdAAgAHMAcABlAGMAaQBmAGkAZQBkAFwAIgAsACAAXAAiAHQAXAAiACwAIAAwADQAMAAxADAAMwAsACAAXAAiAHQAXAAiACwAIABcACIAdAAgAEMATwAyAC0AZQAgAC8AIAB0AFwAIgA7AFwAbgAgACAAIAAgACAAIAAgACAAXAAiAEEAZwByAG8AYwBoAGUAbQBpAGMAYQBsAHMAXAAiACwAIABcACIARwBlAG4AZQByAGkAYwAgAEkAbgBzAGUAYwB0AGkAYwBpAGQAZQBcACIALAAgAFwAIgBMAG8AYwBhAHQAaQBvAG4AIABuAG8AdAAgAHMAcABlAGMAaQBmAGkAZQBkAFwAIgAsACAAXAAiAHQAXAAiACwAIAAwADQAMAAxADAANAAsACAAXAAiAHQAXAAiACwAIABcACIAdAAgAEMATwAyAC0AZQAgAC8AIAB0AFwAIgA7AFwAbgAgACAAIAAgACAAIAAgACAAXAAiAEEAZwByAG8AYwBoAGUAbQBpAGMAYQBsAHMAXAAiACwAIABcACIARwBlAG4AZQByAGkAYwAgAEYAdQBuAGcAaQBjAGkAZABlAFwAIgAsACAAXAAiAEwAbwBjAGEAdABpAG8AbgAgAG4AbwB0ACAAcwBwAGUAYwBpAGYAaQBlAGQAXAAiACwAIABcACIAdABcACIALAAgADAANAAwADEAMAA1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wAaQBjAGsAIABCAGwAbwBjAGsAcwBcAG4APQA9AD0APQA9AD0APQA9AD0APQA9AD0APQA9AD0APQA9AD0APQA9AD0APQA9AD0APQA9AD0APQA9AD0APQA9AD0APQA9AD0APQA9AD0APQA9AD0APQA9AD0APQA9AD0APQA9AD0APQA9AD0APQA9AD0APQA9AD0APQA9AD0APQA9AD0APQA9AD0APQA9AD0APQA9AD0APQBcAG4AKgAvAFwAbgBcAG4AUwBjAG8AcABlADMAXwBMAGkAYwBrAEIAbABvAGMAawBzAF8AVABpAHQAbABlAFwAbgA9AEwAQQBNAEIARABBACgAKABcACIATABpAGMAawAgAEIAbABvAGMAawBzACAAcwBjAG8AcABlACAAMwBcACIAKQApADsAXABuAFwAbgBTAGMAbwBwAGUAMwBfAEwAaQBjAGsAQgBsAG8AYwBr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YwBrAEIAbABvAGMAawBzAF8AVgBhAHIAaQBhAHQAaQBvAG4AXABuAD0ATABBAE0AQgBEAEEAKAAoAFwAIgBcACIAKQApADsAXABuAFwAbgBTAGMAbwBwAGUAMwBfAEwAaQBjAGsAQgBsAG8AYwBrAHMAXwBEAGEAdABhAFwAbgA9AEwAQQBNAEIARABBACgAXABuACAAIABNAEEASwBFAEEAUgBSAEEAWQAoADQ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wAaQBjAGsAIABCAGwAbwBjAGsAcwBcACIALAAgAFwAIgBNAGkAbgBlAHIAYQBsACAAYgBsAG8AYwBrAFwAIgAsACAAXAAiAEwAbwBjAGEAdABpAG8AbgAgAG4AbwB0ACAAcwBwAGUAYwBpAGYAaQBlAGQAXAAiACwAIABcACIAdABcACIALAAgADAANQAwADEAMAAxACwAIABcACIAdABcACIALAAgAFwAIgB0ACAAQwBPADIALQBlACAALwAgAHQAXAAiADsAXABuACAAIAAgACAAIAAgACAAIABcACIATABpAGMAawAgAEIAbABvAGMAawBzAFwAIgAsACAAXAAiAFcAZQBhAG4AZQByACAAYgBsAG8AYwBrAFwAIgAsACAAXAAiAEwAbwBjAGEAdABpAG8AbgAgAG4AbwB0ACAAcwBwAGUAYwBpAGYAaQBlAGQAXAAiACwAIABcACIAdABcACIALAAgADAANQAwADEAMAAyACwAIABcACIAdABcACIALAAgAFwAIgB0ACAAQwBPADIALQBlACAALwAgAHQAXAAiADsAXABuACAAIAAgACAAIAAgACAAIABcACIATABpAGMAawAgAEIAbABvAGMAawBzAFwAIgAsACAAXAAiAEQAcgB5ACAAcwBlAGEAcwBvAG4AIABtAGkAeABcACIALAAgAFwAIgBMAG8AYwBhAHQAaQBvAG4AIABuAG8AdAAgAHMAcABlAGMAaQBmAGkAZQBkAFwAIgAsACAAXAAiAHQAXAAiACwAIAAwADUAMAAxADAAMwAsACAAXAAiAHQAXAAiACwAIABcACIAdAAgAEMATwAyAC0AZQAgAC8AIAB0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BAG4AaQBtAGEAbAAgAEYAZQBlAGQAXABuAD0APQA9AD0APQA9AD0APQA9AD0APQA9AD0APQA9AD0APQA9AD0APQA9AD0APQA9AD0APQA9AD0APQA9AD0APQA9AD0APQA9AD0APQA9AD0APQA9AD0APQA9AD0APQA9AD0APQA9AD0APQA9AD0APQA9AD0APQA9AD0APQA9AD0APQA9AD0APQA9AD0APQA9AD0APQA9AD0AXABuACoALwBcAG4AXABuAFMAYwBvAHAAZQAzAF8AQQBuAGkAbQBhAGwARgBlAGUAZABfAFQAaQB0AGwAZQBcAG4APQBMAEEATQBCAEQAQQAoACgAXAAiAEEAbgBpAG0AYQBsACAARgBlAGUAZAAgAHMAYwBvAHAAZQAgADMAXAAiACkAKQA7AFwAbgBcAG4AUwBjAG8AcABlADMAXwBBAG4AaQBtAGEAbABGAGUAZQBk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QBuAGkAbQBhAGwARgBlAGUAZABfAFYAYQByAGkAYQB0AGkAbwBuAFwAbgA9AEwAQQBNAEIARABBACgAKABcACIAXAAiACkAKQA7AFwAbgBcAG4AUwBjAG8AcABlADMAXwBBAG4AaQBtAGEAbABGAGUAZQBkAF8ARABhAHQAYQBcAG4APQBMAEEATQBCAEQAQQAoAFwAbgAgACAATQBBAEsARQBBAFIAUgBBAFkAKAAxADc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EAbgBpAG0AYQBsACAARgBlAGUAZABcACIALAAgAFwAIgBHAHIAYQBpAG4AXAAiACwAIABcACIATABvAGMAYQB0AGkAbwBuACAAbgBvAHQAIABzAHAAZQBjAGkAZgBpAGUAZABcACIALAAgAFwAIgB0AFwAIgAsACAAMAA2ADAAMQAwADEALAAgAFwAIgB0AFwAIgAsACAAXAAiAHQAIABDAE8AMgAtAGUAIAAvACAAdABcACIAOwBcAG4AIAAgACAAIAAgACAAIAAgAFwAIgBBAG4AaQBtAGEAbAAgAEYAZQBlAGQAXAAiACwAIABcACIAVwBoAGUAYQB0AFwAIgAsACAAXAAiAEwAbwBjAGEAdABpAG8AbgAgAG4AbwB0ACAAcwBwAGUAYwBpAGYAaQBlAGQAXAAiACwAIABcACIAdABcACIALAAgADAANgAwADEAMAAyACwAIABcACIAdABcACIALAAgAFwAIgB0ACAAQwBPADIALQBlACAALwAgAHQAXAAiADsAXABuACAAIAAgACAAIAAgACAAIABcACIAQQBuAGkAbQBhAGwAIABGAGUAZQBkAFwAIgAsACAAXAAiAFcAaABlAGEAdAAgAEIAcgBhAG4AXAAiACwAIABcACIATABvAGMAYQB0AGkAbwBuACAAbgBvAHQAIABzAHAAZQBjAGkAZgBpAGUAZABcACIALAAgAFwAIgB0AFwAIgAsACAAMAA2ADAAMQAwADMALAAgAFwAIgB0AFwAIgAsACAAXAAiAHQAIABDAE8AMgAtAGUAIAAvACAAdABcACIAOwBcAG4AIAAgACAAIAAgACAAIAAgAFwAIgBBAG4AaQBtAGEAbAAgAEYAZQBlAGQAXAAiACwAIABcACIAQgBhAHIAbABlAHkAXAAiACwAIABcACIATABvAGMAYQB0AGkAbwBuACAAbgBvAHQAIABzAHAAZQBjAGkAZgBpAGUAZABcACIALAAgAFwAIgB0AFwAIgAsACAAMAA2ADAAMQAwADQALAAgAFwAIgB0AFwAIgAsACAAXAAiAHQAIABDAE8AMgAtAGUAIAAvACAAdABcACIAOwBcAG4AIAAgACAAIAAgACAAIAAgAFwAIgBBAG4AaQBtAGEAbAAgAEYAZQBlAGQAXAAiACwAIABcACIAUwBvAHkAYgBlAGEAbgBcACIALAAgAFwAIgBMAG8AYwBhAHQAaQBvAG4AIABuAG8AdAAgAHMAcABlAGMAaQBmAGkAZQBkAFwAIgAsACAAXAAiAHQAXAAiACwAIAAwADYAMAAxADAANQAsACAAXAAiAHQAXAAiACwAIABcACIAdAAgAEMATwAyAC0AZQAgAC8AIAB0AFwAIgA7AFwAbgAgACAAIAAgACAAIAAgACAAXAAiAEEAbgBpAG0AYQBsACAARgBlAGUAZABcACIALAAgAFwAIgBTAG8AeQBiAGUAYQBuACAAbQBlAGEAbABcACIALAAgAFwAIgBMAG8AYwBhAHQAaQBvAG4AIABuAG8AdAAgAHMAcABlAGMAaQBmAGkAZQBkAFwAIgAsACAAXAAiAHQAXAAiACwAIAAwADYAMAAxADAANgAsACAAXAAiAHQAXAAiACwAIABcACIAdAAgAEMATwAyAC0AZQAgAC8AIAB0AFwAIgA7AFwAbgAgACAAIAAgACAAIAAgACAAXAAiAEEAbgBpAG0AYQBsACAARgBlAGUAZABcACIALAAgAFwAIgBDAGEAbgBvAGwAYQAgAG0AZQBhAGwAXAAiACwAIABcACIATABvAGMAYQB0AGkAbwBuACAAbgBvAHQAIABzAHAAZQBjAGkAZgBpAGUAZABcACIALAAgAFwAIgB0AFwAIgAsACAAMAA2ADAAMQAwADcALAAgAFwAIgB0AFwAIgAsACAAXAAiAHQAIABDAE8AMgAtAGUAIAAvACAAdABcACIAOwBcAG4AIAAgACAAIAAgACAAIAAgAFwAIgBBAG4AaQBtAGEAbAAgAEYAZQBlAGQAXAAiACwAIABcACIAQwBhAG4AbwBsAGEAIABvAGkAbABcACIALAAgAFwAIgBMAG8AYwBhAHQAaQBvAG4AIABuAG8AdAAgAHMAcABlAGMAaQBmAGkAZQBkAFwAIgAsACAAXAAiAHQAXAAiACwAIAAwADYAMAAxADAAOAAsACAAXAAiAHQAXAAiACwAIABcACIAdAAgAEMATwAyAC0AZQAgAC8AIAB0AFwAIgA7AFwAbgAgACAAIAAgACAAIAAgACAAXAAiAEEAbgBpAG0AYQBsACAARgBlAGUAZABcACIALAAgAFwAIgBCAGUAZQB0ACAAcAB1AGwAcABcACIALAAgAFwAIgBMAG8AYwBhAHQAaQBvAG4AIABuAG8AdAAgAHMAcABlAGMAaQBmAGkAZQBkAFwAIgAsACAAXAAiAHQAXAAiACwAIAAwADYAMAAxADAAOQAsACAAXAAiAHQAXAAiACwAIABcACIAdAAgAEMATwAyAC0AZQAgAC8AIAB0AFwAIgA7AFwAbgAgACAAIAAgACAAIAAgACAAXAAiAEEAbgBpAG0AYQBsACAARgBlAGUAZABcACIALAAgAFwAIgBDAG8AdAB0AG8AbgAgAHMAZQBlAGQAXAAiACwAIABcACIATABvAGMAYQB0AGkAbwBuACAAbgBvAHQAIABzAHAAZQBjAGkAZgBpAGUAZABcACIALAAgAFwAIgB0AFwAIgAsACAAMAA2ADAAMQAxADAALAAgAFwAIgB0AFwAIgAsACAAXAAiAHQAIABDAE8AMgAtAGUAIAAvACAAdABcACIAOwBcAG4AIAAgACAAIAAgACAAIAAgAFwAIgBBAG4AaQBtAGEAbAAgAEYAZQBlAGQAXAAiACwAIABcACIASABhAHkAXAAiACwAIABcACIATABvAGMAYQB0AGkAbwBuACAAbgBvAHQAIABzAHAAZQBjAGkAZgBpAGUAZABcACIALAAgAFwAIgB0AFwAIgAsACAAMAA2ADAAMQAxADEALAAgAFwAIgB0AFwAIgAsACAAXAAiAHQAIABDAE8AMgAtAGUAIAAvACAAdABcACIAOwBcAG4AIAAgACAAIAAgACAAIAAgAFwAIgBBAG4AaQBtAGEAbAAgAEYAZQBlAGQAXAAiACwAIABcACIARgBlAGUAZAAgAGYAbwByAG0AdQBsAGEAdABpAG8AbgBzACAAKABjAGgAaQBjAGsAZQBuACwAIABwAGkAZwBzACwAIABjAGEAdAB0AGwAZQAsACAAZABhAGkAcgB5ACkAXAAiACwAIABcACIATABvAGMAYQB0AGkAbwBuACAAbgBvAHQAIABzAHAAZQBjAGkAZgBpAGUAZABcACIALAAgAFwAIgB0AFwAIgAsACAAMAA2ADAAMQAxADIALAAgAFwAIgB0AFwAIgAsACAAXAAiAHQAIABDAE8AMgAtAGUAIAAvACAAdABcACIAOwBcAG4AIAAgACAAIAAgACAAIAAgAFwAIgBBAG4AaQBtAGEAbAAgAEYAZQBlAGQAXAAiACwAIABcACIATQBvAGwAYQBzAHMAZQBzAFwAIgAsACAAXAAiAEwAbwBjAGEAdABpAG8AbgAgAG4AbwB0ACAAcwBwAGUAYwBpAGYAaQBlAGQAXAAiACwAIABcACIAdABcACIALAAgADAANgAwADEAMQAzACwAIABcACIAdABcACIALAAgAFwAIgB0ACAAQwBPADIALQBlACAALwAgAHQAXAAiADsAXABuACAAIAAgACAAIAAgACAAIABcACIAQQBuAGkAbQBhAGwAIABGAGUAZQBkAFwAIgAsACAAXAAiAEIAZQBuAHQAbwBuAGkAdABlAFwAIgAsACAAXAAiAEwAbwBjAGEAdABpAG8AbgAgAG4AbwB0ACAAcwBwAGUAYwBpAGYAaQBlAGQAXAAiACwAIABcACIAdABcACIALAAgADAANgAwADEAMQA0ACwAIABcACIAdABcACIALAAgAFwAIgB0ACAAQwBPADIALQBlACAALwAgAHQAXAAiADsAXABuACAAIAAgACAAIAAgACAAIABcACIAQQBuAGkAbQBhAGwAIABGAGUAZQBkAFwAIgAsACAAXAAiAE0AZQBhAHQAIABtAGUAYQBsAFwAIgAsACAAXAAiAEwAbwBjAGEAdABpAG8AbgAgAG4AbwB0ACAAcwBwAGUAYwBpAGYAaQBlAGQAXAAiACwAIABcACIAdABcACIALAAgADAANgAwADEAMQA1ACwAIABcACIAdABcACIALAAgAFwAIgB0ACAAQwBPADIALQBlACAALwAgAHQAXAAiADsAXABuACAAIAAgACAAIAAgACAAIABcACIAQQBuAGkAbQBhAGwAIABGAGUAZQBkAFwAIgAsACAAXAAiAEIAZQBuAHQATABpAG0AZQAsACAAcABoAG8AcwBwAGgAbwByAHUAcwAsACAAcABvAHQAYQBzAGgAbwBuAGkAdABlAFwAIgAsACAAXAAiAEwAbwBjAGEAdABpAG8AbgAgAG4AbwB0ACAAcwBwAGUAYwBpAGYAaQBlAGQAXAAiACwAIABcACIAdABcACIALAAgADAANgAwADEAMQA0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EAcQB1AGEAYwB1AGwAdAB1AHIAZQAgAEYAZQBlAGQAIABhAG4AZAAgAEIAYQBpAHQAXABuAD0APQA9AD0APQA9AD0APQA9AD0APQA9AD0APQA9AD0APQA9AD0APQA9AD0APQA9AD0APQA9AD0APQA9AD0APQA9AD0APQA9AD0APQA9AD0APQA9AD0APQA9AD0APQA9AD0APQA9AD0APQA9AD0APQA9AD0APQA9AD0APQA9AD0APQA9AD0APQA9AD0APQA9AD0APQA9AD0AXABuACoALwBcAG4AXABuAFMAYwBvAHAAZQAzAF8AQQBxAHUAYQBjAHUAbAB0AHUAcgBlAEYAZQBlAGQAQQBuAGQAQgBhAGkAdABfAFQAaQB0AGwAZQBcAG4APQBMAEEATQBCAEQAQQAoACgAXAAiAEEAcQB1AGEAYwB1AGwAdAB1AHIAZQAgAEYAZQBlAGQAIABhAG4AZAAgAEIAYQBpAHQAIABzAGMAbwBwAGUAIAAzAFwAIgApACkAOwBcAG4AXABuAFMAYwBvAHAAZQAzAF8AQQBxAHUAYQBjAHUAbAB0AHUAcgBlAEYAZQBlAGQAQQBuAGQAQgBhAGkAd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EAcQB1AGEAYwB1AGwAdAB1AHIAZQBGAGUAZQBkAEEAbgBkAEIAYQBpAHQAXwBWAGEAcgBpAGEAdABpAG8AbgBcAG4APQBMAEEATQBCAEQAQQAoACgAXAAiAFwAIgApACkAOwBcAG4AXABuAFMAYwBvAHAAZQAzAF8AQQBxAHUAYQBjAHUAbAB0AHUAcgBlAEYAZQBlAGQAQQBuAGQAQgBhAGkAdABfAEQAYQB0AGEAXABuAD0ATABBAE0AQgBEAEEAKABcAG4AIAAgAE0AQQBLAEUAQQBSAFIAQQBZACgAOQ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QQBxAHUAYQBjAHUAbAB0AHUAcgBlACAARgBlAGUAZAAgAGEAbgBkACAAQgBhAGkAdABcACIALAAgAFwAIgBMAG8AdwAgAEEAbgBpAG0AYQBsACAAUAByAG8AdABlAGkAbgAgAEYAbwByAG0AdQBsAGEAdABlAGQAIABGAGUAZQBkAFwAIgAsACAAXAAiAEwAbwBjAGEAdABpAG8AbgAgAG4AbwB0ACAAcwBwAGUAYwBpAGYAaQBlAGQAXAAiACwAIABcACIAdABcACIALAAgADAANwAwADEAMAAxACwAIABcACIAdABcACIALAAgAFwAIgB0ACAAQwBPADIALQBlACAALwAgAHQAXAAiADsAXABuACAAIAAgACAAIAAgACAAIABcACIAQQBxAHUAYQBjAHUAbAB0AHUAcgBlACAARgBlAGUAZAAgAGEAbgBkACAAQgBhAGkAdABcACIALAAgAFwAIgBIAGkAZwBoACAAQQBuAGkAbQBhAGwAIABQAHIAbwB0AGUAaQBuACAARgBvAHIAbQB1AGwAYQB0AGUAZAAgAEYAZQBlAGQAXAAiACwAIABcACIATABvAGMAYQB0AGkAbwBuACAAbgBvAHQAIABzAHAAZQBjAGkAZgBpAGUAZABcACIALAAgAFwAIgB0AFwAIgAsACAAMAA3ADAAMQAwADIALAAgAFwAIgB0AFwAIgAsACAAXAAiAHQAIABDAE8AMgAtAGUAIAAvACAAdABcACIAOwBcAG4AIAAgACAAIAAgACAAIAAgAFwAIgBBAHEAdQBhAGMAdQBsAHQAdQByAGUAIABGAGUAZQBkACAAYQBuAGQAIABCAGEAaQB0AFwAIgAsACAAXAAiAEMAZQByAGUAYQBsACAAZwByAGEAaQBuAFwAIgAsACAAXAAiAEwAbwBjAGEAdABpAG8AbgAgAG4AbwB0ACAAcwBwAGUAYwBpAGYAaQBlAGQAXAAiACwAIABcACIAdABcACIALAAgADAANwAwADEAMAAzACwAIABcACIAdABcACIALAAgAFwAIgB0ACAAQwBPADIALQBlACAALwAgAHQAXAAiADsAXABuACAAIAAgACAAIAAgACAAIABcACIAQQBxAHUAYQBjAHUAbAB0AHUAcgBlACAARgBlAGUAZAAgAGEAbgBkACAAQgBhAGkAdABcACIALAAgAFwAIgBTAHEAdQBpAGQAXAAiACwAIABcACIATABvAGMAYQB0AGkAbwBuACAAbgBvAHQAIABzAHAAZQBjAGkAZgBpAGUAZABcACIALAAgAFwAIgB0AFwAIgAsACAAMAA3ADAAMQAwADQALAAgAFwAIgB0AFwAIgAsACAAXAAiAHQAIABDAE8AMgAtAGUAIAAvACAAdABcACIAOwBcAG4AIAAgACAAIAAgACAAIAAgAFwAIgBBAHEAdQBhAGMAdQBsAHQAdQByAGUAIABGAGUAZQBkACAAYQBuAGQAIABCAGEAaQB0AFwAIgAsACAAXAAiAFcAaABvAGwAZQAgAEYAaQBzAGgAXAAiACwAIABcACIATABvAGMAYQB0AGkAbwBuACAAbgBvAHQAIABzAHAAZQBjAGkAZgBpAGUAZABcACIALAAgAFwAIgB0AFwAIgAsACAAMAA3ADAAMQAwADUALAAgAFwAIgB0AFwAIgAsACAAXAAiAHQAIABDAE8AMgAtAGUAIAAvACAAdABcACIAOwBcAG4AIAAgACAAIAAgACAAIAAgAFwAIgBBAHEAdQBhAGMAdQBsAHQAdQByAGUAIABGAGUAZQBkACAAYQBuAGQAIABCAGEAaQB0AFwAIgAsACAAXAAiAFcAaABvAGwAZQAgAFMAYQByAGQAaQBuAGUAcwBcACIALAAgAFwAIgBMAG8AYwBhAHQAaQBvAG4AIABuAG8AdAAgAHMAcABlAGMAaQBmAGkAZQBkAFwAIgAsACAAXAAiAHQAXAAiACwAIAAwADcAMAAxADAANgAsACAAXAAiAHQAXAAiACwAIABcACIAdAAgAEMATwAyAC0AZQAgAC8AIAB0AFwAIgA7AFwAbgAgACAAIAAgACAAIAAgACAAXAAiAEEAcQB1AGEAYwB1AGwAdAB1AHIAZQAgAEYAZQBlAGQAIABhAG4AZAAgAEIAYQBpAHQAXAAiACwAIABcACIARgBpAHMAaAAgAEYAcgBhAG0AZQBzAFwAIgAsACAAXAAiAEwAbwBjAGEAdABpAG8AbgAgAG4AbwB0ACAAcwBwAGUAYwBpAGYAaQBlAGQAXAAiACwAIABcACIAdABcACIALAAgADAANwAwADEAMAA3ACwAIABcACIAdABcACIALAAgAFwAIgB0ACAAQwBPADIALQBlACAALwAgAHQAXAAiADsAXABuACAAIAAgACAAIAAgACAAIABcACIAQQBxAHUAYQBjAHUAbAB0AHUAcgBlACAARgBlAGUAZAAgAGEAbgBkACAAQgBhAGkAdABcACIALAAgAFwAIgBGAGkAcwBoACAASABlAGEAZABzAFwAIgAsACAAXAAiAEwAbwBjAGEAdABpAG8AbgAgAG4AbwB0ACAAcwBwAGUAYwBpAGYAaQBlAGQAXAAiACwAIABcACIAdABcACIALAAgADAANwAwADEAMAA4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wAaQB2AGUAcwB0AG8AYwBr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c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FAAYQBjAGsAYQBnAGkAbgBnAFwAIgAsACAAXAAiAFcAaQBuAGUAIABiAG8AdAB0AGwAZQBzADoAIABHAGwAYQBzAHMAIAAtACAAYwBvAG4AdgBlAG4AdABpAG8AbgBhAGwAXAAiACwAIABcACIATABvAGMAYQB0AGkAbwBuACAAbgBvAHQAIABzAHAAZQBjAGkAZgBpAGUAZABcACIALAAgAFwAIgBiAG8AdAB0AGwAZQBcACIALAAgADAAOQAwADEAMAAxACwAIABcACIAYgBvAHQAdABsAGUAXAAiACwAIABcACIAawBnACAAQwBPADIALQBlACAALwAgAGIAbwB0AHQAbABlAFwAIgA7AFwAbgAgACAAIAAgACAAIAAgACAAXAAiAFAAYQBjAGsAYQBnAGkAbgBnAFwAIgAsACAAXAAiAFcAaQBuAGUAIABiAG8AdAB0AGwAZQBzADoAIABHAGwAYQBzAHMAIAAtACAAbABpAGcAaAB0AFwAIgAsACAAXAAiAEwAbwBjAGEAdABpAG8AbgAgAG4AbwB0ACAAcwBwAGUAYwBpAGYAaQBlAGQAXAAiACwAIABcACIAYgBvAHQAdABsAGUAXAAiACwAIAAwADkAMAAxADAAMgAsACAAXAAiAGIAbwB0AHQAbABlAFwAIgAsACAAXAAiAGsAZwAgAEMATwAyAC0AZQAgAC8AIABiAG8AdAB0AGwAZQBcACIAOwBcAG4AIAAgACAAIAAgACAAIAAgAFwAIgBQAGEAYwBrAGEAZwBpAG4AZwBcACIALAAgAFwAIgBQAGwAYQBzAHQAaQBjACAAcABhAGMAawBhAGcAaQBuAGcAXAAiACwAIABcACIATABvAGMAYQB0AGkAbwBuACAAbgBvAHQAIABzAHAAZQBjAGkAZgBpAGUAZABcACIALAAgAFwAIgBrAGcAXAAiACwAIAAwADkAMAAyADAAMQAsACAAXAAiAGsAZwBcACIALAAgAFwAIgBrAGcAIABDAE8AMgAtAGUAIAAvACAAawBnAFwAIgA7AFwAbgAgACAAIAAgACAAIAAgACAAXAAiAFAAYQBjAGsAYQBnAGkAbgBnAFwAIgAsACAAXAAiAFAAbwBsAHkAZQB0AGgAeQBsAGUAbgBlACAAdABlAHIAZQBwAGgAdABoAGEAbABhAHQAZQAgACgAUABFAFQAKQBcACIALAAgAFwAIgBMAG8AYwBhAHQAaQBvAG4AIABuAG8AdAAgAHMAcABlAGMAaQBmAGkAZQBkAFwAIgAsACAAXAAiAGsAZwBcACIALAAgADAAOQAwADIAMAAyACwAIABcACIAawBnAFwAIgAsACAAXAAiAGsAZwAgAEMATwAyAC0AZQAgAC8AIABrAGcAXAAiADsAXABuACAAIAAgACAAIAAgACAAIABcACIAUABhAGMAawBhAGcAaQBuAGcAXAAiACwAIABcACIAUABvAGwAeQBwAHIAbwBwAHkAbABlAG4AZQAgACgAUABQACkAXAAiACwAIABcACIATABvAGMAYQB0AGkAbwBuACAAbgBvAHQAIABzAHAAZQBjAGkAZgBpAGUAZABcACIALAAgAFwAIgBrAGcAXAAiACwAIAAwADkAMAAyADAAMwAsACAAXAAiAGsAZwBcACIALAAgAFwAIgBrAGcAIABDAE8AMgAtAGUAIAAvACAAawBnAFwAIgA7AFwAbgAgACAAIAAgACAAIAAgACAAXAAiAFAAYQBjAGsAYQBnAGkAbgBnAFwAIgAsACAAXAAiAEMAYQByAGQAYgBvAGEAcgBkAFwAIgAsACAAXAAiAEwAbwBjAGEAdABpAG8AbgAgAG4AbwB0ACAAcwBwAGUAYwBpAGYAaQBlAGQAXAAiACwAIABcACIAawBnAFwAIgAsACAAMAA5ADAAMgAwADQALAAgAFwAIgBrAGcAXAAiACwAIABcACIAawBnACAAQwBPADIALQBlACAALwAgAGsAZw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UwBlAGUAZABzACAAYQBuAGQAIABTAGUAZQBkAGwAaQBuAGcAcwBcAG4APQA9AD0APQA9AD0APQA9AD0APQA9AD0APQA9AD0APQA9AD0APQA9AD0APQA9AD0APQA9AD0APQA9AD0APQA9AD0APQA9AD0APQA9AD0APQA9AD0APQA9AD0APQA9AD0APQA9AD0APQA9AD0APQA9AD0APQA9AD0APQA9AD0APQA9AD0APQA9AD0APQA9AD0APQA9AD0APQBcAG4AKgAvAFwAbgBcAG4AUwBjAG8AcABlADMAXwBTAGUAZQBkAHMAQQBuAGQAUwBlAGUAZABsAGkAbgBnAHMAXwBUAGkAdABsAGUAXABuAD0ATABBAE0AQgBEAEEAKAAoAFwAIgBTAGUAZQBkAHMAIABhAG4AZAAgAFMAZQBlAGQAbABpAG4AZwBzACAAcwBjAG8AcABlACAAMwBcACIAKQApADsAXABuAFwAbgBTAGMAbwBwAGUAMwBfAFMAZQBlAGQAcwBBAG4AZABTAGUAZQBkAGwAaQBuAGc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ZQBlAGQAcwBBAG4AZABTAGUAZQBkAGwAaQBuAGcAcwBfAFYAYQByAGkAYQB0AGkAbwBuAFwAbgA9AEwAQQBNAEIARABBACgAKABcACIAXAAiACkAKQA7AFwAbgBcAG4AUwBjAG8AcABlADMAXwBTAGUAZQBkAHMAQQBuAGQAUwBlAGUAZABsAGkAbgBnAHMAXwBEAGEAdABhAFwAbgA9AEwAQQBNAEIARABBACgAXABuACAAIABNAEEASwBFAEEAUgBSAEEAWQAoADM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FMAZQBlAGQAcwAgAGEAbgBkACAAUwBlAGUAZABsAGkAbgBnAHMAXAAiACAALABcACIAUwBlAGUAZAAgACgAZwBlAG4AZQByAGEAbAAgAGMAcgBvAHAAIABhAG4AZAAgAHAAYQBzAHQAdQByAGUAKQBcACIALAAgAFwAIgBMAG8AYwBhAHQAaQBvAG4AIABuAG8AdAAgAHMAcABlAGMAaQBmAGkAZQBkAFwAIgAsACAAXAAiAHQAXAAiACwAIAAxADAAMAAxADAAMQAsACAAXAAiAHQAXAAiACwAIABcACIAdAAgAEMATwAyAC0AZQAgAC8AIAB0AFwAIgA7AFwAbgAgACAAIAAgACAAIAAgACAAXAAiAFMAZQBlAGQAcwAgAGEAbgBkACAAUwBlAGUAZABsAGkAbgBnAHMAXAAiACAALABcACIAUwBlAGUAZABsAGkAbgBnAHMAIAAoAGYAbwByAGUAcwB0AHIAeQAsACAAaABvAHIAdABpAGMAdQBsAHQAdQByAGUALAAgAGUAbgB2AGkAcgBvAG4AbQBlAG4AdABhAGwAKQBcACIALAAgAFwAIgBMAG8AYwBhAHQAaQBvAG4AIABuAG8AdAAgAHMAcABlAGMAaQBmAGkAZQBkAFwAIgAsACAAXAAiAFMAZQBlAGQAbABpAG4AZwBcACIALAAgADEAMAAwADEAMAAyACwAIABcACIAdABcACIALAAgAFwAIgB0ACAAQwBPADIALQBlACAALwAgAFMAZQBlAGQAbABpAG4AZw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wBsAGUAYQBuAGkAbgBnACAAYwBoAGUAbQBpAGMAYQBsAHMAXABuAD0APQA9AD0APQA9AD0APQA9AD0APQA9AD0APQA9AD0APQA9AD0APQA9AD0APQA9AD0APQA9AD0APQA9AD0APQA9AD0APQA9AD0APQA9AD0APQA9AD0APQA9AD0APQA9AD0APQA9AD0APQA9AD0APQA9AD0APQA9AD0APQA9AD0APQA9AD0APQA9AD0APQA9AD0APQA9AD0AXABuACoALwBcAG4AXABuAFMAYwBvAHAAZQAzAF8AQwBsAGUAYQBuAGkAbgBnAEMAaABlAG0AaQBjAGEAbABzAF8AVABpAHQAbABlAFwAbgA9AEwAQQBNAEIARABBACgAKABcACIAQwBsAGUAYQBuAGkAbgBnACAAYwBoAGUAbQBpAGMAYQBsAHMAIABzAGMAbwBwAGUAIAAzAFwAIgApACkAOwBcAG4AXABuAFMAYwBvAHAAZQAzAF8AQwBsAGUAYQBuAGkAbgBn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sAGUAYQBuAGkAbgBnAEMAaABlAG0AaQBjAGEAbABzAF8AVgBhAHIAaQBhAHQAaQBvAG4AXABuAD0ATABBAE0AQgBEAEEAKAAoAFwAIgBcACIAKQApADsAXABuAFwAbgBTAGMAbwBwAGUAMwBfAEMAbABlAGEAbgBpAG4AZwBDAGgAZQBtAGkAYwBhAGw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MAaABlAG0AaQBjAGEAbABzAFwAIgAsACAAXAAiAEMAbABlAGEAbgBpAG4AZwAgAGMAaABlAG0AaQBjAGEAbABzAFwAIgAsACAAXAAiAEEAbABrAGEAbABpAG4AZQAgAGMAbABlAGEAbgBlAHIAXAAiACwAIABcACIARwBsAG8AYgBhAGwAXAAiACwAIABcACIAawBnAFwAIgAsACAAMAAuADcAMgAyACwAIABcACIAYQB0ACAAbQBhAG4AdQBmAGEAYwB0AHUAcgBlAHIAXAAiADsAXABuACAAIAAgACAAIAAgACAAIABcACIAQwBoAGUAbQBpAGMAYQBsAHMAXAAiACwAIABcACIAQwBsAGUAYQBuAGkAbgBnACAAYwBoAGUAbQBpAGMAYQBsAHMAXAAiACwAIABcACIAQgBsAGUAYQBjAGgAXAAiACwAIABcACIARwBsAG8AYgBhAGwAXAAiACwAIABcACIAawBnAFwAIgAsACAAMAAuADgAMAA0ACwAIABcACIAYQB0ACAAbQBhAG4AdQBmAGEAYwB0AHUAcgBlAHIAXAAiADsAXABuACAAIAAgACAAIAAgACAAIABcACIAQwBoAGUAbQBpAGMAYQBsAHMAXAAiACwAIABcACIAQwBsAGUAYQBuAGkAbgBnACAAYwBoAGUAbQBpAGMAYQBsAHMAXAAiACwAIABcACIAUABoAG8AcwBwAGgAbwByAGkAYwAgAGEAYwBpAGQAXAAiACwAIABcACIARwBsAG8AYgBhAGwAXAAiACwAIABcACIAawBnAFwAIgAsACAAMAAuADkAMAA3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gAYQByAG0AYQBjAHkAIABjAGgAZQBtAGkAYwBhAGwAcwBcAG4APQA9AD0APQA9AD0APQA9AD0APQA9AD0APQA9AD0APQA9AD0APQA9AD0APQA9AD0APQA9AD0APQA9AD0APQA9AD0APQA9AD0APQA9AD0APQA9AD0APQA9AD0APQA9AD0APQA9AD0APQA9AD0APQA9AD0APQA9AD0APQA9AD0APQA9AD0APQA9AD0APQA9AD0APQA9AD0APQBcAG4AKgAvAFwAbgBcAG4AUwBjAG8AcABlADMAXwBQAGgAYQByAG0AYQBjAHkAQwBoAGUAbQBpAGMAYQBsAHMAXwBUAGkAdABsAGUAXABuAD0ATABBAE0AQgBEAEEAKAAoAFwAIgBQAGgAYQByAG0AYQBjAHkAIABjAGgAZQBtAGkAYwBhAGwAcwAgAHMAYwBvAHAAZQAgADMAXAAiACkAKQA7AFwAbgBcAG4AUwBjAG8AcABlADMAXwBQAGgAYQByAG0AYQBjAHkAQwBoAGUAbQBpAGMAYQBs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gAYQByAG0AYQBjAHkAQwBoAGUAbQBpAGMAYQBsAHMAXwBWAGEAcgBpAGEAdABpAG8AbgBcAG4APQBMAEEATQBCAEQAQQAoACgAXAAiAFwAIgApACkAOwBcAG4AXABuAFMAYwBvAHAAZQAzAF8AUABoAGEAcgBtAGEAYwB5AEMAaABlAG0AaQBjAGEAbABzAF8ARABhAHQAYQBcAG4APQBMAEEATQBCAEQAQQAoAFwAbgAgACAATQBBAEsARQBBAFIAUgBBAFkAKAA1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UABoAGEAcgBtAGEAYwB5ACAAYwBoAGUAbQBpAGMAYQBsAHMAXAAiACwAIABcACIAUABhAHIAYQBzAGkAdABlACAAYwBvAG4AdAByAG8AbAAgAGYAbwByACAAYwBhAHQAdABsAGUAIAAoAGUAeAB0AGUAcgBuAGEAbAApACwAIABkAGkAcABwAGkAbgBnAFwAIgAsACAAXAAiAEcAbABvAGIAYQBsAFwAIgAsACAAXAAiAHAAIAAoAGgAZQBhAGQAKQBcACIALAAgADAALgAwADUANAA3ACwAIABcACIAYQB0ACAAbQBhAG4AdQBmAGEAYwB0AHUAcgBlAHIAXAAiADsAXABuACAAIAAgACAAIAAgACAAIABcACIAQwBoAGUAbQBpAGMAYQBsAHMAXAAiACwAIABcACIAUABoAGEAcgBtAGEAYwB5ACAAYwBoAGUAbQBpAGMAYQBsAHMAXAAiACwAIABcACIAUABhAHIAYQBzAGkAdABlACAAYwBvAG4AdAByAG8AbAAgAGYAbwByACAAYwBhAHQAdABsAGUAIAAoAGkAbgB0AGUAcgBuAGEAbAApAFwAIgAsACAAXAAiAEcAbABvAGIAYQBsAFwAIgAsACAAXAAiAHAAIAAoAGgAZQBhAGQAKQBcACIALAAgADAALgAwADEANAAyACwAIABcACIAYQB0ACAAbQBhAG4AdQBmAGEAYwB0AHUAcgBlAHIAXAAiADsAXABuACAAIAAgACAAIAAgACAAIABcACIAQwBoAGUAbQBpAGMAYQBsAHMAXAAiACwAIABcACIAUABoAGEAcgBtAGEAYwB5ACAAYwBoAGUAbQBpAGMAYQBsAHMAXAAiACwAIABcACIAUABhAHIAYQBzAGkAdABlACAAYwBvAG4AdAByAG8AbAAgAGYAbwByACAAcwBoAGUAZQBwACAAKABlAHgAdABlAHIAbgBhAGwAKQBcACIALAAgAFwAIgBHAGwAbwBiAGEAbABcACIALAAgAFwAIgBwACAAKABoAGUAYQBkACkAXAAiACwAIAAwAC4AMAAxADQAMwAsACAAXAAiAGEAdAAgAG0AYQBuAHUAZgBhAGMAdAB1AHIAZQByAFwAIgA7AFwAbgAgACAAIAAgACAAIAAgACAAXAAiAEMAaABlAG0AaQBjAGEAbABzAFwAIgAsACAAXAAiAFAAaABhAHIAbQBhAGMAeQAgAGMAaABlAG0AaQBjAGEAbABzAFwAIgAsACAAXAAiAFAAYQByAGEAcwBpAHQAZQAgAGMAbwBuAHQAcgBvAGwAIABmAG8AcgAgAHMAaABlAGUAcAAgACgAaQBuAHQAZQByAG4AYQBsACkAXAAiACwAIABcACIARwBsAG8AYgBhAGwAXAAiACwAIABcACIAcAAgACgAaABlAGEAZAApAFwAIgAsACAAMAAuADAAMAA0ADIANgAsACAAXAAiAGEAdAAgAG0AYQBuAHUAZgBhAGMAdAB1AHIAZQByAFwAIgBcAG4AIAAgACAAIAAgACAAfQAsACAAcgAsACAAYwApAFwAbgApACkAKQA7AFwAbgBcAG4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BAGcAcgBpAGMAdQBsAHQAdQByAGEAbABJAG4AcAB1AHQAcwBfAFQAaQB0AGwAZQBcAG4APQBMAEEATQBCAEQAQQAoACgAXAAiAE8AdABoAGUAcgAgAGEAZwByAGkAYwB1AGwAdAB1AHIAYQBsACAAaQBuAHAAdQB0AHMAIABzAGMAbwBwAGUAIAAzAFwAIgApACkAOwBcAG4AXABuAFMAYwBvAHAAZQAzAF8ATwB0AGgAZQByAEEAZwByAGkAYwB1AGwAdAB1AHIAYQBsAEkAbgBwAHU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EEAZwByAGkAYwB1AGwAdAB1AHIAYQBsAEkAbgBwAHUAdABzAF8AVgBhAHIAaQBhAHQAaQBvAG4AXABuAD0ATABBAE0AQgBEAEEAKAAoAFwAIgBcACIAKQApADsAXABuAFwAbgBTAGMAbwBwAGUAMwBfAE8AdABoAGUAcgBBAGcAcgBpAGMAdQBsAHQAdQByAGEAbABJAG4AcAB1AHQAcwBfAEQAYQB0AGEAXABuAD0ATABBAE0AQgBEAEEAKABcAG4AIAAgAE0AQQBLAEUAQQBSAFIAQQBZACgANw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TwB0AGgAZQByACAAQQBnAHIAaQBjAHUAbAB0AHUAcgBhAGwAIABJAG4AcAB1AHQAcwBcACIALAAgAFwAIgBDAE8AMgAgAGYAbwByACAAYwBhAHIAYgBvAG4AYQB0AGkAbwBuAFwAIgAsACAAXAAiAEwAbwBjAGEAdABpAG8AbgAgAG4AbwB0ACAAcwBwAGUAYwBpAGYAaQBlAGQAXAAiACwAIABcACIAdABcACIALAAgADEAMgAwADEAMAAxACwAIABcACIAdABcACIALAAgAFwAIgB0ACAAQwBPADIALQBlACAALwAgAHQAXAAiADsAXABuACAAIAAgACAAIAAgACAAIABcACIATwB0AGgAZQByACAAQQBnAHIAaQBjAHUAbAB0AHUAcgBhAGwAIABJAG4AcAB1AHQAcwBcACIALAAgAFwAIgBMAGkAdgBlAHMAdABvAGMAawAgAGEAbgB0AGkAYgBpAG8AdABpAGMAcwBcACIALAAgAFwAIgBMAG8AYwBhAHQAaQBvAG4AIABuAG8AdAAgAHMAcABlAGMAaQBmAGkAZQBkAFwAIgAsACAAXAAiAHQAXAAiACwAIAAxADEAMAAxADAAMgAsACAAXAAiAHQAXAAiACwAIABcACIAdAAgAEMATwAyAC0AZQAgAC8AIAB0AFwAIgA7AFwAbgAgACAAIAAgACAAIAAgACAAXAAiAE8AdABoAGUAcgAgAEEAZwByAGkAYwB1AGwAdAB1AHIAYQBsACAASQBuAHAAdQB0AHMAXAAiACwAIABcACIATgB5AGwAbwBuACAAbgBlAHQAdABpAG4AZwAgAGYAbwByACAAaABvAHIAdABpAGMAdQBsAHQAdQByAGUAXAAiACwAIABcACIATABvAGMAYQB0AGkAbwBuACAAbgBvAHQAIABzAHAAZQBjAGkAZgBpAGUAZABcACIALAAgAFwAIgB0AFwAIgAsACAAMQAxADAAMQAwADMALAAgAFwAIgB0AFwAIgAsACAAXAAiAHQAIABDAE8AMgAtAGUAIAAvACAAdABcACIAOwBcAG4AIAAgACAAIAAgACAAIAAgAFwAIgBPAHQAaABlAHIAIABBAGcAcgBpAGMAdQBsAHQAdQByAGEAbAAgAEkAbgBwAHUAdABzAFwAIgAsACAAXAAiAFAAYQBsAGwAZQB0AHMAIAAtACAAVwBvAG8AZABcACIALAAgAFwAIgBMAG8AYwBhAHQAaQBvAG4AIABuAG8AdAAgAHMAcABlAGMAaQBmAGkAZQBkAFwAIgAsACAAXAAiAHQAXAAiACwAIAAxADEAMAAxADAANAAsACAAXAAiAHQAXAAiACwAIABcACIAdAAgAEMATwAyAC0AZQAgAC8AIAB0AFwAIgA7AFwAbgAgACAAIAAgACAAIAAgACAAXAAiAE8AdABoAGUAcgAgAEEAZwByAGkAYwB1AGwAdAB1AHIAYQBsACAASQBuAHAAdQB0AHMAXAAiACwAIABcACIAUABhAGwAbABlAHQAcwAgAC0AIABQAGwAYQBzAHQAaQBjAFwAIgAsACAAXAAiAEwAbwBjAGEAdABpAG8AbgAgAG4AbwB0ACAAcwBwAGUAYwBpAGYAaQBlAGQAXAAiACwAIABcACIAdABcACIALAAgADEAMQAwADEAMAA1ACwAIABcACIAdABcACIALAAgAFwAIgB0ACAAQwBPADIALQBlACAALwAgAHQAXAAiADsAXABuACAAIAAgACAAIAAgACAAIABcACIATwB0AGgAZQByACAAQQBnAHIAaQBjAHUAbAB0AHUAcgBhAGwAIABJAG4AcAB1AHQAcwBcACIALAAgAFwAIgBMAGkAdgBlAHMAdABvAGMAawAgAHQAYQBnAHMAXAAiACwAIABcACIATABvAGMAYQB0AGkAbwBuACAAbgBvAHQAIABzAHAAZQBjAGkAZgBpAGUAZABcACIALAAgAFwAIgB0AFwAIgAsACAAMQAxADAAMQAwADY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RgB1AGUAbAAgAC0AIABUAHIAYQBuAHMAcABvAHIAdABcAG4APQA9AD0APQA9AD0APQA9AD0APQA9AD0APQA9AD0APQA9AD0APQA9AD0APQA9AD0APQA9AD0APQA9AD0APQA9AD0APQA9AD0APQA9AD0APQA9AD0APQA9AD0APQA9AD0APQA9AD0APQA9AD0APQA9AD0APQA9AD0APQA9AD0APQA9AD0APQA9AD0APQA9AD0APQA9AD0APQBcAG4AKgAvAFwAbgBcAG4AUwBjAG8AcABlADMAXwBGAHUAZQBsAFQAcgBhAG4AcwBwAG8AcgB0AF8AVABpAHQAbABlAFwAbgA9AEwAQQBNAEIARABBACgAKABcACIARgB1AGUAbAAgAC0AIABUAHIAYQBuAHMAcABvAHIAdAAgAHMAYwBvAHAAZQAgADMAXAAiACkAKQA7AFwAbgBcAG4AUwBjAG8AcABlADMAXwBGAHUAZQBsAFQAcgBhAG4AcwBwAG8AcgB0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YAdQBlAGwAVAByAGEAbgBzAHAAbwByAHQAXwBWAGEAcgBpAGEAdABpAG8AbgBcAG4APQBMAEEATQBCAEQAQQAoACgAXAAiAEUAbQBpAHMAcwBpAG8AbgAgAGYAYQBjAHQAbwByACAAdgBhAGwAdQBlAHMAIABzAG8AdQByAGMAZQBkACAAZgByAG8AbQAgAE4AYQB0AGkAbwBuAGEAbAAgAEcAcgBlAGUAbgBoAG8AdQBzAGUAIABBAGMAYwBvAHUAbgB0AHMAIABGAGEAYwB0AG8AcgBzACAALQAgAFMAZQBlACAAcgBlAGwAZQB2AGEAbgB0ACAAdABhAGIAbABlACAAaQBuACAAJwBGAHUAZQBsACAAUwBvAHUAcgBjAGUAIABEAGEAdABhACcAXAAiACkAKQA7AFwAbgBcAG4AUwBjAG8AcABlADMAXwBGAHUAZQBsAFQAcgBhAG4AcwBwAG8AcgB0AF8ARABhAHQAYQBcAG4APQBMAEEATQBCAEQAQQAoAFwAbgAgACAATQBBAEsARQBBAFIAUgBBAFkAKAAyADI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YAdQBlAGwAIAAtACAAVAByAGEAbgBzAHAAbwByAHQAIAAtACAAQwBhAHIAcwAgAGEAbgBkACAAbABpAGcAaAB0ACAAYwBvAG0AbQBlAHIAYwBpAGEAbAAgAHYAZQBoAGkAYwBsAGUAcwBcACIALAAgAFwAIgBHAGEAcwBvAGwAaQBuAGU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RABpAGUAcwBlAGwAIABvAGkAbA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wBhAHIAcwAgAGEAbgBkACAAbABpAGcAaAB0ACAAYwBvAG0AbQBlAHIAYwBpAGEAbAAgAHYAZQBoAGkAYwBsAGUAcwBcACIALAAgAFwAIgBMAGkAcQB1AGUAZgBpAGUAZAAgAHAAZQB0AHIAbwBsAGUAdQBtACAAZwBhAHMAIAAoAEwAUABHACk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RgB1AGUAbAAgAG8AaQBs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DAGEAcgBzACAAYQBuAGQAIABsAGkAZwBoAHQAIABjAG8AbQBtAGUAcgBjAGkAYQBsACAAdgBlAGgAaQBjAGwAZQBzAFwAIgAsACAAXAAiAEUAdABoAGEAbgBvAGw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QgBpAG8AZABpAGUAcwBlAGw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UgBlAG4AZQB3AGEAYgBsAGUAIABkAGkAZQBzAGUAbA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wBhAHIAcwAgAGEAbgBkACAAbABpAGcAaAB0ACAAYwBvAG0AbQBlAHIAYwBpAGEAbAAgAHYAZQBoAGkAYwBsAGUAcwBcACIALAAgAFwAIgBPAHQAaABlAHIAIABiAGkAbwBmAHUAZQBsAHM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wAaQBnAGgAdAAgAGQAdQB0AHkAIAB2AGUAaABpAGMAbABlAHMAXAAiACwAIABcACIAQwBvAG0AcAByAGUAcwBzAGUAZAAgAG4AYQB0AHUAcgBhAGwAIABnAGEAcwBcACIALAAgAFwAIgBMAG8AYwBhAHQAaQBvAG4AIABuAG8AdAAgAHMAcABlAGMAaQBmAGkAZQBkAFwAIgAsACAAXAAiAG0AMwBcACIALAAgAFwAIgBYAFgAWABYAFgAWABcACIALAAgAFwAIgB0AFwAIgAsACAAXAAiAHQAIABDAE8AMgAtAGUAIAAvACAAbQAzAFwAIgA7AFwAbgAgACAAIAAgACAAIAAgACAAXAAiAEYAdQBlAGwAIAAtACAAVAByAGEAbgBzAHAAbwByAHQAIAAtACAATABpAGcAaAB0ACAAZAB1AHQAeQAgAHYAZQBoAGkAYwBsAGUAcwBcACIALAAgAFwAIgBMAGkAcQB1AGUAZgBpAGUAZAAgAG4AYQB0AHUAcgBhAGwAIABnAGEAcw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SABlAGEAdgB5ACAAZAB1AHQAeQAgAHYAZQBoAGkAYwBsAGUAcwBcACIALAAgAFwAIgBDAG8AbQBwAHIAZQBzAHMAZQBkACAAbgBhAHQAdQByAGEAbAAgAGcAYQBzAFwAIgAsACAAXAAiAEwAbwBjAGEAdABpAG8AbgAgAG4AbwB0ACAAcwBwAGUAYwBpAGYAaQBlAGQAXAAiACwAIABcACIAbQAzAFwAIgAsACAAXAAiAFgAWABYAFgAWABYAFwAIgAsACAAXAAiAHQAXAAiACwAIABcACIAdAAgAEMATwAyAC0AZQAgAC8AIABtADMAXAAiADsAXABuACAAIAAgACAAIAAgACAAIABcACIARgB1AGUAbAAgAC0AIABUAHIAYQBuAHMAcABvAHIAdAAgAC0AIABIAGUAYQB2AHkAIABkAHUAdAB5ACAAdgBlAGgAaQBjAGwAZQBzAFwAIgAsACAAXAAiAEwAaQBxAHUAZQBmAGkAZQBkACAAbgBhAHQAdQByAGEAbAAgAGcAYQBz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EQAaQBlAHMAZQBsACAAbwBpAGwAIAAtACAARQB1AHIAbwAgAGkAdgAgAG8AcgAgAGgAaQBnAGgAZQBy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EQAaQBlAHMAZQBsACAAbwBpAGwAIAAtACAARQB1AHIAbwAgAGkAaQBp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EQAaQBlAHMAZQBsACAAbwBpAGwAIAAtACAARQB1AHIAbwAgAGk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UgBlAG4AZQB3AGEAYgBsAGUAIABkAGkAZQBzAGUAbAAgAC0AIABFAHUAcgBvACAAaQB2ACAAbwByACAAaABpAGcAaABlAHI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UgBlAG4AZQB3AGEAYgBsAGUAIABkAGkAZQBzAGUAbAAgAC0AIABFAHUAcgBvACAAaQBpAGk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UgBlAG4AZQB3AGEAYgBsAGUAIABkAGkAZQBzAGUAbAAgAC0AIABFAHUAcgBvACAAaQ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QB2AGkAYQB0AGkAbwBuAFwAIgAsACAAXAAiAEcAYQBzAG8AbABpAG4AZQAgAGYAbwByACAAdQBzAGUAIABhAHMAIABmAHUAZQBsACAAaQBuACAAYQBuACAAYQBpAHIAYwByAGEAZgB0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BAHYAaQBhAHQAaQBvAG4AXAAiACwAIABcACIASwBlAHIAbwBzAGUAbgBlACAAZgBvAHIAIAB1AHMAZQAgAGEAcwAgAGYAdQBlAGwAIABpAG4AIABhAG4AIABhAGkAcgBjAHIAYQBmAHQ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EAdgBpAGEAdABpAG8AbgBcACIALAAgAFwAIgBSAGUAbgBlAHcAYQBiAGwAZQAgAGEAdgBpAGEAdABpAG8AbgAgAGsAZQByAG8AcwBlAG4AZQBcACIALAAgAFwAIgBMAG8AYwBhAHQAaQBvAG4AIABuAG8AdAAgAHMAcABlAGMAaQBmAGkAZQBkAFwAIgAsACAAXAAiAGsAbABcACIALAAgAFwAIgBYAFgAWABYAFgAWABcACIALAAgAFwAIgB0AFwAIgAsACAAXAAiAHQAIABDAE8AMgAtAGUAIAAvACAAawBs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GAHUAZQBsACAALQAgAFMAdABhAHQAaQBvAG4AYQByAHkAIAAtACAATABpAHEAdQBpAGQAXABuAD0APQA9AD0APQA9AD0APQA9AD0APQA9AD0APQA9AD0APQA9AD0APQA9AD0APQA9AD0APQA9AD0APQA9AD0APQA9AD0APQA9AD0APQA9AD0APQA9AD0APQA9AD0APQA9AD0APQA9AD0APQA9AD0APQA9AD0APQA9AD0APQA9AD0APQA9AD0APQA9AD0APQA9AD0APQA9AD0AXABuACoALwBcAG4AXABuAFMAYwBvAHAAZQAzAF8ARgB1AGUAbABTAHQAYQB0AGkAbwBuAGEAcgB5AEwAaQBxAHUAaQBkAF8AVABpAHQAbABlAFwAbgA9AEwAQQBNAEIARABBACgAKABcACIARgB1AGUAbAAgAC0AIABTAHQAYQB0AGkAbwBuAGEAcgB5ACAALQAgAEwAaQBxAHUAaQBkACAAcwBjAG8AcABlACAAMwBcACIAKQApADsAXABuAFwAbgBTAGMAbwBwAGUAMwBfAEYAdQBlAGwAUwB0AGEAdABpAG8AbgBhAHIAeQBMAGkAcQB1AGkAZA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GAHUAZQBsAFMAdABhAHQAaQBvAG4AYQByAHkATABpAHEAdQBpAGQAXwBWAGEAcgBpAGEAdABpAG8AbgBcAG4APQBMAEEATQBCAEQAQQAoACgAXAAiAEUAbQBpAHMAcwBpAG8AbgAgAGYAYQBjAHQAbwByACAAdgBhAGwAdQBlAHMAIABzAG8AdQByAGMAZQBkACAAZgByAG8AbQAgAE4AYQB0AGkAbwBuAGEAbAAgAEcAcgBlAGUAbgBoAG8AdQBzAGUAIABBAGMAYwBvAHUAbgB0AHMAIABGAGEAYwB0AG8AcgBzACAALQAgAFMAZQBlACAAcgBlAGwAZQB2AGEAbgB0ACAAdABhAGIAbABlACAAaQBuACAAJwBGAHUAZQBsACAAUwBvAHUAcgBjAGUAIABEAGEAdABhACcAXAAiACkAKQA7AFwAbgBcAG4AUwBjAG8AcABlADMAXwBGAHUAZQBsAFMAdABhAHQAaQBvAG4AYQByAHkATABpAHEAdQBpAGQAXwBEAGEAdABhAFwAbgA9AEwAQQBNAEIARABBACgAXABuACAAIABNAEEASwBFAEEAUgBSAEEAWQAoADIANQ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RgB1AGUAbAAgAC0AIABTAHQAYQB0AGkAbwBuAGEAcgB5ACAALQAgAEwAaQBxAHUAaQBkAFwAIgAsACAAXAAiAFAAZQB0AHIAbwBsAGUAdQBtACAAYgBhAHMAZQBkACAAbwBpAGwAcwAgACgAbwB0AGgAZQByACAAdABoAGEAbgAgAHAAZQB0AHIAbwBsAGUAdQBtACAAYgBhAHMAZQBkACAAbwBpAGwAIAB1AHMAZQBkACAAYQBzACAAZgB1AGUAbAApACwAIABlAC4AZwAuACAAbAB1AGIAcgBpAGMAYQBuAHQAcwBcACIALAAgAFwAIgBMAG8AYwBhAHQAaQBvAG4AIABuAG8AdAAgAHMAcABlAGMAaQBmAGkAZQBkAFwAIgAsACAAXAAiAGsAbABcACIALAAgAFwAIgBYAFgAWABYAFgAWABcACIALAAgAFwAIgAgAHQAIABcACIALAAgAFwAIgB0ACAAQwBPADIAIAAtACAAZQAgAC8AIABrAGwAIABcACIAOwBcAG4AIAAgACAAIAAgACAAIAAgAFwAIgBGAHUAZQBsACAALQAgAFMAdABhAHQAaQBvAG4AYQByAHkAIAAtACAATABpAHEAdQBpAGQAXAAiACwAIABcACIAUABlAHQAcgBvAGwAZQB1AG0AIABiAGEAcwBlAGQAIABnAHIAZQBhAHMAZQBz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MAcgB1AGQAZQAgAG8AaQBsACAAaQBuAGMAbAB1AGQAaQBuAGcAIABjAHIAdQBkAGUAIABvAGkAbAAgAGMAbwBuAGQAZQBuAHMAYQB0AGUAcwBcACIALAAgAFwAIgBMAG8AYwBhAHQAaQBvAG4AIABuAG8AdAAgAHMAcABlAGMAaQBmAGkAZQBkAFwAIgAsACAAXAAiAHQAXAAiACwAIABcACIAWABYAFgAWABYAFgAXAAiACwAIABcACIAdABcACIALAAgAFwAIgB0ACAAQwBPADIAIAAtACAAZQAgAC8AIAB0ACAAXAAiADsAXABuACAAIAAgACAAIAAgACAAIABcACIARgB1AGUAbAAgAC0AIABTAHQAYQB0AGkAbwBuAGEAcgB5ACAALQAgAEwAaQBxAHUAaQBkAFwAIgAsACAAXAAiAE8AdABoAGUAcgAgAG4AYQB0AHUAcgBhAGwAIABnAGEAcwAgAGwAaQBxAHUAaQBkAHMAXAAiACwAIABcACIATABvAGMAYQB0AGkAbwBuACAAbgBvAHQAIABzAHAAZQBjAGkAZgBpAGUAZABcACIALAAgAFwAIgB0AFwAIgAsACAAXAAiAFgAWABYAFgAWABYAFwAIgAsACAAXAAiAHQAXAAiACwAIABcACIAdAAgAEMATwAyACAALQAgAGUAIAAvACAAdAAgAFwAIgA7AFwAbgAgACAAIAAgACAAIAAgACAAXAAiAEYAdQBlAGwAIAAtACAAUwB0AGEAdABpAG8AbgBhAHIAeQAgAC0AIABMAGkAcQB1AGkAZABcACIALAAgAFwAIgBBAHUAdABvAG0AbwB0AGkAdgBlACAAZwBhAHMAbwBsAGkAbgBlACAALwAgAHAAZQB0AHIAbwBsACAAKABvAHQAaABlAHIAIAB0AGgAYQBuACAAZgBvAHIAIAB1AHMAZQAgAGEAcwAgAGYAdQBlAGwAIABpAG4AIABhAG4AIABhAGkAcgBjAHIAYQBmAHQAK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BAHYAaQBhAHQAaQBvAG4AIABnAGEAcwBvAGwAaQBuAGU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SwBlAHIAbwBzAGUAbgBlACAAKABvAHQAaABlAHIAIAB0AGgAYQBuACAAZgBvAHIAIAB1AHMAZQAgAGEAcwAgAGYAdQBlAGwAIABpAG4AIABhAG4AIABhAGkAcgBjAHIAYQBmAHQAK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BAHYAaQBhAHQAaQBvAG4AIAB0AHUAcgBiAGkAbgBlACAAZgB1AGUAbAAgAC8AIABrAGUAcgBvAHMAZQBuAGU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SABlAGEAdABpAG4AZwAgAG8AaQBs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QAaQBlAHMAZQBsACAAbwBpAGw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RgB1AGUAbAAgAG8AaQBs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wAaQBxAHUAZQBmAGkAZQBkACAAYQByAG8AbQBhAHQAaQBjACAAaAB5AGQAcgBvAGMAYQByAGIAbwBuAHM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UwBvAGwAdgBlAG4AdABzADoAIABtAGkAbgBlAHIAYQBsACAAdAB1AHIAcABlAG4AdABpAG4AZQAgAG8AcgAgAHcAaABpAHQAZQAgAHMAcABpAHIAaQB0AHM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TABpAHEAdQBlAGYAaQBlAGQAIABwAGUAdAByAG8AbABlAHUAbQAgAGcAYQBzACAAKABMAFAARwAp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4AYQBwAGgAdABoAGE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UABlAHQAcgBvAGwAZQB1AG0AIABjAG8AawBlAFwAIgAsACAAXAAiAEwAbwBjAGEAdABpAG8AbgAgAG4AbwB0ACAAcwBwAGUAYwBpAGYAaQBlAGQAXAAiACwAIABcACIAdABcACIALAAgAFwAIgBYAFgAWABYAFgAWABcACIALAAgAFwAIgB0AFwAIgAsACAAXAAiAHQAIABDAE8AMgAgAC0AIABlACAALwAgAHQAIABcACIAOwBcAG4AIAAgACAAIAAgACAAIAAgAFwAIgBGAHUAZQBsACAALQAgAFMAdABhAHQAaQBvAG4AYQByAHkAIAAtACAATABpAHEAdQBpAGQAXAAiACwAIABcACIAUgBlAGYAaQBuAGUAcgB5ACAAZwBhAHMAIABhAG4AZAAgAGwAaQBxAHUAaQBkAHMAXAAiACwAIABcACIATABvAGMAYQB0AGkAbwBuACAAbgBvAHQAIABzAHAAZQBjAGkAZgBpAGUAZABcACIALAAgAFwAIgB0AFwAIgAsACAAXAAiAFgAWABYAFgAWABYAFwAIgAsACAAXAAiAHQAXAAiACwAIABcACIAdAAgAEMATwAyACAALQAgAGUAIAAvACAAdAAgAFwAIgA7AFwAbgAgACAAIAAgACAAIAAgACAAXAAiAEYAdQBlAGwAIAAtACAAUwB0AGEAdABpAG8AbgBhAHIAeQAgAC0AIABMAGkAcQB1AGkAZABcACIALAAgAFwAIgBSAGUAZgBpAG4AZQByAHkAIABjAG8AawBlAFwAIgAsACAAXAAiAEwAbwBjAGEAdABpAG8AbgAgAG4AbwB0ACAAcwBwAGUAYwBpAGYAaQBlAGQAXAAiACwAIABcACIAdABcACIALAAgAFwAIgBYAFgAWABYAFgAWABcACIALAAgAFwAIgB0AFwAIgAsACAAXAAiAHQAIABDAE8AMgAgAC0AIABlACAALwAgAHQAIABcACIAOwBcAG4AIAAgACAAIAAgACAAIAAgAFwAIgBGAHUAZQBsACAALQAgAFMAdABhAHQAaQBvAG4AYQByAHkAIAAtACAATABpAHEAdQBpAGQAXAAiACwAIABcACIAUABlAHQAcgBvAGwAZQB1AG0AIABiAGEAcwBlAGQAIABwAHIAbwBkAHUAYwB0AHMAIABvAHQAaABlAHIAIAB0AGgAYQBuACAAbQBlAG4AdABpAG8AbgBlAGQAIABpAG4AIAB0AGgAZQAgAGkAdABlAG0AcwAgAGEAYgBvAHYAZ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CAGkAbwBkAGkAZQBzAGUAbA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FAHQAaABhAG4AbwBsACAAZgBvAHIAIAB1AHMAZQAgAGEAcwAgAGEAIABmAHUAZQBsACAAaQBuACAAYQBuACAAaQBuAHQAZQByAG4AYQBsACAAYwBvAG0AYgB1AHMAdABpAG8AbgAgAGUAbgBnAGkAbgBl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IAaQBvAGYAdQBlAGwAcwAgAG8AdABoAGUAcgAgAHQAaABhAG4AIAB0AGgAbwBzAGUAIABtAGUAbgB0AGkAbwBuAGUAZAAgAGkAbgAgAHQAaABlACAAaQB0AGUAbQBzACAAYQBiAG8AdgBlACAAYQBuAGQAIABiAGUAbABvAHc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UgBlAG4AZQB3AGEAYgBsAGUAIABhAHYAaQBhAHQAaQBvAG4AIABrAGUAcgBvAHMAZQBuAGU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UgBlAG4AZQB3AGEAYgBsAGUAIABkAGkAZQBzAGUAbABcACIALAAgAFwAIgBMAG8AYwBhAHQAaQBvAG4AIABuAG8AdAAgAHMAcABlAGMAaQBmAGkAZQBkAFwAIgAsACAAXAAiAGsAbABcACIALAAgAFwAIgBYAFgAWABYAFgAWABcACIALAAgAFwAIgB0AFwAIgAsACAAXAAiAHQAIABDAE8AMgAgAC0AIABlACAALwAgAGsAbAAg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GAHUAZQBsACAALQAgAFMAdABhAHQAaQBvAG4AYQByAHkAIAAtACAARwBhAHMAZQBvAHUAcwBcAG4APQA9AD0APQA9AD0APQA9AD0APQA9AD0APQA9AD0APQA9AD0APQA9AD0APQA9AD0APQA9AD0APQA9AD0APQA9AD0APQA9AD0APQA9AD0APQA9AD0APQA9AD0APQA9AD0APQA9AD0APQA9AD0APQA9AD0APQA9AD0APQA9AD0APQA9AD0APQA9AD0APQA9AD0APQA9AD0APQBcAG4AKgAvAFwAbgBcAG4AUwBjAG8AcABlADMAXwBGAHUAZQBsAFMAdABhAHQAaQBvAG4AYQByAHkARwBhAHMAZQBvAHUAcwBUAGkAdABsAGUAXABuAD0ATABBAE0AQgBEAEEAKAAoAFwAIgBGAHUAZQBsACAALQAgAFMAdABhAHQAaQBvAG4AYQByAHkAIAAtACAARwBhAHMAZQBvAHUAcwAgAHMAYwBvAHAAZQAgADMAXAAiACkAKQA7AFwAbgBcAG4AUwBjAG8AcABlADMAXwBGAHUAZQBsAFMAdABhAHQAaQBvAG4AYQByAHkARwBhAHMAZQBvAHUAc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RgB1AGUAbABTAHQAYQB0AGkAbwBuAGEAcgB5AEcAYQBzAGUAbwB1AHMAVgBhAHIAaQBhAHQAaQBvAG4AXABuAD0ATABBAE0AQgBEAEEAKAAoAFwAIgBFAG0AaQBzAHMAaQBvAG4AIABmAGEAYwB0AG8AcgAgAHYAYQBsAHUAZQBzACAAcwBvAHUAcgBjAGUAZAAgAGYAcgBvAG0AIABOAGEAdABpAG8AbgBhAGwAIABHAHIAZQBlAG4AaABvAHUAcwBlACAAQQBjAGMAbwB1AG4AdABzACAARgBhAGMAdABvAHIAcwAgAC0AIABTAGUAZQAgAHIAZQBsAGUAdgBhAG4AdAAgAHQAYQBiAGwAZQAgAGkAbgAgACcARgB1AGUAbAAgAFMAbwB1AHIAYwBlACAARABhAHQAYQAnAFwAIgApACkAOwBcAG4AXABuAFMAYwBvAHAAZQAzAF8ARgB1AGUAbABTAHQAYQB0AGkAbwBuAGEAcgB5AEcAYQBzAGUAbwB1AHMARABhAHQAYQBcAG4APQBMAEEATQBCAEQAQQAoAFwAbgAgACAATQBBAEsARQBBAFIAUgBBAFkAKAAxADc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YAdQBlAGwAIAAtACAAUwB0AGEAdABpAG8AbgBhAHIAeQAgAC0AIABHAGEAcwBlAG8AdQBzAFwAIgAsACAAXAAiAE4AYQB0AHUAcgBhAGwAIABnAGEAcwAgAGQAaQBzAHQAcgBpAGIAdQB0AGUAZAAgAGkAbgAgAGEAIABwAGkAcABlAGwAaQBuAGUAIAAtACAARwBpAGcAYQBqAG8AdQBsAGUAcwBcACIALAAgAFwAIgBOAGUAdwAgAFMAbwB1AHQAaAAgAFcAYQBsAGUAcwBcACIALAAgAFwAIgBHAGoAXAAiACwAIABcACIAWABYAFgAWABYAFgAXAAiACwAIABcACIAdABcACIALAAgAFwAIgB0ACAAQwBPADIAIAAtACAAZQAgAC8AIABHAGoAXAAiADsAXABuACAAIAAgACAAIAAgACAAIABcACIARgB1AGUAbAAgAC0AIABTAHQAYQB0AGkAbwBuAGEAcgB5ACAALQAgAEcAYQBzAGUAbwB1AHMAXAAiACwAIABcACIATgBhAHQAdQByAGEAbAAgAGcAYQBzACAAZABpAHMAdAByAGkAYgB1AHQAZQBkACAAaQBuACAAYQAgAHAAaQBwAGUAbABpAG4AZQAgAC0AIABHAGkAZwBhAGoAbwB1AGwAZQBzAFwAIgAsACAAXAAiAEEAQwBU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VgBpAGMAdABvAHIAaQBh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UQB1AGUAZQBuAHMAbABhAG4AZABcACIALAAgAFwAIgBHAGoAXAAiACwAIABcACIAWABYAFgAWABYAFgAXAAiACwAIABcACIAdABcACIALAAgAFwAIgB0ACAAQwBPADIAIAAtACAAZQAgAC8AIABHAGoAXAAiADsAXABuACAAIAAgACAAIAAgACAAIABcACIARgB1AGUAbAAgAC0AIABTAHQAYQB0AGkAbwBuAGEAcgB5ACAALQAgAEcAYQBzAGUAbwB1AHMAXAAiACwAIABcACIATgBhAHQAdQByAGEAbAAgAGcAYQBzACAAZABpAHMAdAByAGkAYgB1AHQAZQBkACAAaQBuACAAYQAgAHAAaQBwAGUAbABpAG4AZQAgAC0AIABHAGkAZwBhAGoAbwB1AGwAZQBzAFwAIgAsACAAXAAiAFMAbwB1AHQAaAAgAEEAdQBzAHQAcgBhAGwAaQBh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VwBlAHMAdABlAHIAbgAgAEEAdQBzAHQAcgBhAGwAaQBh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VABhAHMAbQBhAG4AaQBh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TgBvAHIAdABoAGUAcgBuACAAVABlAHIAcgBpAHQAbwByAHk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E4AZQB3ACAAUwBvAHUAdABoACAAVwBhAGwAZQBz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BAEMAVA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VgBpAGMAdABvAHIAaQBh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RAHUAZQBlAG4AcwBsAGEAbgBk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TAG8AdQB0AGgAIABBAHUAcwB0AHIAYQBsAGkAYQ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VwBlAHMAdABlAHIAbgAgAEEAdQBzAHQAcgBhAGwAaQBh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UAGEAcwBtAGEAbgBpAGE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E4AbwByAHQAaABlAHIAbgAgAFQAZQByAHIAaQB0AG8AcgB5AFwAIgAsACAAXAAiAEcAagBcACIALAAgAFwAIgBYAFgAWABYAFgAWABcACIALAAgAFwAIgB0AFwAIgAsACAAXAAiAHQAIABDAE8AMgAgAC0AIABlACAALwAgAEcAag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RQBsAGUAYwB0AHIAaQBjAGkAdAB5ACAALQAgAFMAdABhAHQAZQAgAEcAcgBpAGQAXABuAD0APQA9AD0APQA9AD0APQA9AD0APQA9AD0APQA9AD0APQA9AD0APQA9AD0APQA9AD0APQA9AD0APQA9AD0APQA9AD0APQA9AD0APQA9AD0APQA9AD0APQA9AD0APQA9AD0APQA9AD0APQA9AD0APQA9AD0APQA9AD0APQA9AD0APQA9AD0APQA9AD0APQA9AD0APQA9AD0AXABuACoALwBcAG4AXABuAFMAYwBvAHAAZQAzAF8ARQBsAGUAYwB0AHIAaQBjAGkAdAB5AF8AVABpAHQAbABlAFwAbgA9AEwAQQBNAEIARABBACgAKABcACIARQBsAGUAYwB0AHIAaQBjAGkAdAB5ACAALQAgAFMAdABhAHQAZQAgAEcAcgBpAGQAIABzAGMAbwBwAGUAIAAzAFwAIgApACkAOwBcAG4AXABuAFMAYwBvAHAAZQAzAF8ARQBsAGUAYwB0AHIAaQBjAGkAdAB5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UAbABlAGMAdAByAGkAYwBpAHQAeQBfAFYAYQByAGkAYQB0AGkAbwBuAFwAbgA9AEwAQQBNAEIARABBACgAKABcACIARQBtAGkAcwBzAGkAbwBuACAAZgBhAGMAdABvAHIAIAB2AGEAbAB1AGUAcwAgAHMAbwB1AHIAYwBlAGQAIABmAHIAbwBtACAATgBhAHQAaQBvAG4AYQBsACAARwByAGUAZQBuAGgAbwB1AHMAZQAgAEEAYwBjAG8AdQBuAHQAcwAgAEYAYQBjAHQAbwByAHMAIAAtACAAUwBlAGUAIAByAGUAbABlAHYAYQBuAHQAIAB0AGEAYgBsAGUAIABpAG4AIAAnAEUAbABlAGMAdAByAGkAYwBpAHQAeQAgAFMAbwB1AHIAYwBlACAARABhAHQAYQAnAFwAIgApACkAOwBcAG4AXABuAFMAYwBvAHAAZQAzAF8ARQBsAGUAYwB0AHIAaQBjAGkAdAB5AF8ARABhAHQAYQBcAG4APQBMAEEATQBCAEQAQQAoAFwAbgAgACAATQBBAEsARQBBAFIAUgBBAFkAKAAxADE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UAbABlAGMAdAByAGkAYwBpAHQAeQBcACIALAAgAFwAIgBTAHQAYQB0AGUAIABHAHIAaQBkAFwAIgAsACAAXAAiAE4AZQB3ACAAUwBvAHUAdABoACAAVwBhAGwAZQBzAFwAIgAsACAAXAAiAGsAVwBoAFwAIgAsACAAXAAiAFgAWABYAFgAWABYAFwAIgAsACAAXAAiAHQAXAAiACwAIABcACIAdAAgAEMATwAyACAALQAgAGUAIAAvACAARwBqAFwAIgA7AFwAbgAgACAAIAAgACAAIAAgACAAXAAiAEUAbABlAGMAdAByAGkAYwBpAHQAeQBcACIALAAgAFwAIgBTAHQAYQB0AGUAIABHAHIAaQBkAFwAIgAsACAAXAAiAEEAQwBUAFwAIgAsACAAXAAiAGsAVwBoAFwAIgAsACAAXAAiAFgAWABYAFgAWABYAFwAIgAsACAAXAAiAHQAXAAiACwAIABcACIAdAAgAEMATwAyACAALQAgAGUAIAAvACAARwBqAFwAIgA7AFwAbgAgACAAIAAgACAAIAAgACAAXAAiAEUAbABlAGMAdAByAGkAYwBpAHQAeQBcACIALAAgAFwAIgBTAHQAYQB0AGUAIABHAHIAaQBkAFwAIgAsACAAXAAiAFYAaQBjAHQAbwByAGkAYQBcACIALAAgAFwAIgBrAFcAaABcACIALAAgAFwAIgBYAFgAWABYAFgAWABcACIALAAgAFwAIgB0AFwAIgAsACAAXAAiAHQAIABDAE8AMgAgAC0AIABlACAALwAgAEcAagBcACIAOwBcAG4AIAAgACAAIAAgACAAIAAgAFwAIgBFAGwAZQBjAHQAcgBpAGMAaQB0AHkAXAAiACwAIABcACIAUwB0AGEAdABlACAARwByAGkAZABcACIALAAgAFwAIgBRAHUAZQBlAG4AcwBsAGEAbgBkAFwAIgAsACAAXAAiAGsAVwBoAFwAIgAsACAAXAAiAFgAWABYAFgAWABYAFwAIgAsACAAXAAiAHQAXAAiACwAIABcACIAdAAgAEMATwAyACAALQAgAGUAIAAvACAARwBqAFwAIgA7AFwAbgAgACAAIAAgACAAIAAgACAAXAAiAEUAbABlAGMAdAByAGkAYwBpAHQAeQBcACIALAAgAFwAIgBTAHQAYQB0AGUAIABHAHIAaQBkAFwAIgAsACAAXAAiAFMAbwB1AHQAaAAgAEEAdQBzAHQAcgBhAGwAaQBhAFwAIgAsACAAXAAiAGsAVwBoAFwAIgAsACAAXAAiAFgAWABYAFgAWABYAFwAIgAsACAAXAAiAHQAXAAiACwAIABcACIAdAAgAEMATwAyACAALQAgAGUAIAAvACAARwBqAFwAIgA7AFwAbgAgACAAIAAgACAAIAAgACAAXAAiAEUAbABlAGMAdAByAGkAYwBpAHQAeQBcACIALAAgAFwAIgBTAHQAYQB0AGUAIABHAHIAaQBkAFwAIgAsACAAXAAiAFcAZQBzAHQAZQByAG4AIABBAHUAcwB0AHIAYQBsAGkAYQAgAC0AIABTAG8AdQB0AGgAIABXAGUAcwB0ACAASQBuAHQAZQByAGMAbwBuAG4AZQBjAHQAZQBkACAAUwB5AHMAdABlAG0AIAAoAFMAVwBJAFMAKQBcACIALAAgAFwAIgBrAFcAaABcACIALAAgAFwAIgBYAFgAWABYAFgAWABcACIALAAgAFwAIgB0AFwAIgAsACAAXAAiAHQAIABDAE8AMgAgAC0AIABlACAALwAgAEcAagBcACIAOwBcAG4AIAAgACAAIAAgACAAIAAgAFwAIgBFAGwAZQBjAHQAcgBpAGMAaQB0AHkAXAAiACwAIABcACIAUwB0AGEAdABlACAARwByAGkAZABcACIALAAgAFwAIgBXAGUAcwB0AGUAcgBuACAAQQB1AHMAdAByAGEAbABpAGEAIAAtACAATgBvAHIAdABoACAAVwBlAHMAdABlAHIAbgAgAEkAbgB0AGUAcgBjAG8AbgBuAGUAYwB0AGUAZAAgAFMAeQBzAHQAZQBtACAAKABOAFcASQBTACkAXAAiACwAIABcACIAawBXAGgAXAAiACwAIABcACIAWABYAFgAWABYAFgAXAAiACwAIABcACIAdABcACIALAAgAFwAIgB0ACAAQwBPADIAIAAtACAAZQAgAC8AIABHAGoAXAAiADsAXABuACAAIAAgACAAIAAgACAAIABcACIARQBsAGUAYwB0AHIAaQBjAGkAdAB5AFwAIgAsACAAXAAiAFMAdABhAHQAZQAgAEcAcgBpAGQAXAAiACwAIABcACIAVABhAHMAbQBhAG4AaQBhAFwAIgAsACAAXAAiAGsAVwBoAFwAIgAsACAAXAAiAFgAWABYAFgAWABYAFwAIgAsACAAXAAiAHQAXAAiACwAIABcACIAdAAgAEMATwAyACAALQAgAGUAIAAvACAARwBqAFwAIgA7AFwAbgAgACAAIAAgACAAIAAgACAAXAAiAEUAbABlAGMAdAByAGkAYwBpAHQAeQBcACIALAAgAFwAIgBTAHQAYQB0AGUAIABHAHIAaQBkAFwAIgAsACAAXAAiAE4AbwByAHQAaABlAHIAbgAgAFQAZQByAHIAaQB0AG8AcgB5ACAALQAgAEQAYQByAHcAaQBuACAASwBhAHQAaABlAHIAaQBuAGUAIABJAG4AdABlAHIAYwBvAG4AbgBlAGMAdABlAGQAIABTAHkAcwB0AGUAbQAgACgARABLAEkAUwApAFwAIgAsACAAXAAiAGsAVwBoAFwAIgAsACAAXAAiAFgAWABYAFgAWABYAFwAIgAsACAAXAAiAHQAXAAiACwAIABcACIAdAAgAEMATwAyACAALQAgAGUAIAAvACAARwBqAFwAIgA7AFwAbgAgACAAIAAgACAAIAAgACAAXAAiAEUAbABlAGMAdAByAGkAYwBpAHQAeQBcACIALAAgAFwAIgBTAHQAYQB0AGUAIABHAHIAaQBkAFwAIgAsACAAXAAiAE4AYQB0AGkAbwBuAGEAbABcACIALAAgAFwAIgBrAFcAaABcACIALAAgAFwAIgBYAFgAWABYAFgAWABcACIALAAgAFwAIgB0AFwAIgAsACAAXAAiAHQAIABDAE8AMgAgAC0AIABlACAALwAgAEcAagBcACIAXABuACAAIAAgACAAIAAgAH0ALAAgAHIALAAgAGMAKQBcAG4AKQAp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Bd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UwBvAHUAcgBjAGUARABhAHQAYQAuAEUAbABlAGMAdAByAGkAYwBpAHQAeQBfAFMAYwBvAHAAZQAyAFMAYwBvAHAAZQAzAE0AYQByAGsAZQB0AEIAYQBzAGUAZABfAFQAaQB0AGwAZQAiACwAIgBFAGwAZQBjAHQAcgBpAGMAaQB0AHkAXwBTAG8AdQByAGMAZQBEAGEAdABhAC4ARQBsAGUAYwB0AHIAaQBjAGkAdAB5AF8AUwBjAG8AcABlADIATQBhAHIAawBlAHQAQgBhAHMAZQBkAF8ARABlAHMAYwByAGkAcAB0AGkAbwBuACIALAAiAEUAbABlAGMAdAByAGkAYwBpAHQAeQBfAFMAbwB1AHIAYwBlAEQAYQB0AGEALgBFAGwAZQBjAHQAcgBpAGMAaQB0AHkAXwBTAGMAbwBwAGUAMgBTAGMAbwBwAGUAMwBNAGEAcgBrAGUAdABCAGEAcwBlAGQAXwBTAG8AdQByAGMAZQAiACwAIgBFAGwAZQBjAHQAcgBpAGMAaQB0AHkAXwBTAG8AdQByAGMAZQBEAGEAdABhAC4ARQBsAGUAYwB0AHIAaQBjAGkAdAB5AF8AUwBjAG8AcABlADIAUwBjAG8AcABlADMATQBhAHIAawBlAHQAQgBhAHMAZQBkAF8ARABhAHQAYQAiACwAIgBFAGwAZQBjAHQAcgBpAGMAaQB0AHkAXwBTAG8AdQByAGMAZQBEAGEAdABhAC4ARQBsAGUAYwB0AHIAaQBjAGkAdAB5AF8AUwBjAG8AcABlADIAUwBjAG8AcABlADMATQBhAHIAawBlAHQAQgBhAHMAZQBkAF8AVgBhAHIAaQBhAHQAaQBvAG4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cgBnAGEAbgBpAGMARgBlAHIAdABpAGwAaQBzAGUAcgBzAF8AVABpAHQAbABlACIALAAiAFMAYwBvAHAAZQAzAF8AUwBvAHUAcgBjAGUARABhAHQAYQAuAFMAYwBvAHAAZQAzAF8ATwByAGcAYQBuAGkAYwBGAGUAcgB0AGkAbABpAHMAZQByAHMAXwBTAG8AdQByAGMAZQAiACwAIgBTAGMAbwBwAGUAMwBfAFMAbwB1AHIAYwBlAEQAYQB0AGEALgBTAGMAbwBwAGUAMwBfAE8AcgBnAGEAbgBpAGMARgBlAHIAdABpAGwAaQBzAGUAcgBzAF8AVgBhAHIAaQBhAHQAaQBvAG4AIgAsACIAUwBjAG8AcABlADMAXwBTAG8AdQByAGMAZQBEAGEAdABhAC4AUwBjAG8AcABlADMAXwBPAHIAZwBhAG4AaQBjAEYAZQByAHQAaQBsAGkAcwBlAHIAcwBfAEQAYQB0AGEAIgAsACIAUwBjAG8AcABlADMAXwBTAG8AdQByAGMAZQBEAGEAdABhAC4AUwBjAG8AcABlADMAXwBTAG8AaQBsAEEAbQBlAG4AZABtAGUAbgB0AHMAXwBUAGkAdABsAGUAIgAsACIAUwBjAG8AcABlADMAXwBTAG8AdQByAGMAZQBEAGEAdABhAC4AUwBjAG8AcABlADMAXwBTAG8AaQBsAEEAbQBlAG4AZABtAGUAbgB0AHMAXwBTAG8AdQByAGMAZQAiACwAIgBTAGMAbwBwAGUAMwBfAFMAbwB1AHIAYwBlAEQAYQB0AGEALgBTAGMAbwBwAGUAMwBfAFMAbwBpAGwAQQBtAGUAbgBkAG0AZQBuAHQAcwBfAFYAYQByAGkAYQB0AGkAbwBuACIALAAiAFMAYwBvAHAAZQAzAF8AUwBvAHUAcgBjAGUARABhAHQAYQAuAFMAYwBvAHAAZQAzAF8AUwBvAGkAbABBAG0AZQBuAGQAbQBlAG4AdABzAF8ARABhAHQAYQAiACwAIgBTAGMAbwBwAGUAMwBfAFMAbwB1AHIAYwBlAEQAYQB0AGEALgBTAGMAbwBwAGUAMwBfAEEAZwByAG8AYwBoAGUAbQBpAGMAYQBsAHMAXwBUAGkAdABsAGUAIgAsACIAUwBjAG8AcABlADMAXwBTAG8AdQByAGMAZQBEAGEAdABhAC4AUwBjAG8AcABlADMAXwBBAGcAcgBvAGMAaABlAG0AaQBjAGEAbABzAF8AUwBvAHUAcgBjAGUAIgAsACIAUwBjAG8AcABlADMAXwBTAG8AdQByAGMAZQBEAGEAdABhAC4AUwBjAG8AcABlADMAXwBBAGcAcgBvAGMAaABlAG0AaQBjAGEAbABzAF8AVgBhAHIAaQBhAHQAaQBvAG4AIgAsACIAUwBjAG8AcABlADMAXwBTAG8AdQByAGMAZQBEAGEAdABhAC4AUwBjAG8AcABlADMAXwBBAGcAcgBvAGMAaABlAG0AaQBjAGEAbABzAF8ARABhAHQAYQAiACwAIgBTAGMAbwBwAGUAMwBfAFMAbwB1AHIAYwBlAEQAYQB0AGEALgBTAGMAbwBwAGUAMwBfAEwAaQBjAGsAQgBsAG8AYwBrAHMAXwBUAGkAdABsAGUAIgAsACIAUwBjAG8AcABlADMAXwBTAG8AdQByAGMAZQBEAGEAdABhAC4AUwBjAG8AcABlADMAXwBMAGkAYwBrAEIAbABvAGMAawBzAF8AUwBvAHUAcgBjAGUAIgAsACIAUwBjAG8AcABlADMAXwBTAG8AdQByAGMAZQBEAGEAdABhAC4AUwBjAG8AcABlADMAXwBMAGkAYwBrAEIAbABvAGMAawBzAF8AVgBhAHIAaQBhAHQAaQBvAG4AIgAsACIAUwBjAG8AcABlADMAXwBTAG8AdQByAGMAZQBEAGEAdABhAC4AUwBjAG8AcABlADMAXwBMAGkAYwBrAEIAbABvAGMAawBzAF8ARABhAHQAYQAiACwAIgBTAGMAbwBwAGUAMwBfAFMAbwB1AHIAYwBlAEQAYQB0AGEALgBTAGMAbwBwAGUAMwBfAEEAbgBpAG0AYQBsAEYAZQBlAGQAXwBUAGkAdABsAGUAIgAsACIAUwBjAG8AcABlADMAXwBTAG8AdQByAGMAZQBEAGEAdABhAC4AUwBjAG8AcABlADMAXwBBAG4AaQBtAGEAbABGAGUAZQBkAF8AUwBvAHUAcgBjAGUAIgAsACIAUwBjAG8AcABlADMAXwBTAG8AdQByAGMAZQBEAGEAdABhAC4AUwBjAG8AcABlADMAXwBBAG4AaQBtAGEAbABGAGUAZQBkAF8AVgBhAHIAaQBhAHQAaQBvAG4AIgAsACIAUwBjAG8AcABlADMAXwBTAG8AdQByAGMAZQBEAGEAdABhAC4AUwBjAG8AcABlADMAXwBBAG4AaQBtAGEAbABGAGUAZQBkAF8ARABhAHQAYQAiACwAIgBTAGMAbwBwAGUAMwBfAFMAbwB1AHIAYwBlAEQAYQB0AGEALgBTAGMAbwBwAGUAMwBfAEEAcQB1AGEAYwB1AGwAdAB1AHIAZQBGAGUAZQBkAEEAbgBkAEIAYQBpAHQAXwBUAGkAdABsAGUAIgAsACIAUwBjAG8AcABlADMAXwBTAG8AdQByAGMAZQBEAGEAdABhAC4AUwBjAG8AcABlADMAXwBBAHEAdQBhAGMAdQBsAHQAdQByAGUARgBlAGUAZABBAG4AZABCAGEAaQB0AF8AUwBvAHUAcgBjAGUAIgAsACIAUwBjAG8AcABlADMAXwBTAG8AdQByAGMAZQBEAGEAdABhAC4AUwBjAG8AcABlADMAXwBBAHEAdQBhAGMAdQBsAHQAdQByAGUARgBlAGUAZABBAG4AZABCAGEAaQB0AF8AVgBhAHIAaQBhAHQAaQBvAG4AIgAsACIAUwBjAG8AcABlADMAXwBTAG8AdQByAGMAZQBEAGEAdABhAC4AUwBjAG8AcABlADMAXwBBAHEAdQBhAGMAdQBsAHQAdQByAGUARgBlAGUAZABBAG4AZABCAGEAaQB0AF8ARABhAHQAYQAiACwAIgBTAGMAbwBwAGUAMwBfAFMAbwB1AHIAYwBlAEQAYQB0AGEALgBTAGMAbwBwAGUAMwBfAEwAaQB2AGUAcwB0AG8AYwBrAF8AVABpAHQAbABlACIALAAiAFMAYwBvAHAAZQAzAF8AUwBvAHUAcgBjAGUARABhAHQAYQAuAFMAYwBvAHAAZQAzAF8ATABpAHYAZQBzAHQAbwBjAGsAXwBTAG8AdQByAGMAZQAiACwAIgBTAGMAbwBwAGUAMwBfAFMAbwB1AHIAYwBlAEQAYQB0AGEALgBTAGMAbwBwAGUAMwBfAEwAaQB2AGUAcwB0AG8AYwBrAF8AVgBhAHIAaQBhAHQAaQBvAG4AIgAsACIAUwBjAG8AcABlADMAXwBTAG8AdQByAGMAZQBEAGEAdABhAC4AUwBjAG8AcABlADMAXwBMAGkAdgBlAHMAdABvAGMAaw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wBlAGUAZABzAEEAbgBkAFMAZQBlAGQAbABpAG4AZwBzAF8AVABpAHQAbABlACIALAAiAFMAYwBvAHAAZQAzAF8AUwBvAHUAcgBjAGUARABhAHQAYQAuAFMAYwBvAHAAZQAzAF8AUwBlAGUAZABzAEEAbgBkAFMAZQBlAGQAbABpAG4AZwBzAF8AUwBvAHUAcgBjAGUAIgAsACIAUwBjAG8AcABlADMAXwBTAG8AdQByAGMAZQBEAGEAdABhAC4AUwBjAG8AcABlADMAXwBTAGUAZQBkAHMAQQBuAGQAUwBlAGUAZABsAGkAbgBnAHMAXwBWAGEAcgBpAGEAdABpAG8AbgAiACwAIgBTAGMAbwBwAGUAMwBfAFMAbwB1AHIAYwBlAEQAYQB0AGEALgBTAGMAbwBwAGUAMwBfAFMAZQBlAGQAcwBBAG4AZABTAGUAZQBkAGwAaQBuAGcAcwBfAEQAYQB0AGEAIgAsACIAUwBjAG8AcABlADMAXwBTAG8AdQByAGMAZQBEAGEAdABhAC4AUwBjAG8AcABlADMAXwBDAGwAZQBhAG4AaQBuAGcAQwBoAGUAbQBpAGMAYQBsAHMAXwBUAGkAdABsAGUAIgAsACIAUwBjAG8AcABlADMAXwBTAG8AdQByAGMAZQBEAGEAdABhAC4AUwBjAG8AcABlADMAXwBDAGwAZQBhAG4AaQBuAGcAQwBoAGUAbQBpAGMAYQBsAHMAXwBTAG8AdQByAGMAZQAiACwAIgBTAGMAbwBwAGUAMwBfAFMAbwB1AHIAYwBlAEQAYQB0AGEALgBTAGMAbwBwAGUAMwBfAEMAbABlAGEAbgBpAG4AZwBDAGgAZQBtAGkAYwBhAGwAcwBfAFYAYQByAGkAYQB0AGkAbwBuACIALAAiAFMAYwBvAHAAZQAzAF8AUwBvAHUAcgBjAGUARABhAHQAYQAuAFMAYwBvAHAAZQAzAF8AQwBsAGUAYQBuAGkAbgBnAEMAaABlAG0AaQBjAGEAbABzAF8ARABhAHQAYQAiACwAIgBTAGMAbwBwAGUAMwBfAFMAbwB1AHIAYwBlAEQAYQB0AGEALgBTAGMAbwBwAGUAMwBfAFAAaABhAHIAbQBhAGMAeQBDAGgAZQBtAGkAYwBhAGwAcwBfAFQAaQB0AGwAZQAiACwAIgBTAGMAbwBwAGUAMwBfAFMAbwB1AHIAYwBlAEQAYQB0AGEALgBTAGMAbwBwAGUAMwBfAFAAaABhAHIAbQBhAGMAeQBDAGgAZQBtAGkAYwBhAGwAcwBfAFMAbwB1AHIAYwBlACIALAAiAFMAYwBvAHAAZQAzAF8AUwBvAHUAcgBjAGUARABhAHQAYQAuAFMAYwBvAHAAZQAzAF8AUABoAGEAcgBtAGEAYwB5AEMAaABlAG0AaQBjAGEAbABzAF8AVgBhAHIAaQBhAHQAaQBvAG4AIgAsACIAUwBjAG8AcABlADMAXwBTAG8AdQByAGMAZQBEAGEAdABhAC4AUwBjAG8AcABlADMAXwBQAGgAYQByAG0AYQBjAHkAQwBoAGUAbQBpAGMAYQBsAHMAXwBEAGEAdABhACIALAAiAFMAYwBvAHAAZQAzAF8AUwBvAHUAcgBjAGUARABhAHQAYQAuAFMAYwBvAHAAZQAzAF8ATwB0AGgAZQByAEEAZwByAGkAYwB1AGwAdAB1AHIAYQBsAEkAbgBwAHUAdABzAF8AVABpAHQAbABlACIALAAiAFMAYwBvAHAAZQAzAF8AUwBvAHUAcgBjAGUARABhAHQAYQAuAFMAYwBvAHAAZQAzAF8ATwB0AGgAZQByAEEAZwByAGkAYwB1AGwAdAB1AHIAYQBsAEkAbgBwAHUAdABzAF8AUwBvAHUAcgBjAGUAIgAsACIAUwBjAG8AcABlADMAXwBTAG8AdQByAGMAZQBEAGEAdABhAC4AUwBjAG8AcABlADMAXwBPAHQAaABlAHIAQQBnAHIAaQBjAHUAbAB0AHUAcgBhAGwASQBuAHAAdQB0AHMAXwBWAGEAcgBpAGEAdABpAG8AbgAiACwAIgBTAGMAbwBwAGUAMwBfAFMAbwB1AHIAYwBlAEQAYQB0AGEALgBTAGMAbwBwAGUAMwBfAE8AdABoAGUAcgBBAGcAcgBpAGMAdQBsAHQAdQByAGEAbABJAG4AcAB1AHQAcwBfAEQAYQB0AGEAIgAsACIAUwBjAG8AcABlADMAXwBTAG8AdQByAGMAZQBEAGEAdABhAC4AUwBjAG8AcABlADMAXwBGAHUAZQBsAFQAcgBhAG4AcwBwAG8AcgB0AF8AVABpAHQAbABlACIALAAiAFMAYwBvAHAAZQAzAF8AUwBvAHUAcgBjAGUARABhAHQAYQAuAFMAYwBvAHAAZQAzAF8ARgB1AGUAbABUAHIAYQBuAHMAcABvAHIAdABfAFMAbwB1AHIAYwBlACIALAAiAFMAYwBvAHAAZQAzAF8AUwBvAHUAcgBjAGUARABhAHQAYQAuAFMAYwBvAHAAZQAzAF8ARgB1AGUAbABUAHIAYQBuAHMAcABvAHIAdABfAFYAYQByAGkAYQB0AGkAbwBuACIALAAiAFMAYwBvAHAAZQAzAF8AUwBvAHUAcgBjAGUARABhAHQAYQAuAFMAYwBvAHAAZQAzAF8ARgB1AGUAbABUAHIAYQBuAHMAcABvAHIAdABfAEQAYQB0AGEAIgAsACIAUwBjAG8AcABlADMAXwBTAG8AdQByAGMAZQBEAGEAdABhAC4AUwBjAG8AcABlADMAXwBGAHUAZQBsAFMAdABhAHQAaQBvAG4AYQByAHkATABpAHEAdQBpAGQAXwBUAGkAdABsAGUAIgAsACIAUwBjAG8AcABlADMAXwBTAG8AdQByAGMAZQBEAGEAdABhAC4AUwBjAG8AcABlADMAXwBGAHUAZQBsAFMAdABhAHQAaQBvAG4AYQByAHkATABpAHEAdQBpAGQAXwBTAG8AdQByAGMAZQAiACwAIgBTAGMAbwBwAGUAMwBfAFMAbwB1AHIAYwBlAEQAYQB0AGEALgBTAGMAbwBwAGUAMwBfAEYAdQBlAGwAUwB0AGEAdABpAG8AbgBhAHIAeQBMAGkAcQB1AGkAZABfAFYAYQByAGkAYQB0AGkAbwBuACIALAAiAFMAYwBvAHAAZQAzAF8AUwBvAHUAcgBjAGUARABhAHQAYQAuAFMAYwBvAHAAZQAzAF8ARgB1AGUAbABTAHQAYQB0AGkAbwBuAGEAcgB5AEwAaQBxAHUAaQBkAF8ARABhAHQAYQAiACwAIgBTAGMAbwBwAGUAMwBfAFMAbwB1AHIAYwBlAEQAYQB0AGEALgBTAGMAbwBwAGUAMwBfAEYAdQBlAGwAUwB0AGEAdABpAG8AbgBhAHIAeQBHAGEAcwBlAG8AdQBzAFQAaQB0AGwAZQAiACwAIgBTAGMAbwBwAGUAMwBfAFMAbwB1AHIAYwBlAEQAYQB0AGEALgBTAGMAbwBwAGUAMwBfAEYAdQBlAGwAUwB0AGEAdABpAG8AbgBhAHIAeQBHAGEAcwBlAG8AdQBzAFMAbwB1AHIAYwBlACIALAAiAFMAYwBvAHAAZQAzAF8AUwBvAHUAcgBjAGUARABhAHQAYQAuAFMAYwBvAHAAZQAzAF8ARgB1AGUAbABTAHQAYQB0AGkAbwBuAGEAcgB5AEcAYQBzAGUAbwB1AHMAVgBhAHIAaQBhAHQAaQBvAG4AIgAsACIAUwBjAG8AcABlADMAXwBTAG8AdQByAGMAZQBEAGEAdABhAC4AUwBjAG8AcABlADMAXwBGAHUAZQBsAFMAdABhAHQAaQBvAG4AYQByAHkARwBhAHMAZQBvAHUAcwBEAGEAdABhACIALAAiAFMAYwBvAHAAZQAzAF8AUwBvAHUAcgBjAGUARABhAHQAYQAuAFMAYwBvAHAAZQAzAF8ARQBsAGUAYwB0AHIAaQBjAGkAdAB5AF8AVABpAHQAbABlACIALAAiAFMAYwBvAHAAZQAzAF8AUwBvAHUAcgBjAGUARABhAHQAYQAuAFMAYwBvAHAAZQAzAF8ARQBsAGUAYwB0AHIAaQBjAGkAdAB5AF8AUwBvAHUAcgBjAGUAIgAsACIAUwBjAG8AcABlADMAXwBTAG8AdQByAGMAZQBEAGEAdABhAC4AUwBjAG8AcABlADMAXwBFAGwAZQBjAHQAcgBpAGMAaQB0AHkAXwBWAGEAcgBpAGEAdABpAG8AbgAiACwAIgBTAGMAbwBwAGUAMwBfAFMAbwB1AHIAYwBlAEQAYQB0AGEALgBTAGMAbwBwAGUAMwBfAEUAbABlAGMAdAByAGkAYwBpAHQAeQ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Input - Site</vt:lpstr>
      <vt:lpstr>Input - Fertiliser</vt:lpstr>
      <vt:lpstr>Input - Feed - Dairy</vt:lpstr>
      <vt:lpstr>Input - Other Farm Inputs</vt:lpstr>
      <vt:lpstr>Input - Fuel</vt:lpstr>
      <vt:lpstr>Input - Electricity</vt:lpstr>
      <vt:lpstr>Input - Livestock</vt:lpstr>
      <vt:lpstr>Calcs - Scope 3 OLD</vt:lpstr>
      <vt:lpstr>Constants - Scope 3</vt:lpstr>
      <vt:lpstr>Calcs scope 3</vt:lpstr>
      <vt:lpstr>Constants - Common Livestock</vt:lpstr>
      <vt:lpstr>Sheet1</vt:lpstr>
      <vt:lpstr>Constants - Fertiliser</vt:lpstr>
      <vt:lpstr>Constants - Fuel</vt:lpstr>
      <vt:lpstr>Constants - Electricity</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2026-05-26T23:36:45Z</dcterms:modified>
</cp:coreProperties>
</file>