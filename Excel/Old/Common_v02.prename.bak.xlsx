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D5318154-DEDA-4DF1-9142-42C8225BA0D8}" xr6:coauthVersionLast="47" xr6:coauthVersionMax="47" xr10:uidLastSave="{00000000-0000-0000-0000-000000000000}"/>
  <bookViews>
    <workbookView xWindow="1350" yWindow="360" windowWidth="36255" windowHeight="19140" firstSheet="1" activeTab="1" xr2:uid="{992023F3-CAB7-4E5B-A348-08D563A0EF40}"/>
  </bookViews>
  <sheets>
    <sheet name="Home" sheetId="3" r:id="rId1"/>
    <sheet name="Constants - Common" sheetId="5" r:id="rId2"/>
    <sheet name="Acknowledgements" sheetId="4" r:id="rId3"/>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-1), "VEERG 2026: ", "") &amp; " " &amp; _xlpm.TitleCell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
    _xlpm.sh, _xlfn.TEXTAFTER(CELL("filename", _xlpm.TargetCell), "]"),
    _xlpm.addr, CELL("address", _xlpm.TargetCell),
    "#" &amp; _xlpm.addr
  )
)</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Range_LivestockStartingValues">#REF!</definedName>
    <definedName name="Step1">#REF!</definedName>
    <definedName name="Step2">#REF!</definedName>
    <definedName name="Step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59" i="5" l="1" a="1"/>
  <c r="E259" i="5" s="1"/>
  <c r="D259" i="5" a="1"/>
  <c r="D259" i="5" s="1"/>
  <c r="E258" i="5" a="1"/>
  <c r="E258" i="5" s="1"/>
  <c r="D258" i="5" a="1"/>
  <c r="D258" i="5" s="1"/>
  <c r="D256" i="5" a="1"/>
  <c r="D256" i="5" s="1"/>
  <c r="D255" i="5" a="1"/>
  <c r="D255" i="5" s="1"/>
  <c r="D254" i="5" a="1"/>
  <c r="D254" i="5" s="1"/>
  <c r="D253" i="5" a="1"/>
  <c r="D253" i="5" s="1"/>
  <c r="S250" i="5" a="1"/>
  <c r="S250" i="5" s="1"/>
  <c r="R250" i="5" a="1"/>
  <c r="R250" i="5" s="1"/>
  <c r="Q250" i="5" a="1"/>
  <c r="Q250" i="5" s="1"/>
  <c r="P250" i="5" a="1"/>
  <c r="P250" i="5" s="1"/>
  <c r="O250" i="5" a="1"/>
  <c r="O250" i="5" s="1"/>
  <c r="N250" i="5" a="1"/>
  <c r="N250" i="5" s="1"/>
  <c r="M250" i="5" a="1"/>
  <c r="M250" i="5" s="1"/>
  <c r="L250" i="5" a="1"/>
  <c r="L250" i="5" s="1"/>
  <c r="K250" i="5" a="1"/>
  <c r="K250" i="5" s="1"/>
  <c r="J250" i="5" a="1"/>
  <c r="J250" i="5" s="1"/>
  <c r="I250" i="5" a="1"/>
  <c r="I250" i="5" s="1"/>
  <c r="H250" i="5" a="1"/>
  <c r="H250" i="5" s="1"/>
  <c r="G250" i="5" a="1"/>
  <c r="G250" i="5" s="1"/>
  <c r="F250" i="5" a="1"/>
  <c r="F250" i="5" s="1"/>
  <c r="E250" i="5" a="1"/>
  <c r="E250" i="5" s="1"/>
  <c r="D250" i="5" a="1"/>
  <c r="D250" i="5" s="1"/>
  <c r="S249" i="5" a="1"/>
  <c r="S249" i="5" s="1"/>
  <c r="R249" i="5" a="1"/>
  <c r="R249" i="5" s="1"/>
  <c r="Q249" i="5" a="1"/>
  <c r="Q249" i="5" s="1"/>
  <c r="P249" i="5" a="1"/>
  <c r="P249" i="5" s="1"/>
  <c r="O249" i="5" a="1"/>
  <c r="O249" i="5" s="1"/>
  <c r="N249" i="5" a="1"/>
  <c r="N249" i="5" s="1"/>
  <c r="M249" i="5" a="1"/>
  <c r="M249" i="5" s="1"/>
  <c r="L249" i="5" a="1"/>
  <c r="L249" i="5" s="1"/>
  <c r="K249" i="5" a="1"/>
  <c r="K249" i="5" s="1"/>
  <c r="J249" i="5" a="1"/>
  <c r="J249" i="5" s="1"/>
  <c r="I249" i="5" a="1"/>
  <c r="I249" i="5" s="1"/>
  <c r="H249" i="5" a="1"/>
  <c r="H249" i="5" s="1"/>
  <c r="G249" i="5" a="1"/>
  <c r="G249" i="5" s="1"/>
  <c r="F249" i="5" a="1"/>
  <c r="F249" i="5" s="1"/>
  <c r="E249" i="5" a="1"/>
  <c r="E249" i="5" s="1"/>
  <c r="D249" i="5" a="1"/>
  <c r="D249" i="5" s="1"/>
  <c r="S248" i="5" a="1"/>
  <c r="S248" i="5" s="1"/>
  <c r="R248" i="5" a="1"/>
  <c r="R248" i="5" s="1"/>
  <c r="Q248" i="5" a="1"/>
  <c r="Q248" i="5" s="1"/>
  <c r="P248" i="5" a="1"/>
  <c r="P248" i="5" s="1"/>
  <c r="O248" i="5" a="1"/>
  <c r="O248" i="5" s="1"/>
  <c r="N248" i="5" a="1"/>
  <c r="N248" i="5" s="1"/>
  <c r="M248" i="5" a="1"/>
  <c r="M248" i="5" s="1"/>
  <c r="L248" i="5" a="1"/>
  <c r="L248" i="5" s="1"/>
  <c r="K248" i="5" a="1"/>
  <c r="K248" i="5" s="1"/>
  <c r="J248" i="5" a="1"/>
  <c r="J248" i="5" s="1"/>
  <c r="I248" i="5" a="1"/>
  <c r="I248" i="5" s="1"/>
  <c r="H248" i="5" a="1"/>
  <c r="H248" i="5" s="1"/>
  <c r="G248" i="5" a="1"/>
  <c r="G248" i="5" s="1"/>
  <c r="F248" i="5" a="1"/>
  <c r="F248" i="5" s="1"/>
  <c r="E248" i="5" a="1"/>
  <c r="E248" i="5" s="1"/>
  <c r="D248" i="5" a="1"/>
  <c r="D248" i="5" s="1"/>
  <c r="S247" i="5" a="1"/>
  <c r="S247" i="5" s="1"/>
  <c r="R247" i="5" a="1"/>
  <c r="R247" i="5" s="1"/>
  <c r="Q247" i="5" a="1"/>
  <c r="Q247" i="5" s="1"/>
  <c r="P247" i="5" a="1"/>
  <c r="P247" i="5" s="1"/>
  <c r="O247" i="5" a="1"/>
  <c r="O247" i="5" s="1"/>
  <c r="N247" i="5" a="1"/>
  <c r="N247" i="5" s="1"/>
  <c r="M247" i="5" a="1"/>
  <c r="M247" i="5" s="1"/>
  <c r="L247" i="5" a="1"/>
  <c r="L247" i="5" s="1"/>
  <c r="K247" i="5" a="1"/>
  <c r="K247" i="5" s="1"/>
  <c r="J247" i="5" a="1"/>
  <c r="J247" i="5" s="1"/>
  <c r="I247" i="5" a="1"/>
  <c r="I247" i="5" s="1"/>
  <c r="H247" i="5" a="1"/>
  <c r="H247" i="5" s="1"/>
  <c r="G247" i="5" a="1"/>
  <c r="G247" i="5" s="1"/>
  <c r="F247" i="5" a="1"/>
  <c r="F247" i="5" s="1"/>
  <c r="E247" i="5" a="1"/>
  <c r="E247" i="5" s="1"/>
  <c r="D247" i="5" a="1"/>
  <c r="D247" i="5" s="1"/>
  <c r="S246" i="5" a="1"/>
  <c r="S246" i="5" s="1"/>
  <c r="R246" i="5" a="1"/>
  <c r="R246" i="5" s="1"/>
  <c r="Q246" i="5" a="1"/>
  <c r="Q246" i="5" s="1"/>
  <c r="P246" i="5" a="1"/>
  <c r="P246" i="5" s="1"/>
  <c r="O246" i="5" a="1"/>
  <c r="O246" i="5" s="1"/>
  <c r="N246" i="5" a="1"/>
  <c r="N246" i="5" s="1"/>
  <c r="M246" i="5" a="1"/>
  <c r="M246" i="5" s="1"/>
  <c r="L246" i="5" a="1"/>
  <c r="L246" i="5" s="1"/>
  <c r="K246" i="5" a="1"/>
  <c r="K246" i="5" s="1"/>
  <c r="J246" i="5" a="1"/>
  <c r="J246" i="5" s="1"/>
  <c r="I246" i="5" a="1"/>
  <c r="I246" i="5" s="1"/>
  <c r="H246" i="5" a="1"/>
  <c r="H246" i="5" s="1"/>
  <c r="G246" i="5" a="1"/>
  <c r="G246" i="5" s="1"/>
  <c r="F246" i="5" a="1"/>
  <c r="F246" i="5" s="1"/>
  <c r="E246" i="5" a="1"/>
  <c r="E246" i="5" s="1"/>
  <c r="D246" i="5" a="1"/>
  <c r="D246" i="5" s="1"/>
  <c r="S245" i="5" a="1"/>
  <c r="S245" i="5" s="1"/>
  <c r="R245" i="5" a="1"/>
  <c r="R245" i="5" s="1"/>
  <c r="Q245" i="5" a="1"/>
  <c r="Q245" i="5" s="1"/>
  <c r="P245" i="5" a="1"/>
  <c r="P245" i="5" s="1"/>
  <c r="O245" i="5" a="1"/>
  <c r="O245" i="5" s="1"/>
  <c r="N245" i="5" a="1"/>
  <c r="N245" i="5" s="1"/>
  <c r="M245" i="5" a="1"/>
  <c r="M245" i="5" s="1"/>
  <c r="L245" i="5" a="1"/>
  <c r="L245" i="5" s="1"/>
  <c r="K245" i="5" a="1"/>
  <c r="K245" i="5" s="1"/>
  <c r="J245" i="5" a="1"/>
  <c r="J245" i="5" s="1"/>
  <c r="I245" i="5" a="1"/>
  <c r="I245" i="5" s="1"/>
  <c r="H245" i="5" a="1"/>
  <c r="H245" i="5" s="1"/>
  <c r="G245" i="5" a="1"/>
  <c r="G245" i="5" s="1"/>
  <c r="F245" i="5" a="1"/>
  <c r="F245" i="5" s="1"/>
  <c r="E245" i="5" a="1"/>
  <c r="E245" i="5" s="1"/>
  <c r="D245" i="5" a="1"/>
  <c r="D245" i="5" s="1"/>
  <c r="S244" i="5" a="1"/>
  <c r="S244" i="5" s="1"/>
  <c r="R244" i="5" a="1"/>
  <c r="R244" i="5" s="1"/>
  <c r="Q244" i="5" a="1"/>
  <c r="Q244" i="5" s="1"/>
  <c r="P244" i="5" a="1"/>
  <c r="P244" i="5" s="1"/>
  <c r="O244" i="5" a="1"/>
  <c r="O244" i="5" s="1"/>
  <c r="N244" i="5" a="1"/>
  <c r="N244" i="5" s="1"/>
  <c r="M244" i="5" a="1"/>
  <c r="M244" i="5" s="1"/>
  <c r="L244" i="5" a="1"/>
  <c r="L244" i="5" s="1"/>
  <c r="K244" i="5" a="1"/>
  <c r="K244" i="5" s="1"/>
  <c r="J244" i="5" a="1"/>
  <c r="J244" i="5" s="1"/>
  <c r="I244" i="5" a="1"/>
  <c r="I244" i="5" s="1"/>
  <c r="H244" i="5" a="1"/>
  <c r="H244" i="5" s="1"/>
  <c r="G244" i="5" a="1"/>
  <c r="G244" i="5" s="1"/>
  <c r="F244" i="5" a="1"/>
  <c r="F244" i="5" s="1"/>
  <c r="E244" i="5" a="1"/>
  <c r="E244" i="5" s="1"/>
  <c r="D244" i="5" a="1"/>
  <c r="D244" i="5" s="1"/>
  <c r="S243" i="5" a="1"/>
  <c r="S243" i="5" s="1"/>
  <c r="R243" i="5" a="1"/>
  <c r="R243" i="5" s="1"/>
  <c r="Q243" i="5" a="1"/>
  <c r="Q243" i="5" s="1"/>
  <c r="P243" i="5" a="1"/>
  <c r="P243" i="5" s="1"/>
  <c r="O243" i="5" a="1"/>
  <c r="O243" i="5" s="1"/>
  <c r="N243" i="5" a="1"/>
  <c r="N243" i="5" s="1"/>
  <c r="M243" i="5" a="1"/>
  <c r="M243" i="5" s="1"/>
  <c r="L243" i="5" a="1"/>
  <c r="L243" i="5" s="1"/>
  <c r="K243" i="5" a="1"/>
  <c r="K243" i="5" s="1"/>
  <c r="J243" i="5" a="1"/>
  <c r="J243" i="5" s="1"/>
  <c r="I243" i="5" a="1"/>
  <c r="I243" i="5" s="1"/>
  <c r="H243" i="5" a="1"/>
  <c r="H243" i="5" s="1"/>
  <c r="G243" i="5" a="1"/>
  <c r="G243" i="5" s="1"/>
  <c r="F243" i="5" a="1"/>
  <c r="F243" i="5" s="1"/>
  <c r="E243" i="5" a="1"/>
  <c r="E243" i="5" s="1"/>
  <c r="D243" i="5" a="1"/>
  <c r="D243" i="5" s="1"/>
  <c r="S242" i="5" a="1"/>
  <c r="S242" i="5" s="1"/>
  <c r="R242" i="5" a="1"/>
  <c r="R242" i="5" s="1"/>
  <c r="Q242" i="5" a="1"/>
  <c r="Q242" i="5" s="1"/>
  <c r="P242" i="5" a="1"/>
  <c r="P242" i="5" s="1"/>
  <c r="O242" i="5" a="1"/>
  <c r="O242" i="5" s="1"/>
  <c r="N242" i="5" a="1"/>
  <c r="N242" i="5" s="1"/>
  <c r="M242" i="5" a="1"/>
  <c r="M242" i="5" s="1"/>
  <c r="L242" i="5" a="1"/>
  <c r="L242" i="5" s="1"/>
  <c r="K242" i="5" a="1"/>
  <c r="K242" i="5" s="1"/>
  <c r="J242" i="5" a="1"/>
  <c r="J242" i="5" s="1"/>
  <c r="I242" i="5" a="1"/>
  <c r="I242" i="5" s="1"/>
  <c r="H242" i="5" a="1"/>
  <c r="H242" i="5" s="1"/>
  <c r="G242" i="5" a="1"/>
  <c r="G242" i="5" s="1"/>
  <c r="F242" i="5" a="1"/>
  <c r="F242" i="5" s="1"/>
  <c r="E242" i="5" a="1"/>
  <c r="E242" i="5" s="1"/>
  <c r="D242" i="5" a="1"/>
  <c r="D242" i="5" s="1"/>
  <c r="S241" i="5" a="1"/>
  <c r="S241" i="5" s="1"/>
  <c r="R241" i="5" a="1"/>
  <c r="R241" i="5" s="1"/>
  <c r="Q241" i="5" a="1"/>
  <c r="Q241" i="5" s="1"/>
  <c r="P241" i="5" a="1"/>
  <c r="P241" i="5" s="1"/>
  <c r="O241" i="5" a="1"/>
  <c r="O241" i="5" s="1"/>
  <c r="N241" i="5" a="1"/>
  <c r="N241" i="5" s="1"/>
  <c r="M241" i="5" a="1"/>
  <c r="M241" i="5" s="1"/>
  <c r="L241" i="5" a="1"/>
  <c r="L241" i="5" s="1"/>
  <c r="K241" i="5" a="1"/>
  <c r="K241" i="5" s="1"/>
  <c r="J241" i="5" a="1"/>
  <c r="J241" i="5" s="1"/>
  <c r="I241" i="5" a="1"/>
  <c r="I241" i="5" s="1"/>
  <c r="H241" i="5" a="1"/>
  <c r="H241" i="5" s="1"/>
  <c r="G241" i="5" a="1"/>
  <c r="G241" i="5" s="1"/>
  <c r="F241" i="5" a="1"/>
  <c r="F241" i="5" s="1"/>
  <c r="E241" i="5" a="1"/>
  <c r="E241" i="5" s="1"/>
  <c r="D241" i="5" a="1"/>
  <c r="D241" i="5" s="1"/>
  <c r="S240" i="5" a="1"/>
  <c r="S240" i="5" s="1"/>
  <c r="R240" i="5" a="1"/>
  <c r="R240" i="5" s="1"/>
  <c r="Q240" i="5" a="1"/>
  <c r="Q240" i="5" s="1"/>
  <c r="P240" i="5" a="1"/>
  <c r="P240" i="5" s="1"/>
  <c r="O240" i="5" a="1"/>
  <c r="O240" i="5" s="1"/>
  <c r="N240" i="5" a="1"/>
  <c r="N240" i="5" s="1"/>
  <c r="M240" i="5" a="1"/>
  <c r="M240" i="5" s="1"/>
  <c r="L240" i="5" a="1"/>
  <c r="L240" i="5" s="1"/>
  <c r="K240" i="5" a="1"/>
  <c r="K240" i="5" s="1"/>
  <c r="J240" i="5" a="1"/>
  <c r="J240" i="5" s="1"/>
  <c r="I240" i="5" a="1"/>
  <c r="I240" i="5" s="1"/>
  <c r="H240" i="5" a="1"/>
  <c r="H240" i="5" s="1"/>
  <c r="G240" i="5" a="1"/>
  <c r="G240" i="5" s="1"/>
  <c r="F240" i="5" a="1"/>
  <c r="F240" i="5" s="1"/>
  <c r="E240" i="5" a="1"/>
  <c r="E240" i="5" s="1"/>
  <c r="D240" i="5" a="1"/>
  <c r="D240" i="5" s="1"/>
  <c r="S239" i="5" a="1"/>
  <c r="S239" i="5" s="1"/>
  <c r="R239" i="5" a="1"/>
  <c r="R239" i="5" s="1"/>
  <c r="Q239" i="5" a="1"/>
  <c r="Q239" i="5" s="1"/>
  <c r="P239" i="5" a="1"/>
  <c r="P239" i="5" s="1"/>
  <c r="O239" i="5" a="1"/>
  <c r="O239" i="5" s="1"/>
  <c r="N239" i="5" a="1"/>
  <c r="N239" i="5" s="1"/>
  <c r="M239" i="5" a="1"/>
  <c r="M239" i="5" s="1"/>
  <c r="L239" i="5" a="1"/>
  <c r="L239" i="5" s="1"/>
  <c r="K239" i="5" a="1"/>
  <c r="K239" i="5" s="1"/>
  <c r="J239" i="5" a="1"/>
  <c r="J239" i="5" s="1"/>
  <c r="I239" i="5" a="1"/>
  <c r="I239" i="5" s="1"/>
  <c r="H239" i="5" a="1"/>
  <c r="H239" i="5" s="1"/>
  <c r="G239" i="5" a="1"/>
  <c r="G239" i="5" s="1"/>
  <c r="F239" i="5" a="1"/>
  <c r="F239" i="5" s="1"/>
  <c r="E239" i="5" a="1"/>
  <c r="E239" i="5" s="1"/>
  <c r="D239" i="5" a="1"/>
  <c r="D239" i="5" s="1"/>
  <c r="S238" i="5" a="1"/>
  <c r="S238" i="5" s="1"/>
  <c r="R238" i="5" a="1"/>
  <c r="R238" i="5" s="1"/>
  <c r="Q238" i="5" a="1"/>
  <c r="Q238" i="5" s="1"/>
  <c r="P238" i="5" a="1"/>
  <c r="P238" i="5" s="1"/>
  <c r="O238" i="5" a="1"/>
  <c r="O238" i="5" s="1"/>
  <c r="N238" i="5" a="1"/>
  <c r="N238" i="5" s="1"/>
  <c r="M238" i="5" a="1"/>
  <c r="M238" i="5" s="1"/>
  <c r="L238" i="5" a="1"/>
  <c r="L238" i="5" s="1"/>
  <c r="K238" i="5" a="1"/>
  <c r="K238" i="5" s="1"/>
  <c r="J238" i="5" a="1"/>
  <c r="J238" i="5" s="1"/>
  <c r="I238" i="5" a="1"/>
  <c r="I238" i="5" s="1"/>
  <c r="H238" i="5" a="1"/>
  <c r="H238" i="5" s="1"/>
  <c r="G238" i="5" a="1"/>
  <c r="G238" i="5" s="1"/>
  <c r="F238" i="5" a="1"/>
  <c r="F238" i="5" s="1"/>
  <c r="E238" i="5" a="1"/>
  <c r="E238" i="5" s="1"/>
  <c r="D238" i="5" a="1"/>
  <c r="D238" i="5" s="1"/>
  <c r="S237" i="5" a="1"/>
  <c r="S237" i="5" s="1"/>
  <c r="R237" i="5" a="1"/>
  <c r="R237" i="5" s="1"/>
  <c r="Q237" i="5" a="1"/>
  <c r="Q237" i="5" s="1"/>
  <c r="P237" i="5" a="1"/>
  <c r="P237" i="5" s="1"/>
  <c r="O237" i="5" a="1"/>
  <c r="O237" i="5" s="1"/>
  <c r="N237" i="5" a="1"/>
  <c r="N237" i="5" s="1"/>
  <c r="M237" i="5" a="1"/>
  <c r="M237" i="5" s="1"/>
  <c r="L237" i="5" a="1"/>
  <c r="L237" i="5" s="1"/>
  <c r="K237" i="5" a="1"/>
  <c r="K237" i="5" s="1"/>
  <c r="J237" i="5" a="1"/>
  <c r="J237" i="5" s="1"/>
  <c r="I237" i="5" a="1"/>
  <c r="I237" i="5" s="1"/>
  <c r="H237" i="5" a="1"/>
  <c r="H237" i="5" s="1"/>
  <c r="G237" i="5" a="1"/>
  <c r="G237" i="5" s="1"/>
  <c r="F237" i="5" a="1"/>
  <c r="F237" i="5" s="1"/>
  <c r="E237" i="5" a="1"/>
  <c r="E237" i="5" s="1"/>
  <c r="D237" i="5" a="1"/>
  <c r="D237" i="5" s="1"/>
  <c r="S236" i="5" a="1"/>
  <c r="S236" i="5" s="1"/>
  <c r="R236" i="5" a="1"/>
  <c r="R236" i="5" s="1"/>
  <c r="Q236" i="5" a="1"/>
  <c r="Q236" i="5" s="1"/>
  <c r="P236" i="5" a="1"/>
  <c r="P236" i="5" s="1"/>
  <c r="O236" i="5" a="1"/>
  <c r="O236" i="5" s="1"/>
  <c r="N236" i="5" a="1"/>
  <c r="N236" i="5" s="1"/>
  <c r="M236" i="5" a="1"/>
  <c r="M236" i="5" s="1"/>
  <c r="L236" i="5" a="1"/>
  <c r="L236" i="5" s="1"/>
  <c r="K236" i="5" a="1"/>
  <c r="K236" i="5" s="1"/>
  <c r="J236" i="5" a="1"/>
  <c r="J236" i="5" s="1"/>
  <c r="I236" i="5" a="1"/>
  <c r="I236" i="5" s="1"/>
  <c r="H236" i="5" a="1"/>
  <c r="H236" i="5" s="1"/>
  <c r="G236" i="5" a="1"/>
  <c r="G236" i="5" s="1"/>
  <c r="F236" i="5" a="1"/>
  <c r="F236" i="5" s="1"/>
  <c r="E236" i="5" a="1"/>
  <c r="E236" i="5" s="1"/>
  <c r="D236" i="5" a="1"/>
  <c r="D236" i="5" s="1"/>
  <c r="S235" i="5" a="1"/>
  <c r="S235" i="5" s="1"/>
  <c r="R235" i="5" a="1"/>
  <c r="R235" i="5" s="1"/>
  <c r="Q235" i="5" a="1"/>
  <c r="Q235" i="5" s="1"/>
  <c r="P235" i="5" a="1"/>
  <c r="P235" i="5" s="1"/>
  <c r="O235" i="5" a="1"/>
  <c r="O235" i="5" s="1"/>
  <c r="N235" i="5" a="1"/>
  <c r="N235" i="5" s="1"/>
  <c r="M235" i="5" a="1"/>
  <c r="M235" i="5" s="1"/>
  <c r="L235" i="5" a="1"/>
  <c r="L235" i="5" s="1"/>
  <c r="K235" i="5" a="1"/>
  <c r="K235" i="5" s="1"/>
  <c r="J235" i="5" a="1"/>
  <c r="J235" i="5" s="1"/>
  <c r="I235" i="5" a="1"/>
  <c r="I235" i="5" s="1"/>
  <c r="H235" i="5" a="1"/>
  <c r="H235" i="5" s="1"/>
  <c r="G235" i="5" a="1"/>
  <c r="G235" i="5" s="1"/>
  <c r="F235" i="5" a="1"/>
  <c r="F235" i="5" s="1"/>
  <c r="E235" i="5" a="1"/>
  <c r="E235" i="5" s="1"/>
  <c r="D235" i="5" a="1"/>
  <c r="D235" i="5" s="1"/>
  <c r="S234" i="5" a="1"/>
  <c r="S234" i="5" s="1"/>
  <c r="R234" i="5" a="1"/>
  <c r="R234" i="5" s="1"/>
  <c r="Q234" i="5" a="1"/>
  <c r="Q234" i="5" s="1"/>
  <c r="P234" i="5" a="1"/>
  <c r="P234" i="5" s="1"/>
  <c r="O234" i="5" a="1"/>
  <c r="O234" i="5" s="1"/>
  <c r="N234" i="5" a="1"/>
  <c r="N234" i="5" s="1"/>
  <c r="M234" i="5" a="1"/>
  <c r="M234" i="5" s="1"/>
  <c r="L234" i="5" a="1"/>
  <c r="L234" i="5" s="1"/>
  <c r="K234" i="5" a="1"/>
  <c r="K234" i="5" s="1"/>
  <c r="J234" i="5" a="1"/>
  <c r="J234" i="5" s="1"/>
  <c r="I234" i="5" a="1"/>
  <c r="I234" i="5" s="1"/>
  <c r="H234" i="5" a="1"/>
  <c r="H234" i="5" s="1"/>
  <c r="G234" i="5" a="1"/>
  <c r="G234" i="5" s="1"/>
  <c r="F234" i="5" a="1"/>
  <c r="F234" i="5" s="1"/>
  <c r="E234" i="5" a="1"/>
  <c r="E234" i="5" s="1"/>
  <c r="D234" i="5" a="1"/>
  <c r="D234" i="5" s="1"/>
  <c r="S233" i="5" a="1"/>
  <c r="S233" i="5" s="1"/>
  <c r="R233" i="5" a="1"/>
  <c r="R233" i="5" s="1"/>
  <c r="Q233" i="5" a="1"/>
  <c r="Q233" i="5" s="1"/>
  <c r="P233" i="5" a="1"/>
  <c r="P233" i="5" s="1"/>
  <c r="O233" i="5" a="1"/>
  <c r="O233" i="5" s="1"/>
  <c r="N233" i="5" a="1"/>
  <c r="N233" i="5" s="1"/>
  <c r="M233" i="5" a="1"/>
  <c r="M233" i="5" s="1"/>
  <c r="L233" i="5" a="1"/>
  <c r="L233" i="5" s="1"/>
  <c r="K233" i="5" a="1"/>
  <c r="K233" i="5" s="1"/>
  <c r="J233" i="5" a="1"/>
  <c r="J233" i="5" s="1"/>
  <c r="I233" i="5" a="1"/>
  <c r="I233" i="5" s="1"/>
  <c r="H233" i="5" a="1"/>
  <c r="H233" i="5" s="1"/>
  <c r="G233" i="5" a="1"/>
  <c r="G233" i="5" s="1"/>
  <c r="F233" i="5" a="1"/>
  <c r="F233" i="5" s="1"/>
  <c r="E233" i="5" a="1"/>
  <c r="E233" i="5" s="1"/>
  <c r="D233" i="5" a="1"/>
  <c r="D233" i="5" s="1"/>
  <c r="S232" i="5" a="1"/>
  <c r="S232" i="5" s="1"/>
  <c r="R232" i="5" a="1"/>
  <c r="R232" i="5" s="1"/>
  <c r="Q232" i="5" a="1"/>
  <c r="Q232" i="5" s="1"/>
  <c r="P232" i="5" a="1"/>
  <c r="P232" i="5" s="1"/>
  <c r="O232" i="5" a="1"/>
  <c r="O232" i="5" s="1"/>
  <c r="N232" i="5" a="1"/>
  <c r="N232" i="5" s="1"/>
  <c r="M232" i="5" a="1"/>
  <c r="M232" i="5" s="1"/>
  <c r="L232" i="5" a="1"/>
  <c r="L232" i="5" s="1"/>
  <c r="K232" i="5" a="1"/>
  <c r="K232" i="5" s="1"/>
  <c r="J232" i="5" a="1"/>
  <c r="J232" i="5" s="1"/>
  <c r="I232" i="5" a="1"/>
  <c r="I232" i="5" s="1"/>
  <c r="H232" i="5" a="1"/>
  <c r="H232" i="5" s="1"/>
  <c r="G232" i="5" a="1"/>
  <c r="G232" i="5" s="1"/>
  <c r="F232" i="5" a="1"/>
  <c r="F232" i="5" s="1"/>
  <c r="E232" i="5" a="1"/>
  <c r="E232" i="5" s="1"/>
  <c r="D232" i="5" a="1"/>
  <c r="D232" i="5" s="1"/>
  <c r="D229" i="5" a="1"/>
  <c r="D229" i="5" s="1"/>
  <c r="D228" i="5"/>
  <c r="D228" i="5" a="1"/>
  <c r="D227" i="5" a="1"/>
  <c r="D227" i="5" s="1"/>
  <c r="E224" i="5" a="1"/>
  <c r="E224" i="5" s="1"/>
  <c r="D224" i="5" a="1"/>
  <c r="D224" i="5" s="1"/>
  <c r="E223" i="5" a="1"/>
  <c r="E223" i="5" s="1"/>
  <c r="D223" i="5" a="1"/>
  <c r="D223" i="5" s="1"/>
  <c r="E222" i="5" a="1"/>
  <c r="E222" i="5" s="1"/>
  <c r="D222" i="5" a="1"/>
  <c r="D222" i="5" s="1"/>
  <c r="E221" i="5" a="1"/>
  <c r="E221" i="5" s="1"/>
  <c r="D221" i="5" a="1"/>
  <c r="D221" i="5" s="1"/>
  <c r="E220" i="5" a="1"/>
  <c r="E220" i="5" s="1"/>
  <c r="D220" i="5" a="1"/>
  <c r="D220" i="5" s="1"/>
  <c r="E219" i="5" a="1"/>
  <c r="E219" i="5" s="1"/>
  <c r="D219" i="5" a="1"/>
  <c r="D219" i="5" s="1"/>
  <c r="E218" i="5" a="1"/>
  <c r="E218" i="5" s="1"/>
  <c r="D218" i="5" a="1"/>
  <c r="D218" i="5" s="1"/>
  <c r="E217" i="5" a="1"/>
  <c r="E217" i="5" s="1"/>
  <c r="D217" i="5" a="1"/>
  <c r="D217" i="5" s="1"/>
  <c r="E216" i="5" a="1"/>
  <c r="E216" i="5" s="1"/>
  <c r="D216" i="5" a="1"/>
  <c r="D216" i="5" s="1"/>
  <c r="E215" i="5" a="1"/>
  <c r="E215" i="5" s="1"/>
  <c r="D215" i="5" a="1"/>
  <c r="D215" i="5" s="1"/>
  <c r="E214" i="5" a="1"/>
  <c r="E214" i="5" s="1"/>
  <c r="D214" i="5" a="1"/>
  <c r="D214" i="5" s="1"/>
  <c r="E213" i="5" a="1"/>
  <c r="E213" i="5" s="1"/>
  <c r="D213" i="5" a="1"/>
  <c r="D213" i="5" s="1"/>
  <c r="D211" i="5" a="1"/>
  <c r="D211" i="5" s="1"/>
  <c r="E208" i="5" a="1"/>
  <c r="E208" i="5" s="1"/>
  <c r="D208" i="5" a="1"/>
  <c r="D208" i="5" s="1"/>
  <c r="E207" i="5" a="1"/>
  <c r="E207" i="5" s="1"/>
  <c r="D207" i="5" a="1"/>
  <c r="D207" i="5" s="1"/>
  <c r="D205" i="5" a="1"/>
  <c r="D205" i="5" s="1"/>
  <c r="D204" i="5" a="1"/>
  <c r="D204" i="5" s="1"/>
  <c r="D203" i="5" a="1"/>
  <c r="D203" i="5" s="1"/>
  <c r="D202" i="5" a="1"/>
  <c r="D202" i="5" s="1"/>
  <c r="H199" i="5" a="1"/>
  <c r="H199" i="5" s="1"/>
  <c r="G199" i="5" a="1"/>
  <c r="G199" i="5" s="1"/>
  <c r="F199" i="5" a="1"/>
  <c r="F199" i="5" s="1"/>
  <c r="E199" i="5" a="1"/>
  <c r="E199" i="5" s="1"/>
  <c r="D199" i="5" a="1"/>
  <c r="D199" i="5" s="1"/>
  <c r="H198" i="5" a="1"/>
  <c r="H198" i="5" s="1"/>
  <c r="G198" i="5" a="1"/>
  <c r="G198" i="5" s="1"/>
  <c r="F198" i="5" a="1"/>
  <c r="F198" i="5" s="1"/>
  <c r="E198" i="5" a="1"/>
  <c r="E198" i="5" s="1"/>
  <c r="D198" i="5" a="1"/>
  <c r="D198" i="5" s="1"/>
  <c r="H197" i="5" a="1"/>
  <c r="H197" i="5" s="1"/>
  <c r="G197" i="5" a="1"/>
  <c r="G197" i="5" s="1"/>
  <c r="F197" i="5" a="1"/>
  <c r="F197" i="5" s="1"/>
  <c r="E197" i="5" a="1"/>
  <c r="E197" i="5" s="1"/>
  <c r="D197" i="5" a="1"/>
  <c r="D197" i="5" s="1"/>
  <c r="H196" i="5" a="1"/>
  <c r="H196" i="5" s="1"/>
  <c r="G196" i="5" a="1"/>
  <c r="G196" i="5" s="1"/>
  <c r="F196" i="5" a="1"/>
  <c r="F196" i="5" s="1"/>
  <c r="E196" i="5" a="1"/>
  <c r="E196" i="5" s="1"/>
  <c r="D196" i="5" a="1"/>
  <c r="D196" i="5" s="1"/>
  <c r="H195" i="5" a="1"/>
  <c r="H195" i="5" s="1"/>
  <c r="G195" i="5" a="1"/>
  <c r="G195" i="5" s="1"/>
  <c r="F195" i="5" a="1"/>
  <c r="F195" i="5" s="1"/>
  <c r="E195" i="5" a="1"/>
  <c r="E195" i="5" s="1"/>
  <c r="D195" i="5" a="1"/>
  <c r="D195" i="5" s="1"/>
  <c r="H194" i="5" a="1"/>
  <c r="H194" i="5" s="1"/>
  <c r="G194" i="5" a="1"/>
  <c r="G194" i="5" s="1"/>
  <c r="F194" i="5" a="1"/>
  <c r="F194" i="5" s="1"/>
  <c r="E194" i="5" a="1"/>
  <c r="E194" i="5" s="1"/>
  <c r="D194" i="5" a="1"/>
  <c r="D194" i="5" s="1"/>
  <c r="H193" i="5" a="1"/>
  <c r="H193" i="5" s="1"/>
  <c r="G193" i="5" a="1"/>
  <c r="G193" i="5" s="1"/>
  <c r="F193" i="5" a="1"/>
  <c r="F193" i="5" s="1"/>
  <c r="E193" i="5" a="1"/>
  <c r="E193" i="5" s="1"/>
  <c r="D193" i="5" a="1"/>
  <c r="D193" i="5" s="1"/>
  <c r="H192" i="5" a="1"/>
  <c r="H192" i="5" s="1"/>
  <c r="G192" i="5" a="1"/>
  <c r="G192" i="5" s="1"/>
  <c r="F192" i="5" a="1"/>
  <c r="F192" i="5" s="1"/>
  <c r="E192" i="5" a="1"/>
  <c r="E192" i="5" s="1"/>
  <c r="D192" i="5" a="1"/>
  <c r="D192" i="5" s="1"/>
  <c r="H191" i="5" a="1"/>
  <c r="H191" i="5" s="1"/>
  <c r="G191" i="5" a="1"/>
  <c r="G191" i="5" s="1"/>
  <c r="F191" i="5" a="1"/>
  <c r="F191" i="5" s="1"/>
  <c r="E191" i="5" a="1"/>
  <c r="E191" i="5" s="1"/>
  <c r="D191" i="5" a="1"/>
  <c r="D191" i="5" s="1"/>
  <c r="H190" i="5" a="1"/>
  <c r="H190" i="5" s="1"/>
  <c r="G190" i="5" a="1"/>
  <c r="G190" i="5" s="1"/>
  <c r="F190" i="5" a="1"/>
  <c r="F190" i="5" s="1"/>
  <c r="E190" i="5" a="1"/>
  <c r="E190" i="5" s="1"/>
  <c r="D190" i="5" a="1"/>
  <c r="D190" i="5" s="1"/>
  <c r="H189" i="5" a="1"/>
  <c r="H189" i="5" s="1"/>
  <c r="G189" i="5" a="1"/>
  <c r="G189" i="5" s="1"/>
  <c r="F189" i="5" a="1"/>
  <c r="F189" i="5" s="1"/>
  <c r="E189" i="5" a="1"/>
  <c r="E189" i="5" s="1"/>
  <c r="D189" i="5" a="1"/>
  <c r="D189" i="5" s="1"/>
  <c r="H188" i="5" a="1"/>
  <c r="H188" i="5" s="1"/>
  <c r="G188" i="5" a="1"/>
  <c r="G188" i="5" s="1"/>
  <c r="F188" i="5" a="1"/>
  <c r="F188" i="5" s="1"/>
  <c r="E188" i="5" a="1"/>
  <c r="E188" i="5" s="1"/>
  <c r="D188" i="5" a="1"/>
  <c r="D188" i="5" s="1"/>
  <c r="H187" i="5" a="1"/>
  <c r="H187" i="5" s="1"/>
  <c r="G187" i="5" a="1"/>
  <c r="G187" i="5" s="1"/>
  <c r="F187" i="5" a="1"/>
  <c r="F187" i="5" s="1"/>
  <c r="E187" i="5" a="1"/>
  <c r="E187" i="5" s="1"/>
  <c r="D187" i="5" a="1"/>
  <c r="D187" i="5" s="1"/>
  <c r="D181" i="5" a="1"/>
  <c r="D181" i="5" s="1"/>
  <c r="D180" i="5" a="1"/>
  <c r="D180" i="5" s="1"/>
  <c r="D179" i="5" a="1"/>
  <c r="D179" i="5" s="1"/>
  <c r="D178" i="5" a="1"/>
  <c r="D178" i="5" s="1"/>
  <c r="E175" i="5" a="1"/>
  <c r="E175" i="5" s="1"/>
  <c r="D175" i="5" a="1"/>
  <c r="D175" i="5" s="1"/>
  <c r="D174" i="5" a="1"/>
  <c r="D174" i="5" s="1"/>
  <c r="D173" i="5" a="1"/>
  <c r="D173" i="5" s="1"/>
  <c r="D170" i="5" a="1"/>
  <c r="D170" i="5" s="1"/>
  <c r="D169" i="5" a="1"/>
  <c r="D169" i="5" s="1"/>
  <c r="D168" i="5" a="1"/>
  <c r="D168" i="5" s="1"/>
  <c r="D167" i="5" a="1"/>
  <c r="D167" i="5" s="1"/>
  <c r="D164" i="5" a="1"/>
  <c r="D164" i="5" s="1"/>
  <c r="D163" i="5" a="1"/>
  <c r="D163" i="5" s="1"/>
  <c r="D162" i="5" a="1"/>
  <c r="D162" i="5" s="1"/>
  <c r="D161" i="5" a="1"/>
  <c r="D161" i="5" s="1"/>
  <c r="E158" i="5" a="1"/>
  <c r="E158" i="5" s="1"/>
  <c r="D158" i="5" a="1"/>
  <c r="D158" i="5" s="1"/>
  <c r="E157" i="5" a="1"/>
  <c r="E157" i="5" s="1"/>
  <c r="D157" i="5" a="1"/>
  <c r="D157" i="5" s="1"/>
  <c r="E156" i="5" a="1"/>
  <c r="E156" i="5" s="1"/>
  <c r="D156" i="5" a="1"/>
  <c r="D156" i="5" s="1"/>
  <c r="E155" i="5" a="1"/>
  <c r="E155" i="5" s="1"/>
  <c r="D155" i="5" a="1"/>
  <c r="D155" i="5" s="1"/>
  <c r="E154" i="5" a="1"/>
  <c r="E154" i="5" s="1"/>
  <c r="D154" i="5" a="1"/>
  <c r="D154" i="5" s="1"/>
  <c r="D151" i="5" a="1"/>
  <c r="D151" i="5" s="1"/>
  <c r="D150" i="5" a="1"/>
  <c r="D150" i="5" s="1"/>
  <c r="E147" i="5" a="1"/>
  <c r="E147" i="5" s="1"/>
  <c r="D147" i="5" a="1"/>
  <c r="D147" i="5" s="1"/>
  <c r="E146" i="5" a="1"/>
  <c r="E146" i="5" s="1"/>
  <c r="D146" i="5" a="1"/>
  <c r="D146" i="5" s="1"/>
  <c r="E145" i="5" a="1"/>
  <c r="E145" i="5" s="1"/>
  <c r="D145" i="5" a="1"/>
  <c r="D145" i="5" s="1"/>
  <c r="E144" i="5" a="1"/>
  <c r="E144" i="5" s="1"/>
  <c r="D144" i="5" a="1"/>
  <c r="D144" i="5" s="1"/>
  <c r="E143" i="5" a="1"/>
  <c r="E143" i="5" s="1"/>
  <c r="D143" i="5" a="1"/>
  <c r="D143" i="5" s="1"/>
  <c r="D141" i="5" a="1"/>
  <c r="D141" i="5" s="1"/>
  <c r="D140" i="5" a="1"/>
  <c r="D140" i="5" s="1"/>
  <c r="D139" i="5" a="1"/>
  <c r="D139" i="5" s="1"/>
  <c r="E136" i="5" a="1"/>
  <c r="E136" i="5" s="1"/>
  <c r="D136" i="5" a="1"/>
  <c r="D136" i="5" s="1"/>
  <c r="E135" i="5" a="1"/>
  <c r="E135" i="5" s="1"/>
  <c r="D135" i="5" a="1"/>
  <c r="D135" i="5" s="1"/>
  <c r="D133" i="5" a="1"/>
  <c r="D133" i="5" s="1"/>
  <c r="D132" i="5" a="1"/>
  <c r="D132" i="5" s="1"/>
  <c r="E129" i="5" a="1"/>
  <c r="E129" i="5" s="1"/>
  <c r="D129" i="5" a="1"/>
  <c r="D129" i="5" s="1"/>
  <c r="E128" i="5" a="1"/>
  <c r="E128" i="5" s="1"/>
  <c r="D128" i="5" a="1"/>
  <c r="D128" i="5" s="1"/>
  <c r="D125" i="5"/>
  <c r="D125" i="5" a="1"/>
  <c r="D124" i="5" a="1"/>
  <c r="D124" i="5" s="1"/>
  <c r="G121" i="5" a="1"/>
  <c r="G121" i="5" s="1"/>
  <c r="F121" i="5" a="1"/>
  <c r="F121" i="5" s="1"/>
  <c r="E121" i="5" a="1"/>
  <c r="E121" i="5" s="1"/>
  <c r="D121" i="5" a="1"/>
  <c r="D121" i="5" s="1"/>
  <c r="G120" i="5" a="1"/>
  <c r="G120" i="5" s="1"/>
  <c r="F120" i="5" a="1"/>
  <c r="F120" i="5" s="1"/>
  <c r="E120" i="5" a="1"/>
  <c r="E120" i="5" s="1"/>
  <c r="D120" i="5" a="1"/>
  <c r="D120" i="5" s="1"/>
  <c r="D117" i="5" a="1"/>
  <c r="D117" i="5" s="1"/>
  <c r="D116" i="5" a="1"/>
  <c r="D116" i="5" s="1"/>
  <c r="D115" i="5" a="1"/>
  <c r="D115" i="5" s="1"/>
  <c r="G112" i="5" a="1"/>
  <c r="G112" i="5" s="1"/>
  <c r="F112" i="5" a="1"/>
  <c r="F112" i="5" s="1"/>
  <c r="E112" i="5" a="1"/>
  <c r="E112" i="5" s="1"/>
  <c r="D112" i="5" a="1"/>
  <c r="D112" i="5" s="1"/>
  <c r="G111" i="5" a="1"/>
  <c r="G111" i="5" s="1"/>
  <c r="F111" i="5" a="1"/>
  <c r="F111" i="5" s="1"/>
  <c r="E111" i="5" a="1"/>
  <c r="E111" i="5" s="1"/>
  <c r="D111" i="5" a="1"/>
  <c r="D111" i="5" s="1"/>
  <c r="G110" i="5" a="1"/>
  <c r="G110" i="5" s="1"/>
  <c r="F110" i="5" a="1"/>
  <c r="F110" i="5" s="1"/>
  <c r="E110" i="5" a="1"/>
  <c r="E110" i="5" s="1"/>
  <c r="D110" i="5" a="1"/>
  <c r="D110" i="5" s="1"/>
  <c r="D107" i="5" a="1"/>
  <c r="D107" i="5" s="1"/>
  <c r="D106" i="5" a="1"/>
  <c r="D106" i="5" s="1"/>
  <c r="D105" i="5" a="1"/>
  <c r="D105" i="5" s="1"/>
  <c r="D99" i="5" a="1"/>
  <c r="D99" i="5" s="1"/>
  <c r="S97" i="5" a="1"/>
  <c r="S97" i="5" s="1"/>
  <c r="R97" i="5" a="1"/>
  <c r="R97" i="5" s="1"/>
  <c r="Q97" i="5" a="1"/>
  <c r="Q97" i="5" s="1"/>
  <c r="P97" i="5" a="1"/>
  <c r="P97" i="5" s="1"/>
  <c r="O97" i="5" a="1"/>
  <c r="O97" i="5" s="1"/>
  <c r="N97" i="5" a="1"/>
  <c r="N97" i="5" s="1"/>
  <c r="M97" i="5" a="1"/>
  <c r="M97" i="5" s="1"/>
  <c r="L97" i="5" a="1"/>
  <c r="L97" i="5" s="1"/>
  <c r="K97" i="5" a="1"/>
  <c r="K97" i="5" s="1"/>
  <c r="J97" i="5" a="1"/>
  <c r="J97" i="5" s="1"/>
  <c r="I97" i="5" a="1"/>
  <c r="I97" i="5" s="1"/>
  <c r="H97" i="5" a="1"/>
  <c r="H97" i="5" s="1"/>
  <c r="G97" i="5" a="1"/>
  <c r="G97" i="5" s="1"/>
  <c r="F97" i="5" a="1"/>
  <c r="F97" i="5" s="1"/>
  <c r="E97" i="5" a="1"/>
  <c r="E97" i="5" s="1"/>
  <c r="D97" i="5" a="1"/>
  <c r="D97" i="5" s="1"/>
  <c r="S96" i="5" a="1"/>
  <c r="S96" i="5" s="1"/>
  <c r="R96" i="5" a="1"/>
  <c r="R96" i="5" s="1"/>
  <c r="Q96" i="5" a="1"/>
  <c r="Q96" i="5" s="1"/>
  <c r="P96" i="5" a="1"/>
  <c r="P96" i="5" s="1"/>
  <c r="O96" i="5" a="1"/>
  <c r="O96" i="5" s="1"/>
  <c r="N96" i="5" a="1"/>
  <c r="N96" i="5" s="1"/>
  <c r="M96" i="5" a="1"/>
  <c r="M96" i="5" s="1"/>
  <c r="L96" i="5" a="1"/>
  <c r="L96" i="5" s="1"/>
  <c r="K96" i="5" a="1"/>
  <c r="K96" i="5" s="1"/>
  <c r="J96" i="5" a="1"/>
  <c r="J96" i="5" s="1"/>
  <c r="I96" i="5" a="1"/>
  <c r="I96" i="5" s="1"/>
  <c r="H96" i="5" a="1"/>
  <c r="H96" i="5" s="1"/>
  <c r="G96" i="5" a="1"/>
  <c r="G96" i="5" s="1"/>
  <c r="F96" i="5" a="1"/>
  <c r="F96" i="5" s="1"/>
  <c r="E96" i="5" a="1"/>
  <c r="E96" i="5" s="1"/>
  <c r="D96" i="5" a="1"/>
  <c r="D96" i="5" s="1"/>
  <c r="S95" i="5" a="1"/>
  <c r="S95" i="5" s="1"/>
  <c r="R95" i="5" a="1"/>
  <c r="R95" i="5" s="1"/>
  <c r="Q95" i="5" a="1"/>
  <c r="Q95" i="5" s="1"/>
  <c r="P95" i="5" a="1"/>
  <c r="P95" i="5" s="1"/>
  <c r="O95" i="5" a="1"/>
  <c r="O95" i="5" s="1"/>
  <c r="N95" i="5" a="1"/>
  <c r="N95" i="5" s="1"/>
  <c r="M95" i="5" a="1"/>
  <c r="M95" i="5" s="1"/>
  <c r="L95" i="5" a="1"/>
  <c r="L95" i="5" s="1"/>
  <c r="K95" i="5" a="1"/>
  <c r="K95" i="5" s="1"/>
  <c r="J95" i="5" a="1"/>
  <c r="J95" i="5" s="1"/>
  <c r="I95" i="5" a="1"/>
  <c r="I95" i="5" s="1"/>
  <c r="H95" i="5" a="1"/>
  <c r="H95" i="5" s="1"/>
  <c r="G95" i="5" a="1"/>
  <c r="G95" i="5" s="1"/>
  <c r="F95" i="5" a="1"/>
  <c r="F95" i="5" s="1"/>
  <c r="E95" i="5" a="1"/>
  <c r="E95" i="5" s="1"/>
  <c r="D95" i="5" a="1"/>
  <c r="D95" i="5" s="1"/>
  <c r="S94" i="5" a="1"/>
  <c r="S94" i="5" s="1"/>
  <c r="R94" i="5" a="1"/>
  <c r="R94" i="5" s="1"/>
  <c r="Q94" i="5" a="1"/>
  <c r="Q94" i="5" s="1"/>
  <c r="P94" i="5" a="1"/>
  <c r="P94" i="5" s="1"/>
  <c r="O94" i="5" a="1"/>
  <c r="O94" i="5" s="1"/>
  <c r="N94" i="5" a="1"/>
  <c r="N94" i="5" s="1"/>
  <c r="M94" i="5" a="1"/>
  <c r="M94" i="5" s="1"/>
  <c r="L94" i="5" a="1"/>
  <c r="L94" i="5" s="1"/>
  <c r="K94" i="5" a="1"/>
  <c r="K94" i="5" s="1"/>
  <c r="J94" i="5" a="1"/>
  <c r="J94" i="5" s="1"/>
  <c r="I94" i="5" a="1"/>
  <c r="I94" i="5" s="1"/>
  <c r="H94" i="5" a="1"/>
  <c r="H94" i="5" s="1"/>
  <c r="G94" i="5" a="1"/>
  <c r="G94" i="5" s="1"/>
  <c r="F94" i="5" a="1"/>
  <c r="F94" i="5" s="1"/>
  <c r="E94" i="5" a="1"/>
  <c r="E94" i="5" s="1"/>
  <c r="D94" i="5" a="1"/>
  <c r="D94" i="5" s="1"/>
  <c r="S93" i="5" a="1"/>
  <c r="S93" i="5" s="1"/>
  <c r="R93" i="5" a="1"/>
  <c r="R93" i="5" s="1"/>
  <c r="Q93" i="5" a="1"/>
  <c r="Q93" i="5" s="1"/>
  <c r="P93" i="5" a="1"/>
  <c r="P93" i="5" s="1"/>
  <c r="O93" i="5" a="1"/>
  <c r="O93" i="5" s="1"/>
  <c r="N93" i="5" a="1"/>
  <c r="N93" i="5" s="1"/>
  <c r="M93" i="5" a="1"/>
  <c r="M93" i="5" s="1"/>
  <c r="L93" i="5" a="1"/>
  <c r="L93" i="5" s="1"/>
  <c r="K93" i="5" a="1"/>
  <c r="K93" i="5" s="1"/>
  <c r="J93" i="5" a="1"/>
  <c r="J93" i="5" s="1"/>
  <c r="I93" i="5" a="1"/>
  <c r="I93" i="5" s="1"/>
  <c r="H93" i="5" a="1"/>
  <c r="H93" i="5" s="1"/>
  <c r="G93" i="5" a="1"/>
  <c r="G93" i="5" s="1"/>
  <c r="F93" i="5" a="1"/>
  <c r="F93" i="5" s="1"/>
  <c r="E93" i="5" a="1"/>
  <c r="E93" i="5" s="1"/>
  <c r="D93" i="5" a="1"/>
  <c r="D93" i="5" s="1"/>
  <c r="S92" i="5" a="1"/>
  <c r="S92" i="5" s="1"/>
  <c r="R92" i="5" a="1"/>
  <c r="R92" i="5" s="1"/>
  <c r="Q92" i="5" a="1"/>
  <c r="Q92" i="5" s="1"/>
  <c r="P92" i="5" a="1"/>
  <c r="P92" i="5" s="1"/>
  <c r="O92" i="5" a="1"/>
  <c r="O92" i="5" s="1"/>
  <c r="N92" i="5" a="1"/>
  <c r="N92" i="5" s="1"/>
  <c r="M92" i="5" a="1"/>
  <c r="M92" i="5" s="1"/>
  <c r="L92" i="5" a="1"/>
  <c r="L92" i="5" s="1"/>
  <c r="K92" i="5" a="1"/>
  <c r="K92" i="5" s="1"/>
  <c r="J92" i="5" a="1"/>
  <c r="J92" i="5" s="1"/>
  <c r="I92" i="5" a="1"/>
  <c r="I92" i="5" s="1"/>
  <c r="H92" i="5" a="1"/>
  <c r="H92" i="5" s="1"/>
  <c r="G92" i="5" a="1"/>
  <c r="G92" i="5" s="1"/>
  <c r="F92" i="5" a="1"/>
  <c r="F92" i="5" s="1"/>
  <c r="E92" i="5" a="1"/>
  <c r="E92" i="5" s="1"/>
  <c r="D92" i="5" a="1"/>
  <c r="D92" i="5" s="1"/>
  <c r="S91" i="5" a="1"/>
  <c r="S91" i="5" s="1"/>
  <c r="R91" i="5" a="1"/>
  <c r="R91" i="5" s="1"/>
  <c r="Q91" i="5" a="1"/>
  <c r="Q91" i="5" s="1"/>
  <c r="P91" i="5" a="1"/>
  <c r="P91" i="5" s="1"/>
  <c r="O91" i="5" a="1"/>
  <c r="O91" i="5" s="1"/>
  <c r="N91" i="5" a="1"/>
  <c r="N91" i="5" s="1"/>
  <c r="M91" i="5" a="1"/>
  <c r="M91" i="5" s="1"/>
  <c r="L91" i="5" a="1"/>
  <c r="L91" i="5" s="1"/>
  <c r="K91" i="5" a="1"/>
  <c r="K91" i="5" s="1"/>
  <c r="J91" i="5" a="1"/>
  <c r="J91" i="5" s="1"/>
  <c r="I91" i="5" a="1"/>
  <c r="I91" i="5" s="1"/>
  <c r="H91" i="5" a="1"/>
  <c r="H91" i="5" s="1"/>
  <c r="G91" i="5" a="1"/>
  <c r="G91" i="5" s="1"/>
  <c r="F91" i="5" a="1"/>
  <c r="F91" i="5" s="1"/>
  <c r="E91" i="5" a="1"/>
  <c r="E91" i="5" s="1"/>
  <c r="D91" i="5" a="1"/>
  <c r="D91" i="5" s="1"/>
  <c r="S90" i="5" a="1"/>
  <c r="S90" i="5" s="1"/>
  <c r="R90" i="5" a="1"/>
  <c r="R90" i="5" s="1"/>
  <c r="Q90" i="5" a="1"/>
  <c r="Q90" i="5" s="1"/>
  <c r="P90" i="5" a="1"/>
  <c r="P90" i="5" s="1"/>
  <c r="O90" i="5" a="1"/>
  <c r="O90" i="5" s="1"/>
  <c r="N90" i="5" a="1"/>
  <c r="N90" i="5" s="1"/>
  <c r="M90" i="5" a="1"/>
  <c r="M90" i="5" s="1"/>
  <c r="L90" i="5" a="1"/>
  <c r="L90" i="5" s="1"/>
  <c r="K90" i="5" a="1"/>
  <c r="K90" i="5" s="1"/>
  <c r="J90" i="5" a="1"/>
  <c r="J90" i="5" s="1"/>
  <c r="I90" i="5" a="1"/>
  <c r="I90" i="5" s="1"/>
  <c r="H90" i="5" a="1"/>
  <c r="H90" i="5" s="1"/>
  <c r="G90" i="5" a="1"/>
  <c r="G90" i="5" s="1"/>
  <c r="F90" i="5" a="1"/>
  <c r="F90" i="5" s="1"/>
  <c r="E90" i="5" a="1"/>
  <c r="E90" i="5" s="1"/>
  <c r="D90" i="5" a="1"/>
  <c r="D90" i="5" s="1"/>
  <c r="D83" i="5" a="1"/>
  <c r="D83" i="5" s="1"/>
  <c r="D82" i="5"/>
  <c r="D82" i="5" a="1"/>
  <c r="D81" i="5" a="1"/>
  <c r="D81" i="5" s="1"/>
  <c r="E77" i="5" a="1"/>
  <c r="E77" i="5" s="1"/>
  <c r="D77" i="5" a="1"/>
  <c r="D77" i="5" s="1"/>
  <c r="E76" i="5" a="1"/>
  <c r="E76" i="5" s="1"/>
  <c r="D76" i="5" a="1"/>
  <c r="D76" i="5" s="1"/>
  <c r="E75" i="5" a="1"/>
  <c r="E75" i="5" s="1"/>
  <c r="D75" i="5" a="1"/>
  <c r="D75" i="5" s="1"/>
  <c r="E74" i="5" a="1"/>
  <c r="E74" i="5" s="1"/>
  <c r="D74" i="5" a="1"/>
  <c r="D74" i="5" s="1"/>
  <c r="E73" i="5" a="1"/>
  <c r="E73" i="5" s="1"/>
  <c r="D73" i="5" a="1"/>
  <c r="D73" i="5" s="1"/>
  <c r="E72" i="5" a="1"/>
  <c r="E72" i="5" s="1"/>
  <c r="D72" i="5" a="1"/>
  <c r="D72" i="5" s="1"/>
  <c r="E71" i="5" a="1"/>
  <c r="E71" i="5" s="1"/>
  <c r="D71" i="5" a="1"/>
  <c r="D71" i="5" s="1"/>
  <c r="E70" i="5" a="1"/>
  <c r="E70" i="5" s="1"/>
  <c r="D70" i="5" a="1"/>
  <c r="D70" i="5" s="1"/>
  <c r="E69" i="5" a="1"/>
  <c r="E69" i="5" s="1"/>
  <c r="D69" i="5" a="1"/>
  <c r="D69" i="5" s="1"/>
  <c r="E68" i="5" a="1"/>
  <c r="E68" i="5" s="1"/>
  <c r="D68" i="5" a="1"/>
  <c r="D68" i="5" s="1"/>
  <c r="E67" i="5" a="1"/>
  <c r="E67" i="5" s="1"/>
  <c r="D67" i="5" a="1"/>
  <c r="D67" i="5" s="1"/>
  <c r="E66" i="5" a="1"/>
  <c r="E66" i="5" s="1"/>
  <c r="D66" i="5" a="1"/>
  <c r="D66" i="5" s="1"/>
  <c r="E65" i="5" a="1"/>
  <c r="E65" i="5" s="1"/>
  <c r="D65" i="5" a="1"/>
  <c r="D65" i="5" s="1"/>
  <c r="E64" i="5" a="1"/>
  <c r="E64" i="5" s="1"/>
  <c r="D64" i="5" a="1"/>
  <c r="D64" i="5" s="1"/>
  <c r="D59" i="5" a="1"/>
  <c r="D59" i="5" s="1"/>
  <c r="D58" i="5" a="1"/>
  <c r="D58" i="5" s="1"/>
  <c r="D57" i="5" a="1"/>
  <c r="D57" i="5" s="1"/>
  <c r="G54" i="5" a="1"/>
  <c r="G54" i="5" s="1"/>
  <c r="F54" i="5" a="1"/>
  <c r="F54" i="5" s="1"/>
  <c r="E54" i="5" a="1"/>
  <c r="E54" i="5" s="1"/>
  <c r="D54" i="5" a="1"/>
  <c r="D54" i="5" s="1"/>
  <c r="G53" i="5" a="1"/>
  <c r="G53" i="5" s="1"/>
  <c r="F53" i="5" a="1"/>
  <c r="F53" i="5" s="1"/>
  <c r="E53" i="5" a="1"/>
  <c r="E53" i="5" s="1"/>
  <c r="D53" i="5" a="1"/>
  <c r="D53" i="5" s="1"/>
  <c r="G52" i="5" a="1"/>
  <c r="G52" i="5" s="1"/>
  <c r="F52" i="5" a="1"/>
  <c r="F52" i="5" s="1"/>
  <c r="E52" i="5" a="1"/>
  <c r="E52" i="5" s="1"/>
  <c r="D52" i="5" a="1"/>
  <c r="D52" i="5" s="1"/>
  <c r="G51" i="5" a="1"/>
  <c r="G51" i="5" s="1"/>
  <c r="F51" i="5" a="1"/>
  <c r="F51" i="5" s="1"/>
  <c r="E51" i="5" a="1"/>
  <c r="E51" i="5" s="1"/>
  <c r="D51" i="5" a="1"/>
  <c r="D51" i="5" s="1"/>
  <c r="G50" i="5" a="1"/>
  <c r="G50" i="5" s="1"/>
  <c r="F50" i="5" a="1"/>
  <c r="F50" i="5" s="1"/>
  <c r="H50" i="5" s="1"/>
  <c r="E50" i="5" a="1"/>
  <c r="E50" i="5" s="1"/>
  <c r="D50" i="5" a="1"/>
  <c r="D50" i="5" s="1"/>
  <c r="G49" i="5" a="1"/>
  <c r="G49" i="5" s="1"/>
  <c r="F49" i="5" a="1"/>
  <c r="F49" i="5" s="1"/>
  <c r="E49" i="5" a="1"/>
  <c r="E49" i="5" s="1"/>
  <c r="D49" i="5" a="1"/>
  <c r="D49" i="5" s="1"/>
  <c r="G48" i="5" a="1"/>
  <c r="G48" i="5" s="1"/>
  <c r="F48" i="5" a="1"/>
  <c r="F48" i="5" s="1"/>
  <c r="E48" i="5" a="1"/>
  <c r="E48" i="5" s="1"/>
  <c r="D48" i="5" a="1"/>
  <c r="D48" i="5" s="1"/>
  <c r="D46" i="5" a="1"/>
  <c r="D46" i="5" s="1"/>
  <c r="D45" i="5" a="1"/>
  <c r="D45" i="5" s="1"/>
  <c r="E43" i="5" a="1"/>
  <c r="E43" i="5" s="1"/>
  <c r="D43" i="5" a="1"/>
  <c r="D43" i="5" s="1"/>
  <c r="E42" i="5" a="1"/>
  <c r="E42" i="5" s="1"/>
  <c r="D42" i="5" a="1"/>
  <c r="D42" i="5" s="1"/>
  <c r="E41" i="5" a="1"/>
  <c r="E41" i="5" s="1"/>
  <c r="D41" i="5" a="1"/>
  <c r="D41" i="5" s="1"/>
  <c r="E40" i="5" a="1"/>
  <c r="E40" i="5" s="1"/>
  <c r="D40" i="5" a="1"/>
  <c r="D40" i="5" s="1"/>
  <c r="E39" i="5" a="1"/>
  <c r="E39" i="5" s="1"/>
  <c r="D39" i="5" a="1"/>
  <c r="D39" i="5" s="1"/>
  <c r="E38" i="5" a="1"/>
  <c r="E38" i="5" s="1"/>
  <c r="D38" i="5" a="1"/>
  <c r="D38" i="5" s="1"/>
  <c r="E37" i="5" a="1"/>
  <c r="E37" i="5" s="1"/>
  <c r="D37" i="5" a="1"/>
  <c r="D37" i="5" s="1"/>
  <c r="D35" i="5" a="1"/>
  <c r="D35" i="5" s="1"/>
  <c r="D34" i="5" a="1"/>
  <c r="D34" i="5" s="1"/>
  <c r="D30" i="5" a="1"/>
  <c r="D30" i="5" s="1"/>
  <c r="D29" i="5" a="1"/>
  <c r="D29" i="5" s="1"/>
  <c r="D28" i="5" a="1"/>
  <c r="D28" i="5" s="1"/>
  <c r="D27" i="5" a="1"/>
  <c r="D27" i="5" s="1"/>
  <c r="D26" i="5" a="1"/>
  <c r="D26" i="5" s="1"/>
  <c r="D25" i="5" a="1"/>
  <c r="D25" i="5" s="1"/>
  <c r="D24" i="5" a="1"/>
  <c r="D24" i="5" s="1"/>
  <c r="D23" i="5" a="1"/>
  <c r="D23" i="5" s="1"/>
  <c r="D22" i="5" a="1"/>
  <c r="D22" i="5" s="1"/>
  <c r="D21" i="5" a="1"/>
  <c r="D21" i="5" s="1"/>
  <c r="D19" i="5" a="1"/>
  <c r="D19" i="5" s="1"/>
  <c r="D18" i="5" a="1"/>
  <c r="D18" i="5" s="1"/>
  <c r="F14" i="5" a="1"/>
  <c r="F14" i="5" s="1"/>
  <c r="E14" i="5" a="1"/>
  <c r="E14" i="5" s="1"/>
  <c r="D14" i="5" a="1"/>
  <c r="D14" i="5" s="1"/>
  <c r="F13" i="5" a="1"/>
  <c r="F13" i="5" s="1"/>
  <c r="E13" i="5" a="1"/>
  <c r="E13" i="5" s="1"/>
  <c r="D13" i="5" a="1"/>
  <c r="D13" i="5" s="1"/>
  <c r="F12" i="5" a="1"/>
  <c r="F12" i="5" s="1"/>
  <c r="E12" i="5" a="1"/>
  <c r="E12" i="5" s="1"/>
  <c r="D12" i="5" a="1"/>
  <c r="D12" i="5" s="1"/>
  <c r="F11" i="5" a="1"/>
  <c r="F11" i="5" s="1"/>
  <c r="E11" i="5" a="1"/>
  <c r="E11" i="5" s="1"/>
  <c r="D11" i="5" a="1"/>
  <c r="D11" i="5" s="1"/>
  <c r="F10" i="5" a="1"/>
  <c r="F10" i="5" s="1"/>
  <c r="E10" i="5" a="1"/>
  <c r="E10" i="5" s="1"/>
  <c r="D10" i="5" a="1"/>
  <c r="D10" i="5" s="1"/>
  <c r="F9" i="5" a="1"/>
  <c r="F9" i="5" s="1"/>
  <c r="E9" i="5" a="1"/>
  <c r="E9" i="5" s="1"/>
  <c r="D9" i="5" a="1"/>
  <c r="D9" i="5" s="1"/>
  <c r="F8" i="5" a="1"/>
  <c r="F8" i="5" s="1"/>
  <c r="E8" i="5" a="1"/>
  <c r="E8" i="5" s="1"/>
  <c r="D8" i="5" a="1"/>
  <c r="D8" i="5" s="1"/>
  <c r="F7" i="5" a="1"/>
  <c r="F7" i="5" s="1"/>
  <c r="E7" i="5" a="1"/>
  <c r="E7" i="5" s="1"/>
  <c r="D7" i="5" a="1"/>
  <c r="D7" i="5" s="1"/>
  <c r="D5" i="5" a="1"/>
  <c r="D5" i="5" s="1"/>
  <c r="H52" i="5" l="1"/>
  <c r="H53" i="5"/>
  <c r="H54" i="5"/>
  <c r="H49" i="5"/>
  <c r="H48" i="5"/>
  <c r="H51" i="5"/>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<sst xmlns="http://schemas.openxmlformats.org/spreadsheetml/2006/main" count="75" uniqueCount="68">
  <si>
    <t>Climate zone</t>
  </si>
  <si>
    <t>State/Territory</t>
  </si>
  <si>
    <t>Common Name</t>
  </si>
  <si>
    <t>Abbreviation</t>
  </si>
  <si>
    <t>SA 4 Name</t>
  </si>
  <si>
    <t>Gas</t>
  </si>
  <si>
    <t>CO2-e factor</t>
  </si>
  <si>
    <t>Conversion factor</t>
  </si>
  <si>
    <t>Conversion factor 1</t>
  </si>
  <si>
    <t>Conversion factor 2</t>
  </si>
  <si>
    <t>Conversion factor combined</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</si>
  <si>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</si>
  <si>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</si>
  <si>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</si>
  <si>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</si>
  <si>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</si>
  <si>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</si>
  <si>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</si>
  <si>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</si>
  <si>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</si>
  <si>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</si>
  <si>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</si>
  <si>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</si>
  <si>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</si>
  <si>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</si>
  <si>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</si>
  <si>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</si>
  <si>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</si>
  <si>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Min MAT</t>
  </si>
  <si>
    <t>Max MAT</t>
  </si>
  <si>
    <t>Rainfall Zone</t>
  </si>
  <si>
    <t>Annual rainfall</t>
  </si>
  <si>
    <t>Leaching Zone</t>
  </si>
  <si>
    <t>Leaching criteria</t>
  </si>
  <si>
    <t>Data source</t>
  </si>
  <si>
    <t>Data score</t>
  </si>
  <si>
    <t>Constants - Common</t>
  </si>
  <si>
    <t>Is in leaching zone</t>
  </si>
  <si>
    <t>FracWET</t>
  </si>
  <si>
    <t>Production system j</t>
  </si>
  <si>
    <t>EFN2O</t>
  </si>
  <si>
    <t>Production system only</t>
  </si>
  <si>
    <t>Irrigation method</t>
  </si>
  <si>
    <t>Rainfall zone</t>
  </si>
  <si>
    <t>Home</t>
  </si>
  <si>
    <t>Acknowledgements</t>
  </si>
  <si>
    <t>Irrigation type i</t>
  </si>
  <si>
    <t>EFPRP</t>
  </si>
  <si>
    <t>Month</t>
  </si>
  <si>
    <t>Season</t>
  </si>
  <si>
    <t>Temperature zone</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</si>
  <si>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</si>
  <si>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</si>
  <si>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</si>
  <si>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</si>
  <si>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</si>
  <si>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</si>
  <si>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</si>
  <si>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</si>
  <si>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</si>
  <si>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</si>
  <si>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</si>
  <si>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</si>
  <si>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</si>
  <si>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(ºC)</t>
  </si>
  <si>
    <t>MAT raw</t>
  </si>
  <si>
    <t>Climate Zone</t>
  </si>
  <si>
    <t>EFNi &amp; EFN2Oi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</si>
</sst>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00"/>
    <numFmt numFmtId="165" formatCode="#,##0.000"/>
    <numFmt numFmtId="166" formatCode="d/mm/yyyy;@"/>
    <numFmt numFmtId="167" formatCode="[$-C09]dd\-mmmm\-yyyy;@"/>
    <numFmt numFmtId="168" formatCode="#,##0.000000"/>
  </numFmts>
  <fonts count="32"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12"/>
      <color theme="0"/>
      <name val="Times New Roman"/>
      <family val="1"/>
    </font>
    <font>
      <sz val="11"/>
      <color theme="1" tint="0.499984740745262"/>
      <name val="Times New Roman"/>
      <family val="1"/>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4"/>
      <color theme="5"/>
      <name val="Times New Roman"/>
      <family val="1"/>
    </font>
    <font>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theme="0" tint="-0.499984740745262"/>
      <name val="Times New Roman"/>
      <family val="1"/>
    </font>
    <font>
      <sz val="10"/>
      <color theme="0" tint="-0.499984740745262"/>
      <name val="Times New Roman"/>
      <family val="1"/>
    </font>
  </fonts>
  <fills count="13">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s>
  <borders count="5">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s>
  <cellStyleXfs count="59">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3" fillId="4" borderId="0">
      <alignment horizontal="left" vertical="center"/>
    </xf>
    <xf numFmtId="0" fontId="28" fillId="4" borderId="0">
      <alignment vertical="center"/>
    </xf>
    <xf numFmtId="0" fontId="3" fillId="4" borderId="0">
      <alignment horizontal="left" vertical="center"/>
    </xf>
    <xf numFmtId="0" fontId="26"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1">
      <alignment horizontal="center" vertical="center"/>
    </xf>
    <xf numFmtId="0" fontId="3" fillId="11" borderId="1">
      <alignment horizontal="center" vertical="center"/>
    </xf>
    <xf numFmtId="9" fontId="2" fillId="0" borderId="1">
      <alignment horizontal="center" vertical="center"/>
    </xf>
    <xf numFmtId="4" fontId="2" fillId="0" borderId="1">
      <alignment horizontal="center" vertical="center"/>
    </xf>
    <xf numFmtId="3" fontId="2" fillId="0" borderId="1">
      <alignment horizontal="center" vertical="center"/>
    </xf>
    <xf numFmtId="0" fontId="13" fillId="0" borderId="1">
      <alignment horizontal="center" vertical="center"/>
    </xf>
    <xf numFmtId="0" fontId="14" fillId="0" borderId="1">
      <alignment horizontal="center" vertical="center"/>
    </xf>
    <xf numFmtId="9" fontId="13" fillId="0" borderId="1">
      <alignment horizontal="center" vertical="center"/>
    </xf>
    <xf numFmtId="165" fontId="13" fillId="0" borderId="1">
      <alignment horizontal="center" vertical="center"/>
    </xf>
    <xf numFmtId="3" fontId="13" fillId="0" borderId="1">
      <alignment horizontal="center" vertical="center"/>
    </xf>
    <xf numFmtId="0" fontId="15" fillId="4" borderId="0">
      <alignment horizontal="left" vertical="center"/>
    </xf>
    <xf numFmtId="0" fontId="6" fillId="4" borderId="2">
      <alignment horizontal="left" vertical="center" indent="1"/>
    </xf>
    <xf numFmtId="164" fontId="8" fillId="4" borderId="2">
      <alignment horizontal="center" vertical="center"/>
    </xf>
    <xf numFmtId="0" fontId="3" fillId="4" borderId="2">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3">
      <alignment horizontal="left" vertical="center" indent="1"/>
    </xf>
    <xf numFmtId="0" fontId="18" fillId="10" borderId="0">
      <alignment horizontal="left" vertical="center" indent="1"/>
    </xf>
    <xf numFmtId="0" fontId="18" fillId="5" borderId="0">
      <alignment horizontal="left" vertical="center" indent="1"/>
    </xf>
    <xf numFmtId="0" fontId="18" fillId="8" borderId="0">
      <alignment horizontal="left" vertical="center" indent="1"/>
    </xf>
    <xf numFmtId="0" fontId="19" fillId="0" borderId="0">
      <alignment horizontal="left" vertical="center" indent="2"/>
    </xf>
    <xf numFmtId="0" fontId="29" fillId="12" borderId="4">
      <alignment horizontal="left" vertical="center"/>
    </xf>
    <xf numFmtId="3" fontId="21" fillId="4" borderId="1">
      <alignment horizontal="center" vertical="center"/>
    </xf>
    <xf numFmtId="167" fontId="2" fillId="0" borderId="1">
      <alignment horizontal="center" vertical="center"/>
    </xf>
    <xf numFmtId="0" fontId="22" fillId="0" borderId="0"/>
    <xf numFmtId="0" fontId="9" fillId="0" borderId="0"/>
    <xf numFmtId="0" fontId="22" fillId="0" borderId="0"/>
    <xf numFmtId="166" fontId="21" fillId="4" borderId="1">
      <alignment horizontal="center" vertical="center"/>
    </xf>
    <xf numFmtId="4" fontId="21" fillId="4" borderId="1">
      <alignment horizontal="center" vertical="center"/>
    </xf>
    <xf numFmtId="0" fontId="25" fillId="4" borderId="0">
      <alignment horizontal="left" vertical="center"/>
    </xf>
    <xf numFmtId="0" fontId="24" fillId="4" borderId="0" applyNumberFormat="0">
      <alignment horizontal="center" vertical="center"/>
    </xf>
    <xf numFmtId="165" fontId="21" fillId="4" borderId="1">
      <alignment horizontal="center" vertical="center"/>
    </xf>
    <xf numFmtId="0" fontId="20" fillId="4" borderId="0">
      <alignment horizontal="left" vertical="center"/>
    </xf>
    <xf numFmtId="168" fontId="21" fillId="4" borderId="1">
      <alignment horizontal="center" vertical="center"/>
    </xf>
    <xf numFmtId="0" fontId="21" fillId="4" borderId="1">
      <alignment horizontal="center" vertical="center"/>
    </xf>
    <xf numFmtId="0" fontId="6" fillId="4" borderId="0">
      <alignment horizontal="left" vertical="center"/>
    </xf>
    <xf numFmtId="0" fontId="27" fillId="4" borderId="0">
      <alignment horizontal="left" vertical="center"/>
    </xf>
    <xf numFmtId="0" fontId="9" fillId="0" borderId="0"/>
    <xf numFmtId="0" fontId="2" fillId="0" borderId="1">
      <alignment horizontal="center" vertical="center"/>
    </xf>
    <xf numFmtId="0" fontId="30" fillId="4" borderId="0">
      <alignment horizontal="left" vertical="center"/>
    </xf>
    <xf numFmtId="0" fontId="31" fillId="4" borderId="0">
      <alignment horizontal="left" vertical="center"/>
    </xf>
  </cellStyleXfs>
  <cellXfs count="15">
    <xf numFmtId="0" fontId="0" fillId="0" borderId="0" xfId="0"/>
    <xf numFmtId="0" fontId="26" fillId="4" borderId="0" xfId="8">
      <alignment horizontal="left" vertical="center"/>
    </xf>
    <xf numFmtId="0" fontId="3" fillId="4" borderId="0" xfId="7">
      <alignment horizontal="left" vertical="center"/>
    </xf>
    <xf numFmtId="0" fontId="16" fillId="3" borderId="0" xfId="4">
      <alignment vertical="center"/>
    </xf>
    <xf numFmtId="0" fontId="28" fillId="4" borderId="0" xfId="6">
      <alignment vertical="center"/>
    </xf>
    <xf numFmtId="0" fontId="23"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16" fillId="0" borderId="0" xfId="4" applyFill="1">
      <alignment vertical="center"/>
    </xf>
    <xf numFmtId="0" fontId="0" fillId="4" borderId="0" xfId="0" applyFill="1"/>
    <xf numFmtId="0" fontId="0" fillId="0" borderId="0" xfId="8" applyFont="1" applyFill="1">
      <alignment horizontal="left" vertical="center"/>
    </xf>
    <xf numFmtId="0" fontId="6" fillId="4" borderId="0" xfId="53">
      <alignment horizontal="left" vertical="center"/>
    </xf>
    <xf numFmtId="0" fontId="27" fillId="4" borderId="0" xfId="54">
      <alignment horizontal="left" vertical="center"/>
    </xf>
    <xf numFmtId="0" fontId="0" fillId="0" borderId="0" xfId="7" applyFont="1" applyFill="1">
      <alignment horizontal="left" vertical="center"/>
    </xf>
  </cellXfs>
  <cellStyles count="59">
    <cellStyle name="Block heading" xfId="5" xr:uid="{74527274-3B4A-494A-B37C-EA50686E114C}"/>
    <cellStyle name="Block subheading" xfId="47" xr:uid="{34E62905-A3E0-4883-B81A-BDB58FC88DA7}"/>
    <cellStyle name="Code" xfId="24" xr:uid="{99B3520F-01DD-4F8E-A8D0-24EAA04E90EB}"/>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section title" xfId="34" xr:uid="{E2117B15-AE58-4F76-B13B-671D455A4107}"/>
    <cellStyle name="Normal" xfId="0" builtinId="0"/>
    <cellStyle name="Normal 2" xfId="55" xr:uid="{FE64FEFB-54C6-42B4-AA7F-D49670F5ED19}"/>
    <cellStyle name="Normal 2 2" xfId="44" xr:uid="{B8803ACE-513D-4EEF-BBE0-0BB76AE7D7F4}"/>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s>
  <dxfs count="48">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47"/>
      <tableStyleElement type="headerRow" dxfId="46"/>
      <tableStyleElement type="totalRow" dxfId="45"/>
      <tableStyleElement type="firstColumn" dxfId="44"/>
      <tableStyleElement type="firstRowStripe" dxfId="43"/>
      <tableStyleElement type="secondRowStripe" dxfId="42"/>
    </tableStyle>
    <tableStyle name="Equation table" pivot="0" count="6" xr9:uid="{B247698E-E41D-4CCD-AA0A-C14817E9DE65}">
      <tableStyleElement type="wholeTable" dxfId="41"/>
      <tableStyleElement type="headerRow" dxfId="40"/>
      <tableStyleElement type="totalRow" dxfId="39"/>
      <tableStyleElement type="firstColumn" dxfId="38"/>
      <tableStyleElement type="firstRowStripe" dxfId="37"/>
      <tableStyleElement type="secondRowStripe" dxfId="36"/>
    </tableStyle>
    <tableStyle name="Table Style 1" pivot="0" count="0" xr9:uid="{97B370DB-5463-4A31-9160-5A96BD6A559D}"/>
  </tableStyles>
  <colors>
    <mruColors>
      <color rgb="FF0C769E"/>
      <color rgb="FFC44340"/>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eetMetadata" Target="metadata.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5" Type="http://schemas.openxmlformats.org/officeDocument/2006/relationships/customXml" Target="../customXml/item3.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 Id="rId14" Type="http://schemas.openxmlformats.org/officeDocument/2006/relationships/customXml" Target="../customXml/item2.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12C80AD8-6332-49FA-A3BC-E6FC90290331}"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9A129CA1-FCF6-4181-AD59-C31782B90B45}" name="State/Territory">
      <calculatedColumnFormula array="1">Common_InputFunctions.Utility_DisplayArrayInTable(Common_SourceData.Common_SourceData_AustralianStatesTerritories_Data(),Table_AustralianStates[[#Headers],[State/Territory]],0)</calculatedColumnFormula>
    </tableColumn>
    <tableColumn id="2" xr3:uid="{48D3DF45-3A54-423E-A5F3-9494AB3064B3}" name="Common Name">
      <calculatedColumnFormula array="1">Common_InputFunctions.Utility_DisplayArrayInTable(Common_SourceData.Common_SourceData_AustralianStatesTerritories_Data(),Table_AustralianStates[[#Headers],[State/Territory]],0)</calculatedColumnFormula>
    </tableColumn>
    <tableColumn id="3" xr3:uid="{7DA5D9C6-D776-4FCA-A8D8-84EBABC8BB93}"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BA3484FA-C1AF-436A-8651-4D9AAA48D0E0}" name="Table_WASA4Areas" displayName="Table_WASA4Areas" ref="D20:D30" totalsRowShown="0">
  <autoFilter ref="D20:D30" xr:uid="{5FA81339-C6C8-4D36-BEEA-6C4AEDD9E676}">
    <filterColumn colId="0" hiddenButton="1"/>
  </autoFilter>
  <tableColumns count="1">
    <tableColumn id="1" xr3:uid="{4D648E8B-D0ED-48D9-9E5D-E98BA288914E}"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2A1D02B5-CFE6-4892-BA5C-DC2801F766EF}" name="Table_GWPData" displayName="Table_GWPData" ref="D36:E43" totalsRowShown="0">
  <autoFilter ref="D36:E43" xr:uid="{B8E87A66-3E41-4AD3-925D-01EE21B43D7A}">
    <filterColumn colId="0" hiddenButton="1"/>
    <filterColumn colId="1" hiddenButton="1"/>
  </autoFilter>
  <tableColumns count="2">
    <tableColumn id="1" xr3:uid="{E0A494C8-CF2B-4C96-9A7B-5EB3CD28A421}" name="Gas">
      <calculatedColumnFormula array="1">Common_InputFunctions.Utility_DisplayArrayInTable(Common_SourceData.Common_SourceData_GWP_Data(), Table_GWPData[[#Headers],[Gas]], 0)</calculatedColumnFormula>
    </tableColumn>
    <tableColumn id="2" xr3:uid="{DEC7626E-8CAE-4238-8CE4-0112C5BCD2F9}"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4A63D28-6347-4626-AA52-97635191032D}"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35F6146A-A67B-434F-8D6B-F001EB28A552}" name="Gas">
      <calculatedColumnFormula array="1">Common_InputFunctions.Utility_DisplayArrayInTable(Common_SourceData.Common_SourceData_ConvertGasElementalToMolecular_Data(),Table_GasToMolecularConversionFactor[[#Headers],[Gas]], 0)</calculatedColumnFormula>
    </tableColumn>
    <tableColumn id="5" xr3:uid="{36FB3C35-4C6D-4852-A1C5-8CA82F63DB5D}" name="Conversion factor">
      <calculatedColumnFormula array="1">Common_InputFunctions.Utility_DisplayArrayInTable(Common_SourceData.Common_SourceData_ConvertGasElementalToMolecular_Data(),Table_GasToMolecularConversionFactor[[#Headers],[Gas]], 0)</calculatedColumnFormula>
    </tableColumn>
    <tableColumn id="2" xr3:uid="{14E43155-E0FF-49E9-BB08-A4DED380B7B4}" name="Conversion factor 1">
      <calculatedColumnFormula array="1">Common_InputFunctions.Utility_DisplayArrayInTable(Common_SourceData.Common_SourceData_ConvertGasElementalToMolecular_Data(),Table_GasToMolecularConversionFactor[[#Headers],[Gas]], 0)</calculatedColumnFormula>
    </tableColumn>
    <tableColumn id="3" xr3:uid="{AC6141BE-9B80-4E6A-A961-11178804BCF6}" name="Conversion factor 2">
      <calculatedColumnFormula array="1">Common_InputFunctions.Utility_DisplayArrayInTable(Common_SourceData.Common_SourceData_ConvertGasElementalToMolecular_Data(),Table_GasToMolecularConversionFactor[[#Headers],[Gas]], 0)</calculatedColumnFormula>
    </tableColumn>
    <tableColumn id="4" xr3:uid="{143B46A0-49EF-4B5D-8C7A-16D1503E1A0B}"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AB8342F1-2993-4F09-8525-7EA1A78DB177}"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C8318248-5646-48AA-8D73-3250AF8C3755}"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B43C74B2-D7C9-4E6A-969E-D8995C899E1F}" name="MAT"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3" xr3:uid="{4506B4D8-CF82-4F3A-83D5-2CB373B9ACB3}" name="MAP"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4" xr3:uid="{A228B3CF-7386-46AC-94B6-4F6ECB43B42F}" name="Frost days per year"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5" xr3:uid="{94688278-C780-4018-91CE-BF28E7EC4D8B}" name="Elevation"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6" xr3:uid="{433F4C36-F6FC-47DB-B372-AF2C1342219F}" name="MAP:PET"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7" xr3:uid="{3AD621D8-B8E3-4A03-9412-D3BF8AA60BDC}" name="Min temp"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8" xr3:uid="{DBDBD834-E45A-42B1-A2F3-EA3A0EC62F93}" name="Max temp"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9" xr3:uid="{D8CDE8F0-1C94-4E96-BA0A-751FFEC10EEC}" name="Min rainfall"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0" xr3:uid="{22B5E358-1A2A-4B37-970D-4AC483F9C548}" name="Max rainfall"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1" xr3:uid="{4D39EE6E-8AF0-4C65-8128-C27ECB22009E}" name="Min frost days"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5" xr3:uid="{E7A86A47-EC19-41A8-B564-597FD51684B9}" name="Max frost days"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2" xr3:uid="{892DA7AD-9168-4563-BC97-1385B57FC980}" name="Min elevation"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6" xr3:uid="{A0B9B1FD-B236-474E-9122-15E12864CF5D}" name="Max elevation"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3" xr3:uid="{F8755ED4-9579-4EEA-8A4A-AE101D51E5A4}" name="Min MAP:PET" totalsRowDxfId="22" totalsRowCellStyle="Content bold">
      <calculatedColumnFormula array="1">Common_InputFunctions.Utility_DisplayArrayInTable(Common_SourceData.Common_SourceData_ClimateZones_Data(), Table_SourceData_ClimateZones[[#Headers],[Climate zone]], 0)</calculatedColumnFormula>
    </tableColumn>
    <tableColumn id="17" xr3:uid="{91D17622-B40E-4361-80D2-D1988DDFC370}" name="Max MAP:PET" totalsRowDxfId="2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11B19BC-8665-4DB0-A415-A517CC19509B}"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12904C09-DA4D-412E-8E03-AB328814AB38}"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C2A46A32-DB7A-4A6C-99C4-AB4E8A95293D}" name="Wet or Dry Zone" totalsRowDxfId="2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925C1D97-3C1F-4BF7-A4D5-D8E048C3D41F}"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C2062EB9-8BCE-4CC3-B63A-E51C19A3A6B2}" name="Temperature Zone">
      <calculatedColumnFormula array="1">Common_InputFunctions.Utility_DisplayArrayInTable(Common_SourceData.Common_SourceData_TemperatureZones_Data(),Table_SourceData_TemperatureZones[[#Headers],[Temperature Zone]],0)</calculatedColumnFormula>
    </tableColumn>
    <tableColumn id="2" xr3:uid="{F08A3367-FC4F-42AC-8EE2-DCEA5BC7DD7B}" name="MAT">
      <calculatedColumnFormula array="1">Common_InputFunctions.Utility_DisplayArrayInTable(Common_SourceData.Common_SourceData_TemperatureZones_Data(),Table_SourceData_TemperatureZones[[#Headers],[Temperature Zone]],0)</calculatedColumnFormula>
    </tableColumn>
    <tableColumn id="3" xr3:uid="{605A1120-3D5B-433A-BE51-A4951A383637}" name="Min MAT">
      <calculatedColumnFormula array="1">Common_InputFunctions.Utility_DisplayArrayInTable(Common_SourceData.Common_SourceData_TemperatureZones_Data(),Table_SourceData_TemperatureZones[[#Headers],[Temperature Zone]],0)</calculatedColumnFormula>
    </tableColumn>
    <tableColumn id="4" xr3:uid="{01775834-9014-4037-8C7C-70490C991A3E}"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9752A569-EEA8-4C71-808F-511E500CFD0D}"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8B246171-EE1D-4160-AC12-5E898FD4B117}" name="Rainfall Zone">
      <calculatedColumnFormula array="1">Common_InputFunctions.Utility_DisplayArrayInTable(Common_SourceData.Common_SourceData_RainfallZones_Data(),Table_SourceData_RainfallZones[[#Headers],[Rainfall Zone]],0)</calculatedColumnFormula>
    </tableColumn>
    <tableColumn id="2" xr3:uid="{8F3A56EB-6EE3-48E3-BEF1-878AB4DD860B}" name="Annual rainfall">
      <calculatedColumnFormula array="1">Common_InputFunctions.Utility_DisplayArrayInTable(Common_SourceData.Common_SourceData_RainfallZones_Data(),Table_SourceData_RainfallZones[[#Headers],[Rainfall Zone]],0)</calculatedColumnFormula>
    </tableColumn>
    <tableColumn id="3" xr3:uid="{9A43D887-0470-4AAB-B168-E3272114B329}" name="Min rainfall">
      <calculatedColumnFormula array="1">Common_InputFunctions.Utility_DisplayArrayInTable(Common_SourceData.Common_SourceData_RainfallZones_Data(),Table_SourceData_RainfallZones[[#Headers],[Rainfall Zone]],0)</calculatedColumnFormula>
    </tableColumn>
    <tableColumn id="4" xr3:uid="{399F7227-D718-4CC8-8661-7668F5975B12}"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AC212825-7AF1-49C1-94D4-CD799060BF73}"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D5C7FE71-1BB0-47EF-BF35-1337DFD309B3}" name="Leaching Zone">
      <calculatedColumnFormula array="1">Common_InputFunctions.Utility_DisplayArrayInTable(Common_SourceData.Common_SourceData_LeachingZones_Data(), Table_SourceData_LeachingZones[[#Headers],[Leaching Zone]], 0)</calculatedColumnFormula>
    </tableColumn>
    <tableColumn id="2" xr3:uid="{1BFB5620-95C2-49E3-BF2F-39ED90B9138B}"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921941D7-3BE7-471F-99BE-83856E582E55}"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55A138C7-E5D5-4DF5-92E5-A7FD2B8C0774}" name="Data source">
      <calculatedColumnFormula array="1">Common_InputFunctions.Utility_DisplayArrayInTable(Common_SourceData.Common_SourceData_DataScores_Scope3_Data(), Table_SourceData_DataScores_Scope3[[#Headers],[Data source]], 0)</calculatedColumnFormula>
    </tableColumn>
    <tableColumn id="2" xr3:uid="{6B6251B8-1F75-43F6-806F-F938323943B9}"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99A6D084-0703-4C94-B11D-4C23517634DE}" name="Table_SourceData_FracWET" displayName="Table_SourceData_FracWET" ref="D134:E136" totalsRowShown="0">
  <autoFilter ref="D134:E136" xr:uid="{308E99BE-FE1F-47A4-B2CA-97217277C4E9}">
    <filterColumn colId="0" hiddenButton="1"/>
    <filterColumn colId="1" hiddenButton="1"/>
  </autoFilter>
  <tableColumns count="2">
    <tableColumn id="1" xr3:uid="{A044B3E4-231A-497F-8D52-B9A7A3DFF13F}" name="Is in leaching zone">
      <calculatedColumnFormula array="1">Common_InputFunctions.Utility_DisplayArrayInTable(Common_SourceData.Common_SourceData_FracWET_Data(),Table_SourceData_FracWET[[#Headers],[Is in leaching zone]],0)</calculatedColumnFormula>
    </tableColumn>
    <tableColumn id="2" xr3:uid="{01FE0B6B-8CAE-4C77-91C6-4119EF6A37DC}" name="FracWET" dataDxfId="1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10A28533-75BD-41BD-815D-334C8EC9A5A3}"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27A07D70-72BC-4CFD-89CC-630D7F72EE04}" name="Production system j">
      <calculatedColumnFormula array="1">Common_InputFunctions.Utility_DisplayArrayInTable(Common_SourceData.Common_SourceData_EFN2O_Data(), Table_SourceData_Common_EFN2O[[#Headers],[Production system j]], 0)</calculatedColumnFormula>
    </tableColumn>
    <tableColumn id="2" xr3:uid="{8E636884-2575-4D9C-8515-07877480E93E}" name="EFN2O">
      <calculatedColumnFormula array="1">Common_InputFunctions.Utility_DisplayArrayInTable(Common_SourceData.Common_SourceData_EFN2O_Data(), Table_SourceData_Common_EFN2O[[#Headers],[Production system j]], 0)</calculatedColumnFormula>
    </tableColumn>
    <tableColumn id="3" xr3:uid="{3F790367-A7ED-4BA4-B5CF-85F3B4818887}" name="Production system only">
      <calculatedColumnFormula array="1">Common_InputFunctions.Utility_DisplayArrayInTable(Common_SourceData.Common_SourceData_EFN2O_Data(), Table_SourceData_Common_EFN2O[[#Headers],[Production system j]], 0)</calculatedColumnFormula>
    </tableColumn>
    <tableColumn id="4" xr3:uid="{BFDC0148-E0BB-4540-9E4A-FAC9267A4EED}" name="Irrigation method">
      <calculatedColumnFormula array="1">Common_InputFunctions.Utility_DisplayArrayInTable(Common_SourceData.Common_SourceData_EFN2O_Data(), Table_SourceData_Common_EFN2O[[#Headers],[Production system j]], 0)</calculatedColumnFormula>
    </tableColumn>
    <tableColumn id="5" xr3:uid="{E0691405-E450-4ADE-A1F7-BF47621250F9}"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AAECC632-9B06-47A4-BC48-EA3475DCA70D}"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34FE5461-39F9-4C52-82B8-8DDCADF8EC64}" name="Irrigation type i">
      <calculatedColumnFormula array="1">Common_InputFunctions.Utility_DisplayArrayInTable(Common_SourceData.Common_SourceData_FracWETIrrigation_Data(), Table_SourceData_FracWETIrrigation[[#Headers],[Irrigation type i]], 0)</calculatedColumnFormula>
    </tableColumn>
    <tableColumn id="2" xr3:uid="{523507B8-C845-462F-A46F-B27B83A8E3E4}" name="FracWET" dataDxfId="1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B52031B6-1284-42FC-BB5D-A52450C47E85}"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F3E9CDB4-673B-4442-979D-53DD754D6F7B}"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B7ED561D-79EF-44FD-AB5A-3AD1FDF43AF4}" name="EFPRP" dataDxfId="1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AB3534A6-83C2-421B-88FF-1793AEB2A759}"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38533537-B6FC-4DE6-A910-1C59DE183195}" name="Month">
      <calculatedColumnFormula array="1">Common_InputFunctions.Utility_DisplayArrayInTable(Common_SourceData.Common_SourceData_MonthsToSeasons_Data(), Table_SourceData_Common_MonthToSeason[[#Headers],[Month]], 0)</calculatedColumnFormula>
    </tableColumn>
    <tableColumn id="2" xr3:uid="{5903A14B-CD3F-4C70-939F-0C38887997C7}" name="Season" dataDxfId="1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CD50652-F828-4BAC-92D9-3A6D74FFE2E1}"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5FAAF41E-314C-4573-9CA4-6C8EABFC1195}"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B7311E91-C430-4320-A137-B8FA34BE281D}" name="MAT (ºC)"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4677D10F-8319-45F2-AA1A-3EC1241F49F2}" name="Anaerobic lagoon"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BC251906-2264-4995-9FD9-A4AA0EC14B59}" name="Digester / covered lagoons"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3DBAC453-EF7E-487F-B91B-57F676B72346}" name="Liquid systems"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F06FC22B-292E-425D-B5F1-CBCD5D92D153}" name="Daily spread"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913B2A8F-0AF6-4A9D-AFFD-4D8471FEE2E4}" name="Composting (passive windrow)"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6105389B-21E1-40CE-B388-B8BA7E5B3234}" name="Solid storage"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14D7C4D1-8181-4528-85DE-A511754B9482}" name="Pit storage"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67D740BF-25DF-45EE-82E5-A26830CAED11}" name="Deep litter"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8255E427-B0B1-47DD-B7EE-389455146B66}" name="Poultry manure with bedding"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97EF86FB-EB3B-484D-BEB8-DED533845ECE}" name="Poultry manure without bedd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27A6DE7F-0F1E-4957-ACC5-8981DE32AD72}" name="Direct processing"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6CAA147D-A40B-48BF-8F15-65FDCA87C950}" name="Direct application"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EF20BA7B-5A8B-4E38-AAB0-4A9CCCE7EB93}" name="Pasture range and paddock"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C12A23DC-0942-4C2B-BCCA-3789024FE991}" name="MAT raw" dataDxfId="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13892DA7-3EC5-4525-9CE2-44E4C44DA522}"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418FE0BA-8A91-457F-BBD7-90E45418FBEF}"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25BE8AC2-31E8-4D4A-ADDA-F1B134F0ED6E}" name="EFNi &amp; EFN2Oi" dataDxfId="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02"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18" Type="http://schemas.openxmlformats.org/officeDocument/2006/relationships/table" Target="../tables/table17.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17" Type="http://schemas.openxmlformats.org/officeDocument/2006/relationships/table" Target="../tables/table16.xml"/><Relationship Id="rId2" Type="http://schemas.openxmlformats.org/officeDocument/2006/relationships/table" Target="../tables/table1.xml"/><Relationship Id="rId16" Type="http://schemas.openxmlformats.org/officeDocument/2006/relationships/table" Target="../tables/table15.xml"/><Relationship Id="rId1" Type="http://schemas.openxmlformats.org/officeDocument/2006/relationships/printerSettings" Target="../printerSettings/printerSettings1.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5" Type="http://schemas.openxmlformats.org/officeDocument/2006/relationships/table" Target="../tables/table1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159CA-1C38-4131-B0D4-3DBCDED3299D}">
  <dimension ref="A1"/>
  <sheetViews>
    <sheetView workbookViewId="0">
      <selection activeCell="A2" sqref="A2"/>
    </sheetView>
  </sheetViews>
  <sheetFormatPr defaultRowHeight="15" x14ac:dyDescent="0.25"/>
  <sheetData>
    <row r="1" spans="1:1" x14ac:dyDescent="0.25">
      <c r="A1" t="s">
        <v>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39B39-A232-46C5-ACDC-974257207825}">
  <dimension ref="A1:BY259"/>
  <sheetViews>
    <sheetView showGridLines="0" tabSelected="1" topLeftCell="A86" zoomScale="85" zoomScaleNormal="85" workbookViewId="0">
      <selection activeCell="H102" sqref="H102"/>
    </sheetView>
  </sheetViews>
  <sheetFormatPr defaultColWidth="9.140625" defaultRowHeight="15.75" x14ac:dyDescent="0.25"/>
  <cols>
    <col min="1" max="1" width="30.7109375" style="6" customWidth="1"/>
    <col min="2" max="2" width="2.7109375" style="6"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6" customWidth="1"/>
    <col min="34" max="39" width="21.85546875" style="6" customWidth="1"/>
    <col min="40" max="44" width="20.7109375" style="6" customWidth="1"/>
    <col min="45" max="65" width="9.140625" style="6"/>
    <col min="66" max="16384" width="9.140625" style="2"/>
  </cols>
  <sheetData>
    <row r="1" spans="1:65" s="7" customFormat="1" ht="30" customHeight="1" x14ac:dyDescent="0.35">
      <c r="A1" s="7" t="e" vm="1">
        <v>#VALUE!</v>
      </c>
      <c r="C1" s="7" t="s">
        <v>36</v>
      </c>
    </row>
    <row r="2" spans="1:65" s="8" customFormat="1" ht="20.100000000000001" customHeight="1" x14ac:dyDescent="0.25"/>
    <row r="3" spans="1:65" ht="20.100000000000001" customHeight="1" x14ac:dyDescent="0.25">
      <c r="A3"/>
      <c r="C3" s="3"/>
      <c r="D3" s="3"/>
      <c r="E3" s="3"/>
      <c r="F3" s="3"/>
      <c r="G3" s="3"/>
      <c r="H3" s="3"/>
      <c r="I3" s="3"/>
      <c r="J3" s="3"/>
      <c r="K3" s="3"/>
      <c r="L3" s="3"/>
      <c r="M3" s="3"/>
      <c r="N3" s="3"/>
      <c r="O3" s="3"/>
      <c r="P3" s="3"/>
      <c r="Q3" s="3"/>
      <c r="R3" s="3"/>
      <c r="S3" s="3"/>
      <c r="T3" s="3"/>
      <c r="U3" s="3"/>
      <c r="V3" s="9"/>
      <c r="W3" s="9"/>
    </row>
    <row r="4" spans="1:65" ht="20.100000000000001" customHeight="1" x14ac:dyDescent="0.25">
      <c r="A4"/>
      <c r="BM4" s="2"/>
    </row>
    <row r="5" spans="1:65" ht="20.100000000000001" customHeight="1" x14ac:dyDescent="0.25">
      <c r="A5"/>
      <c r="D5" s="5" t="str" cm="1">
        <f t="array" ref="D5">Common_SourceData.Common_SourceData_AustralianStatesTerritories_Title()</f>
        <v>Australian states and territories</v>
      </c>
      <c r="BM5" s="2"/>
    </row>
    <row r="6" spans="1:65" ht="20.100000000000001" customHeight="1" x14ac:dyDescent="0.25">
      <c r="A6"/>
      <c r="D6" s="11" t="s">
        <v>1</v>
      </c>
      <c r="E6" s="11" t="s">
        <v>2</v>
      </c>
      <c r="F6" s="11" t="s">
        <v>3</v>
      </c>
    </row>
    <row r="7" spans="1:65" ht="20.100000000000001" customHeight="1" x14ac:dyDescent="0.25">
      <c r="A7"/>
      <c r="D7" s="11" t="str" cm="1">
        <f t="array" ref="D7">Common_InputFunctions.Utility_DisplayArrayInTable(Common_SourceData.Common_SourceData_AustralianStatesTerritories_Data(),Table_AustralianStates[[#Headers],[State/Territory]],0)</f>
        <v>New South Wales</v>
      </c>
      <c r="E7" s="11" t="str" cm="1">
        <f t="array" ref="E7">Common_InputFunctions.Utility_DisplayArrayInTable(Common_SourceData.Common_SourceData_AustralianStatesTerritories_Data(),Table_AustralianStates[[#Headers],[State/Territory]],0)</f>
        <v>New South Wales</v>
      </c>
      <c r="F7" s="11" t="str" cm="1">
        <f t="array" ref="F7">Common_InputFunctions.Utility_DisplayArrayInTable(Common_SourceData.Common_SourceData_AustralianStatesTerritories_Data(),Table_AustralianStates[[#Headers],[State/Territory]],0)</f>
        <v>NSW</v>
      </c>
    </row>
    <row r="8" spans="1:65" ht="20.100000000000001" customHeight="1" x14ac:dyDescent="0.25">
      <c r="A8"/>
      <c r="D8" s="11" t="str" cm="1">
        <f t="array" ref="D8">Common_InputFunctions.Utility_DisplayArrayInTable(Common_SourceData.Common_SourceData_AustralianStatesTerritories_Data(),Table_AustralianStates[[#Headers],[State/Territory]],0)</f>
        <v>Australian Capital Territory</v>
      </c>
      <c r="E8" s="11" t="str" cm="1">
        <f t="array" ref="E8">Common_InputFunctions.Utility_DisplayArrayInTable(Common_SourceData.Common_SourceData_AustralianStatesTerritories_Data(),Table_AustralianStates[[#Headers],[State/Territory]],0)</f>
        <v>ACT</v>
      </c>
      <c r="F8" s="11" t="str" cm="1">
        <f t="array" ref="F8">Common_InputFunctions.Utility_DisplayArrayInTable(Common_SourceData.Common_SourceData_AustralianStatesTerritories_Data(),Table_AustralianStates[[#Headers],[State/Territory]],0)</f>
        <v>ACT</v>
      </c>
    </row>
    <row r="9" spans="1:65" ht="20.100000000000001" customHeight="1" x14ac:dyDescent="0.25">
      <c r="A9"/>
      <c r="D9" s="11" t="str" cm="1">
        <f t="array" ref="D9">Common_InputFunctions.Utility_DisplayArrayInTable(Common_SourceData.Common_SourceData_AustralianStatesTerritories_Data(),Table_AustralianStates[[#Headers],[State/Territory]],0)</f>
        <v>Victoria</v>
      </c>
      <c r="E9" s="11" t="str" cm="1">
        <f t="array" ref="E9">Common_InputFunctions.Utility_DisplayArrayInTable(Common_SourceData.Common_SourceData_AustralianStatesTerritories_Data(),Table_AustralianStates[[#Headers],[State/Territory]],0)</f>
        <v>Victoria</v>
      </c>
      <c r="F9" s="11"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11" t="str" cm="1">
        <f t="array" ref="D10">Common_InputFunctions.Utility_DisplayArrayInTable(Common_SourceData.Common_SourceData_AustralianStatesTerritories_Data(),Table_AustralianStates[[#Headers],[State/Territory]],0)</f>
        <v>Queensland</v>
      </c>
      <c r="E10" s="11" t="str" cm="1">
        <f t="array" ref="E10">Common_InputFunctions.Utility_DisplayArrayInTable(Common_SourceData.Common_SourceData_AustralianStatesTerritories_Data(),Table_AustralianStates[[#Headers],[State/Territory]],0)</f>
        <v>Queensland</v>
      </c>
      <c r="F10" s="11"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11" t="str" cm="1">
        <f t="array" ref="D11">Common_InputFunctions.Utility_DisplayArrayInTable(Common_SourceData.Common_SourceData_AustralianStatesTerritories_Data(),Table_AustralianStates[[#Headers],[State/Territory]],0)</f>
        <v>South Australia</v>
      </c>
      <c r="E11" s="11" t="str" cm="1">
        <f t="array" ref="E11">Common_InputFunctions.Utility_DisplayArrayInTable(Common_SourceData.Common_SourceData_AustralianStatesTerritories_Data(),Table_AustralianStates[[#Headers],[State/Territory]],0)</f>
        <v>South Australia</v>
      </c>
      <c r="F11" s="11" t="str" cm="1">
        <f t="array" ref="F11">Common_InputFunctions.Utility_DisplayArrayInTable(Common_SourceData.Common_SourceData_AustralianStatesTerritories_Data(),Table_AustralianStates[[#Headers],[State/Territory]],0)</f>
        <v>SA</v>
      </c>
      <c r="BM11" s="2"/>
    </row>
    <row r="12" spans="1:65" ht="20.100000000000001" customHeight="1" x14ac:dyDescent="0.25">
      <c r="A12"/>
      <c r="D12" s="11" t="str" cm="1">
        <f t="array" ref="D12">Common_InputFunctions.Utility_DisplayArrayInTable(Common_SourceData.Common_SourceData_AustralianStatesTerritories_Data(),Table_AustralianStates[[#Headers],[State/Territory]],0)</f>
        <v>Western Australia</v>
      </c>
      <c r="E12" s="11" t="str" cm="1">
        <f t="array" ref="E12">Common_InputFunctions.Utility_DisplayArrayInTable(Common_SourceData.Common_SourceData_AustralianStatesTerritories_Data(),Table_AustralianStates[[#Headers],[State/Territory]],0)</f>
        <v>Western Australia</v>
      </c>
      <c r="F12" s="11" t="str" cm="1">
        <f t="array" ref="F12">Common_InputFunctions.Utility_DisplayArrayInTable(Common_SourceData.Common_SourceData_AustralianStatesTerritories_Data(),Table_AustralianStates[[#Headers],[State/Territory]],0)</f>
        <v>WA</v>
      </c>
      <c r="BM12" s="2"/>
    </row>
    <row r="13" spans="1:65" ht="20.100000000000001" customHeight="1" x14ac:dyDescent="0.25">
      <c r="A13"/>
      <c r="D13" s="11" t="str" cm="1">
        <f t="array" ref="D13">Common_InputFunctions.Utility_DisplayArrayInTable(Common_SourceData.Common_SourceData_AustralianStatesTerritories_Data(),Table_AustralianStates[[#Headers],[State/Territory]],0)</f>
        <v>Tasmania</v>
      </c>
      <c r="E13" s="11" t="str" cm="1">
        <f t="array" ref="E13">Common_InputFunctions.Utility_DisplayArrayInTable(Common_SourceData.Common_SourceData_AustralianStatesTerritories_Data(),Table_AustralianStates[[#Headers],[State/Territory]],0)</f>
        <v>Tasmania</v>
      </c>
      <c r="F13" s="11"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11" t="str" cm="1">
        <f t="array" ref="D14">Common_InputFunctions.Utility_DisplayArrayInTable(Common_SourceData.Common_SourceData_AustralianStatesTerritories_Data(),Table_AustralianStates[[#Headers],[State/Territory]],0)</f>
        <v>Northern Territory</v>
      </c>
      <c r="E14" s="11" t="str" cm="1">
        <f t="array" ref="E14">Common_InputFunctions.Utility_DisplayArrayInTable(Common_SourceData.Common_SourceData_AustralianStatesTerritories_Data(),Table_AustralianStates[[#Headers],[State/Territory]],0)</f>
        <v>Northern Territory</v>
      </c>
      <c r="F14" s="11"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5" t="str" cm="1">
        <f t="array" ref="D18">Common_SourceData.Common_SourceData_WASA4Areas_Title()</f>
        <v>ABS Statistcal Areas Level 4 - Western Australia</v>
      </c>
    </row>
    <row r="19" spans="1:4" ht="20.100000000000001" customHeight="1" x14ac:dyDescent="0.25">
      <c r="A19"/>
      <c r="D19" s="4" t="str" cm="1">
        <f t="array" ref="D19">Common_SourceData.Common_SourceData_WASA4Areas_Source()</f>
        <v>Australian Bureau of Statistics (ABS) - Statistical Areas Level 2 - 2021 - Shapefile</v>
      </c>
    </row>
    <row r="20" spans="1:4" ht="20.100000000000001" customHeight="1" x14ac:dyDescent="0.25">
      <c r="A20"/>
      <c r="D20" s="11" t="s">
        <v>4</v>
      </c>
    </row>
    <row r="21" spans="1:4" ht="20.100000000000001" customHeight="1" x14ac:dyDescent="0.25">
      <c r="A21"/>
      <c r="D21" s="11" t="str" cm="1">
        <f t="array" ref="D21">Common_InputFunctions.Utility_DisplayArrayInTable(Common_SourceData.Common_SourceData_WASA4Areas_Data(), Table_WASA4Areas[[#Headers],[SA 4 Name]], 0)</f>
        <v>Bunbury</v>
      </c>
    </row>
    <row r="22" spans="1:4" ht="20.100000000000001" customHeight="1" x14ac:dyDescent="0.25">
      <c r="A22"/>
      <c r="D22" s="11" t="str" cm="1">
        <f t="array" ref="D22">Common_InputFunctions.Utility_DisplayArrayInTable(Common_SourceData.Common_SourceData_WASA4Areas_Data(), Table_WASA4Areas[[#Headers],[SA 4 Name]], 0)</f>
        <v>Mandurah</v>
      </c>
    </row>
    <row r="23" spans="1:4" ht="20.100000000000001" customHeight="1" x14ac:dyDescent="0.25">
      <c r="A23"/>
      <c r="D23" s="11" t="str" cm="1">
        <f t="array" ref="D23">Common_InputFunctions.Utility_DisplayArrayInTable(Common_SourceData.Common_SourceData_WASA4Areas_Data(), Table_WASA4Areas[[#Headers],[SA 4 Name]], 0)</f>
        <v>Perth - Inner</v>
      </c>
    </row>
    <row r="24" spans="1:4" ht="20.100000000000001" customHeight="1" x14ac:dyDescent="0.25">
      <c r="A24"/>
      <c r="D24" s="11" t="str" cm="1">
        <f t="array" ref="D24">Common_InputFunctions.Utility_DisplayArrayInTable(Common_SourceData.Common_SourceData_WASA4Areas_Data(), Table_WASA4Areas[[#Headers],[SA 4 Name]], 0)</f>
        <v>Perth - North East</v>
      </c>
    </row>
    <row r="25" spans="1:4" ht="20.100000000000001" customHeight="1" x14ac:dyDescent="0.25">
      <c r="A25"/>
      <c r="D25" s="11" t="str" cm="1">
        <f t="array" ref="D25">Common_InputFunctions.Utility_DisplayArrayInTable(Common_SourceData.Common_SourceData_WASA4Areas_Data(), Table_WASA4Areas[[#Headers],[SA 4 Name]], 0)</f>
        <v>Perth - North West</v>
      </c>
    </row>
    <row r="26" spans="1:4" ht="20.100000000000001" customHeight="1" x14ac:dyDescent="0.25">
      <c r="A26"/>
      <c r="D26" s="11" t="str" cm="1">
        <f t="array" ref="D26">Common_InputFunctions.Utility_DisplayArrayInTable(Common_SourceData.Common_SourceData_WASA4Areas_Data(), Table_WASA4Areas[[#Headers],[SA 4 Name]], 0)</f>
        <v>Perth - South East</v>
      </c>
    </row>
    <row r="27" spans="1:4" ht="20.100000000000001" customHeight="1" x14ac:dyDescent="0.25">
      <c r="A27"/>
      <c r="D27" s="11" t="str" cm="1">
        <f t="array" ref="D27">Common_InputFunctions.Utility_DisplayArrayInTable(Common_SourceData.Common_SourceData_WASA4Areas_Data(), Table_WASA4Areas[[#Headers],[SA 4 Name]], 0)</f>
        <v>Perth - South West</v>
      </c>
    </row>
    <row r="28" spans="1:4" ht="20.100000000000001" customHeight="1" x14ac:dyDescent="0.25">
      <c r="A28"/>
      <c r="D28" s="11"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11"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11"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5" t="str" cm="1">
        <f t="array" ref="D34">Common_SourceData.Common_SourceData_GWP_Title()</f>
        <v>Global warming potential for greenhouse gases</v>
      </c>
    </row>
    <row r="35" spans="1:8" ht="20.100000000000001" customHeight="1" x14ac:dyDescent="0.25">
      <c r="A35"/>
      <c r="D35" s="4" t="str" cm="1">
        <f t="array" ref="D35">Common_SourceData.Common_SourceData_GWP_Source()</f>
        <v>XXXXXXX</v>
      </c>
    </row>
    <row r="36" spans="1:8" ht="20.100000000000001" customHeight="1" x14ac:dyDescent="0.25">
      <c r="A36"/>
      <c r="D36" s="11" t="s">
        <v>5</v>
      </c>
      <c r="E36" s="11" t="s">
        <v>6</v>
      </c>
    </row>
    <row r="37" spans="1:8" ht="20.100000000000001" customHeight="1" x14ac:dyDescent="0.25">
      <c r="A37"/>
      <c r="D37" s="11" t="str" cm="1">
        <f t="array" ref="D37">Common_InputFunctions.Utility_DisplayArrayInTable(Common_SourceData.Common_SourceData_GWP_Data(), Table_GWPData[[#Headers],[Gas]], 0)</f>
        <v>CO2</v>
      </c>
      <c r="E37" s="11" cm="1">
        <f t="array" ref="E37">Common_InputFunctions.Utility_DisplayArrayInTable(Common_SourceData.Common_SourceData_GWP_Data(), Table_GWPData[[#Headers],[Gas]], 0)</f>
        <v>1</v>
      </c>
    </row>
    <row r="38" spans="1:8" ht="20.100000000000001" customHeight="1" x14ac:dyDescent="0.25">
      <c r="A38"/>
      <c r="D38" s="11" t="str" cm="1">
        <f t="array" ref="D38">Common_InputFunctions.Utility_DisplayArrayInTable(Common_SourceData.Common_SourceData_GWP_Data(), Table_GWPData[[#Headers],[Gas]], 0)</f>
        <v>CH4</v>
      </c>
      <c r="E38" s="11" cm="1">
        <f t="array" ref="E38">Common_InputFunctions.Utility_DisplayArrayInTable(Common_SourceData.Common_SourceData_GWP_Data(), Table_GWPData[[#Headers],[Gas]], 0)</f>
        <v>28</v>
      </c>
    </row>
    <row r="39" spans="1:8" ht="20.100000000000001" customHeight="1" x14ac:dyDescent="0.25">
      <c r="A39"/>
      <c r="D39" s="11" t="str" cm="1">
        <f t="array" ref="D39">Common_InputFunctions.Utility_DisplayArrayInTable(Common_SourceData.Common_SourceData_GWP_Data(), Table_GWPData[[#Headers],[Gas]], 0)</f>
        <v>N2O</v>
      </c>
      <c r="E39" s="11" cm="1">
        <f t="array" ref="E39">Common_InputFunctions.Utility_DisplayArrayInTable(Common_SourceData.Common_SourceData_GWP_Data(), Table_GWPData[[#Headers],[Gas]], 0)</f>
        <v>265</v>
      </c>
    </row>
    <row r="40" spans="1:8" ht="20.100000000000001" customHeight="1" x14ac:dyDescent="0.25">
      <c r="A40"/>
      <c r="D40" s="11" t="str" cm="1">
        <f t="array" ref="D40">Common_InputFunctions.Utility_DisplayArrayInTable(Common_SourceData.Common_SourceData_GWP_Data(), Table_GWPData[[#Headers],[Gas]], 0)</f>
        <v>CF4</v>
      </c>
      <c r="E40" s="11" cm="1">
        <f t="array" ref="E40">Common_InputFunctions.Utility_DisplayArrayInTable(Common_SourceData.Common_SourceData_GWP_Data(), Table_GWPData[[#Headers],[Gas]], 0)</f>
        <v>6630</v>
      </c>
    </row>
    <row r="41" spans="1:8" ht="20.100000000000001" customHeight="1" x14ac:dyDescent="0.25">
      <c r="A41"/>
      <c r="D41" s="11" t="str" cm="1">
        <f t="array" ref="D41">Common_InputFunctions.Utility_DisplayArrayInTable(Common_SourceData.Common_SourceData_GWP_Data(), Table_GWPData[[#Headers],[Gas]], 0)</f>
        <v>C2F6</v>
      </c>
      <c r="E41" s="11" cm="1">
        <f t="array" ref="E41">Common_InputFunctions.Utility_DisplayArrayInTable(Common_SourceData.Common_SourceData_GWP_Data(), Table_GWPData[[#Headers],[Gas]], 0)</f>
        <v>12200</v>
      </c>
    </row>
    <row r="42" spans="1:8" ht="20.100000000000001" customHeight="1" x14ac:dyDescent="0.25">
      <c r="D42" s="11" t="str" cm="1">
        <f t="array" ref="D42">Common_InputFunctions.Utility_DisplayArrayInTable(Common_SourceData.Common_SourceData_GWP_Data(), Table_GWPData[[#Headers],[Gas]], 0)</f>
        <v>SF6</v>
      </c>
      <c r="E42" s="11" cm="1">
        <f t="array" ref="E42">Common_InputFunctions.Utility_DisplayArrayInTable(Common_SourceData.Common_SourceData_GWP_Data(), Table_GWPData[[#Headers],[Gas]], 0)</f>
        <v>22800</v>
      </c>
    </row>
    <row r="43" spans="1:8" ht="20.100000000000001" customHeight="1" x14ac:dyDescent="0.25">
      <c r="D43" s="11" t="str" cm="1">
        <f t="array" ref="D43">Common_InputFunctions.Utility_DisplayArrayInTable(Common_SourceData.Common_SourceData_GWP_Data(), Table_GWPData[[#Headers],[Gas]], 0)</f>
        <v>NF3</v>
      </c>
      <c r="E43" s="11"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5" t="str" cm="1">
        <f t="array" ref="D45">Common_SourceData.Common_SourceData_ConvertGasElementalToMolecular_Title()</f>
        <v>Factor to convert elemental mass of gas to molecular mass</v>
      </c>
    </row>
    <row r="46" spans="1:8" ht="20.100000000000001" customHeight="1" x14ac:dyDescent="0.25">
      <c r="D46" s="4" t="str" cm="1">
        <f t="array" ref="D46">Common_SourceData.Common_SourceData_ConvertGasElementalToMolecular_Source()</f>
        <v>XXXXXXX</v>
      </c>
    </row>
    <row r="47" spans="1:8" ht="20.100000000000001" customHeight="1" x14ac:dyDescent="0.25">
      <c r="D47" s="11" t="s">
        <v>5</v>
      </c>
      <c r="E47" s="11" t="s">
        <v>7</v>
      </c>
      <c r="F47" s="11" t="s">
        <v>8</v>
      </c>
      <c r="G47" s="11" t="s">
        <v>9</v>
      </c>
      <c r="H47" s="11" t="s">
        <v>10</v>
      </c>
    </row>
    <row r="48" spans="1:8" ht="20.100000000000001" customHeight="1" x14ac:dyDescent="0.25">
      <c r="D48" s="11" t="str" cm="1">
        <f t="array" ref="D48">Common_InputFunctions.Utility_DisplayArrayInTable(Common_SourceData.Common_SourceData_ConvertGasElementalToMolecular_Data(),Table_GasToMolecularConversionFactor[[#Headers],[Gas]], 0)</f>
        <v>CO2</v>
      </c>
      <c r="E48" s="11" t="str" cm="1">
        <f t="array" ref="E48">Common_InputFunctions.Utility_DisplayArrayInTable(Common_SourceData.Common_SourceData_ConvertGasElementalToMolecular_Data(),Table_GasToMolecularConversionFactor[[#Headers],[Gas]], 0)</f>
        <v>44/12</v>
      </c>
      <c r="F48" s="11" cm="1">
        <f t="array" ref="F48">Common_InputFunctions.Utility_DisplayArrayInTable(Common_SourceData.Common_SourceData_ConvertGasElementalToMolecular_Data(),Table_GasToMolecularConversionFactor[[#Headers],[Gas]], 0)</f>
        <v>44</v>
      </c>
      <c r="G48" s="11" cm="1">
        <f t="array" ref="G48">Common_InputFunctions.Utility_DisplayArrayInTable(Common_SourceData.Common_SourceData_ConvertGasElementalToMolecular_Data(),Table_GasToMolecularConversionFactor[[#Headers],[Gas]], 0)</f>
        <v>12</v>
      </c>
      <c r="H48" s="11">
        <f>Table_GasToMolecularConversionFactor[[#This Row],[Conversion factor 1]]/Table_GasToMolecularConversionFactor[[#This Row],[Conversion factor 2]]</f>
        <v>3.6666666666666665</v>
      </c>
    </row>
    <row r="49" spans="4:8" ht="20.100000000000001" customHeight="1" x14ac:dyDescent="0.25">
      <c r="D49" s="11" t="str" cm="1">
        <f t="array" ref="D49">Common_InputFunctions.Utility_DisplayArrayInTable(Common_SourceData.Common_SourceData_ConvertGasElementalToMolecular_Data(),Table_GasToMolecularConversionFactor[[#Headers],[Gas]], 0)</f>
        <v>CH4</v>
      </c>
      <c r="E49" s="11" t="str" cm="1">
        <f t="array" ref="E49">Common_InputFunctions.Utility_DisplayArrayInTable(Common_SourceData.Common_SourceData_ConvertGasElementalToMolecular_Data(),Table_GasToMolecularConversionFactor[[#Headers],[Gas]], 0)</f>
        <v>16/12</v>
      </c>
      <c r="F49" s="11" cm="1">
        <f t="array" ref="F49">Common_InputFunctions.Utility_DisplayArrayInTable(Common_SourceData.Common_SourceData_ConvertGasElementalToMolecular_Data(),Table_GasToMolecularConversionFactor[[#Headers],[Gas]], 0)</f>
        <v>16</v>
      </c>
      <c r="G49" s="11" cm="1">
        <f t="array" ref="G49">Common_InputFunctions.Utility_DisplayArrayInTable(Common_SourceData.Common_SourceData_ConvertGasElementalToMolecular_Data(),Table_GasToMolecularConversionFactor[[#Headers],[Gas]], 0)</f>
        <v>12</v>
      </c>
      <c r="H49" s="11">
        <f>Table_GasToMolecularConversionFactor[[#This Row],[Conversion factor 1]]/Table_GasToMolecularConversionFactor[[#This Row],[Conversion factor 2]]</f>
        <v>1.3333333333333333</v>
      </c>
    </row>
    <row r="50" spans="4:8" ht="20.100000000000001" customHeight="1" x14ac:dyDescent="0.25">
      <c r="D50" s="11" t="str" cm="1">
        <f t="array" ref="D50">Common_InputFunctions.Utility_DisplayArrayInTable(Common_SourceData.Common_SourceData_ConvertGasElementalToMolecular_Data(),Table_GasToMolecularConversionFactor[[#Headers],[Gas]], 0)</f>
        <v>N2O</v>
      </c>
      <c r="E50" s="11" t="str" cm="1">
        <f t="array" ref="E50">Common_InputFunctions.Utility_DisplayArrayInTable(Common_SourceData.Common_SourceData_ConvertGasElementalToMolecular_Data(),Table_GasToMolecularConversionFactor[[#Headers],[Gas]], 0)</f>
        <v>44/28</v>
      </c>
      <c r="F50" s="11" cm="1">
        <f t="array" ref="F50">Common_InputFunctions.Utility_DisplayArrayInTable(Common_SourceData.Common_SourceData_ConvertGasElementalToMolecular_Data(),Table_GasToMolecularConversionFactor[[#Headers],[Gas]], 0)</f>
        <v>44</v>
      </c>
      <c r="G50" s="11" cm="1">
        <f t="array" ref="G50">Common_InputFunctions.Utility_DisplayArrayInTable(Common_SourceData.Common_SourceData_ConvertGasElementalToMolecular_Data(),Table_GasToMolecularConversionFactor[[#Headers],[Gas]], 0)</f>
        <v>28</v>
      </c>
      <c r="H50" s="11">
        <f>Table_GasToMolecularConversionFactor[[#This Row],[Conversion factor 1]]/Table_GasToMolecularConversionFactor[[#This Row],[Conversion factor 2]]</f>
        <v>1.5714285714285714</v>
      </c>
    </row>
    <row r="51" spans="4:8" ht="20.100000000000001" customHeight="1" x14ac:dyDescent="0.25">
      <c r="D51" s="11" t="str" cm="1">
        <f t="array" ref="D51">Common_InputFunctions.Utility_DisplayArrayInTable(Common_SourceData.Common_SourceData_ConvertGasElementalToMolecular_Data(),Table_GasToMolecularConversionFactor[[#Headers],[Gas]], 0)</f>
        <v>Nox</v>
      </c>
      <c r="E51" s="11" t="str" cm="1">
        <f t="array" ref="E51">Common_InputFunctions.Utility_DisplayArrayInTable(Common_SourceData.Common_SourceData_ConvertGasElementalToMolecular_Data(),Table_GasToMolecularConversionFactor[[#Headers],[Gas]], 0)</f>
        <v>46/14</v>
      </c>
      <c r="F51" s="11" cm="1">
        <f t="array" ref="F51">Common_InputFunctions.Utility_DisplayArrayInTable(Common_SourceData.Common_SourceData_ConvertGasElementalToMolecular_Data(),Table_GasToMolecularConversionFactor[[#Headers],[Gas]], 0)</f>
        <v>46</v>
      </c>
      <c r="G51" s="11" cm="1">
        <f t="array" ref="G51">Common_InputFunctions.Utility_DisplayArrayInTable(Common_SourceData.Common_SourceData_ConvertGasElementalToMolecular_Data(),Table_GasToMolecularConversionFactor[[#Headers],[Gas]], 0)</f>
        <v>14</v>
      </c>
      <c r="H51" s="11">
        <f>Table_GasToMolecularConversionFactor[[#This Row],[Conversion factor 1]]/Table_GasToMolecularConversionFactor[[#This Row],[Conversion factor 2]]</f>
        <v>3.2857142857142856</v>
      </c>
    </row>
    <row r="52" spans="4:8" ht="20.100000000000001" customHeight="1" x14ac:dyDescent="0.25">
      <c r="D52" s="11" t="str" cm="1">
        <f t="array" ref="D52">Common_InputFunctions.Utility_DisplayArrayInTable(Common_SourceData.Common_SourceData_ConvertGasElementalToMolecular_Data(),Table_GasToMolecularConversionFactor[[#Headers],[Gas]], 0)</f>
        <v>CO</v>
      </c>
      <c r="E52" s="11" t="str" cm="1">
        <f t="array" ref="E52">Common_InputFunctions.Utility_DisplayArrayInTable(Common_SourceData.Common_SourceData_ConvertGasElementalToMolecular_Data(),Table_GasToMolecularConversionFactor[[#Headers],[Gas]], 0)</f>
        <v>28/12</v>
      </c>
      <c r="F52" s="11" cm="1">
        <f t="array" ref="F52">Common_InputFunctions.Utility_DisplayArrayInTable(Common_SourceData.Common_SourceData_ConvertGasElementalToMolecular_Data(),Table_GasToMolecularConversionFactor[[#Headers],[Gas]], 0)</f>
        <v>28</v>
      </c>
      <c r="G52" s="11" cm="1">
        <f t="array" ref="G52">Common_InputFunctions.Utility_DisplayArrayInTable(Common_SourceData.Common_SourceData_ConvertGasElementalToMolecular_Data(),Table_GasToMolecularConversionFactor[[#Headers],[Gas]], 0)</f>
        <v>12</v>
      </c>
      <c r="H52" s="11">
        <f>Table_GasToMolecularConversionFactor[[#This Row],[Conversion factor 1]]/Table_GasToMolecularConversionFactor[[#This Row],[Conversion factor 2]]</f>
        <v>2.3333333333333335</v>
      </c>
    </row>
    <row r="53" spans="4:8" ht="20.100000000000001" customHeight="1" x14ac:dyDescent="0.25">
      <c r="D53" s="11" t="str" cm="1">
        <f t="array" ref="D53">Common_InputFunctions.Utility_DisplayArrayInTable(Common_SourceData.Common_SourceData_ConvertGasElementalToMolecular_Data(),Table_GasToMolecularConversionFactor[[#Headers],[Gas]], 0)</f>
        <v>CO2 Lime</v>
      </c>
      <c r="E53" s="11" t="str" cm="1">
        <f t="array" ref="E53">Common_InputFunctions.Utility_DisplayArrayInTable(Common_SourceData.Common_SourceData_ConvertGasElementalToMolecular_Data(),Table_GasToMolecularConversionFactor[[#Headers],[Gas]], 0)</f>
        <v>44/12</v>
      </c>
      <c r="F53" s="11" cm="1">
        <f t="array" ref="F53">Common_InputFunctions.Utility_DisplayArrayInTable(Common_SourceData.Common_SourceData_ConvertGasElementalToMolecular_Data(),Table_GasToMolecularConversionFactor[[#Headers],[Gas]], 0)</f>
        <v>44</v>
      </c>
      <c r="G53" s="11" cm="1">
        <f t="array" ref="G53">Common_InputFunctions.Utility_DisplayArrayInTable(Common_SourceData.Common_SourceData_ConvertGasElementalToMolecular_Data(),Table_GasToMolecularConversionFactor[[#Headers],[Gas]], 0)</f>
        <v>12</v>
      </c>
      <c r="H53" s="11">
        <f>Table_GasToMolecularConversionFactor[[#This Row],[Conversion factor 1]]/Table_GasToMolecularConversionFactor[[#This Row],[Conversion factor 2]]</f>
        <v>3.6666666666666665</v>
      </c>
    </row>
    <row r="54" spans="4:8" ht="20.100000000000001" customHeight="1" x14ac:dyDescent="0.25">
      <c r="D54" s="11" t="str" cm="1">
        <f t="array" ref="D54">Common_InputFunctions.Utility_DisplayArrayInTable(Common_SourceData.Common_SourceData_ConvertGasElementalToMolecular_Data(),Table_GasToMolecularConversionFactor[[#Headers],[Gas]], 0)</f>
        <v>NMVOC</v>
      </c>
      <c r="E54" s="11" t="str" cm="1">
        <f t="array" ref="E54">Common_InputFunctions.Utility_DisplayArrayInTable(Common_SourceData.Common_SourceData_ConvertGasElementalToMolecular_Data(),Table_GasToMolecularConversionFactor[[#Headers],[Gas]], 0)</f>
        <v>14/12</v>
      </c>
      <c r="F54" s="11" cm="1">
        <f t="array" ref="F54">Common_InputFunctions.Utility_DisplayArrayInTable(Common_SourceData.Common_SourceData_ConvertGasElementalToMolecular_Data(),Table_GasToMolecularConversionFactor[[#Headers],[Gas]], 0)</f>
        <v>14</v>
      </c>
      <c r="G54" s="11" cm="1">
        <f t="array" ref="G54">Common_InputFunctions.Utility_DisplayArrayInTable(Common_SourceData.Common_SourceData_ConvertGasElementalToMolecular_Data(),Table_GasToMolecularConversionFactor[[#Headers],[Gas]], 0)</f>
        <v>12</v>
      </c>
      <c r="H54" s="11">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5" t="str" cm="1">
        <f t="array" ref="D57">Common_SourceData.Common_SourceData_WetAndDryZones_Title()</f>
        <v>VEERG Australian wet and dry zones</v>
      </c>
    </row>
    <row r="58" spans="4:8" ht="20.100000000000001" customHeight="1" x14ac:dyDescent="0.25">
      <c r="D58" s="4" t="str" cm="1">
        <f t="array" ref="D58">Common_SourceData.Common_SourceData_WetAndDryZones_Source()</f>
        <v>VEERG 2026: Table 1.2: Translating climate zones to wet and dry zones</v>
      </c>
    </row>
    <row r="59" spans="4:8" ht="20.100000000000001" customHeight="1" x14ac:dyDescent="0.25">
      <c r="D59" s="13" t="str" cm="1">
        <f t="array" ref="D59:D61">"⚠️" &amp; Common_SourceData.Common_SourceData_WetAndDryZones_Variation()</f>
        <v>⚠️VARIATION OF SOURCE DATA:</v>
      </c>
    </row>
    <row r="60" spans="4:8" ht="20.100000000000001" customHeight="1" x14ac:dyDescent="0.25">
      <c r="D60" s="13" t="str">
        <v>⚠️Added warm / cool temperate moist / dry - low frost and high temp classes to accommodate climate scenarios excluded by VEERG criteria.</v>
      </c>
    </row>
    <row r="61" spans="4:8" ht="20.100000000000001" customHeight="1" x14ac:dyDescent="0.25">
      <c r="D61" s="13" t="str">
        <v>⚠️Fixed typo - Changed 'Fry' to 'Dry'.</v>
      </c>
    </row>
    <row r="62" spans="4:8" ht="20.100000000000001" customHeight="1" x14ac:dyDescent="0.25"/>
    <row r="63" spans="4:8" ht="20.100000000000001" customHeight="1" x14ac:dyDescent="0.25">
      <c r="D63" s="11" t="s">
        <v>0</v>
      </c>
      <c r="E63" s="11" t="s">
        <v>23</v>
      </c>
    </row>
    <row r="64" spans="4:8" ht="20.100000000000001" customHeight="1" x14ac:dyDescent="0.25">
      <c r="D64" s="11" t="str" cm="1">
        <f t="array" ref="D64">Common_InputFunctions.Utility_DisplayArrayInTable(Common_SourceData.Common_SourceData_WetAndDryZones_Data(), Table_SourceData_WetDryZones[[#Headers],[Climate zone]], 0)</f>
        <v>Tropical montane</v>
      </c>
      <c r="E64" s="11"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11" t="str" cm="1">
        <f t="array" ref="D65">Common_InputFunctions.Utility_DisplayArrayInTable(Common_SourceData.Common_SourceData_WetAndDryZones_Data(), Table_SourceData_WetDryZones[[#Headers],[Climate zone]], 0)</f>
        <v>Tropical wet</v>
      </c>
      <c r="E65" s="11"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11" t="str" cm="1">
        <f t="array" ref="D66">Common_InputFunctions.Utility_DisplayArrayInTable(Common_SourceData.Common_SourceData_WetAndDryZones_Data(), Table_SourceData_WetDryZones[[#Headers],[Climate zone]], 0)</f>
        <v>Tropical moist</v>
      </c>
      <c r="E66" s="11"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11" t="str" cm="1">
        <f t="array" ref="D67">Common_InputFunctions.Utility_DisplayArrayInTable(Common_SourceData.Common_SourceData_WetAndDryZones_Data(), Table_SourceData_WetDryZones[[#Headers],[Climate zone]], 0)</f>
        <v>Tropical dry</v>
      </c>
      <c r="E67" s="11"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11" t="str" cm="1">
        <f t="array" ref="D68">Common_InputFunctions.Utility_DisplayArrayInTable(Common_SourceData.Common_SourceData_WetAndDryZones_Data(), Table_SourceData_WetDryZones[[#Headers],[Climate zone]], 0)</f>
        <v>Warm temperate moist</v>
      </c>
      <c r="E68" s="11"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11" t="str" cm="1">
        <f t="array" ref="D69">Common_InputFunctions.Utility_DisplayArrayInTable(Common_SourceData.Common_SourceData_WetAndDryZones_Data(), Table_SourceData_WetDryZones[[#Headers],[Climate zone]], 0)</f>
        <v>Warm temperate dry</v>
      </c>
      <c r="E69" s="11"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11" t="str" cm="1">
        <f t="array" ref="D70">Common_InputFunctions.Utility_DisplayArrayInTable(Common_SourceData.Common_SourceData_WetAndDryZones_Data(), Table_SourceData_WetDryZones[[#Headers],[Climate zone]], 0)</f>
        <v>Cool temperate moist</v>
      </c>
      <c r="E70" s="11"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11" t="str" cm="1">
        <f t="array" ref="D71">Common_InputFunctions.Utility_DisplayArrayInTable(Common_SourceData.Common_SourceData_WetAndDryZones_Data(), Table_SourceData_WetDryZones[[#Headers],[Climate zone]], 0)</f>
        <v>Cool temperate dry</v>
      </c>
      <c r="E71" s="11"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11" t="str" cm="1">
        <f t="array" ref="D72">Common_InputFunctions.Utility_DisplayArrayInTable(Common_SourceData.Common_SourceData_WetAndDryZones_Data(), Table_SourceData_WetDryZones[[#Headers],[Climate zone]], 0)</f>
        <v>Warm temperate moist - low frost</v>
      </c>
      <c r="E72" s="11"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11" t="str" cm="1">
        <f t="array" ref="D73">Common_InputFunctions.Utility_DisplayArrayInTable(Common_SourceData.Common_SourceData_WetAndDryZones_Data(), Table_SourceData_WetDryZones[[#Headers],[Climate zone]], 0)</f>
        <v>Warm temperate dry - low frost</v>
      </c>
      <c r="E73" s="11"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11" t="str" cm="1">
        <f t="array" ref="D74">Common_InputFunctions.Utility_DisplayArrayInTable(Common_SourceData.Common_SourceData_WetAndDryZones_Data(), Table_SourceData_WetDryZones[[#Headers],[Climate zone]], 0)</f>
        <v>Warm temperate moist - high temp</v>
      </c>
      <c r="E74" s="11"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11" t="str" cm="1">
        <f t="array" ref="D75">Common_InputFunctions.Utility_DisplayArrayInTable(Common_SourceData.Common_SourceData_WetAndDryZones_Data(), Table_SourceData_WetDryZones[[#Headers],[Climate zone]], 0)</f>
        <v>Warm temperate dry - high temp</v>
      </c>
      <c r="E75" s="11"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11" t="str" cm="1">
        <f t="array" ref="D76">Common_InputFunctions.Utility_DisplayArrayInTable(Common_SourceData.Common_SourceData_WetAndDryZones_Data(), Table_SourceData_WetDryZones[[#Headers],[Climate zone]], 0)</f>
        <v>Cool temperate moist - low frost</v>
      </c>
      <c r="E76" s="11"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11" t="str" cm="1">
        <f t="array" ref="D77">Common_InputFunctions.Utility_DisplayArrayInTable(Common_SourceData.Common_SourceData_WetAndDryZones_Data(), Table_SourceData_WetDryZones[[#Headers],[Climate zone]], 0)</f>
        <v>Cool temperate dry - low frost</v>
      </c>
      <c r="E77" s="11"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5" t="str" cm="1">
        <f t="array" ref="D81">Common_SourceData.Common_SourceData_ClimateZones_Title()</f>
        <v>VEERG Australian climate zones</v>
      </c>
    </row>
    <row r="82" spans="4:20" ht="20.100000000000001" customHeight="1" x14ac:dyDescent="0.25">
      <c r="D82" s="4" t="str" cm="1">
        <f t="array" ref="D82">Common_SourceData.Common_SourceData_ClimateZones_Source()</f>
        <v>VEERG 2026: Table 1.3: Climate and Rainfall zone classifications and definitions</v>
      </c>
    </row>
    <row r="83" spans="4:20" ht="20.100000000000001" customHeight="1" x14ac:dyDescent="0.25">
      <c r="D83" s="13" t="str" cm="1">
        <f t="array" ref="D83:D87">"⚠️" &amp; Common_SourceData.Common_SourceData_ClimateZones_Variation()</f>
        <v>⚠️VARIATION OF SOURCE DATA:</v>
      </c>
    </row>
    <row r="84" spans="4:20" ht="20.100000000000001" customHeight="1" x14ac:dyDescent="0.25">
      <c r="D84" s="13" t="str">
        <v>⚠️Added warm / cool temperate moist / dry - low frost and high temp classes to accommodate climate scenarios excluded by VEERG criteria.</v>
      </c>
    </row>
    <row r="85" spans="4:20" ht="20.100000000000001" customHeight="1" x14ac:dyDescent="0.25">
      <c r="D85" s="13" t="str">
        <v>⚠️Fixed typo in MAT value for warm temperate dry - changed 10 to 11.</v>
      </c>
    </row>
    <row r="86" spans="4:20" ht="20.100000000000001" customHeight="1" x14ac:dyDescent="0.25">
      <c r="D86" s="13" t="str">
        <v>⚠️Added min and max columns for MAT, MAP, frost days per year, elevation, MAP:PET to calculate zones from real climate data.</v>
      </c>
    </row>
    <row r="87" spans="4:20" ht="20.100000000000001" customHeight="1" x14ac:dyDescent="0.25">
      <c r="D87" s="13" t="str">
        <v>⚠️GAF accepts rainfall as a proxy for precipitation.</v>
      </c>
    </row>
    <row r="88" spans="4:20" ht="20.100000000000001" customHeight="1" x14ac:dyDescent="0.25"/>
    <row r="89" spans="4:20" ht="20.100000000000001" customHeight="1" x14ac:dyDescent="0.25">
      <c r="D89" s="11" t="s">
        <v>0</v>
      </c>
      <c r="E89" s="11" t="s">
        <v>11</v>
      </c>
      <c r="F89" s="11" t="s">
        <v>12</v>
      </c>
      <c r="G89" s="11" t="s">
        <v>13</v>
      </c>
      <c r="H89" s="11" t="s">
        <v>14</v>
      </c>
      <c r="I89" s="11" t="s">
        <v>15</v>
      </c>
      <c r="J89" s="11" t="s">
        <v>16</v>
      </c>
      <c r="K89" s="11" t="s">
        <v>17</v>
      </c>
      <c r="L89" s="11" t="s">
        <v>18</v>
      </c>
      <c r="M89" s="11" t="s">
        <v>19</v>
      </c>
      <c r="N89" s="11" t="s">
        <v>20</v>
      </c>
      <c r="O89" s="11" t="s">
        <v>24</v>
      </c>
      <c r="P89" s="11" t="s">
        <v>21</v>
      </c>
      <c r="Q89" s="11" t="s">
        <v>25</v>
      </c>
      <c r="R89" s="11" t="s">
        <v>22</v>
      </c>
      <c r="S89" s="11" t="s">
        <v>26</v>
      </c>
      <c r="T89" s="11"/>
    </row>
    <row r="90" spans="4:20" ht="20.100000000000001" customHeight="1" x14ac:dyDescent="0.25">
      <c r="D90" s="11" t="str" cm="1">
        <f t="array" ref="D90">Common_InputFunctions.Utility_DisplayArrayInTable(Common_SourceData.Common_SourceData_ClimateZones_Data(), Table_SourceData_ClimateZones[[#Headers],[Climate zone]], 0)</f>
        <v>Tropical montane</v>
      </c>
      <c r="E90" s="11" t="str" cm="1">
        <f t="array" ref="E90">Common_InputFunctions.Utility_DisplayArrayInTable(Common_SourceData.Common_SourceData_ClimateZones_Data(), Table_SourceData_ClimateZones[[#Headers],[Climate zone]], 0)</f>
        <v>&gt; 18 C</v>
      </c>
      <c r="F90" s="11" t="str" cm="1">
        <f t="array" ref="F90">Common_InputFunctions.Utility_DisplayArrayInTable(Common_SourceData.Common_SourceData_ClimateZones_Data(), Table_SourceData_ClimateZones[[#Headers],[Climate zone]], 0)</f>
        <v>Any</v>
      </c>
      <c r="G90" s="11" t="str" cm="1">
        <f t="array" ref="G90">Common_InputFunctions.Utility_DisplayArrayInTable(Common_SourceData.Common_SourceData_ClimateZones_Data(), Table_SourceData_ClimateZones[[#Headers],[Climate zone]], 0)</f>
        <v>≤ 7</v>
      </c>
      <c r="H90" s="11" t="str" cm="1">
        <f t="array" ref="H90">Common_InputFunctions.Utility_DisplayArrayInTable(Common_SourceData.Common_SourceData_ClimateZones_Data(), Table_SourceData_ClimateZones[[#Headers],[Climate zone]], 0)</f>
        <v>&gt; 1000 m</v>
      </c>
      <c r="I90" s="11" t="str" cm="1">
        <f t="array" ref="I90">Common_InputFunctions.Utility_DisplayArrayInTable(Common_SourceData.Common_SourceData_ClimateZones_Data(), Table_SourceData_ClimateZones[[#Headers],[Climate zone]], 0)</f>
        <v>Any</v>
      </c>
      <c r="J90" s="11" cm="1">
        <f t="array" ref="J90">Common_InputFunctions.Utility_DisplayArrayInTable(Common_SourceData.Common_SourceData_ClimateZones_Data(), Table_SourceData_ClimateZones[[#Headers],[Climate zone]], 0)</f>
        <v>18.001000000000001</v>
      </c>
      <c r="K90" s="11" cm="1">
        <f t="array" ref="K90">Common_InputFunctions.Utility_DisplayArrayInTable(Common_SourceData.Common_SourceData_ClimateZones_Data(), Table_SourceData_ClimateZones[[#Headers],[Climate zone]], 0)</f>
        <v>999999</v>
      </c>
      <c r="L90" s="11" cm="1">
        <f t="array" ref="L90">Common_InputFunctions.Utility_DisplayArrayInTable(Common_SourceData.Common_SourceData_ClimateZones_Data(), Table_SourceData_ClimateZones[[#Headers],[Climate zone]], 0)</f>
        <v>-999999</v>
      </c>
      <c r="M90" s="11" cm="1">
        <f t="array" ref="M90">Common_InputFunctions.Utility_DisplayArrayInTable(Common_SourceData.Common_SourceData_ClimateZones_Data(), Table_SourceData_ClimateZones[[#Headers],[Climate zone]], 0)</f>
        <v>999999</v>
      </c>
      <c r="N90" s="11" cm="1">
        <f t="array" ref="N90">Common_InputFunctions.Utility_DisplayArrayInTable(Common_SourceData.Common_SourceData_ClimateZones_Data(), Table_SourceData_ClimateZones[[#Headers],[Climate zone]], 0)</f>
        <v>-999999</v>
      </c>
      <c r="O90" s="11" cm="1">
        <f t="array" ref="O90">Common_InputFunctions.Utility_DisplayArrayInTable(Common_SourceData.Common_SourceData_ClimateZones_Data(), Table_SourceData_ClimateZones[[#Headers],[Climate zone]], 0)</f>
        <v>7</v>
      </c>
      <c r="P90" s="11" cm="1">
        <f t="array" ref="P90">Common_InputFunctions.Utility_DisplayArrayInTable(Common_SourceData.Common_SourceData_ClimateZones_Data(), Table_SourceData_ClimateZones[[#Headers],[Climate zone]], 0)</f>
        <v>1000</v>
      </c>
      <c r="Q90" s="11" cm="1">
        <f t="array" ref="Q90">Common_InputFunctions.Utility_DisplayArrayInTable(Common_SourceData.Common_SourceData_ClimateZones_Data(), Table_SourceData_ClimateZones[[#Headers],[Climate zone]], 0)</f>
        <v>999999</v>
      </c>
      <c r="R90" s="11" cm="1">
        <f t="array" ref="R90">Common_InputFunctions.Utility_DisplayArrayInTable(Common_SourceData.Common_SourceData_ClimateZones_Data(), Table_SourceData_ClimateZones[[#Headers],[Climate zone]], 0)</f>
        <v>-999999</v>
      </c>
      <c r="S90" s="11" cm="1">
        <f t="array" ref="S90">Common_InputFunctions.Utility_DisplayArrayInTable(Common_SourceData.Common_SourceData_ClimateZones_Data(), Table_SourceData_ClimateZones[[#Headers],[Climate zone]], 0)</f>
        <v>999999</v>
      </c>
      <c r="T90" s="11"/>
    </row>
    <row r="91" spans="4:20" ht="20.100000000000001" customHeight="1" x14ac:dyDescent="0.25">
      <c r="D91" s="11" t="str" cm="1">
        <f t="array" ref="D91">Common_InputFunctions.Utility_DisplayArrayInTable(Common_SourceData.Common_SourceData_ClimateZones_Data(), Table_SourceData_ClimateZones[[#Headers],[Climate zone]], 0)</f>
        <v>Tropical wet</v>
      </c>
      <c r="E91" s="11" t="str" cm="1">
        <f t="array" ref="E91">Common_InputFunctions.Utility_DisplayArrayInTable(Common_SourceData.Common_SourceData_ClimateZones_Data(), Table_SourceData_ClimateZones[[#Headers],[Climate zone]], 0)</f>
        <v>&gt; 18 C</v>
      </c>
      <c r="F91" s="11" t="str" cm="1">
        <f t="array" ref="F91">Common_InputFunctions.Utility_DisplayArrayInTable(Common_SourceData.Common_SourceData_ClimateZones_Data(), Table_SourceData_ClimateZones[[#Headers],[Climate zone]], 0)</f>
        <v>&gt; 2000 mm</v>
      </c>
      <c r="G91" s="11" t="str" cm="1">
        <f t="array" ref="G91">Common_InputFunctions.Utility_DisplayArrayInTable(Common_SourceData.Common_SourceData_ClimateZones_Data(), Table_SourceData_ClimateZones[[#Headers],[Climate zone]], 0)</f>
        <v>≤ 7</v>
      </c>
      <c r="H91" s="11" t="str" cm="1">
        <f t="array" ref="H91">Common_InputFunctions.Utility_DisplayArrayInTable(Common_SourceData.Common_SourceData_ClimateZones_Data(), Table_SourceData_ClimateZones[[#Headers],[Climate zone]], 0)</f>
        <v>≤ 1000 m</v>
      </c>
      <c r="I91" s="11" t="str" cm="1">
        <f t="array" ref="I91">Common_InputFunctions.Utility_DisplayArrayInTable(Common_SourceData.Common_SourceData_ClimateZones_Data(), Table_SourceData_ClimateZones[[#Headers],[Climate zone]], 0)</f>
        <v>Any</v>
      </c>
      <c r="J91" s="11" cm="1">
        <f t="array" ref="J91">Common_InputFunctions.Utility_DisplayArrayInTable(Common_SourceData.Common_SourceData_ClimateZones_Data(), Table_SourceData_ClimateZones[[#Headers],[Climate zone]], 0)</f>
        <v>18.001000000000001</v>
      </c>
      <c r="K91" s="11" cm="1">
        <f t="array" ref="K91">Common_InputFunctions.Utility_DisplayArrayInTable(Common_SourceData.Common_SourceData_ClimateZones_Data(), Table_SourceData_ClimateZones[[#Headers],[Climate zone]], 0)</f>
        <v>999999</v>
      </c>
      <c r="L91" s="11" cm="1">
        <f t="array" ref="L91">Common_InputFunctions.Utility_DisplayArrayInTable(Common_SourceData.Common_SourceData_ClimateZones_Data(), Table_SourceData_ClimateZones[[#Headers],[Climate zone]], 0)</f>
        <v>2000.001</v>
      </c>
      <c r="M91" s="11" cm="1">
        <f t="array" ref="M91">Common_InputFunctions.Utility_DisplayArrayInTable(Common_SourceData.Common_SourceData_ClimateZones_Data(), Table_SourceData_ClimateZones[[#Headers],[Climate zone]], 0)</f>
        <v>999999</v>
      </c>
      <c r="N91" s="11" cm="1">
        <f t="array" ref="N91">Common_InputFunctions.Utility_DisplayArrayInTable(Common_SourceData.Common_SourceData_ClimateZones_Data(), Table_SourceData_ClimateZones[[#Headers],[Climate zone]], 0)</f>
        <v>-999999</v>
      </c>
      <c r="O91" s="11" cm="1">
        <f t="array" ref="O91">Common_InputFunctions.Utility_DisplayArrayInTable(Common_SourceData.Common_SourceData_ClimateZones_Data(), Table_SourceData_ClimateZones[[#Headers],[Climate zone]], 0)</f>
        <v>7</v>
      </c>
      <c r="P91" s="11" cm="1">
        <f t="array" ref="P91">Common_InputFunctions.Utility_DisplayArrayInTable(Common_SourceData.Common_SourceData_ClimateZones_Data(), Table_SourceData_ClimateZones[[#Headers],[Climate zone]], 0)</f>
        <v>-999999</v>
      </c>
      <c r="Q91" s="11" cm="1">
        <f t="array" ref="Q91">Common_InputFunctions.Utility_DisplayArrayInTable(Common_SourceData.Common_SourceData_ClimateZones_Data(), Table_SourceData_ClimateZones[[#Headers],[Climate zone]], 0)</f>
        <v>999.99900000000002</v>
      </c>
      <c r="R91" s="11" cm="1">
        <f t="array" ref="R91">Common_InputFunctions.Utility_DisplayArrayInTable(Common_SourceData.Common_SourceData_ClimateZones_Data(), Table_SourceData_ClimateZones[[#Headers],[Climate zone]], 0)</f>
        <v>-999999</v>
      </c>
      <c r="S91" s="11" cm="1">
        <f t="array" ref="S91">Common_InputFunctions.Utility_DisplayArrayInTable(Common_SourceData.Common_SourceData_ClimateZones_Data(), Table_SourceData_ClimateZones[[#Headers],[Climate zone]], 0)</f>
        <v>999999</v>
      </c>
      <c r="T91" s="11"/>
    </row>
    <row r="92" spans="4:20" ht="20.100000000000001" customHeight="1" x14ac:dyDescent="0.25">
      <c r="D92" s="11" t="str" cm="1">
        <f t="array" ref="D92">Common_InputFunctions.Utility_DisplayArrayInTable(Common_SourceData.Common_SourceData_ClimateZones_Data(), Table_SourceData_ClimateZones[[#Headers],[Climate zone]], 0)</f>
        <v>Tropical moist</v>
      </c>
      <c r="E92" s="11" t="str" cm="1">
        <f t="array" ref="E92">Common_InputFunctions.Utility_DisplayArrayInTable(Common_SourceData.Common_SourceData_ClimateZones_Data(), Table_SourceData_ClimateZones[[#Headers],[Climate zone]], 0)</f>
        <v>&gt; 18 C</v>
      </c>
      <c r="F92" s="11" t="str" cm="1">
        <f t="array" ref="F92">Common_InputFunctions.Utility_DisplayArrayInTable(Common_SourceData.Common_SourceData_ClimateZones_Data(), Table_SourceData_ClimateZones[[#Headers],[Climate zone]], 0)</f>
        <v>&gt; 1000 mm - ≤ 2000 mm</v>
      </c>
      <c r="G92" s="11" t="str" cm="1">
        <f t="array" ref="G92">Common_InputFunctions.Utility_DisplayArrayInTable(Common_SourceData.Common_SourceData_ClimateZones_Data(), Table_SourceData_ClimateZones[[#Headers],[Climate zone]], 0)</f>
        <v>≤ 7</v>
      </c>
      <c r="H92" s="11" t="str" cm="1">
        <f t="array" ref="H92">Common_InputFunctions.Utility_DisplayArrayInTable(Common_SourceData.Common_SourceData_ClimateZones_Data(), Table_SourceData_ClimateZones[[#Headers],[Climate zone]], 0)</f>
        <v>≤ 1000 m</v>
      </c>
      <c r="I92" s="11" t="str" cm="1">
        <f t="array" ref="I92">Common_InputFunctions.Utility_DisplayArrayInTable(Common_SourceData.Common_SourceData_ClimateZones_Data(), Table_SourceData_ClimateZones[[#Headers],[Climate zone]], 0)</f>
        <v>Any</v>
      </c>
      <c r="J92" s="11" cm="1">
        <f t="array" ref="J92">Common_InputFunctions.Utility_DisplayArrayInTable(Common_SourceData.Common_SourceData_ClimateZones_Data(), Table_SourceData_ClimateZones[[#Headers],[Climate zone]], 0)</f>
        <v>18.001000000000001</v>
      </c>
      <c r="K92" s="11" cm="1">
        <f t="array" ref="K92">Common_InputFunctions.Utility_DisplayArrayInTable(Common_SourceData.Common_SourceData_ClimateZones_Data(), Table_SourceData_ClimateZones[[#Headers],[Climate zone]], 0)</f>
        <v>999999</v>
      </c>
      <c r="L92" s="11" cm="1">
        <f t="array" ref="L92">Common_InputFunctions.Utility_DisplayArrayInTable(Common_SourceData.Common_SourceData_ClimateZones_Data(), Table_SourceData_ClimateZones[[#Headers],[Climate zone]], 0)</f>
        <v>1000.001</v>
      </c>
      <c r="M92" s="11" cm="1">
        <f t="array" ref="M92">Common_InputFunctions.Utility_DisplayArrayInTable(Common_SourceData.Common_SourceData_ClimateZones_Data(), Table_SourceData_ClimateZones[[#Headers],[Climate zone]], 0)</f>
        <v>2000</v>
      </c>
      <c r="N92" s="11" cm="1">
        <f t="array" ref="N92">Common_InputFunctions.Utility_DisplayArrayInTable(Common_SourceData.Common_SourceData_ClimateZones_Data(), Table_SourceData_ClimateZones[[#Headers],[Climate zone]], 0)</f>
        <v>-999999</v>
      </c>
      <c r="O92" s="11" cm="1">
        <f t="array" ref="O92">Common_InputFunctions.Utility_DisplayArrayInTable(Common_SourceData.Common_SourceData_ClimateZones_Data(), Table_SourceData_ClimateZones[[#Headers],[Climate zone]], 0)</f>
        <v>7</v>
      </c>
      <c r="P92" s="11" cm="1">
        <f t="array" ref="P92">Common_InputFunctions.Utility_DisplayArrayInTable(Common_SourceData.Common_SourceData_ClimateZones_Data(), Table_SourceData_ClimateZones[[#Headers],[Climate zone]], 0)</f>
        <v>-999999</v>
      </c>
      <c r="Q92" s="11" cm="1">
        <f t="array" ref="Q92">Common_InputFunctions.Utility_DisplayArrayInTable(Common_SourceData.Common_SourceData_ClimateZones_Data(), Table_SourceData_ClimateZones[[#Headers],[Climate zone]], 0)</f>
        <v>999.99900000000002</v>
      </c>
      <c r="R92" s="11" cm="1">
        <f t="array" ref="R92">Common_InputFunctions.Utility_DisplayArrayInTable(Common_SourceData.Common_SourceData_ClimateZones_Data(), Table_SourceData_ClimateZones[[#Headers],[Climate zone]], 0)</f>
        <v>-999999</v>
      </c>
      <c r="S92" s="11" cm="1">
        <f t="array" ref="S92">Common_InputFunctions.Utility_DisplayArrayInTable(Common_SourceData.Common_SourceData_ClimateZones_Data(), Table_SourceData_ClimateZones[[#Headers],[Climate zone]], 0)</f>
        <v>999999</v>
      </c>
      <c r="T92" s="11"/>
    </row>
    <row r="93" spans="4:20" ht="20.100000000000001" customHeight="1" x14ac:dyDescent="0.25">
      <c r="D93" s="11" t="str" cm="1">
        <f t="array" ref="D93">Common_InputFunctions.Utility_DisplayArrayInTable(Common_SourceData.Common_SourceData_ClimateZones_Data(), Table_SourceData_ClimateZones[[#Headers],[Climate zone]], 0)</f>
        <v>Tropical dry</v>
      </c>
      <c r="E93" s="11" t="str" cm="1">
        <f t="array" ref="E93">Common_InputFunctions.Utility_DisplayArrayInTable(Common_SourceData.Common_SourceData_ClimateZones_Data(), Table_SourceData_ClimateZones[[#Headers],[Climate zone]], 0)</f>
        <v>&gt; 18 C</v>
      </c>
      <c r="F93" s="11" t="str" cm="1">
        <f t="array" ref="F93">Common_InputFunctions.Utility_DisplayArrayInTable(Common_SourceData.Common_SourceData_ClimateZones_Data(), Table_SourceData_ClimateZones[[#Headers],[Climate zone]], 0)</f>
        <v>≤ 1000 mm</v>
      </c>
      <c r="G93" s="11" t="str" cm="1">
        <f t="array" ref="G93">Common_InputFunctions.Utility_DisplayArrayInTable(Common_SourceData.Common_SourceData_ClimateZones_Data(), Table_SourceData_ClimateZones[[#Headers],[Climate zone]], 0)</f>
        <v>≤ 7</v>
      </c>
      <c r="H93" s="11" t="str" cm="1">
        <f t="array" ref="H93">Common_InputFunctions.Utility_DisplayArrayInTable(Common_SourceData.Common_SourceData_ClimateZones_Data(), Table_SourceData_ClimateZones[[#Headers],[Climate zone]], 0)</f>
        <v>≤ 1000 m</v>
      </c>
      <c r="I93" s="11" t="str" cm="1">
        <f t="array" ref="I93">Common_InputFunctions.Utility_DisplayArrayInTable(Common_SourceData.Common_SourceData_ClimateZones_Data(), Table_SourceData_ClimateZones[[#Headers],[Climate zone]], 0)</f>
        <v>Any</v>
      </c>
      <c r="J93" s="11" cm="1">
        <f t="array" ref="J93">Common_InputFunctions.Utility_DisplayArrayInTable(Common_SourceData.Common_SourceData_ClimateZones_Data(), Table_SourceData_ClimateZones[[#Headers],[Climate zone]], 0)</f>
        <v>18.001000000000001</v>
      </c>
      <c r="K93" s="11" cm="1">
        <f t="array" ref="K93">Common_InputFunctions.Utility_DisplayArrayInTable(Common_SourceData.Common_SourceData_ClimateZones_Data(), Table_SourceData_ClimateZones[[#Headers],[Climate zone]], 0)</f>
        <v>999999</v>
      </c>
      <c r="L93" s="11" cm="1">
        <f t="array" ref="L93">Common_InputFunctions.Utility_DisplayArrayInTable(Common_SourceData.Common_SourceData_ClimateZones_Data(), Table_SourceData_ClimateZones[[#Headers],[Climate zone]], 0)</f>
        <v>-999999</v>
      </c>
      <c r="M93" s="11" cm="1">
        <f t="array" ref="M93">Common_InputFunctions.Utility_DisplayArrayInTable(Common_SourceData.Common_SourceData_ClimateZones_Data(), Table_SourceData_ClimateZones[[#Headers],[Climate zone]], 0)</f>
        <v>1000</v>
      </c>
      <c r="N93" s="11" cm="1">
        <f t="array" ref="N93">Common_InputFunctions.Utility_DisplayArrayInTable(Common_SourceData.Common_SourceData_ClimateZones_Data(), Table_SourceData_ClimateZones[[#Headers],[Climate zone]], 0)</f>
        <v>-999999</v>
      </c>
      <c r="O93" s="11" cm="1">
        <f t="array" ref="O93">Common_InputFunctions.Utility_DisplayArrayInTable(Common_SourceData.Common_SourceData_ClimateZones_Data(), Table_SourceData_ClimateZones[[#Headers],[Climate zone]], 0)</f>
        <v>7</v>
      </c>
      <c r="P93" s="11" cm="1">
        <f t="array" ref="P93">Common_InputFunctions.Utility_DisplayArrayInTable(Common_SourceData.Common_SourceData_ClimateZones_Data(), Table_SourceData_ClimateZones[[#Headers],[Climate zone]], 0)</f>
        <v>-999999</v>
      </c>
      <c r="Q93" s="11" cm="1">
        <f t="array" ref="Q93">Common_InputFunctions.Utility_DisplayArrayInTable(Common_SourceData.Common_SourceData_ClimateZones_Data(), Table_SourceData_ClimateZones[[#Headers],[Climate zone]], 0)</f>
        <v>999.99900000000002</v>
      </c>
      <c r="R93" s="11" cm="1">
        <f t="array" ref="R93">Common_InputFunctions.Utility_DisplayArrayInTable(Common_SourceData.Common_SourceData_ClimateZones_Data(), Table_SourceData_ClimateZones[[#Headers],[Climate zone]], 0)</f>
        <v>-999999</v>
      </c>
      <c r="S93" s="11" cm="1">
        <f t="array" ref="S93">Common_InputFunctions.Utility_DisplayArrayInTable(Common_SourceData.Common_SourceData_ClimateZones_Data(), Table_SourceData_ClimateZones[[#Headers],[Climate zone]], 0)</f>
        <v>999999</v>
      </c>
      <c r="T93" s="11"/>
    </row>
    <row r="94" spans="4:20" ht="20.100000000000001" customHeight="1" x14ac:dyDescent="0.25">
      <c r="D94" s="11" t="str" cm="1">
        <f t="array" ref="D94">Common_InputFunctions.Utility_DisplayArrayInTable(Common_SourceData.Common_SourceData_ClimateZones_Data(), Table_SourceData_ClimateZones[[#Headers],[Climate zone]], 0)</f>
        <v>Warm temperate moist</v>
      </c>
      <c r="E94" s="11" t="str" cm="1">
        <f t="array" ref="E94">Common_InputFunctions.Utility_DisplayArrayInTable(Common_SourceData.Common_SourceData_ClimateZones_Data(), Table_SourceData_ClimateZones[[#Headers],[Climate zone]], 0)</f>
        <v>&gt; 10 C</v>
      </c>
      <c r="F94" s="11" t="str" cm="1">
        <f t="array" ref="F94">Common_InputFunctions.Utility_DisplayArrayInTable(Common_SourceData.Common_SourceData_ClimateZones_Data(), Table_SourceData_ClimateZones[[#Headers],[Climate zone]], 0)</f>
        <v>Any</v>
      </c>
      <c r="G94" s="11" t="str" cm="1">
        <f t="array" ref="G94">Common_InputFunctions.Utility_DisplayArrayInTable(Common_SourceData.Common_SourceData_ClimateZones_Data(), Table_SourceData_ClimateZones[[#Headers],[Climate zone]], 0)</f>
        <v>Any</v>
      </c>
      <c r="H94" s="11" t="str" cm="1">
        <f t="array" ref="H94">Common_InputFunctions.Utility_DisplayArrayInTable(Common_SourceData.Common_SourceData_ClimateZones_Data(), Table_SourceData_ClimateZones[[#Headers],[Climate zone]], 0)</f>
        <v>Any</v>
      </c>
      <c r="I94" s="11" t="str" cm="1">
        <f t="array" ref="I94">Common_InputFunctions.Utility_DisplayArrayInTable(Common_SourceData.Common_SourceData_ClimateZones_Data(), Table_SourceData_ClimateZones[[#Headers],[Climate zone]], 0)</f>
        <v>&gt; 1</v>
      </c>
      <c r="J94" s="11" cm="1">
        <f t="array" ref="J94">Common_InputFunctions.Utility_DisplayArrayInTable(Common_SourceData.Common_SourceData_ClimateZones_Data(), Table_SourceData_ClimateZones[[#Headers],[Climate zone]], 0)</f>
        <v>10.000999999999999</v>
      </c>
      <c r="K94" s="11" cm="1">
        <f t="array" ref="K94">Common_InputFunctions.Utility_DisplayArrayInTable(Common_SourceData.Common_SourceData_ClimateZones_Data(), Table_SourceData_ClimateZones[[#Headers],[Climate zone]], 0)</f>
        <v>999999</v>
      </c>
      <c r="L94" s="11" cm="1">
        <f t="array" ref="L94">Common_InputFunctions.Utility_DisplayArrayInTable(Common_SourceData.Common_SourceData_ClimateZones_Data(), Table_SourceData_ClimateZones[[#Headers],[Climate zone]], 0)</f>
        <v>-999999</v>
      </c>
      <c r="M94" s="11" cm="1">
        <f t="array" ref="M94">Common_InputFunctions.Utility_DisplayArrayInTable(Common_SourceData.Common_SourceData_ClimateZones_Data(), Table_SourceData_ClimateZones[[#Headers],[Climate zone]], 0)</f>
        <v>999999</v>
      </c>
      <c r="N94" s="11" cm="1">
        <f t="array" ref="N94">Common_InputFunctions.Utility_DisplayArrayInTable(Common_SourceData.Common_SourceData_ClimateZones_Data(), Table_SourceData_ClimateZones[[#Headers],[Climate zone]], 0)</f>
        <v>-999999</v>
      </c>
      <c r="O94" s="11" cm="1">
        <f t="array" ref="O94">Common_InputFunctions.Utility_DisplayArrayInTable(Common_SourceData.Common_SourceData_ClimateZones_Data(), Table_SourceData_ClimateZones[[#Headers],[Climate zone]], 0)</f>
        <v>999999</v>
      </c>
      <c r="P94" s="11" cm="1">
        <f t="array" ref="P94">Common_InputFunctions.Utility_DisplayArrayInTable(Common_SourceData.Common_SourceData_ClimateZones_Data(), Table_SourceData_ClimateZones[[#Headers],[Climate zone]], 0)</f>
        <v>-999999</v>
      </c>
      <c r="Q94" s="11" cm="1">
        <f t="array" ref="Q94">Common_InputFunctions.Utility_DisplayArrayInTable(Common_SourceData.Common_SourceData_ClimateZones_Data(), Table_SourceData_ClimateZones[[#Headers],[Climate zone]], 0)</f>
        <v>999999</v>
      </c>
      <c r="R94" s="11" cm="1">
        <f t="array" ref="R94">Common_InputFunctions.Utility_DisplayArrayInTable(Common_SourceData.Common_SourceData_ClimateZones_Data(), Table_SourceData_ClimateZones[[#Headers],[Climate zone]], 0)</f>
        <v>1.0009999999999999</v>
      </c>
      <c r="S94" s="11" cm="1">
        <f t="array" ref="S94">Common_InputFunctions.Utility_DisplayArrayInTable(Common_SourceData.Common_SourceData_ClimateZones_Data(), Table_SourceData_ClimateZones[[#Headers],[Climate zone]], 0)</f>
        <v>999999</v>
      </c>
      <c r="T94" s="11"/>
    </row>
    <row r="95" spans="4:20" ht="20.100000000000001" customHeight="1" x14ac:dyDescent="0.25">
      <c r="D95" s="11" t="str" cm="1">
        <f t="array" ref="D95">Common_InputFunctions.Utility_DisplayArrayInTable(Common_SourceData.Common_SourceData_ClimateZones_Data(), Table_SourceData_ClimateZones[[#Headers],[Climate zone]], 0)</f>
        <v>Warm temperate dry</v>
      </c>
      <c r="E95" s="11" t="str" cm="1">
        <f t="array" ref="E95">Common_InputFunctions.Utility_DisplayArrayInTable(Common_SourceData.Common_SourceData_ClimateZones_Data(), Table_SourceData_ClimateZones[[#Headers],[Climate zone]], 0)</f>
        <v>&gt; 10 C</v>
      </c>
      <c r="F95" s="11" t="str" cm="1">
        <f t="array" ref="F95">Common_InputFunctions.Utility_DisplayArrayInTable(Common_SourceData.Common_SourceData_ClimateZones_Data(), Table_SourceData_ClimateZones[[#Headers],[Climate zone]], 0)</f>
        <v>Any</v>
      </c>
      <c r="G95" s="11" t="str" cm="1">
        <f t="array" ref="G95">Common_InputFunctions.Utility_DisplayArrayInTable(Common_SourceData.Common_SourceData_ClimateZones_Data(), Table_SourceData_ClimateZones[[#Headers],[Climate zone]], 0)</f>
        <v>Any</v>
      </c>
      <c r="H95" s="11" t="str" cm="1">
        <f t="array" ref="H95">Common_InputFunctions.Utility_DisplayArrayInTable(Common_SourceData.Common_SourceData_ClimateZones_Data(), Table_SourceData_ClimateZones[[#Headers],[Climate zone]], 0)</f>
        <v>Any</v>
      </c>
      <c r="I95" s="11" t="str" cm="1">
        <f t="array" ref="I95">Common_InputFunctions.Utility_DisplayArrayInTable(Common_SourceData.Common_SourceData_ClimateZones_Data(), Table_SourceData_ClimateZones[[#Headers],[Climate zone]], 0)</f>
        <v>≤ 1</v>
      </c>
      <c r="J95" s="11" cm="1">
        <f t="array" ref="J95">Common_InputFunctions.Utility_DisplayArrayInTable(Common_SourceData.Common_SourceData_ClimateZones_Data(), Table_SourceData_ClimateZones[[#Headers],[Climate zone]], 0)</f>
        <v>10.000999999999999</v>
      </c>
      <c r="K95" s="11" cm="1">
        <f t="array" ref="K95">Common_InputFunctions.Utility_DisplayArrayInTable(Common_SourceData.Common_SourceData_ClimateZones_Data(), Table_SourceData_ClimateZones[[#Headers],[Climate zone]], 0)</f>
        <v>999999</v>
      </c>
      <c r="L95" s="11" cm="1">
        <f t="array" ref="L95">Common_InputFunctions.Utility_DisplayArrayInTable(Common_SourceData.Common_SourceData_ClimateZones_Data(), Table_SourceData_ClimateZones[[#Headers],[Climate zone]], 0)</f>
        <v>-999999</v>
      </c>
      <c r="M95" s="11" cm="1">
        <f t="array" ref="M95">Common_InputFunctions.Utility_DisplayArrayInTable(Common_SourceData.Common_SourceData_ClimateZones_Data(), Table_SourceData_ClimateZones[[#Headers],[Climate zone]], 0)</f>
        <v>999999</v>
      </c>
      <c r="N95" s="11" cm="1">
        <f t="array" ref="N95">Common_InputFunctions.Utility_DisplayArrayInTable(Common_SourceData.Common_SourceData_ClimateZones_Data(), Table_SourceData_ClimateZones[[#Headers],[Climate zone]], 0)</f>
        <v>-999999</v>
      </c>
      <c r="O95" s="11" cm="1">
        <f t="array" ref="O95">Common_InputFunctions.Utility_DisplayArrayInTable(Common_SourceData.Common_SourceData_ClimateZones_Data(), Table_SourceData_ClimateZones[[#Headers],[Climate zone]], 0)</f>
        <v>999999</v>
      </c>
      <c r="P95" s="11" cm="1">
        <f t="array" ref="P95">Common_InputFunctions.Utility_DisplayArrayInTable(Common_SourceData.Common_SourceData_ClimateZones_Data(), Table_SourceData_ClimateZones[[#Headers],[Climate zone]], 0)</f>
        <v>-999999</v>
      </c>
      <c r="Q95" s="11" cm="1">
        <f t="array" ref="Q95">Common_InputFunctions.Utility_DisplayArrayInTable(Common_SourceData.Common_SourceData_ClimateZones_Data(), Table_SourceData_ClimateZones[[#Headers],[Climate zone]], 0)</f>
        <v>999999</v>
      </c>
      <c r="R95" s="11" cm="1">
        <f t="array" ref="R95">Common_InputFunctions.Utility_DisplayArrayInTable(Common_SourceData.Common_SourceData_ClimateZones_Data(), Table_SourceData_ClimateZones[[#Headers],[Climate zone]], 0)</f>
        <v>-999999</v>
      </c>
      <c r="S95" s="11" cm="1">
        <f t="array" ref="S95">Common_InputFunctions.Utility_DisplayArrayInTable(Common_SourceData.Common_SourceData_ClimateZones_Data(), Table_SourceData_ClimateZones[[#Headers],[Climate zone]], 0)</f>
        <v>1</v>
      </c>
      <c r="T95" s="11"/>
    </row>
    <row r="96" spans="4:20" ht="20.100000000000001" customHeight="1" x14ac:dyDescent="0.25">
      <c r="D96" s="11" t="str" cm="1">
        <f t="array" ref="D96">Common_InputFunctions.Utility_DisplayArrayInTable(Common_SourceData.Common_SourceData_ClimateZones_Data(), Table_SourceData_ClimateZones[[#Headers],[Climate zone]], 0)</f>
        <v>Cool temperate moist</v>
      </c>
      <c r="E96" s="11" t="str" cm="1">
        <f t="array" ref="E96">Common_InputFunctions.Utility_DisplayArrayInTable(Common_SourceData.Common_SourceData_ClimateZones_Data(), Table_SourceData_ClimateZones[[#Headers],[Climate zone]], 0)</f>
        <v>&gt; 0 C - ≤ 10 C</v>
      </c>
      <c r="F96" s="11" t="str" cm="1">
        <f t="array" ref="F96">Common_InputFunctions.Utility_DisplayArrayInTable(Common_SourceData.Common_SourceData_ClimateZones_Data(), Table_SourceData_ClimateZones[[#Headers],[Climate zone]], 0)</f>
        <v>Any</v>
      </c>
      <c r="G96" s="11" t="str" cm="1">
        <f t="array" ref="G96">Common_InputFunctions.Utility_DisplayArrayInTable(Common_SourceData.Common_SourceData_ClimateZones_Data(), Table_SourceData_ClimateZones[[#Headers],[Climate zone]], 0)</f>
        <v>Any</v>
      </c>
      <c r="H96" s="11" t="str" cm="1">
        <f t="array" ref="H96">Common_InputFunctions.Utility_DisplayArrayInTable(Common_SourceData.Common_SourceData_ClimateZones_Data(), Table_SourceData_ClimateZones[[#Headers],[Climate zone]], 0)</f>
        <v>Any</v>
      </c>
      <c r="I96" s="11" t="str" cm="1">
        <f t="array" ref="I96">Common_InputFunctions.Utility_DisplayArrayInTable(Common_SourceData.Common_SourceData_ClimateZones_Data(), Table_SourceData_ClimateZones[[#Headers],[Climate zone]], 0)</f>
        <v>&gt; 1</v>
      </c>
      <c r="J96" s="11" cm="1">
        <f t="array" ref="J96">Common_InputFunctions.Utility_DisplayArrayInTable(Common_SourceData.Common_SourceData_ClimateZones_Data(), Table_SourceData_ClimateZones[[#Headers],[Climate zone]], 0)</f>
        <v>-999999</v>
      </c>
      <c r="K96" s="11" cm="1">
        <f t="array" ref="K96">Common_InputFunctions.Utility_DisplayArrayInTable(Common_SourceData.Common_SourceData_ClimateZones_Data(), Table_SourceData_ClimateZones[[#Headers],[Climate zone]], 0)</f>
        <v>10</v>
      </c>
      <c r="L96" s="11" cm="1">
        <f t="array" ref="L96">Common_InputFunctions.Utility_DisplayArrayInTable(Common_SourceData.Common_SourceData_ClimateZones_Data(), Table_SourceData_ClimateZones[[#Headers],[Climate zone]], 0)</f>
        <v>-999999</v>
      </c>
      <c r="M96" s="11" cm="1">
        <f t="array" ref="M96">Common_InputFunctions.Utility_DisplayArrayInTable(Common_SourceData.Common_SourceData_ClimateZones_Data(), Table_SourceData_ClimateZones[[#Headers],[Climate zone]], 0)</f>
        <v>999999</v>
      </c>
      <c r="N96" s="11" cm="1">
        <f t="array" ref="N96">Common_InputFunctions.Utility_DisplayArrayInTable(Common_SourceData.Common_SourceData_ClimateZones_Data(), Table_SourceData_ClimateZones[[#Headers],[Climate zone]], 0)</f>
        <v>-999999</v>
      </c>
      <c r="O96" s="11" cm="1">
        <f t="array" ref="O96">Common_InputFunctions.Utility_DisplayArrayInTable(Common_SourceData.Common_SourceData_ClimateZones_Data(), Table_SourceData_ClimateZones[[#Headers],[Climate zone]], 0)</f>
        <v>999999</v>
      </c>
      <c r="P96" s="11" cm="1">
        <f t="array" ref="P96">Common_InputFunctions.Utility_DisplayArrayInTable(Common_SourceData.Common_SourceData_ClimateZones_Data(), Table_SourceData_ClimateZones[[#Headers],[Climate zone]], 0)</f>
        <v>-999999</v>
      </c>
      <c r="Q96" s="11" cm="1">
        <f t="array" ref="Q96">Common_InputFunctions.Utility_DisplayArrayInTable(Common_SourceData.Common_SourceData_ClimateZones_Data(), Table_SourceData_ClimateZones[[#Headers],[Climate zone]], 0)</f>
        <v>999999</v>
      </c>
      <c r="R96" s="11" cm="1">
        <f t="array" ref="R96">Common_InputFunctions.Utility_DisplayArrayInTable(Common_SourceData.Common_SourceData_ClimateZones_Data(), Table_SourceData_ClimateZones[[#Headers],[Climate zone]], 0)</f>
        <v>1.0009999999999999</v>
      </c>
      <c r="S96" s="11" cm="1">
        <f t="array" ref="S96">Common_InputFunctions.Utility_DisplayArrayInTable(Common_SourceData.Common_SourceData_ClimateZones_Data(), Table_SourceData_ClimateZones[[#Headers],[Climate zone]], 0)</f>
        <v>999999</v>
      </c>
      <c r="T96" s="11"/>
    </row>
    <row r="97" spans="4:20" ht="20.100000000000001" customHeight="1" x14ac:dyDescent="0.25">
      <c r="D97" s="11" t="str" cm="1">
        <f t="array" ref="D97">Common_InputFunctions.Utility_DisplayArrayInTable(Common_SourceData.Common_SourceData_ClimateZones_Data(), Table_SourceData_ClimateZones[[#Headers],[Climate zone]], 0)</f>
        <v>Cool temperate dry</v>
      </c>
      <c r="E97" s="11" t="str" cm="1">
        <f t="array" ref="E97">Common_InputFunctions.Utility_DisplayArrayInTable(Common_SourceData.Common_SourceData_ClimateZones_Data(), Table_SourceData_ClimateZones[[#Headers],[Climate zone]], 0)</f>
        <v>&gt; 0 C - ≤ 10 C</v>
      </c>
      <c r="F97" s="11" t="str" cm="1">
        <f t="array" ref="F97">Common_InputFunctions.Utility_DisplayArrayInTable(Common_SourceData.Common_SourceData_ClimateZones_Data(), Table_SourceData_ClimateZones[[#Headers],[Climate zone]], 0)</f>
        <v>Any</v>
      </c>
      <c r="G97" s="11" t="str" cm="1">
        <f t="array" ref="G97">Common_InputFunctions.Utility_DisplayArrayInTable(Common_SourceData.Common_SourceData_ClimateZones_Data(), Table_SourceData_ClimateZones[[#Headers],[Climate zone]], 0)</f>
        <v>Any</v>
      </c>
      <c r="H97" s="11" t="str" cm="1">
        <f t="array" ref="H97">Common_InputFunctions.Utility_DisplayArrayInTable(Common_SourceData.Common_SourceData_ClimateZones_Data(), Table_SourceData_ClimateZones[[#Headers],[Climate zone]], 0)</f>
        <v>Any</v>
      </c>
      <c r="I97" s="11" t="str" cm="1">
        <f t="array" ref="I97">Common_InputFunctions.Utility_DisplayArrayInTable(Common_SourceData.Common_SourceData_ClimateZones_Data(), Table_SourceData_ClimateZones[[#Headers],[Climate zone]], 0)</f>
        <v>≤ 1</v>
      </c>
      <c r="J97" s="11" cm="1">
        <f t="array" ref="J97">Common_InputFunctions.Utility_DisplayArrayInTable(Common_SourceData.Common_SourceData_ClimateZones_Data(), Table_SourceData_ClimateZones[[#Headers],[Climate zone]], 0)</f>
        <v>-999999</v>
      </c>
      <c r="K97" s="11" cm="1">
        <f t="array" ref="K97">Common_InputFunctions.Utility_DisplayArrayInTable(Common_SourceData.Common_SourceData_ClimateZones_Data(), Table_SourceData_ClimateZones[[#Headers],[Climate zone]], 0)</f>
        <v>10</v>
      </c>
      <c r="L97" s="11" cm="1">
        <f t="array" ref="L97">Common_InputFunctions.Utility_DisplayArrayInTable(Common_SourceData.Common_SourceData_ClimateZones_Data(), Table_SourceData_ClimateZones[[#Headers],[Climate zone]], 0)</f>
        <v>-999999</v>
      </c>
      <c r="M97" s="11" cm="1">
        <f t="array" ref="M97">Common_InputFunctions.Utility_DisplayArrayInTable(Common_SourceData.Common_SourceData_ClimateZones_Data(), Table_SourceData_ClimateZones[[#Headers],[Climate zone]], 0)</f>
        <v>999999</v>
      </c>
      <c r="N97" s="11" cm="1">
        <f t="array" ref="N97">Common_InputFunctions.Utility_DisplayArrayInTable(Common_SourceData.Common_SourceData_ClimateZones_Data(), Table_SourceData_ClimateZones[[#Headers],[Climate zone]], 0)</f>
        <v>-999999</v>
      </c>
      <c r="O97" s="11" cm="1">
        <f t="array" ref="O97">Common_InputFunctions.Utility_DisplayArrayInTable(Common_SourceData.Common_SourceData_ClimateZones_Data(), Table_SourceData_ClimateZones[[#Headers],[Climate zone]], 0)</f>
        <v>999999</v>
      </c>
      <c r="P97" s="11" cm="1">
        <f t="array" ref="P97">Common_InputFunctions.Utility_DisplayArrayInTable(Common_SourceData.Common_SourceData_ClimateZones_Data(), Table_SourceData_ClimateZones[[#Headers],[Climate zone]], 0)</f>
        <v>-999999</v>
      </c>
      <c r="Q97" s="11" cm="1">
        <f t="array" ref="Q97">Common_InputFunctions.Utility_DisplayArrayInTable(Common_SourceData.Common_SourceData_ClimateZones_Data(), Table_SourceData_ClimateZones[[#Headers],[Climate zone]], 0)</f>
        <v>999999</v>
      </c>
      <c r="R97" s="11" cm="1">
        <f t="array" ref="R97">Common_InputFunctions.Utility_DisplayArrayInTable(Common_SourceData.Common_SourceData_ClimateZones_Data(), Table_SourceData_ClimateZones[[#Headers],[Climate zone]], 0)</f>
        <v>-999999</v>
      </c>
      <c r="S97" s="11" cm="1">
        <f t="array" ref="S97">Common_InputFunctions.Utility_DisplayArrayInTable(Common_SourceData.Common_SourceData_ClimateZones_Data(), Table_SourceData_ClimateZones[[#Headers],[Climate zone]], 0)</f>
        <v>1</v>
      </c>
      <c r="T97" s="11"/>
    </row>
    <row r="98" spans="4:20" ht="20.100000000000001" customHeight="1" x14ac:dyDescent="0.25"/>
    <row r="99" spans="4:20" ht="20.100000000000001" customHeight="1" x14ac:dyDescent="0.25">
      <c r="D99" s="12" t="str" cm="1">
        <f t="array" ref="D99:D102">Common_SourceData.Common_SourceData_ClimateZones_Appendices()</f>
        <v>Note:</v>
      </c>
    </row>
    <row r="100" spans="4:20" ht="20.100000000000001" customHeight="1" x14ac:dyDescent="0.25">
      <c r="D100" s="12" t="str">
        <v>MAT = mean annual temperature</v>
      </c>
    </row>
    <row r="101" spans="4:20" ht="20.100000000000001" customHeight="1" x14ac:dyDescent="0.25">
      <c r="D101" s="12" t="str">
        <v>MAP = mean annual precipitation</v>
      </c>
    </row>
    <row r="102" spans="4:20" ht="20.100000000000001" customHeight="1" x14ac:dyDescent="0.25">
      <c r="D102" s="12" t="str">
        <v>PET = potential evapotranspiration</v>
      </c>
    </row>
    <row r="103" spans="4:20" ht="20.100000000000001" customHeight="1" x14ac:dyDescent="0.25">
      <c r="D103" s="12"/>
    </row>
    <row r="104" spans="4:20" ht="20.100000000000001" customHeight="1" x14ac:dyDescent="0.25"/>
    <row r="105" spans="4:20" ht="20.100000000000001" customHeight="1" x14ac:dyDescent="0.25">
      <c r="D105" s="5" t="str" cm="1">
        <f t="array" ref="D105">Common_SourceData.Common_SourceData_TemperatureZones_Title()</f>
        <v>VEERG Australian temperature zones</v>
      </c>
    </row>
    <row r="106" spans="4:20" ht="20.100000000000001" customHeight="1" x14ac:dyDescent="0.25">
      <c r="D106" s="4" t="str" cm="1">
        <f t="array" ref="D106">Common_SourceData.Common_SourceData_TemperatureZones_Source()</f>
        <v>VEERG 2026: Table 1.3: Climate and Rainfall zone classifications and definitions</v>
      </c>
    </row>
    <row r="107" spans="4:20" ht="20.100000000000001" customHeight="1" x14ac:dyDescent="0.25">
      <c r="D107" s="13"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11" t="s">
        <v>27</v>
      </c>
      <c r="E109" s="11" t="s">
        <v>11</v>
      </c>
      <c r="F109" s="11" t="s">
        <v>28</v>
      </c>
      <c r="G109" s="11" t="s">
        <v>29</v>
      </c>
    </row>
    <row r="110" spans="4:20" ht="20.100000000000001" customHeight="1" x14ac:dyDescent="0.25">
      <c r="D110" s="11" t="str" cm="1">
        <f t="array" ref="D110">Common_InputFunctions.Utility_DisplayArrayInTable(Common_SourceData.Common_SourceData_TemperatureZones_Data(),Table_SourceData_TemperatureZones[[#Headers],[Temperature Zone]],0)</f>
        <v>Warm</v>
      </c>
      <c r="E110" s="11" t="str" cm="1">
        <f t="array" ref="E110">Common_InputFunctions.Utility_DisplayArrayInTable(Common_SourceData.Common_SourceData_TemperatureZones_Data(),Table_SourceData_TemperatureZones[[#Headers],[Temperature Zone]],0)</f>
        <v>≥ 26 C</v>
      </c>
      <c r="F110" s="11" cm="1">
        <f t="array" ref="F110">Common_InputFunctions.Utility_DisplayArrayInTable(Common_SourceData.Common_SourceData_TemperatureZones_Data(),Table_SourceData_TemperatureZones[[#Headers],[Temperature Zone]],0)</f>
        <v>26</v>
      </c>
      <c r="G110" s="11" cm="1">
        <f t="array" ref="G110">Common_InputFunctions.Utility_DisplayArrayInTable(Common_SourceData.Common_SourceData_TemperatureZones_Data(),Table_SourceData_TemperatureZones[[#Headers],[Temperature Zone]],0)</f>
        <v>999999</v>
      </c>
    </row>
    <row r="111" spans="4:20" ht="20.100000000000001" customHeight="1" x14ac:dyDescent="0.25">
      <c r="D111" s="11" t="str" cm="1">
        <f t="array" ref="D111">Common_InputFunctions.Utility_DisplayArrayInTable(Common_SourceData.Common_SourceData_TemperatureZones_Data(),Table_SourceData_TemperatureZones[[#Headers],[Temperature Zone]],0)</f>
        <v>Temperate</v>
      </c>
      <c r="E111" s="11" t="str" cm="1">
        <f t="array" ref="E111">Common_InputFunctions.Utility_DisplayArrayInTable(Common_SourceData.Common_SourceData_TemperatureZones_Data(),Table_SourceData_TemperatureZones[[#Headers],[Temperature Zone]],0)</f>
        <v>15 - 25 C</v>
      </c>
      <c r="F111" s="11" cm="1">
        <f t="array" ref="F111">Common_InputFunctions.Utility_DisplayArrayInTable(Common_SourceData.Common_SourceData_TemperatureZones_Data(),Table_SourceData_TemperatureZones[[#Headers],[Temperature Zone]],0)</f>
        <v>15</v>
      </c>
      <c r="G111" s="11"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11" t="str" cm="1">
        <f t="array" ref="D112">Common_InputFunctions.Utility_DisplayArrayInTable(Common_SourceData.Common_SourceData_TemperatureZones_Data(),Table_SourceData_TemperatureZones[[#Headers],[Temperature Zone]],0)</f>
        <v>Cool</v>
      </c>
      <c r="E112" s="11" t="str" cm="1">
        <f t="array" ref="E112">Common_InputFunctions.Utility_DisplayArrayInTable(Common_SourceData.Common_SourceData_TemperatureZones_Data(),Table_SourceData_TemperatureZones[[#Headers],[Temperature Zone]],0)</f>
        <v>≤ 14 C</v>
      </c>
      <c r="F112" s="11" cm="1">
        <f t="array" ref="F112">Common_InputFunctions.Utility_DisplayArrayInTable(Common_SourceData.Common_SourceData_TemperatureZones_Data(),Table_SourceData_TemperatureZones[[#Headers],[Temperature Zone]],0)</f>
        <v>-999999</v>
      </c>
      <c r="G112" s="11"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5" t="str" cm="1">
        <f t="array" ref="D115">Common_SourceData.Common_SourceData_RainfallZones_Title()</f>
        <v>VEERG Australian rainfall zones</v>
      </c>
      <c r="BN115" s="6"/>
    </row>
    <row r="116" spans="4:66" ht="20.100000000000001" customHeight="1" x14ac:dyDescent="0.25">
      <c r="D116" s="4" t="str" cm="1">
        <f t="array" ref="D116">Common_SourceData.Common_SourceData_RainfallZones_Source()</f>
        <v>VEERG 2026: Table 1.3: Climate and Rainfall zone classifications and definitions</v>
      </c>
      <c r="BN116" s="6"/>
    </row>
    <row r="117" spans="4:66" ht="20.100000000000001" customHeight="1" x14ac:dyDescent="0.25">
      <c r="D117" s="13" t="str" cm="1">
        <f t="array" ref="D117">"⚠️" &amp; Common_SourceData.Common_SourceData_RainfallZones_Variation()</f>
        <v>⚠️VARIATION OF SOURCE DATA: Added extra Rainfall min and Rainfall max columns to calculate zone from real rainfall data.</v>
      </c>
      <c r="BN117" s="6"/>
    </row>
    <row r="118" spans="4:66" ht="20.100000000000001" customHeight="1" x14ac:dyDescent="0.25">
      <c r="BN118" s="6"/>
    </row>
    <row r="119" spans="4:66" ht="20.100000000000001" customHeight="1" x14ac:dyDescent="0.25">
      <c r="D119" s="11" t="s">
        <v>30</v>
      </c>
      <c r="E119" s="11" t="s">
        <v>31</v>
      </c>
      <c r="F119" s="11" t="s">
        <v>18</v>
      </c>
      <c r="G119" s="11" t="s">
        <v>19</v>
      </c>
      <c r="BN119" s="6"/>
    </row>
    <row r="120" spans="4:66" ht="20.100000000000001" customHeight="1" x14ac:dyDescent="0.25">
      <c r="D120" s="11" t="str" cm="1">
        <f t="array" ref="D120">Common_InputFunctions.Utility_DisplayArrayInTable(Common_SourceData.Common_SourceData_RainfallZones_Data(),Table_SourceData_RainfallZones[[#Headers],[Rainfall Zone]],0)</f>
        <v>High rainfall</v>
      </c>
      <c r="E120" s="11" t="str" cm="1">
        <f t="array" ref="E120">Common_InputFunctions.Utility_DisplayArrayInTable(Common_SourceData.Common_SourceData_RainfallZones_Data(),Table_SourceData_RainfallZones[[#Headers],[Rainfall Zone]],0)</f>
        <v>Annual rainfall &gt; 600mm</v>
      </c>
      <c r="F120" s="11" cm="1">
        <f t="array" ref="F120">Common_InputFunctions.Utility_DisplayArrayInTable(Common_SourceData.Common_SourceData_RainfallZones_Data(),Table_SourceData_RainfallZones[[#Headers],[Rainfall Zone]],0)</f>
        <v>600.00099999999998</v>
      </c>
      <c r="G120" s="11" cm="1">
        <f t="array" ref="G120">Common_InputFunctions.Utility_DisplayArrayInTable(Common_SourceData.Common_SourceData_RainfallZones_Data(),Table_SourceData_RainfallZones[[#Headers],[Rainfall Zone]],0)</f>
        <v>999999</v>
      </c>
      <c r="BN120" s="6"/>
    </row>
    <row r="121" spans="4:66" ht="20.100000000000001" customHeight="1" x14ac:dyDescent="0.25">
      <c r="D121" s="11" t="str" cm="1">
        <f t="array" ref="D121">Common_InputFunctions.Utility_DisplayArrayInTable(Common_SourceData.Common_SourceData_RainfallZones_Data(),Table_SourceData_RainfallZones[[#Headers],[Rainfall Zone]],0)</f>
        <v>Low rainfall</v>
      </c>
      <c r="E121" s="11" t="str" cm="1">
        <f t="array" ref="E121">Common_InputFunctions.Utility_DisplayArrayInTable(Common_SourceData.Common_SourceData_RainfallZones_Data(),Table_SourceData_RainfallZones[[#Headers],[Rainfall Zone]],0)</f>
        <v>Annual rainfall ≤ 600mm</v>
      </c>
      <c r="F121" s="11" cm="1">
        <f t="array" ref="F121">Common_InputFunctions.Utility_DisplayArrayInTable(Common_SourceData.Common_SourceData_RainfallZones_Data(),Table_SourceData_RainfallZones[[#Headers],[Rainfall Zone]],0)</f>
        <v>-999999</v>
      </c>
      <c r="G121" s="11" cm="1">
        <f t="array" ref="G121">Common_InputFunctions.Utility_DisplayArrayInTable(Common_SourceData.Common_SourceData_RainfallZones_Data(),Table_SourceData_RainfallZones[[#Headers],[Rainfall Zone]],0)</f>
        <v>600</v>
      </c>
      <c r="BN121" s="6"/>
    </row>
    <row r="122" spans="4:66" ht="20.100000000000001" customHeight="1" x14ac:dyDescent="0.25">
      <c r="BN122" s="6"/>
    </row>
    <row r="123" spans="4:66" ht="20.100000000000001" customHeight="1" x14ac:dyDescent="0.25"/>
    <row r="124" spans="4:66" ht="20.100000000000001" customHeight="1" x14ac:dyDescent="0.25">
      <c r="D124" s="5" t="str" cm="1">
        <f t="array" ref="D124">Common_SourceData.Common_SourceData_LeachingZones_Title()</f>
        <v>VEERG Australian leaching zones</v>
      </c>
    </row>
    <row r="125" spans="4:66" ht="20.100000000000001" customHeight="1" x14ac:dyDescent="0.25">
      <c r="D125" s="4"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11" t="s">
        <v>32</v>
      </c>
      <c r="E127" s="11" t="s">
        <v>33</v>
      </c>
    </row>
    <row r="128" spans="4:66" ht="20.100000000000001" customHeight="1" x14ac:dyDescent="0.25">
      <c r="D128" s="11" t="str" cm="1">
        <f t="array" ref="D128">Common_InputFunctions.Utility_DisplayArrayInTable(Common_SourceData.Common_SourceData_LeachingZones_Data(), Table_SourceData_LeachingZones[[#Headers],[Leaching Zone]], 0)</f>
        <v>Leaching occurs</v>
      </c>
      <c r="E128" s="11"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11" t="str" cm="1">
        <f t="array" ref="D129">Common_InputFunctions.Utility_DisplayArrayInTable(Common_SourceData.Common_SourceData_LeachingZones_Data(), Table_SourceData_LeachingZones[[#Headers],[Leaching Zone]], 0)</f>
        <v>Leaching does not occur</v>
      </c>
      <c r="E129" s="11"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5" t="str" cm="1">
        <f t="array" ref="D132">Common_SourceData.Common_SourceData_FracWET_Title()</f>
        <v>Fraction of N that is available for leaching and runoff</v>
      </c>
      <c r="E132" s="10"/>
    </row>
    <row r="133" spans="4:77" ht="20.100000000000001" customHeight="1" x14ac:dyDescent="0.25">
      <c r="D133" s="4" t="str" cm="1">
        <f t="array" ref="D133">Common_SourceData.Common_SourceData_FracWET_Source()</f>
        <v>VEERG 2026:5.5.2.3 Constant Parameters</v>
      </c>
      <c r="E133" s="10"/>
    </row>
    <row r="134" spans="4:77" ht="20.100000000000001" customHeight="1" x14ac:dyDescent="0.25">
      <c r="D134" t="s">
        <v>37</v>
      </c>
      <c r="E134" t="s">
        <v>38</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11"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6"/>
      <c r="BO138" s="6"/>
      <c r="BP138" s="6"/>
      <c r="BQ138" s="6"/>
      <c r="BR138" s="6"/>
      <c r="BS138" s="6"/>
      <c r="BT138" s="6"/>
      <c r="BU138" s="6"/>
      <c r="BV138" s="6"/>
      <c r="BW138" s="6"/>
      <c r="BX138" s="6"/>
      <c r="BY138" s="6"/>
    </row>
    <row r="139" spans="4:77" ht="20.100000000000001" customHeight="1" x14ac:dyDescent="0.25">
      <c r="D139" s="5" t="str" cm="1">
        <f t="array" ref="D139">Common_SourceData.Common_SourceData_FracWETIrrigation_Title()</f>
        <v>FracWET for irrigation types</v>
      </c>
      <c r="BN139" s="6"/>
      <c r="BO139" s="6"/>
      <c r="BP139" s="6"/>
      <c r="BQ139" s="6"/>
      <c r="BR139" s="6"/>
      <c r="BS139" s="6"/>
      <c r="BT139" s="6"/>
      <c r="BU139" s="6"/>
      <c r="BV139" s="6"/>
      <c r="BW139" s="6"/>
      <c r="BX139" s="6"/>
      <c r="BY139" s="6"/>
    </row>
    <row r="140" spans="4:77" ht="20.100000000000001" customHeight="1" x14ac:dyDescent="0.25">
      <c r="D140" s="4" t="str" cm="1">
        <f t="array" ref="D140">Common_SourceData.Common_SourceData_FracWETIrrigation_Source()</f>
        <v>VEERG 2026: Chapter 1, section 1.8.2 Leaching, climate and rainfall zones</v>
      </c>
      <c r="BN140" s="6"/>
      <c r="BO140" s="6"/>
      <c r="BP140" s="6"/>
      <c r="BQ140" s="6"/>
      <c r="BR140" s="6"/>
      <c r="BS140" s="6"/>
      <c r="BT140" s="6"/>
      <c r="BU140" s="6"/>
      <c r="BV140" s="6"/>
      <c r="BW140" s="6"/>
      <c r="BX140" s="6"/>
      <c r="BY140" s="6"/>
    </row>
    <row r="141" spans="4:77" ht="20.100000000000001" customHeight="1" x14ac:dyDescent="0.25">
      <c r="D141" s="13" t="str" cm="1">
        <f t="array" ref="D141">Common_SourceData.Common_SourceData_FracWETIrrigation_Variation()</f>
        <v>VARIATION FROM SOURCE DATA: Table created based on VEERG text 'Areas are subject to leaching (i.e., in the leaching zone) when... the land is irrigated (except drip irrigation).'</v>
      </c>
      <c r="BN141" s="6"/>
    </row>
    <row r="142" spans="4:77" ht="20.100000000000001" customHeight="1" x14ac:dyDescent="0.25">
      <c r="D142" s="11" t="s">
        <v>46</v>
      </c>
      <c r="E142" s="11" t="s">
        <v>38</v>
      </c>
      <c r="BN142" s="6"/>
    </row>
    <row r="143" spans="4:77" ht="20.100000000000001" customHeight="1" x14ac:dyDescent="0.25">
      <c r="D143" s="11" t="str" cm="1">
        <f t="array" ref="D143">Common_InputFunctions.Utility_DisplayArrayInTable(Common_SourceData.Common_SourceData_FracWETIrrigation_Data(), Table_SourceData_FracWETIrrigation[[#Headers],[Irrigation type i]], 0)</f>
        <v>Not irrigated</v>
      </c>
      <c r="E143" s="11" cm="1">
        <f t="array" ref="E143">Common_InputFunctions.Utility_DisplayArrayInTable(Common_SourceData.Common_SourceData_FracWETIrrigation_Data(), Table_SourceData_FracWETIrrigation[[#Headers],[Irrigation type i]], 0)</f>
        <v>0</v>
      </c>
      <c r="BN143" s="6"/>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11" cm="1">
        <f t="array" ref="E144">Common_InputFunctions.Utility_DisplayArrayInTable(Common_SourceData.Common_SourceData_FracWETIrrigation_Data(), Table_SourceData_FracWETIrrigation[[#Headers],[Irrigation type i]], 0)</f>
        <v>0</v>
      </c>
      <c r="BN144" s="6"/>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11" cm="1">
        <f t="array" ref="E145">Common_InputFunctions.Utility_DisplayArrayInTable(Common_SourceData.Common_SourceData_FracWETIrrigation_Data(), Table_SourceData_FracWETIrrigation[[#Headers],[Irrigation type i]], 0)</f>
        <v>1</v>
      </c>
      <c r="BN145" s="6"/>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11" cm="1">
        <f t="array" ref="E146">Common_InputFunctions.Utility_DisplayArrayInTable(Common_SourceData.Common_SourceData_FracWETIrrigation_Data(), Table_SourceData_FracWETIrrigation[[#Headers],[Irrigation type i]], 0)</f>
        <v>1</v>
      </c>
      <c r="BN146" s="6"/>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11" cm="1">
        <f t="array" ref="E147">Common_InputFunctions.Utility_DisplayArrayInTable(Common_SourceData.Common_SourceData_FracWETIrrigation_Data(), Table_SourceData_FracWETIrrigation[[#Headers],[Irrigation type i]], 0)</f>
        <v>1</v>
      </c>
      <c r="BN147" s="6"/>
    </row>
    <row r="148" spans="4:66" ht="20.100000000000001" customHeight="1" x14ac:dyDescent="0.25">
      <c r="BN148" s="6"/>
    </row>
    <row r="149" spans="4:66" ht="20.100000000000001" customHeight="1" x14ac:dyDescent="0.25">
      <c r="BN149" s="6"/>
    </row>
    <row r="150" spans="4:66" ht="20.100000000000001" customHeight="1" x14ac:dyDescent="0.25">
      <c r="D150" s="5" t="str" cm="1">
        <f t="array" ref="D150">Common_SourceData.Common_SourceData_DataScores_Scope3_Title()</f>
        <v>Australian data scores for scope 3</v>
      </c>
      <c r="BN150" s="6"/>
    </row>
    <row r="151" spans="4:66" ht="20.100000000000001" customHeight="1" x14ac:dyDescent="0.25">
      <c r="D151" s="4" t="str" cm="1">
        <f t="array" ref="D151">Common_SourceData.Common_SourceData_DataScores_Scope3_Source()</f>
        <v>VEERG 2026: XXXXXXXX</v>
      </c>
      <c r="BN151" s="6"/>
    </row>
    <row r="152" spans="4:66" ht="20.100000000000001" customHeight="1" x14ac:dyDescent="0.25">
      <c r="BN152" s="6"/>
    </row>
    <row r="153" spans="4:66" ht="20.100000000000001" customHeight="1" x14ac:dyDescent="0.25">
      <c r="D153" s="11" t="s">
        <v>34</v>
      </c>
      <c r="E153" s="11" t="s">
        <v>35</v>
      </c>
      <c r="BC153" s="2"/>
      <c r="BD153" s="2"/>
      <c r="BE153" s="2"/>
      <c r="BF153" s="2"/>
      <c r="BG153" s="2"/>
      <c r="BH153" s="2"/>
      <c r="BI153" s="2"/>
      <c r="BJ153" s="2"/>
      <c r="BK153" s="2"/>
      <c r="BL153" s="2"/>
      <c r="BM153" s="2"/>
    </row>
    <row r="154" spans="4:66" ht="20.100000000000001" customHeight="1" x14ac:dyDescent="0.25">
      <c r="D154" s="11" t="str" cm="1">
        <f t="array" ref="D154">Common_InputFunctions.Utility_DisplayArrayInTable(Common_SourceData.Common_SourceData_DataScores_Scope3_Data(), Table_SourceData_DataScores_Scope3[[#Headers],[Data source]], 0)</f>
        <v>International scope 3 database</v>
      </c>
      <c r="E154" s="11" cm="1">
        <f t="array" ref="E154">Common_InputFunctions.Utility_DisplayArrayInTable(Common_SourceData.Common_SourceData_DataScores_Scope3_Data(), Table_SourceData_DataScores_Scope3[[#Headers],[Data source]], 0)</f>
        <v>1</v>
      </c>
      <c r="BC154" s="2"/>
      <c r="BD154" s="2"/>
      <c r="BE154" s="2"/>
      <c r="BF154" s="2"/>
      <c r="BG154" s="2"/>
      <c r="BH154" s="2"/>
      <c r="BI154" s="2"/>
      <c r="BJ154" s="2"/>
      <c r="BK154" s="2"/>
      <c r="BL154" s="2"/>
      <c r="BM154" s="2"/>
    </row>
    <row r="155" spans="4:66" ht="20.100000000000001" customHeight="1" x14ac:dyDescent="0.25">
      <c r="D155" s="11" t="str" cm="1">
        <f t="array" ref="D155">Common_InputFunctions.Utility_DisplayArrayInTable(Common_SourceData.Common_SourceData_DataScores_Scope3_Data(), Table_SourceData_DataScores_Scope3[[#Headers],[Data source]], 0)</f>
        <v>Australian scope 3 database</v>
      </c>
      <c r="E155" s="11" cm="1">
        <f t="array" ref="E155">Common_InputFunctions.Utility_DisplayArrayInTable(Common_SourceData.Common_SourceData_DataScores_Scope3_Data(), Table_SourceData_DataScores_Scope3[[#Headers],[Data source]], 0)</f>
        <v>2</v>
      </c>
      <c r="BC155" s="2"/>
      <c r="BD155" s="2"/>
      <c r="BE155" s="2"/>
      <c r="BF155" s="2"/>
      <c r="BG155" s="2"/>
      <c r="BH155" s="2"/>
      <c r="BI155" s="2"/>
      <c r="BJ155" s="2"/>
      <c r="BK155" s="2"/>
      <c r="BL155" s="2"/>
      <c r="BM155" s="2"/>
    </row>
    <row r="156" spans="4:66" ht="20.100000000000001" customHeight="1" x14ac:dyDescent="0.25">
      <c r="D156" s="11" t="str" cm="1">
        <f t="array" ref="D156">Common_InputFunctions.Utility_DisplayArrayInTable(Common_SourceData.Common_SourceData_DataScores_Scope3_Data(), Table_SourceData_DataScores_Scope3[[#Headers],[Data source]], 0)</f>
        <v>State or regional scope 3 database</v>
      </c>
      <c r="E156" s="11" cm="1">
        <f t="array" ref="E156">Common_InputFunctions.Utility_DisplayArrayInTable(Common_SourceData.Common_SourceData_DataScores_Scope3_Data(), Table_SourceData_DataScores_Scope3[[#Headers],[Data source]], 0)</f>
        <v>3</v>
      </c>
    </row>
    <row r="157" spans="4:66" ht="20.100000000000001" customHeight="1" x14ac:dyDescent="0.25">
      <c r="D157" s="11" t="str" cm="1">
        <f t="array" ref="D157">Common_InputFunctions.Utility_DisplayArrayInTable(Common_SourceData.Common_SourceData_DataScores_Scope3_Data(), Table_SourceData_DataScores_Scope3[[#Headers],[Data source]], 0)</f>
        <v>Emissions intensity calculated from approved method</v>
      </c>
      <c r="E157" s="11" cm="1">
        <f t="array" ref="E157">Common_InputFunctions.Utility_DisplayArrayInTable(Common_SourceData.Common_SourceData_DataScores_Scope3_Data(), Table_SourceData_DataScores_Scope3[[#Headers],[Data source]], 0)</f>
        <v>4</v>
      </c>
    </row>
    <row r="158" spans="4:66" ht="20.100000000000001" customHeight="1" x14ac:dyDescent="0.25">
      <c r="D158" s="11" t="str" cm="1">
        <f t="array" ref="D158">Common_InputFunctions.Utility_DisplayArrayInTable(Common_SourceData.Common_SourceData_DataScores_Scope3_Data(), Table_SourceData_DataScores_Scope3[[#Headers],[Data source]], 0)</f>
        <v>Verified credential matching ISO14067</v>
      </c>
      <c r="E158" s="11"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5" t="str" cm="1">
        <f t="array" ref="D161">Common_SourceData.Common_SourceData_FracLEACH_Title()</f>
        <v>Fraction of N that is available for leaching and runoff</v>
      </c>
      <c r="E161" s="10"/>
    </row>
    <row r="162" spans="4:68" ht="20.100000000000001" customHeight="1" x14ac:dyDescent="0.25">
      <c r="D162" s="4" t="str" cm="1">
        <f t="array" ref="D162">Common_SourceData.Common_SourceData_FracLEACH_Source()</f>
        <v>VEERG 2026:5.5.2.3 Constant Parameters</v>
      </c>
      <c r="E162" s="10"/>
    </row>
    <row r="163" spans="4:68" ht="20.100000000000001" customHeight="1" x14ac:dyDescent="0.25">
      <c r="D163" s="4" t="str" cm="1">
        <f t="array" ref="D163">Common_SourceData.Common_SourceData_FracLEACH_NIRReference()</f>
        <v>National Inventory Report Volume 1: Leaching and runoff (3.D.b.2)</v>
      </c>
      <c r="E163" s="10"/>
    </row>
    <row r="164" spans="4:68" ht="20.100000000000001" customHeight="1" x14ac:dyDescent="0.25">
      <c r="D164" s="10" t="str" cm="1">
        <f t="array" ref="D164:E164">Common_SourceData.Common_SourceData_FracLEACH_Data()</f>
        <v>FracLEACH</v>
      </c>
      <c r="E164" s="10">
        <v>0.24</v>
      </c>
    </row>
    <row r="165" spans="4:68" ht="20.100000000000001" customHeight="1" x14ac:dyDescent="0.25">
      <c r="BN165" s="6"/>
      <c r="BO165" s="6"/>
      <c r="BP165" s="6"/>
    </row>
    <row r="166" spans="4:68" ht="20.100000000000001" customHeight="1" x14ac:dyDescent="0.25">
      <c r="BN166" s="6"/>
      <c r="BO166" s="6"/>
      <c r="BP166" s="6"/>
    </row>
    <row r="167" spans="4:68" ht="20.100000000000001" customHeight="1" x14ac:dyDescent="0.25">
      <c r="D167" s="5" t="str" cm="1">
        <f t="array" ref="D167">Common_SourceData.Common_SourceData_EFleach_Title()</f>
        <v>Emission factor for nitrogen leaching and runoff</v>
      </c>
      <c r="BN167" s="6"/>
      <c r="BO167" s="6"/>
      <c r="BP167" s="6"/>
    </row>
    <row r="168" spans="4:68" ht="20.100000000000001" customHeight="1" x14ac:dyDescent="0.25">
      <c r="D168" s="4" t="str" cm="1">
        <f t="array" ref="D168">Common_SourceData.Common_SourceData_EFleach_Source()</f>
        <v>VEERG 2026:5.5.2.3 Constant Parameters</v>
      </c>
      <c r="BN168" s="6"/>
      <c r="BO168" s="6"/>
      <c r="BP168" s="6"/>
    </row>
    <row r="169" spans="4:68" ht="20.100000000000001" customHeight="1" x14ac:dyDescent="0.25">
      <c r="D169" s="4" t="str" cm="1">
        <f t="array" ref="D169">Common_SourceData.Common_SourceData_EFleach_NIRReference()</f>
        <v>National Inventory Report Volume 1: Equation 3.D.B_10</v>
      </c>
      <c r="BN169" s="6"/>
      <c r="BO169" s="6"/>
      <c r="BP169" s="6"/>
    </row>
    <row r="170" spans="4:68" ht="20.100000000000001" customHeight="1" x14ac:dyDescent="0.25">
      <c r="D170" s="1" t="str" cm="1">
        <f t="array" ref="D170:E170">Common_SourceData.Common_SourceData_EFleach_Data()</f>
        <v>EFleach</v>
      </c>
      <c r="E170" s="1">
        <v>1.0999999999999999E-2</v>
      </c>
      <c r="BN170" s="6"/>
      <c r="BO170" s="6"/>
      <c r="BP170" s="6"/>
    </row>
    <row r="171" spans="4:68" ht="20.100000000000001" customHeight="1" x14ac:dyDescent="0.25">
      <c r="BN171" s="6"/>
      <c r="BO171" s="6"/>
      <c r="BP171" s="6"/>
    </row>
    <row r="172" spans="4:68" ht="20.100000000000001" customHeight="1" x14ac:dyDescent="0.25">
      <c r="BN172" s="6"/>
      <c r="BO172" s="6"/>
      <c r="BP172" s="6"/>
    </row>
    <row r="173" spans="4:68" ht="20.100000000000001" customHeight="1" x14ac:dyDescent="0.25">
      <c r="D173" s="5" t="str" cm="1">
        <f t="array" ref="D173">Common_SourceData.Common_SourceData_DensityOfMethane_Title()</f>
        <v>p = density of methane</v>
      </c>
      <c r="BN173" s="6"/>
      <c r="BO173" s="6"/>
      <c r="BP173" s="6"/>
    </row>
    <row r="174" spans="4:68" ht="20.100000000000001" customHeight="1" x14ac:dyDescent="0.25">
      <c r="D174" s="4" t="str" cm="1">
        <f t="array" ref="D174">Common_SourceData.Common_SourceData_DensityOfMethane_Source()</f>
        <v>National Inventory Report 2023 Volume 1: Equations 3.B.1a_2, 3.B.1c_2, 3.B.3_1, 3.B.4g_2</v>
      </c>
      <c r="BN174" s="6"/>
      <c r="BO174" s="6"/>
      <c r="BP174" s="6"/>
    </row>
    <row r="175" spans="4:68" ht="20.100000000000001" customHeight="1" x14ac:dyDescent="0.25">
      <c r="D175" s="1" cm="1">
        <f t="array" ref="D175">Common_SourceData.Common_SourceData_DensityOfMethane_Data()</f>
        <v>0.6784</v>
      </c>
      <c r="E175" s="12" t="str" cm="1">
        <f t="array" ref="E175">Common_SourceData.Common_SourceData_DensityOfMethane_Unit()</f>
        <v>kg/m3</v>
      </c>
      <c r="BN175" s="6"/>
      <c r="BO175" s="6"/>
      <c r="BP175" s="6"/>
    </row>
    <row r="176" spans="4:68" ht="20.100000000000001" customHeight="1" x14ac:dyDescent="0.25">
      <c r="BN176" s="6"/>
      <c r="BO176" s="6"/>
      <c r="BP176" s="6"/>
    </row>
    <row r="177" spans="4:68" ht="20.100000000000001" customHeight="1" x14ac:dyDescent="0.25">
      <c r="BN177" s="6"/>
      <c r="BO177" s="6"/>
      <c r="BP177" s="6"/>
    </row>
    <row r="178" spans="4:68" ht="20.100000000000001" customHeight="1" x14ac:dyDescent="0.25">
      <c r="D178" s="5" t="str" cm="1">
        <f t="array" ref="D178">Common_SourceData.Common_SourceData_EFN2O_Title()</f>
        <v>Nitrous oxide emission factors for inorganic fertiliser application</v>
      </c>
      <c r="BN178" s="6"/>
      <c r="BO178" s="6"/>
      <c r="BP178" s="6"/>
    </row>
    <row r="179" spans="4:68" ht="20.100000000000001" customHeight="1" x14ac:dyDescent="0.25">
      <c r="D179" s="4" t="str" cm="1">
        <f t="array" ref="D179">Common_SourceData.Common_SourceData_EFN2O_Source()</f>
        <v>VEERG 2026: Table A.2.2.1</v>
      </c>
      <c r="BN179" s="6"/>
      <c r="BO179" s="6"/>
      <c r="BP179" s="6"/>
    </row>
    <row r="180" spans="4:68" ht="20.100000000000001" customHeight="1" x14ac:dyDescent="0.25">
      <c r="D180" s="12" t="str" cm="1">
        <f t="array" ref="D180">Common_SourceData.Common_SourceData_EFN2O_Unit()</f>
        <v>(kg N2O-N / kg N</v>
      </c>
    </row>
    <row r="181" spans="4:68" ht="20.100000000000001" customHeight="1" x14ac:dyDescent="0.25">
      <c r="D181" s="13" t="str" cm="1">
        <f t="array" ref="D181:D185">Common_SourceData.Common_SourceData_EFN2O_Variation()</f>
        <v>VARIATION OF SOURCE DATA:</v>
      </c>
    </row>
    <row r="182" spans="4:68" ht="20.100000000000001" customHeight="1" x14ac:dyDescent="0.25">
      <c r="D182" s="13" t="str">
        <v>Removed duplicate 'Aquaculture' row.</v>
      </c>
    </row>
    <row r="183" spans="4:68" ht="20.100000000000001" customHeight="1" x14ac:dyDescent="0.25">
      <c r="D183" s="13" t="str">
        <v>Removed asterisks to aid lookup.</v>
      </c>
    </row>
    <row r="184" spans="4:68" ht="20.100000000000001" customHeight="1" x14ac:dyDescent="0.25">
      <c r="D184" s="13" t="str">
        <v>Added 'production system only', 'rainfall zone' and 'irrigation method' columns to aid lookup.</v>
      </c>
    </row>
    <row r="185" spans="4:68" ht="20.100000000000001" customHeight="1" x14ac:dyDescent="0.25">
      <c r="D185" s="13" t="str">
        <v>Duplicated 'non-irrigated pasture' row with same EF for low and high rainfall zones to aid lookup.</v>
      </c>
    </row>
    <row r="186" spans="4:68" ht="20.100000000000001" customHeight="1" x14ac:dyDescent="0.25">
      <c r="D186" s="11" t="s">
        <v>39</v>
      </c>
      <c r="E186" s="11" t="s">
        <v>40</v>
      </c>
      <c r="F186" s="11" t="s">
        <v>41</v>
      </c>
      <c r="G186" s="11" t="s">
        <v>42</v>
      </c>
      <c r="H186" s="11" t="s">
        <v>43</v>
      </c>
    </row>
    <row r="187" spans="4:68" ht="20.100000000000001" customHeight="1" x14ac:dyDescent="0.25">
      <c r="D187" s="11" t="str" cm="1">
        <f t="array" ref="D187">Common_InputFunctions.Utility_DisplayArrayInTable(Common_SourceData.Common_SourceData_EFN2O_Data(), Table_SourceData_Common_EFN2O[[#Headers],[Production system j]], 0)</f>
        <v>Irrigated pasture</v>
      </c>
      <c r="E187" s="11" cm="1">
        <f t="array" ref="E187">Common_InputFunctions.Utility_DisplayArrayInTable(Common_SourceData.Common_SourceData_EFN2O_Data(), Table_SourceData_Common_EFN2O[[#Headers],[Production system j]], 0)</f>
        <v>5.8999999999999999E-3</v>
      </c>
      <c r="F187" s="11" t="str" cm="1">
        <f t="array" ref="F187">Common_InputFunctions.Utility_DisplayArrayInTable(Common_SourceData.Common_SourceData_EFN2O_Data(), Table_SourceData_Common_EFN2O[[#Headers],[Production system j]], 0)</f>
        <v>Pasture</v>
      </c>
      <c r="G187" s="11" t="str" cm="1">
        <f t="array" ref="G187">Common_InputFunctions.Utility_DisplayArrayInTable(Common_SourceData.Common_SourceData_EFN2O_Data(), Table_SourceData_Common_EFN2O[[#Headers],[Production system j]], 0)</f>
        <v>Any</v>
      </c>
      <c r="H187" s="11" t="str" cm="1">
        <f t="array" ref="H187">Common_InputFunctions.Utility_DisplayArrayInTable(Common_SourceData.Common_SourceData_EFN2O_Data(), Table_SourceData_Common_EFN2O[[#Headers],[Production system j]], 0)</f>
        <v>Any</v>
      </c>
    </row>
    <row r="188" spans="4:68" ht="20.100000000000001" customHeight="1" x14ac:dyDescent="0.25">
      <c r="D188" s="11" t="str" cm="1">
        <f t="array" ref="D188">Common_InputFunctions.Utility_DisplayArrayInTable(Common_SourceData.Common_SourceData_EFN2O_Data(), Table_SourceData_Common_EFN2O[[#Headers],[Production system j]], 0)</f>
        <v>Irrigated crop</v>
      </c>
      <c r="E188" s="11" cm="1">
        <f t="array" ref="E188">Common_InputFunctions.Utility_DisplayArrayInTable(Common_SourceData.Common_SourceData_EFN2O_Data(), Table_SourceData_Common_EFN2O[[#Headers],[Production system j]], 0)</f>
        <v>7.0000000000000001E-3</v>
      </c>
      <c r="F188" s="11" t="str" cm="1">
        <f t="array" ref="F188">Common_InputFunctions.Utility_DisplayArrayInTable(Common_SourceData.Common_SourceData_EFN2O_Data(), Table_SourceData_Common_EFN2O[[#Headers],[Production system j]], 0)</f>
        <v>Crop</v>
      </c>
      <c r="G188" s="11" t="str" cm="1">
        <f t="array" ref="G188">Common_InputFunctions.Utility_DisplayArrayInTable(Common_SourceData.Common_SourceData_EFN2O_Data(), Table_SourceData_Common_EFN2O[[#Headers],[Production system j]], 0)</f>
        <v>Any</v>
      </c>
      <c r="H188" s="11" t="str" cm="1">
        <f t="array" ref="H188">Common_InputFunctions.Utility_DisplayArrayInTable(Common_SourceData.Common_SourceData_EFN2O_Data(), Table_SourceData_Common_EFN2O[[#Headers],[Production system j]], 0)</f>
        <v>Any</v>
      </c>
    </row>
    <row r="189" spans="4:68" ht="20.100000000000001" customHeight="1" x14ac:dyDescent="0.25">
      <c r="D189" s="11" t="str" cm="1">
        <f t="array" ref="D189">Common_InputFunctions.Utility_DisplayArrayInTable(Common_SourceData.Common_SourceData_EFN2O_Data(), Table_SourceData_Common_EFN2O[[#Headers],[Production system j]], 0)</f>
        <v>Non-irrigated pasture</v>
      </c>
      <c r="E189" s="11" cm="1">
        <f t="array" ref="E189">Common_InputFunctions.Utility_DisplayArrayInTable(Common_SourceData.Common_SourceData_EFN2O_Data(), Table_SourceData_Common_EFN2O[[#Headers],[Production system j]], 0)</f>
        <v>1.8E-3</v>
      </c>
      <c r="F189" s="11" t="str" cm="1">
        <f t="array" ref="F189">Common_InputFunctions.Utility_DisplayArrayInTable(Common_SourceData.Common_SourceData_EFN2O_Data(), Table_SourceData_Common_EFN2O[[#Headers],[Production system j]], 0)</f>
        <v>Pasture</v>
      </c>
      <c r="G189" s="11" t="str" cm="1">
        <f t="array" ref="G189">Common_InputFunctions.Utility_DisplayArrayInTable(Common_SourceData.Common_SourceData_EFN2O_Data(), Table_SourceData_Common_EFN2O[[#Headers],[Production system j]], 0)</f>
        <v>Not irrigated</v>
      </c>
      <c r="H189" s="11" t="str" cm="1">
        <f t="array" ref="H189">Common_InputFunctions.Utility_DisplayArrayInTable(Common_SourceData.Common_SourceData_EFN2O_Data(), Table_SourceData_Common_EFN2O[[#Headers],[Production system j]], 0)</f>
        <v>Low rainfall</v>
      </c>
    </row>
    <row r="190" spans="4:68" ht="20.100000000000001" customHeight="1" x14ac:dyDescent="0.25">
      <c r="D190" s="11" t="str" cm="1">
        <f t="array" ref="D190">Common_InputFunctions.Utility_DisplayArrayInTable(Common_SourceData.Common_SourceData_EFN2O_Data(), Table_SourceData_Common_EFN2O[[#Headers],[Production system j]], 0)</f>
        <v>Non-irrigated pasture</v>
      </c>
      <c r="E190" s="11" cm="1">
        <f t="array" ref="E190">Common_InputFunctions.Utility_DisplayArrayInTable(Common_SourceData.Common_SourceData_EFN2O_Data(), Table_SourceData_Common_EFN2O[[#Headers],[Production system j]], 0)</f>
        <v>1.8E-3</v>
      </c>
      <c r="F190" s="11" t="str" cm="1">
        <f t="array" ref="F190">Common_InputFunctions.Utility_DisplayArrayInTable(Common_SourceData.Common_SourceData_EFN2O_Data(), Table_SourceData_Common_EFN2O[[#Headers],[Production system j]], 0)</f>
        <v>Pasture</v>
      </c>
      <c r="G190" s="11" t="str" cm="1">
        <f t="array" ref="G190">Common_InputFunctions.Utility_DisplayArrayInTable(Common_SourceData.Common_SourceData_EFN2O_Data(), Table_SourceData_Common_EFN2O[[#Headers],[Production system j]], 0)</f>
        <v>Not irrigated</v>
      </c>
      <c r="H190" s="11"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11" t="str" cm="1">
        <f t="array" ref="D191">Common_InputFunctions.Utility_DisplayArrayInTable(Common_SourceData.Common_SourceData_EFN2O_Data(), Table_SourceData_Common_EFN2O[[#Headers],[Production system j]], 0)</f>
        <v>Non-irrigated crop (low rainfall)</v>
      </c>
      <c r="E191" s="11" cm="1">
        <f t="array" ref="E191">Common_InputFunctions.Utility_DisplayArrayInTable(Common_SourceData.Common_SourceData_EFN2O_Data(), Table_SourceData_Common_EFN2O[[#Headers],[Production system j]], 0)</f>
        <v>2.8999999999999998E-3</v>
      </c>
      <c r="F191" s="11" t="str" cm="1">
        <f t="array" ref="F191">Common_InputFunctions.Utility_DisplayArrayInTable(Common_SourceData.Common_SourceData_EFN2O_Data(), Table_SourceData_Common_EFN2O[[#Headers],[Production system j]], 0)</f>
        <v>Crop</v>
      </c>
      <c r="G191" s="11" t="str" cm="1">
        <f t="array" ref="G191">Common_InputFunctions.Utility_DisplayArrayInTable(Common_SourceData.Common_SourceData_EFN2O_Data(), Table_SourceData_Common_EFN2O[[#Headers],[Production system j]], 0)</f>
        <v>Not irrigated</v>
      </c>
      <c r="H191" s="11" t="str" cm="1">
        <f t="array" ref="H191">Common_InputFunctions.Utility_DisplayArrayInTable(Common_SourceData.Common_SourceData_EFN2O_Data(), Table_SourceData_Common_EFN2O[[#Headers],[Production system j]], 0)</f>
        <v>Low rainfall</v>
      </c>
    </row>
    <row r="192" spans="4:68" ht="20.100000000000001" customHeight="1" x14ac:dyDescent="0.25">
      <c r="D192" s="11" t="str" cm="1">
        <f t="array" ref="D192">Common_InputFunctions.Utility_DisplayArrayInTable(Common_SourceData.Common_SourceData_EFN2O_Data(), Table_SourceData_Common_EFN2O[[#Headers],[Production system j]], 0)</f>
        <v>Non-irrigated crop (high rainfall)</v>
      </c>
      <c r="E192" s="11" cm="1">
        <f t="array" ref="E192">Common_InputFunctions.Utility_DisplayArrayInTable(Common_SourceData.Common_SourceData_EFN2O_Data(), Table_SourceData_Common_EFN2O[[#Headers],[Production system j]], 0)</f>
        <v>8.0000000000000002E-3</v>
      </c>
      <c r="F192" s="11" t="str" cm="1">
        <f t="array" ref="F192">Common_InputFunctions.Utility_DisplayArrayInTable(Common_SourceData.Common_SourceData_EFN2O_Data(), Table_SourceData_Common_EFN2O[[#Headers],[Production system j]], 0)</f>
        <v>Crop</v>
      </c>
      <c r="G192" s="11" t="str" cm="1">
        <f t="array" ref="G192">Common_InputFunctions.Utility_DisplayArrayInTable(Common_SourceData.Common_SourceData_EFN2O_Data(), Table_SourceData_Common_EFN2O[[#Headers],[Production system j]], 0)</f>
        <v>Not irrigated</v>
      </c>
      <c r="H192" s="11" t="str" cm="1">
        <f t="array" ref="H192">Common_InputFunctions.Utility_DisplayArrayInTable(Common_SourceData.Common_SourceData_EFN2O_Data(), Table_SourceData_Common_EFN2O[[#Headers],[Production system j]], 0)</f>
        <v>High rainfall</v>
      </c>
    </row>
    <row r="193" spans="4:8" ht="20.100000000000001" customHeight="1" x14ac:dyDescent="0.25">
      <c r="D193" s="11" t="str" cm="1">
        <f t="array" ref="D193">Common_InputFunctions.Utility_DisplayArrayInTable(Common_SourceData.Common_SourceData_EFN2O_Data(), Table_SourceData_Common_EFN2O[[#Headers],[Production system j]], 0)</f>
        <v>Sugar</v>
      </c>
      <c r="E193" s="11" cm="1">
        <f t="array" ref="E193">Common_InputFunctions.Utility_DisplayArrayInTable(Common_SourceData.Common_SourceData_EFN2O_Data(), Table_SourceData_Common_EFN2O[[#Headers],[Production system j]], 0)</f>
        <v>1.9900000000000001E-2</v>
      </c>
      <c r="F193" s="11" t="str" cm="1">
        <f t="array" ref="F193">Common_InputFunctions.Utility_DisplayArrayInTable(Common_SourceData.Common_SourceData_EFN2O_Data(), Table_SourceData_Common_EFN2O[[#Headers],[Production system j]], 0)</f>
        <v>Sugar</v>
      </c>
      <c r="G193" s="11" t="str" cm="1">
        <f t="array" ref="G193">Common_InputFunctions.Utility_DisplayArrayInTable(Common_SourceData.Common_SourceData_EFN2O_Data(), Table_SourceData_Common_EFN2O[[#Headers],[Production system j]], 0)</f>
        <v>Any</v>
      </c>
      <c r="H193" s="11" t="str" cm="1">
        <f t="array" ref="H193">Common_InputFunctions.Utility_DisplayArrayInTable(Common_SourceData.Common_SourceData_EFN2O_Data(), Table_SourceData_Common_EFN2O[[#Headers],[Production system j]], 0)</f>
        <v>Any</v>
      </c>
    </row>
    <row r="194" spans="4:8" ht="20.100000000000001" customHeight="1" x14ac:dyDescent="0.25">
      <c r="D194" s="11" t="str" cm="1">
        <f t="array" ref="D194">Common_InputFunctions.Utility_DisplayArrayInTable(Common_SourceData.Common_SourceData_EFN2O_Data(), Table_SourceData_Common_EFN2O[[#Headers],[Production system j]], 0)</f>
        <v>Cotton</v>
      </c>
      <c r="E194" s="11" cm="1">
        <f t="array" ref="E194">Common_InputFunctions.Utility_DisplayArrayInTable(Common_SourceData.Common_SourceData_EFN2O_Data(), Table_SourceData_Common_EFN2O[[#Headers],[Production system j]], 0)</f>
        <v>5.3E-3</v>
      </c>
      <c r="F194" s="11" t="str" cm="1">
        <f t="array" ref="F194">Common_InputFunctions.Utility_DisplayArrayInTable(Common_SourceData.Common_SourceData_EFN2O_Data(), Table_SourceData_Common_EFN2O[[#Headers],[Production system j]], 0)</f>
        <v>Cotton</v>
      </c>
      <c r="G194" s="11" t="str" cm="1">
        <f t="array" ref="G194">Common_InputFunctions.Utility_DisplayArrayInTable(Common_SourceData.Common_SourceData_EFN2O_Data(), Table_SourceData_Common_EFN2O[[#Headers],[Production system j]], 0)</f>
        <v>Any</v>
      </c>
      <c r="H194" s="11" t="str" cm="1">
        <f t="array" ref="H194">Common_InputFunctions.Utility_DisplayArrayInTable(Common_SourceData.Common_SourceData_EFN2O_Data(), Table_SourceData_Common_EFN2O[[#Headers],[Production system j]], 0)</f>
        <v>Any</v>
      </c>
    </row>
    <row r="195" spans="4:8" ht="20.100000000000001" customHeight="1" x14ac:dyDescent="0.25">
      <c r="D195" s="11" t="str" cm="1">
        <f t="array" ref="D195">Common_InputFunctions.Utility_DisplayArrayInTable(Common_SourceData.Common_SourceData_EFN2O_Data(), Table_SourceData_Common_EFN2O[[#Headers],[Production system j]], 0)</f>
        <v>Horticultural crops</v>
      </c>
      <c r="E195" s="11" cm="1">
        <f t="array" ref="E195">Common_InputFunctions.Utility_DisplayArrayInTable(Common_SourceData.Common_SourceData_EFN2O_Data(), Table_SourceData_Common_EFN2O[[#Headers],[Production system j]], 0)</f>
        <v>6.4000000000000003E-3</v>
      </c>
      <c r="F195" s="11" t="str" cm="1">
        <f t="array" ref="F195">Common_InputFunctions.Utility_DisplayArrayInTable(Common_SourceData.Common_SourceData_EFN2O_Data(), Table_SourceData_Common_EFN2O[[#Headers],[Production system j]], 0)</f>
        <v>Horticultural crops</v>
      </c>
      <c r="G195" s="11" t="str" cm="1">
        <f t="array" ref="G195">Common_InputFunctions.Utility_DisplayArrayInTable(Common_SourceData.Common_SourceData_EFN2O_Data(), Table_SourceData_Common_EFN2O[[#Headers],[Production system j]], 0)</f>
        <v>Any</v>
      </c>
      <c r="H195" s="11" t="str" cm="1">
        <f t="array" ref="H195">Common_InputFunctions.Utility_DisplayArrayInTable(Common_SourceData.Common_SourceData_EFN2O_Data(), Table_SourceData_Common_EFN2O[[#Headers],[Production system j]], 0)</f>
        <v>Any</v>
      </c>
    </row>
    <row r="196" spans="4:8" ht="20.100000000000001" customHeight="1" x14ac:dyDescent="0.25">
      <c r="D196" s="11" t="str" cm="1">
        <f t="array" ref="D196">Common_InputFunctions.Utility_DisplayArrayInTable(Common_SourceData.Common_SourceData_EFN2O_Data(), Table_SourceData_Common_EFN2O[[#Headers],[Production system j]], 0)</f>
        <v>Rice (continuous flooding)</v>
      </c>
      <c r="E196" s="11" cm="1">
        <f t="array" ref="E196">Common_InputFunctions.Utility_DisplayArrayInTable(Common_SourceData.Common_SourceData_EFN2O_Data(), Table_SourceData_Common_EFN2O[[#Headers],[Production system j]], 0)</f>
        <v>3.0000000000000001E-3</v>
      </c>
      <c r="F196" s="11" t="str" cm="1">
        <f t="array" ref="F196">Common_InputFunctions.Utility_DisplayArrayInTable(Common_SourceData.Common_SourceData_EFN2O_Data(), Table_SourceData_Common_EFN2O[[#Headers],[Production system j]], 0)</f>
        <v>Rice</v>
      </c>
      <c r="G196" s="11" t="str" cm="1">
        <f t="array" ref="G196">Common_InputFunctions.Utility_DisplayArrayInTable(Common_SourceData.Common_SourceData_EFN2O_Data(), Table_SourceData_Common_EFN2O[[#Headers],[Production system j]], 0)</f>
        <v>Continuous flooding</v>
      </c>
      <c r="H196" s="11" t="str" cm="1">
        <f t="array" ref="H196">Common_InputFunctions.Utility_DisplayArrayInTable(Common_SourceData.Common_SourceData_EFN2O_Data(), Table_SourceData_Common_EFN2O[[#Headers],[Production system j]], 0)</f>
        <v>Any</v>
      </c>
    </row>
    <row r="197" spans="4:8" x14ac:dyDescent="0.25">
      <c r="D197" s="11" t="str" cm="1">
        <f t="array" ref="D197">Common_InputFunctions.Utility_DisplayArrayInTable(Common_SourceData.Common_SourceData_EFN2O_Data(), Table_SourceData_Common_EFN2O[[#Headers],[Production system j]], 0)</f>
        <v>Rice (single and multiple drainage, or alternate wetting and drying)</v>
      </c>
      <c r="E197" s="11" cm="1">
        <f t="array" ref="E197">Common_InputFunctions.Utility_DisplayArrayInTable(Common_SourceData.Common_SourceData_EFN2O_Data(), Table_SourceData_Common_EFN2O[[#Headers],[Production system j]], 0)</f>
        <v>5.0000000000000001E-3</v>
      </c>
      <c r="F197" s="11" t="str" cm="1">
        <f t="array" ref="F197">Common_InputFunctions.Utility_DisplayArrayInTable(Common_SourceData.Common_SourceData_EFN2O_Data(), Table_SourceData_Common_EFN2O[[#Headers],[Production system j]], 0)</f>
        <v>Rice</v>
      </c>
      <c r="G197" s="11" t="str" cm="1">
        <f t="array" ref="G197">Common_InputFunctions.Utility_DisplayArrayInTable(Common_SourceData.Common_SourceData_EFN2O_Data(), Table_SourceData_Common_EFN2O[[#Headers],[Production system j]], 0)</f>
        <v>Single and multiple drainage, or alternate wetting and drying</v>
      </c>
      <c r="H197" s="11" t="str" cm="1">
        <f t="array" ref="H197">Common_InputFunctions.Utility_DisplayArrayInTable(Common_SourceData.Common_SourceData_EFN2O_Data(), Table_SourceData_Common_EFN2O[[#Headers],[Production system j]], 0)</f>
        <v>Any</v>
      </c>
    </row>
    <row r="198" spans="4:8" x14ac:dyDescent="0.25">
      <c r="D198" s="11" t="str" cm="1">
        <f t="array" ref="D198">Common_InputFunctions.Utility_DisplayArrayInTable(Common_SourceData.Common_SourceData_EFN2O_Data(), Table_SourceData_Common_EFN2O[[#Headers],[Production system j]], 0)</f>
        <v>Aquaculture</v>
      </c>
      <c r="E198" s="11" cm="1">
        <f t="array" ref="E198">Common_InputFunctions.Utility_DisplayArrayInTable(Common_SourceData.Common_SourceData_EFN2O_Data(), Table_SourceData_Common_EFN2O[[#Headers],[Production system j]], 0)</f>
        <v>2.5999999999999999E-3</v>
      </c>
      <c r="F198" s="11" t="str" cm="1">
        <f t="array" ref="F198">Common_InputFunctions.Utility_DisplayArrayInTable(Common_SourceData.Common_SourceData_EFN2O_Data(), Table_SourceData_Common_EFN2O[[#Headers],[Production system j]], 0)</f>
        <v>Aquaculture</v>
      </c>
      <c r="G198" s="11" t="str" cm="1">
        <f t="array" ref="G198">Common_InputFunctions.Utility_DisplayArrayInTable(Common_SourceData.Common_SourceData_EFN2O_Data(), Table_SourceData_Common_EFN2O[[#Headers],[Production system j]], 0)</f>
        <v>Any</v>
      </c>
      <c r="H198" s="11" t="str" cm="1">
        <f t="array" ref="H198">Common_InputFunctions.Utility_DisplayArrayInTable(Common_SourceData.Common_SourceData_EFN2O_Data(), Table_SourceData_Common_EFN2O[[#Headers],[Production system j]], 0)</f>
        <v>Any</v>
      </c>
    </row>
    <row r="199" spans="4:8" x14ac:dyDescent="0.25">
      <c r="D199" s="11" t="str" cm="1">
        <f t="array" ref="D199">Common_InputFunctions.Utility_DisplayArrayInTable(Common_SourceData.Common_SourceData_EFN2O_Data(), Table_SourceData_Common_EFN2O[[#Headers],[Production system j]], 0)</f>
        <v>Forestry</v>
      </c>
      <c r="E199" s="11" cm="1">
        <f t="array" ref="E199">Common_InputFunctions.Utility_DisplayArrayInTable(Common_SourceData.Common_SourceData_EFN2O_Data(), Table_SourceData_Common_EFN2O[[#Headers],[Production system j]], 0)</f>
        <v>1.8E-3</v>
      </c>
      <c r="F199" s="11" t="str" cm="1">
        <f t="array" ref="F199">Common_InputFunctions.Utility_DisplayArrayInTable(Common_SourceData.Common_SourceData_EFN2O_Data(), Table_SourceData_Common_EFN2O[[#Headers],[Production system j]], 0)</f>
        <v>Forestry</v>
      </c>
      <c r="G199" s="11" t="str" cm="1">
        <f t="array" ref="G199">Common_InputFunctions.Utility_DisplayArrayInTable(Common_SourceData.Common_SourceData_EFN2O_Data(), Table_SourceData_Common_EFN2O[[#Headers],[Production system j]], 0)</f>
        <v>Any</v>
      </c>
      <c r="H199" s="11" t="str" cm="1">
        <f t="array" ref="H199">Common_InputFunctions.Utility_DisplayArrayInTable(Common_SourceData.Common_SourceData_EFN2O_Data(), Table_SourceData_Common_EFN2O[[#Headers],[Production system j]], 0)</f>
        <v>Any</v>
      </c>
    </row>
    <row r="202" spans="4:8" ht="23.25" x14ac:dyDescent="0.25">
      <c r="D202" s="5" t="str" cm="1">
        <f t="array" ref="D202">Common_SourceData.Common_SourceData_EFPastureRangeAndPaddock_Title()</f>
        <v>Emission factor for urine and dung deposited on pasture, range or paddock</v>
      </c>
    </row>
    <row r="203" spans="4:8" x14ac:dyDescent="0.25">
      <c r="D203" s="4" t="str" cm="1">
        <f t="array" ref="D203">Common_SourceData.Common_SourceData_EFPastureRangeAndPaddock_Source()</f>
        <v>VEERG 2026: Table A.2.2.2</v>
      </c>
    </row>
    <row r="204" spans="4:8" x14ac:dyDescent="0.25">
      <c r="D204" s="13" t="str" cm="1">
        <f t="array" ref="D204">Common_SourceData.Common_SourceData_EFPastureRangeAndPaddock_Variation()</f>
        <v>VARIATION FROM SOURCE DATA: Changed 'Dry climate zones' to singular 'Dry climate zone' to aid lookup.</v>
      </c>
    </row>
    <row r="205" spans="4:8" x14ac:dyDescent="0.25">
      <c r="D205" s="12" t="str" cm="1">
        <f t="array" ref="D205">Common_SourceData.Common_SourceData_EFPastureRangeAndPaddock_Unit()</f>
        <v>kg N2O - N / kg N</v>
      </c>
    </row>
    <row r="206" spans="4:8" x14ac:dyDescent="0.25">
      <c r="D206" s="11" t="s">
        <v>0</v>
      </c>
      <c r="E206" s="11" t="s">
        <v>47</v>
      </c>
    </row>
    <row r="207" spans="4:8" x14ac:dyDescent="0.25">
      <c r="D207" s="11" t="str" cm="1">
        <f t="array" ref="D207">Common_InputFunctions.Utility_DisplayArrayInTable(Common_SourceData.Common_SourceData_EFPastureRangeAndPaddock_Data(), Table_SourceData_EFPastureRangeAndPaddock[[#Headers],[Climate zone]], 0)</f>
        <v>Wet climate zone</v>
      </c>
      <c r="E207" s="11"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11"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11" t="s">
        <v>48</v>
      </c>
      <c r="E212" s="11" t="s">
        <v>49</v>
      </c>
    </row>
    <row r="213" spans="4:5" x14ac:dyDescent="0.25">
      <c r="D213" s="11" t="str" cm="1">
        <f t="array" ref="D213">Common_InputFunctions.Utility_DisplayArrayInTable(Common_SourceData.Common_SourceData_MonthsToSeasons_Data(), Table_SourceData_Common_MonthToSeason[[#Headers],[Month]], 0)</f>
        <v>January</v>
      </c>
      <c r="E213" s="11"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11"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11"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11"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11"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11"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11"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11"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11"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11"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11"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11" t="str" cm="1">
        <f t="array" ref="E224">Common_InputFunctions.Utility_DisplayArrayInTable(Common_SourceData.Common_SourceData_MonthsToSeasons_Data(), Table_SourceData_Common_MonthToSeason[[#Headers],[Month]], 0)</f>
        <v>Summer</v>
      </c>
    </row>
    <row r="227" spans="4:19" ht="23.25" x14ac:dyDescent="0.25">
      <c r="D227" s="5" t="str" cm="1">
        <f t="array" ref="D227">Common_SourceData.Common_SourceData_MCFTemperatureZone_Title()</f>
        <v>Manure Management – Methane conversion factor per temperature zone (fraction) (MCFim)</v>
      </c>
    </row>
    <row r="228" spans="4:19" x14ac:dyDescent="0.25">
      <c r="D228" s="4" t="str" cm="1">
        <f t="array" ref="D228">Common_SourceData.Common_SourceData_MCFTemperatureZone_Source()</f>
        <v>VEERG 2026: Table A.1.8.1</v>
      </c>
    </row>
    <row r="229" spans="4:19" x14ac:dyDescent="0.25">
      <c r="D229" s="13"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11" t="s">
        <v>50</v>
      </c>
      <c r="E231" s="11" t="s">
        <v>64</v>
      </c>
      <c r="F231" s="14" t="s">
        <v>51</v>
      </c>
      <c r="G231" s="11" t="s">
        <v>52</v>
      </c>
      <c r="H231" s="11" t="s">
        <v>53</v>
      </c>
      <c r="I231" s="11" t="s">
        <v>54</v>
      </c>
      <c r="J231" s="11" t="s">
        <v>55</v>
      </c>
      <c r="K231" s="11" t="s">
        <v>56</v>
      </c>
      <c r="L231" s="11" t="s">
        <v>57</v>
      </c>
      <c r="M231" s="11" t="s">
        <v>58</v>
      </c>
      <c r="N231" s="11" t="s">
        <v>59</v>
      </c>
      <c r="O231" s="11" t="s">
        <v>60</v>
      </c>
      <c r="P231" s="11" t="s">
        <v>61</v>
      </c>
      <c r="Q231" s="11" t="s">
        <v>62</v>
      </c>
      <c r="R231" s="11" t="s">
        <v>63</v>
      </c>
      <c r="S231" s="11" t="s">
        <v>65</v>
      </c>
    </row>
    <row r="232" spans="4:19" x14ac:dyDescent="0.25">
      <c r="D232" s="11" t="str" cm="1">
        <f t="array" ref="D232">Common_InputFunctions.Utility_DisplayArrayInTable(Common_SourceData.Common_SourceData_MCFTemperatureZone_Data(),Table_SourceData_Common_MCFTemperatureZone[[#Headers],[Temperature zone]],0)</f>
        <v>Cool</v>
      </c>
      <c r="E232" s="11" t="str" cm="1">
        <f t="array" ref="E232">Common_InputFunctions.Utility_DisplayArrayInTable(Common_SourceData.Common_SourceData_MCFTemperatureZone_Data(),Table_SourceData_Common_MCFTemperatureZone[[#Headers],[Temperature zone]],0)</f>
        <v>≤10</v>
      </c>
      <c r="F232" s="11" cm="1">
        <f t="array" ref="F232">Common_InputFunctions.Utility_DisplayArrayInTable(Common_SourceData.Common_SourceData_MCFTemperatureZone_Data(),Table_SourceData_Common_MCFTemperatureZone[[#Headers],[Temperature zone]],0)</f>
        <v>0.66</v>
      </c>
      <c r="G232" s="11" cm="1">
        <f t="array" ref="G232">Common_InputFunctions.Utility_DisplayArrayInTable(Common_SourceData.Common_SourceData_MCFTemperatureZone_Data(),Table_SourceData_Common_MCFTemperatureZone[[#Headers],[Temperature zone]],0)</f>
        <v>0.1</v>
      </c>
      <c r="H232" s="11" cm="1">
        <f t="array" ref="H232">Common_InputFunctions.Utility_DisplayArrayInTable(Common_SourceData.Common_SourceData_MCFTemperatureZone_Data(),Table_SourceData_Common_MCFTemperatureZone[[#Headers],[Temperature zone]],0)</f>
        <v>0.1</v>
      </c>
      <c r="I232" s="11" cm="1">
        <f t="array" ref="I232">Common_InputFunctions.Utility_DisplayArrayInTable(Common_SourceData.Common_SourceData_MCFTemperatureZone_Data(),Table_SourceData_Common_MCFTemperatureZone[[#Headers],[Temperature zone]],0)</f>
        <v>1E-3</v>
      </c>
      <c r="J232" s="11" cm="1">
        <f t="array" ref="J232">Common_InputFunctions.Utility_DisplayArrayInTable(Common_SourceData.Common_SourceData_MCFTemperatureZone_Data(),Table_SourceData_Common_MCFTemperatureZone[[#Headers],[Temperature zone]],0)</f>
        <v>5.0000000000000001E-3</v>
      </c>
      <c r="K232" s="11" cm="1">
        <f t="array" ref="K232">Common_InputFunctions.Utility_DisplayArrayInTable(Common_SourceData.Common_SourceData_MCFTemperatureZone_Data(),Table_SourceData_Common_MCFTemperatureZone[[#Headers],[Temperature zone]],0)</f>
        <v>0.02</v>
      </c>
      <c r="L232" s="11" cm="1">
        <f t="array" ref="L232">Common_InputFunctions.Utility_DisplayArrayInTable(Common_SourceData.Common_SourceData_MCFTemperatureZone_Data(),Table_SourceData_Common_MCFTemperatureZone[[#Headers],[Temperature zone]],0)</f>
        <v>0.03</v>
      </c>
      <c r="M232" s="11" cm="1">
        <f t="array" ref="M232">Common_InputFunctions.Utility_DisplayArrayInTable(Common_SourceData.Common_SourceData_MCFTemperatureZone_Data(),Table_SourceData_Common_MCFTemperatureZone[[#Headers],[Temperature zone]],0)</f>
        <v>0.04</v>
      </c>
      <c r="N232" s="11" cm="1">
        <f t="array" ref="N232">Common_InputFunctions.Utility_DisplayArrayInTable(Common_SourceData.Common_SourceData_MCFTemperatureZone_Data(),Table_SourceData_Common_MCFTemperatureZone[[#Headers],[Temperature zone]],0)</f>
        <v>1.4999999999999999E-2</v>
      </c>
      <c r="O232" s="11" cm="1">
        <f t="array" ref="O232">Common_InputFunctions.Utility_DisplayArrayInTable(Common_SourceData.Common_SourceData_MCFTemperatureZone_Data(),Table_SourceData_Common_MCFTemperatureZone[[#Headers],[Temperature zone]],0)</f>
        <v>1.4999999999999999E-2</v>
      </c>
      <c r="P232" s="11" cm="1">
        <f t="array" ref="P232">Common_InputFunctions.Utility_DisplayArrayInTable(Common_SourceData.Common_SourceData_MCFTemperatureZone_Data(),Table_SourceData_Common_MCFTemperatureZone[[#Headers],[Temperature zone]],0)</f>
        <v>0</v>
      </c>
      <c r="Q232" s="11" cm="1">
        <f t="array" ref="Q232">Common_InputFunctions.Utility_DisplayArrayInTable(Common_SourceData.Common_SourceData_MCFTemperatureZone_Data(),Table_SourceData_Common_MCFTemperatureZone[[#Headers],[Temperature zone]],0)</f>
        <v>0</v>
      </c>
      <c r="R232" s="11" cm="1">
        <f t="array" ref="R232">Common_InputFunctions.Utility_DisplayArrayInTable(Common_SourceData.Common_SourceData_MCFTemperatureZone_Data(),Table_SourceData_Common_MCFTemperatureZone[[#Headers],[Temperature zone]],0)</f>
        <v>4.7000000000000002E-3</v>
      </c>
      <c r="S232" s="11"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11" cm="1">
        <f t="array" ref="E233">Common_InputFunctions.Utility_DisplayArrayInTable(Common_SourceData.Common_SourceData_MCFTemperatureZone_Data(),Table_SourceData_Common_MCFTemperatureZone[[#Headers],[Temperature zone]],0)</f>
        <v>11</v>
      </c>
      <c r="F233" s="11" cm="1">
        <f t="array" ref="F233">Common_InputFunctions.Utility_DisplayArrayInTable(Common_SourceData.Common_SourceData_MCFTemperatureZone_Data(),Table_SourceData_Common_MCFTemperatureZone[[#Headers],[Temperature zone]],0)</f>
        <v>0.68</v>
      </c>
      <c r="G233" s="11" cm="1">
        <f t="array" ref="G233">Common_InputFunctions.Utility_DisplayArrayInTable(Common_SourceData.Common_SourceData_MCFTemperatureZone_Data(),Table_SourceData_Common_MCFTemperatureZone[[#Headers],[Temperature zone]],0)</f>
        <v>0.1</v>
      </c>
      <c r="H233" s="11" cm="1">
        <f t="array" ref="H233">Common_InputFunctions.Utility_DisplayArrayInTable(Common_SourceData.Common_SourceData_MCFTemperatureZone_Data(),Table_SourceData_Common_MCFTemperatureZone[[#Headers],[Temperature zone]],0)</f>
        <v>0.11</v>
      </c>
      <c r="I233" s="11" cm="1">
        <f t="array" ref="I233">Common_InputFunctions.Utility_DisplayArrayInTable(Common_SourceData.Common_SourceData_MCFTemperatureZone_Data(),Table_SourceData_Common_MCFTemperatureZone[[#Headers],[Temperature zone]],0)</f>
        <v>1E-3</v>
      </c>
      <c r="J233" s="11" cm="1">
        <f t="array" ref="J233">Common_InputFunctions.Utility_DisplayArrayInTable(Common_SourceData.Common_SourceData_MCFTemperatureZone_Data(),Table_SourceData_Common_MCFTemperatureZone[[#Headers],[Temperature zone]],0)</f>
        <v>5.0000000000000001E-3</v>
      </c>
      <c r="K233" s="11" cm="1">
        <f t="array" ref="K233">Common_InputFunctions.Utility_DisplayArrayInTable(Common_SourceData.Common_SourceData_MCFTemperatureZone_Data(),Table_SourceData_Common_MCFTemperatureZone[[#Headers],[Temperature zone]],0)</f>
        <v>0.02</v>
      </c>
      <c r="L233" s="11" cm="1">
        <f t="array" ref="L233">Common_InputFunctions.Utility_DisplayArrayInTable(Common_SourceData.Common_SourceData_MCFTemperatureZone_Data(),Table_SourceData_Common_MCFTemperatureZone[[#Headers],[Temperature zone]],0)</f>
        <v>0.03</v>
      </c>
      <c r="M233" s="11" cm="1">
        <f t="array" ref="M233">Common_InputFunctions.Utility_DisplayArrayInTable(Common_SourceData.Common_SourceData_MCFTemperatureZone_Data(),Table_SourceData_Common_MCFTemperatureZone[[#Headers],[Temperature zone]],0)</f>
        <v>0.04</v>
      </c>
      <c r="N233" s="11" cm="1">
        <f t="array" ref="N233">Common_InputFunctions.Utility_DisplayArrayInTable(Common_SourceData.Common_SourceData_MCFTemperatureZone_Data(),Table_SourceData_Common_MCFTemperatureZone[[#Headers],[Temperature zone]],0)</f>
        <v>1.4999999999999999E-2</v>
      </c>
      <c r="O233" s="11" cm="1">
        <f t="array" ref="O233">Common_InputFunctions.Utility_DisplayArrayInTable(Common_SourceData.Common_SourceData_MCFTemperatureZone_Data(),Table_SourceData_Common_MCFTemperatureZone[[#Headers],[Temperature zone]],0)</f>
        <v>1.4999999999999999E-2</v>
      </c>
      <c r="P233" s="11" cm="1">
        <f t="array" ref="P233">Common_InputFunctions.Utility_DisplayArrayInTable(Common_SourceData.Common_SourceData_MCFTemperatureZone_Data(),Table_SourceData_Common_MCFTemperatureZone[[#Headers],[Temperature zone]],0)</f>
        <v>0</v>
      </c>
      <c r="Q233" s="11" cm="1">
        <f t="array" ref="Q233">Common_InputFunctions.Utility_DisplayArrayInTable(Common_SourceData.Common_SourceData_MCFTemperatureZone_Data(),Table_SourceData_Common_MCFTemperatureZone[[#Headers],[Temperature zone]],0)</f>
        <v>0</v>
      </c>
      <c r="R233" s="11" cm="1">
        <f t="array" ref="R233">Common_InputFunctions.Utility_DisplayArrayInTable(Common_SourceData.Common_SourceData_MCFTemperatureZone_Data(),Table_SourceData_Common_MCFTemperatureZone[[#Headers],[Temperature zone]],0)</f>
        <v>4.7000000000000002E-3</v>
      </c>
      <c r="S233" s="11"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11" cm="1">
        <f t="array" ref="E234">Common_InputFunctions.Utility_DisplayArrayInTable(Common_SourceData.Common_SourceData_MCFTemperatureZone_Data(),Table_SourceData_Common_MCFTemperatureZone[[#Headers],[Temperature zone]],0)</f>
        <v>12</v>
      </c>
      <c r="F234" s="11" cm="1">
        <f t="array" ref="F234">Common_InputFunctions.Utility_DisplayArrayInTable(Common_SourceData.Common_SourceData_MCFTemperatureZone_Data(),Table_SourceData_Common_MCFTemperatureZone[[#Headers],[Temperature zone]],0)</f>
        <v>0.7</v>
      </c>
      <c r="G234" s="11" cm="1">
        <f t="array" ref="G234">Common_InputFunctions.Utility_DisplayArrayInTable(Common_SourceData.Common_SourceData_MCFTemperatureZone_Data(),Table_SourceData_Common_MCFTemperatureZone[[#Headers],[Temperature zone]],0)</f>
        <v>0.1</v>
      </c>
      <c r="H234" s="11" cm="1">
        <f t="array" ref="H234">Common_InputFunctions.Utility_DisplayArrayInTable(Common_SourceData.Common_SourceData_MCFTemperatureZone_Data(),Table_SourceData_Common_MCFTemperatureZone[[#Headers],[Temperature zone]],0)</f>
        <v>0.13</v>
      </c>
      <c r="I234" s="11" cm="1">
        <f t="array" ref="I234">Common_InputFunctions.Utility_DisplayArrayInTable(Common_SourceData.Common_SourceData_MCFTemperatureZone_Data(),Table_SourceData_Common_MCFTemperatureZone[[#Headers],[Temperature zone]],0)</f>
        <v>1E-3</v>
      </c>
      <c r="J234" s="11" cm="1">
        <f t="array" ref="J234">Common_InputFunctions.Utility_DisplayArrayInTable(Common_SourceData.Common_SourceData_MCFTemperatureZone_Data(),Table_SourceData_Common_MCFTemperatureZone[[#Headers],[Temperature zone]],0)</f>
        <v>5.0000000000000001E-3</v>
      </c>
      <c r="K234" s="11" cm="1">
        <f t="array" ref="K234">Common_InputFunctions.Utility_DisplayArrayInTable(Common_SourceData.Common_SourceData_MCFTemperatureZone_Data(),Table_SourceData_Common_MCFTemperatureZone[[#Headers],[Temperature zone]],0)</f>
        <v>0.02</v>
      </c>
      <c r="L234" s="11" cm="1">
        <f t="array" ref="L234">Common_InputFunctions.Utility_DisplayArrayInTable(Common_SourceData.Common_SourceData_MCFTemperatureZone_Data(),Table_SourceData_Common_MCFTemperatureZone[[#Headers],[Temperature zone]],0)</f>
        <v>0.03</v>
      </c>
      <c r="M234" s="11" cm="1">
        <f t="array" ref="M234">Common_InputFunctions.Utility_DisplayArrayInTable(Common_SourceData.Common_SourceData_MCFTemperatureZone_Data(),Table_SourceData_Common_MCFTemperatureZone[[#Headers],[Temperature zone]],0)</f>
        <v>0.04</v>
      </c>
      <c r="N234" s="11" cm="1">
        <f t="array" ref="N234">Common_InputFunctions.Utility_DisplayArrayInTable(Common_SourceData.Common_SourceData_MCFTemperatureZone_Data(),Table_SourceData_Common_MCFTemperatureZone[[#Headers],[Temperature zone]],0)</f>
        <v>1.4999999999999999E-2</v>
      </c>
      <c r="O234" s="11" cm="1">
        <f t="array" ref="O234">Common_InputFunctions.Utility_DisplayArrayInTable(Common_SourceData.Common_SourceData_MCFTemperatureZone_Data(),Table_SourceData_Common_MCFTemperatureZone[[#Headers],[Temperature zone]],0)</f>
        <v>1.4999999999999999E-2</v>
      </c>
      <c r="P234" s="11" cm="1">
        <f t="array" ref="P234">Common_InputFunctions.Utility_DisplayArrayInTable(Common_SourceData.Common_SourceData_MCFTemperatureZone_Data(),Table_SourceData_Common_MCFTemperatureZone[[#Headers],[Temperature zone]],0)</f>
        <v>0</v>
      </c>
      <c r="Q234" s="11" cm="1">
        <f t="array" ref="Q234">Common_InputFunctions.Utility_DisplayArrayInTable(Common_SourceData.Common_SourceData_MCFTemperatureZone_Data(),Table_SourceData_Common_MCFTemperatureZone[[#Headers],[Temperature zone]],0)</f>
        <v>0</v>
      </c>
      <c r="R234" s="11" cm="1">
        <f t="array" ref="R234">Common_InputFunctions.Utility_DisplayArrayInTable(Common_SourceData.Common_SourceData_MCFTemperatureZone_Data(),Table_SourceData_Common_MCFTemperatureZone[[#Headers],[Temperature zone]],0)</f>
        <v>4.7000000000000002E-3</v>
      </c>
      <c r="S234" s="11"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11" cm="1">
        <f t="array" ref="E235">Common_InputFunctions.Utility_DisplayArrayInTable(Common_SourceData.Common_SourceData_MCFTemperatureZone_Data(),Table_SourceData_Common_MCFTemperatureZone[[#Headers],[Temperature zone]],0)</f>
        <v>13</v>
      </c>
      <c r="F235" s="11" cm="1">
        <f t="array" ref="F235">Common_InputFunctions.Utility_DisplayArrayInTable(Common_SourceData.Common_SourceData_MCFTemperatureZone_Data(),Table_SourceData_Common_MCFTemperatureZone[[#Headers],[Temperature zone]],0)</f>
        <v>0.71</v>
      </c>
      <c r="G235" s="11" cm="1">
        <f t="array" ref="G235">Common_InputFunctions.Utility_DisplayArrayInTable(Common_SourceData.Common_SourceData_MCFTemperatureZone_Data(),Table_SourceData_Common_MCFTemperatureZone[[#Headers],[Temperature zone]],0)</f>
        <v>0.1</v>
      </c>
      <c r="H235" s="11" cm="1">
        <f t="array" ref="H235">Common_InputFunctions.Utility_DisplayArrayInTable(Common_SourceData.Common_SourceData_MCFTemperatureZone_Data(),Table_SourceData_Common_MCFTemperatureZone[[#Headers],[Temperature zone]],0)</f>
        <v>0.14000000000000001</v>
      </c>
      <c r="I235" s="11" cm="1">
        <f t="array" ref="I235">Common_InputFunctions.Utility_DisplayArrayInTable(Common_SourceData.Common_SourceData_MCFTemperatureZone_Data(),Table_SourceData_Common_MCFTemperatureZone[[#Headers],[Temperature zone]],0)</f>
        <v>1E-3</v>
      </c>
      <c r="J235" s="11" cm="1">
        <f t="array" ref="J235">Common_InputFunctions.Utility_DisplayArrayInTable(Common_SourceData.Common_SourceData_MCFTemperatureZone_Data(),Table_SourceData_Common_MCFTemperatureZone[[#Headers],[Temperature zone]],0)</f>
        <v>5.0000000000000001E-3</v>
      </c>
      <c r="K235" s="11" cm="1">
        <f t="array" ref="K235">Common_InputFunctions.Utility_DisplayArrayInTable(Common_SourceData.Common_SourceData_MCFTemperatureZone_Data(),Table_SourceData_Common_MCFTemperatureZone[[#Headers],[Temperature zone]],0)</f>
        <v>0.02</v>
      </c>
      <c r="L235" s="11" cm="1">
        <f t="array" ref="L235">Common_InputFunctions.Utility_DisplayArrayInTable(Common_SourceData.Common_SourceData_MCFTemperatureZone_Data(),Table_SourceData_Common_MCFTemperatureZone[[#Headers],[Temperature zone]],0)</f>
        <v>0.03</v>
      </c>
      <c r="M235" s="11" cm="1">
        <f t="array" ref="M235">Common_InputFunctions.Utility_DisplayArrayInTable(Common_SourceData.Common_SourceData_MCFTemperatureZone_Data(),Table_SourceData_Common_MCFTemperatureZone[[#Headers],[Temperature zone]],0)</f>
        <v>0.04</v>
      </c>
      <c r="N235" s="11" cm="1">
        <f t="array" ref="N235">Common_InputFunctions.Utility_DisplayArrayInTable(Common_SourceData.Common_SourceData_MCFTemperatureZone_Data(),Table_SourceData_Common_MCFTemperatureZone[[#Headers],[Temperature zone]],0)</f>
        <v>1.4999999999999999E-2</v>
      </c>
      <c r="O235" s="11" cm="1">
        <f t="array" ref="O235">Common_InputFunctions.Utility_DisplayArrayInTable(Common_SourceData.Common_SourceData_MCFTemperatureZone_Data(),Table_SourceData_Common_MCFTemperatureZone[[#Headers],[Temperature zone]],0)</f>
        <v>1.4999999999999999E-2</v>
      </c>
      <c r="P235" s="11" cm="1">
        <f t="array" ref="P235">Common_InputFunctions.Utility_DisplayArrayInTable(Common_SourceData.Common_SourceData_MCFTemperatureZone_Data(),Table_SourceData_Common_MCFTemperatureZone[[#Headers],[Temperature zone]],0)</f>
        <v>0</v>
      </c>
      <c r="Q235" s="11" cm="1">
        <f t="array" ref="Q235">Common_InputFunctions.Utility_DisplayArrayInTable(Common_SourceData.Common_SourceData_MCFTemperatureZone_Data(),Table_SourceData_Common_MCFTemperatureZone[[#Headers],[Temperature zone]],0)</f>
        <v>0</v>
      </c>
      <c r="R235" s="11" cm="1">
        <f t="array" ref="R235">Common_InputFunctions.Utility_DisplayArrayInTable(Common_SourceData.Common_SourceData_MCFTemperatureZone_Data(),Table_SourceData_Common_MCFTemperatureZone[[#Headers],[Temperature zone]],0)</f>
        <v>4.7000000000000002E-3</v>
      </c>
      <c r="S235" s="11"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11" cm="1">
        <f t="array" ref="E236">Common_InputFunctions.Utility_DisplayArrayInTable(Common_SourceData.Common_SourceData_MCFTemperatureZone_Data(),Table_SourceData_Common_MCFTemperatureZone[[#Headers],[Temperature zone]],0)</f>
        <v>14</v>
      </c>
      <c r="F236" s="11" cm="1">
        <f t="array" ref="F236">Common_InputFunctions.Utility_DisplayArrayInTable(Common_SourceData.Common_SourceData_MCFTemperatureZone_Data(),Table_SourceData_Common_MCFTemperatureZone[[#Headers],[Temperature zone]],0)</f>
        <v>0.73</v>
      </c>
      <c r="G236" s="11" cm="1">
        <f t="array" ref="G236">Common_InputFunctions.Utility_DisplayArrayInTable(Common_SourceData.Common_SourceData_MCFTemperatureZone_Data(),Table_SourceData_Common_MCFTemperatureZone[[#Headers],[Temperature zone]],0)</f>
        <v>0.1</v>
      </c>
      <c r="H236" s="11" cm="1">
        <f t="array" ref="H236">Common_InputFunctions.Utility_DisplayArrayInTable(Common_SourceData.Common_SourceData_MCFTemperatureZone_Data(),Table_SourceData_Common_MCFTemperatureZone[[#Headers],[Temperature zone]],0)</f>
        <v>0.15</v>
      </c>
      <c r="I236" s="11" cm="1">
        <f t="array" ref="I236">Common_InputFunctions.Utility_DisplayArrayInTable(Common_SourceData.Common_SourceData_MCFTemperatureZone_Data(),Table_SourceData_Common_MCFTemperatureZone[[#Headers],[Temperature zone]],0)</f>
        <v>1E-3</v>
      </c>
      <c r="J236" s="11" cm="1">
        <f t="array" ref="J236">Common_InputFunctions.Utility_DisplayArrayInTable(Common_SourceData.Common_SourceData_MCFTemperatureZone_Data(),Table_SourceData_Common_MCFTemperatureZone[[#Headers],[Temperature zone]],0)</f>
        <v>5.0000000000000001E-3</v>
      </c>
      <c r="K236" s="11" cm="1">
        <f t="array" ref="K236">Common_InputFunctions.Utility_DisplayArrayInTable(Common_SourceData.Common_SourceData_MCFTemperatureZone_Data(),Table_SourceData_Common_MCFTemperatureZone[[#Headers],[Temperature zone]],0)</f>
        <v>0.02</v>
      </c>
      <c r="L236" s="11" cm="1">
        <f t="array" ref="L236">Common_InputFunctions.Utility_DisplayArrayInTable(Common_SourceData.Common_SourceData_MCFTemperatureZone_Data(),Table_SourceData_Common_MCFTemperatureZone[[#Headers],[Temperature zone]],0)</f>
        <v>0.03</v>
      </c>
      <c r="M236" s="11" cm="1">
        <f t="array" ref="M236">Common_InputFunctions.Utility_DisplayArrayInTable(Common_SourceData.Common_SourceData_MCFTemperatureZone_Data(),Table_SourceData_Common_MCFTemperatureZone[[#Headers],[Temperature zone]],0)</f>
        <v>0.04</v>
      </c>
      <c r="N236" s="11" cm="1">
        <f t="array" ref="N236">Common_InputFunctions.Utility_DisplayArrayInTable(Common_SourceData.Common_SourceData_MCFTemperatureZone_Data(),Table_SourceData_Common_MCFTemperatureZone[[#Headers],[Temperature zone]],0)</f>
        <v>1.4999999999999999E-2</v>
      </c>
      <c r="O236" s="11" cm="1">
        <f t="array" ref="O236">Common_InputFunctions.Utility_DisplayArrayInTable(Common_SourceData.Common_SourceData_MCFTemperatureZone_Data(),Table_SourceData_Common_MCFTemperatureZone[[#Headers],[Temperature zone]],0)</f>
        <v>1.4999999999999999E-2</v>
      </c>
      <c r="P236" s="11" cm="1">
        <f t="array" ref="P236">Common_InputFunctions.Utility_DisplayArrayInTable(Common_SourceData.Common_SourceData_MCFTemperatureZone_Data(),Table_SourceData_Common_MCFTemperatureZone[[#Headers],[Temperature zone]],0)</f>
        <v>0</v>
      </c>
      <c r="Q236" s="11" cm="1">
        <f t="array" ref="Q236">Common_InputFunctions.Utility_DisplayArrayInTable(Common_SourceData.Common_SourceData_MCFTemperatureZone_Data(),Table_SourceData_Common_MCFTemperatureZone[[#Headers],[Temperature zone]],0)</f>
        <v>0</v>
      </c>
      <c r="R236" s="11" cm="1">
        <f t="array" ref="R236">Common_InputFunctions.Utility_DisplayArrayInTable(Common_SourceData.Common_SourceData_MCFTemperatureZone_Data(),Table_SourceData_Common_MCFTemperatureZone[[#Headers],[Temperature zone]],0)</f>
        <v>4.7000000000000002E-3</v>
      </c>
      <c r="S236" s="11"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11" cm="1">
        <f t="array" ref="E237">Common_InputFunctions.Utility_DisplayArrayInTable(Common_SourceData.Common_SourceData_MCFTemperatureZone_Data(),Table_SourceData_Common_MCFTemperatureZone[[#Headers],[Temperature zone]],0)</f>
        <v>15</v>
      </c>
      <c r="F237" s="11" cm="1">
        <f t="array" ref="F237">Common_InputFunctions.Utility_DisplayArrayInTable(Common_SourceData.Common_SourceData_MCFTemperatureZone_Data(),Table_SourceData_Common_MCFTemperatureZone[[#Headers],[Temperature zone]],0)</f>
        <v>0.74</v>
      </c>
      <c r="G237" s="11" cm="1">
        <f t="array" ref="G237">Common_InputFunctions.Utility_DisplayArrayInTable(Common_SourceData.Common_SourceData_MCFTemperatureZone_Data(),Table_SourceData_Common_MCFTemperatureZone[[#Headers],[Temperature zone]],0)</f>
        <v>0.1</v>
      </c>
      <c r="H237" s="11" cm="1">
        <f t="array" ref="H237">Common_InputFunctions.Utility_DisplayArrayInTable(Common_SourceData.Common_SourceData_MCFTemperatureZone_Data(),Table_SourceData_Common_MCFTemperatureZone[[#Headers],[Temperature zone]],0)</f>
        <v>0.17</v>
      </c>
      <c r="I237" s="11" cm="1">
        <f t="array" ref="I237">Common_InputFunctions.Utility_DisplayArrayInTable(Common_SourceData.Common_SourceData_MCFTemperatureZone_Data(),Table_SourceData_Common_MCFTemperatureZone[[#Headers],[Temperature zone]],0)</f>
        <v>5.0000000000000001E-3</v>
      </c>
      <c r="J237" s="11" cm="1">
        <f t="array" ref="J237">Common_InputFunctions.Utility_DisplayArrayInTable(Common_SourceData.Common_SourceData_MCFTemperatureZone_Data(),Table_SourceData_Common_MCFTemperatureZone[[#Headers],[Temperature zone]],0)</f>
        <v>0.01</v>
      </c>
      <c r="K237" s="11" cm="1">
        <f t="array" ref="K237">Common_InputFunctions.Utility_DisplayArrayInTable(Common_SourceData.Common_SourceData_MCFTemperatureZone_Data(),Table_SourceData_Common_MCFTemperatureZone[[#Headers],[Temperature zone]],0)</f>
        <v>0.02</v>
      </c>
      <c r="L237" s="11" cm="1">
        <f t="array" ref="L237">Common_InputFunctions.Utility_DisplayArrayInTable(Common_SourceData.Common_SourceData_MCFTemperatureZone_Data(),Table_SourceData_Common_MCFTemperatureZone[[#Headers],[Temperature zone]],0)</f>
        <v>0.03</v>
      </c>
      <c r="M237" s="11" cm="1">
        <f t="array" ref="M237">Common_InputFunctions.Utility_DisplayArrayInTable(Common_SourceData.Common_SourceData_MCFTemperatureZone_Data(),Table_SourceData_Common_MCFTemperatureZone[[#Headers],[Temperature zone]],0)</f>
        <v>0.04</v>
      </c>
      <c r="N237" s="11" cm="1">
        <f t="array" ref="N237">Common_InputFunctions.Utility_DisplayArrayInTable(Common_SourceData.Common_SourceData_MCFTemperatureZone_Data(),Table_SourceData_Common_MCFTemperatureZone[[#Headers],[Temperature zone]],0)</f>
        <v>1.4999999999999999E-2</v>
      </c>
      <c r="O237" s="11" cm="1">
        <f t="array" ref="O237">Common_InputFunctions.Utility_DisplayArrayInTable(Common_SourceData.Common_SourceData_MCFTemperatureZone_Data(),Table_SourceData_Common_MCFTemperatureZone[[#Headers],[Temperature zone]],0)</f>
        <v>1.4999999999999999E-2</v>
      </c>
      <c r="P237" s="11" cm="1">
        <f t="array" ref="P237">Common_InputFunctions.Utility_DisplayArrayInTable(Common_SourceData.Common_SourceData_MCFTemperatureZone_Data(),Table_SourceData_Common_MCFTemperatureZone[[#Headers],[Temperature zone]],0)</f>
        <v>0</v>
      </c>
      <c r="Q237" s="11" cm="1">
        <f t="array" ref="Q237">Common_InputFunctions.Utility_DisplayArrayInTable(Common_SourceData.Common_SourceData_MCFTemperatureZone_Data(),Table_SourceData_Common_MCFTemperatureZone[[#Headers],[Temperature zone]],0)</f>
        <v>0</v>
      </c>
      <c r="R237" s="11" cm="1">
        <f t="array" ref="R237">Common_InputFunctions.Utility_DisplayArrayInTable(Common_SourceData.Common_SourceData_MCFTemperatureZone_Data(),Table_SourceData_Common_MCFTemperatureZone[[#Headers],[Temperature zone]],0)</f>
        <v>4.7000000000000002E-3</v>
      </c>
      <c r="S237" s="11"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11" cm="1">
        <f t="array" ref="E238">Common_InputFunctions.Utility_DisplayArrayInTable(Common_SourceData.Common_SourceData_MCFTemperatureZone_Data(),Table_SourceData_Common_MCFTemperatureZone[[#Headers],[Temperature zone]],0)</f>
        <v>16</v>
      </c>
      <c r="F238" s="11" cm="1">
        <f t="array" ref="F238">Common_InputFunctions.Utility_DisplayArrayInTable(Common_SourceData.Common_SourceData_MCFTemperatureZone_Data(),Table_SourceData_Common_MCFTemperatureZone[[#Headers],[Temperature zone]],0)</f>
        <v>0.75</v>
      </c>
      <c r="G238" s="11" cm="1">
        <f t="array" ref="G238">Common_InputFunctions.Utility_DisplayArrayInTable(Common_SourceData.Common_SourceData_MCFTemperatureZone_Data(),Table_SourceData_Common_MCFTemperatureZone[[#Headers],[Temperature zone]],0)</f>
        <v>0.1</v>
      </c>
      <c r="H238" s="11" cm="1">
        <f t="array" ref="H238">Common_InputFunctions.Utility_DisplayArrayInTable(Common_SourceData.Common_SourceData_MCFTemperatureZone_Data(),Table_SourceData_Common_MCFTemperatureZone[[#Headers],[Temperature zone]],0)</f>
        <v>0.18</v>
      </c>
      <c r="I238" s="11" cm="1">
        <f t="array" ref="I238">Common_InputFunctions.Utility_DisplayArrayInTable(Common_SourceData.Common_SourceData_MCFTemperatureZone_Data(),Table_SourceData_Common_MCFTemperatureZone[[#Headers],[Temperature zone]],0)</f>
        <v>5.0000000000000001E-3</v>
      </c>
      <c r="J238" s="11" cm="1">
        <f t="array" ref="J238">Common_InputFunctions.Utility_DisplayArrayInTable(Common_SourceData.Common_SourceData_MCFTemperatureZone_Data(),Table_SourceData_Common_MCFTemperatureZone[[#Headers],[Temperature zone]],0)</f>
        <v>0.01</v>
      </c>
      <c r="K238" s="11" cm="1">
        <f t="array" ref="K238">Common_InputFunctions.Utility_DisplayArrayInTable(Common_SourceData.Common_SourceData_MCFTemperatureZone_Data(),Table_SourceData_Common_MCFTemperatureZone[[#Headers],[Temperature zone]],0)</f>
        <v>0.02</v>
      </c>
      <c r="L238" s="11" cm="1">
        <f t="array" ref="L238">Common_InputFunctions.Utility_DisplayArrayInTable(Common_SourceData.Common_SourceData_MCFTemperatureZone_Data(),Table_SourceData_Common_MCFTemperatureZone[[#Headers],[Temperature zone]],0)</f>
        <v>0.03</v>
      </c>
      <c r="M238" s="11" cm="1">
        <f t="array" ref="M238">Common_InputFunctions.Utility_DisplayArrayInTable(Common_SourceData.Common_SourceData_MCFTemperatureZone_Data(),Table_SourceData_Common_MCFTemperatureZone[[#Headers],[Temperature zone]],0)</f>
        <v>0.04</v>
      </c>
      <c r="N238" s="11" cm="1">
        <f t="array" ref="N238">Common_InputFunctions.Utility_DisplayArrayInTable(Common_SourceData.Common_SourceData_MCFTemperatureZone_Data(),Table_SourceData_Common_MCFTemperatureZone[[#Headers],[Temperature zone]],0)</f>
        <v>1.4999999999999999E-2</v>
      </c>
      <c r="O238" s="11" cm="1">
        <f t="array" ref="O238">Common_InputFunctions.Utility_DisplayArrayInTable(Common_SourceData.Common_SourceData_MCFTemperatureZone_Data(),Table_SourceData_Common_MCFTemperatureZone[[#Headers],[Temperature zone]],0)</f>
        <v>1.4999999999999999E-2</v>
      </c>
      <c r="P238" s="11" cm="1">
        <f t="array" ref="P238">Common_InputFunctions.Utility_DisplayArrayInTable(Common_SourceData.Common_SourceData_MCFTemperatureZone_Data(),Table_SourceData_Common_MCFTemperatureZone[[#Headers],[Temperature zone]],0)</f>
        <v>0</v>
      </c>
      <c r="Q238" s="11" cm="1">
        <f t="array" ref="Q238">Common_InputFunctions.Utility_DisplayArrayInTable(Common_SourceData.Common_SourceData_MCFTemperatureZone_Data(),Table_SourceData_Common_MCFTemperatureZone[[#Headers],[Temperature zone]],0)</f>
        <v>0</v>
      </c>
      <c r="R238" s="11" cm="1">
        <f t="array" ref="R238">Common_InputFunctions.Utility_DisplayArrayInTable(Common_SourceData.Common_SourceData_MCFTemperatureZone_Data(),Table_SourceData_Common_MCFTemperatureZone[[#Headers],[Temperature zone]],0)</f>
        <v>4.7000000000000002E-3</v>
      </c>
      <c r="S238" s="11"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11" cm="1">
        <f t="array" ref="E239">Common_InputFunctions.Utility_DisplayArrayInTable(Common_SourceData.Common_SourceData_MCFTemperatureZone_Data(),Table_SourceData_Common_MCFTemperatureZone[[#Headers],[Temperature zone]],0)</f>
        <v>17</v>
      </c>
      <c r="F239" s="11" cm="1">
        <f t="array" ref="F239">Common_InputFunctions.Utility_DisplayArrayInTable(Common_SourceData.Common_SourceData_MCFTemperatureZone_Data(),Table_SourceData_Common_MCFTemperatureZone[[#Headers],[Temperature zone]],0)</f>
        <v>0.76</v>
      </c>
      <c r="G239" s="11" cm="1">
        <f t="array" ref="G239">Common_InputFunctions.Utility_DisplayArrayInTable(Common_SourceData.Common_SourceData_MCFTemperatureZone_Data(),Table_SourceData_Common_MCFTemperatureZone[[#Headers],[Temperature zone]],0)</f>
        <v>0.1</v>
      </c>
      <c r="H239" s="11" cm="1">
        <f t="array" ref="H239">Common_InputFunctions.Utility_DisplayArrayInTable(Common_SourceData.Common_SourceData_MCFTemperatureZone_Data(),Table_SourceData_Common_MCFTemperatureZone[[#Headers],[Temperature zone]],0)</f>
        <v>0.2</v>
      </c>
      <c r="I239" s="11" cm="1">
        <f t="array" ref="I239">Common_InputFunctions.Utility_DisplayArrayInTable(Common_SourceData.Common_SourceData_MCFTemperatureZone_Data(),Table_SourceData_Common_MCFTemperatureZone[[#Headers],[Temperature zone]],0)</f>
        <v>5.0000000000000001E-3</v>
      </c>
      <c r="J239" s="11" cm="1">
        <f t="array" ref="J239">Common_InputFunctions.Utility_DisplayArrayInTable(Common_SourceData.Common_SourceData_MCFTemperatureZone_Data(),Table_SourceData_Common_MCFTemperatureZone[[#Headers],[Temperature zone]],0)</f>
        <v>0.01</v>
      </c>
      <c r="K239" s="11" cm="1">
        <f t="array" ref="K239">Common_InputFunctions.Utility_DisplayArrayInTable(Common_SourceData.Common_SourceData_MCFTemperatureZone_Data(),Table_SourceData_Common_MCFTemperatureZone[[#Headers],[Temperature zone]],0)</f>
        <v>0.02</v>
      </c>
      <c r="L239" s="11" cm="1">
        <f t="array" ref="L239">Common_InputFunctions.Utility_DisplayArrayInTable(Common_SourceData.Common_SourceData_MCFTemperatureZone_Data(),Table_SourceData_Common_MCFTemperatureZone[[#Headers],[Temperature zone]],0)</f>
        <v>0.03</v>
      </c>
      <c r="M239" s="11" cm="1">
        <f t="array" ref="M239">Common_InputFunctions.Utility_DisplayArrayInTable(Common_SourceData.Common_SourceData_MCFTemperatureZone_Data(),Table_SourceData_Common_MCFTemperatureZone[[#Headers],[Temperature zone]],0)</f>
        <v>0.04</v>
      </c>
      <c r="N239" s="11" cm="1">
        <f t="array" ref="N239">Common_InputFunctions.Utility_DisplayArrayInTable(Common_SourceData.Common_SourceData_MCFTemperatureZone_Data(),Table_SourceData_Common_MCFTemperatureZone[[#Headers],[Temperature zone]],0)</f>
        <v>1.4999999999999999E-2</v>
      </c>
      <c r="O239" s="11" cm="1">
        <f t="array" ref="O239">Common_InputFunctions.Utility_DisplayArrayInTable(Common_SourceData.Common_SourceData_MCFTemperatureZone_Data(),Table_SourceData_Common_MCFTemperatureZone[[#Headers],[Temperature zone]],0)</f>
        <v>1.4999999999999999E-2</v>
      </c>
      <c r="P239" s="11" cm="1">
        <f t="array" ref="P239">Common_InputFunctions.Utility_DisplayArrayInTable(Common_SourceData.Common_SourceData_MCFTemperatureZone_Data(),Table_SourceData_Common_MCFTemperatureZone[[#Headers],[Temperature zone]],0)</f>
        <v>0</v>
      </c>
      <c r="Q239" s="11" cm="1">
        <f t="array" ref="Q239">Common_InputFunctions.Utility_DisplayArrayInTable(Common_SourceData.Common_SourceData_MCFTemperatureZone_Data(),Table_SourceData_Common_MCFTemperatureZone[[#Headers],[Temperature zone]],0)</f>
        <v>0</v>
      </c>
      <c r="R239" s="11" cm="1">
        <f t="array" ref="R239">Common_InputFunctions.Utility_DisplayArrayInTable(Common_SourceData.Common_SourceData_MCFTemperatureZone_Data(),Table_SourceData_Common_MCFTemperatureZone[[#Headers],[Temperature zone]],0)</f>
        <v>4.7000000000000002E-3</v>
      </c>
      <c r="S239" s="11"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11" cm="1">
        <f t="array" ref="E240">Common_InputFunctions.Utility_DisplayArrayInTable(Common_SourceData.Common_SourceData_MCFTemperatureZone_Data(),Table_SourceData_Common_MCFTemperatureZone[[#Headers],[Temperature zone]],0)</f>
        <v>18</v>
      </c>
      <c r="F240" s="11" cm="1">
        <f t="array" ref="F240">Common_InputFunctions.Utility_DisplayArrayInTable(Common_SourceData.Common_SourceData_MCFTemperatureZone_Data(),Table_SourceData_Common_MCFTemperatureZone[[#Headers],[Temperature zone]],0)</f>
        <v>0.77</v>
      </c>
      <c r="G240" s="11" cm="1">
        <f t="array" ref="G240">Common_InputFunctions.Utility_DisplayArrayInTable(Common_SourceData.Common_SourceData_MCFTemperatureZone_Data(),Table_SourceData_Common_MCFTemperatureZone[[#Headers],[Temperature zone]],0)</f>
        <v>0.1</v>
      </c>
      <c r="H240" s="11" cm="1">
        <f t="array" ref="H240">Common_InputFunctions.Utility_DisplayArrayInTable(Common_SourceData.Common_SourceData_MCFTemperatureZone_Data(),Table_SourceData_Common_MCFTemperatureZone[[#Headers],[Temperature zone]],0)</f>
        <v>0.22</v>
      </c>
      <c r="I240" s="11" cm="1">
        <f t="array" ref="I240">Common_InputFunctions.Utility_DisplayArrayInTable(Common_SourceData.Common_SourceData_MCFTemperatureZone_Data(),Table_SourceData_Common_MCFTemperatureZone[[#Headers],[Temperature zone]],0)</f>
        <v>5.0000000000000001E-3</v>
      </c>
      <c r="J240" s="11" cm="1">
        <f t="array" ref="J240">Common_InputFunctions.Utility_DisplayArrayInTable(Common_SourceData.Common_SourceData_MCFTemperatureZone_Data(),Table_SourceData_Common_MCFTemperatureZone[[#Headers],[Temperature zone]],0)</f>
        <v>0.01</v>
      </c>
      <c r="K240" s="11" cm="1">
        <f t="array" ref="K240">Common_InputFunctions.Utility_DisplayArrayInTable(Common_SourceData.Common_SourceData_MCFTemperatureZone_Data(),Table_SourceData_Common_MCFTemperatureZone[[#Headers],[Temperature zone]],0)</f>
        <v>0.02</v>
      </c>
      <c r="L240" s="11" cm="1">
        <f t="array" ref="L240">Common_InputFunctions.Utility_DisplayArrayInTable(Common_SourceData.Common_SourceData_MCFTemperatureZone_Data(),Table_SourceData_Common_MCFTemperatureZone[[#Headers],[Temperature zone]],0)</f>
        <v>0.03</v>
      </c>
      <c r="M240" s="11" cm="1">
        <f t="array" ref="M240">Common_InputFunctions.Utility_DisplayArrayInTable(Common_SourceData.Common_SourceData_MCFTemperatureZone_Data(),Table_SourceData_Common_MCFTemperatureZone[[#Headers],[Temperature zone]],0)</f>
        <v>0.04</v>
      </c>
      <c r="N240" s="11" cm="1">
        <f t="array" ref="N240">Common_InputFunctions.Utility_DisplayArrayInTable(Common_SourceData.Common_SourceData_MCFTemperatureZone_Data(),Table_SourceData_Common_MCFTemperatureZone[[#Headers],[Temperature zone]],0)</f>
        <v>1.4999999999999999E-2</v>
      </c>
      <c r="O240" s="11" cm="1">
        <f t="array" ref="O240">Common_InputFunctions.Utility_DisplayArrayInTable(Common_SourceData.Common_SourceData_MCFTemperatureZone_Data(),Table_SourceData_Common_MCFTemperatureZone[[#Headers],[Temperature zone]],0)</f>
        <v>1.4999999999999999E-2</v>
      </c>
      <c r="P240" s="11" cm="1">
        <f t="array" ref="P240">Common_InputFunctions.Utility_DisplayArrayInTable(Common_SourceData.Common_SourceData_MCFTemperatureZone_Data(),Table_SourceData_Common_MCFTemperatureZone[[#Headers],[Temperature zone]],0)</f>
        <v>0</v>
      </c>
      <c r="Q240" s="11" cm="1">
        <f t="array" ref="Q240">Common_InputFunctions.Utility_DisplayArrayInTable(Common_SourceData.Common_SourceData_MCFTemperatureZone_Data(),Table_SourceData_Common_MCFTemperatureZone[[#Headers],[Temperature zone]],0)</f>
        <v>0</v>
      </c>
      <c r="R240" s="11" cm="1">
        <f t="array" ref="R240">Common_InputFunctions.Utility_DisplayArrayInTable(Common_SourceData.Common_SourceData_MCFTemperatureZone_Data(),Table_SourceData_Common_MCFTemperatureZone[[#Headers],[Temperature zone]],0)</f>
        <v>4.7000000000000002E-3</v>
      </c>
      <c r="S240" s="11"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11" cm="1">
        <f t="array" ref="E241">Common_InputFunctions.Utility_DisplayArrayInTable(Common_SourceData.Common_SourceData_MCFTemperatureZone_Data(),Table_SourceData_Common_MCFTemperatureZone[[#Headers],[Temperature zone]],0)</f>
        <v>19</v>
      </c>
      <c r="F241" s="11" cm="1">
        <f t="array" ref="F241">Common_InputFunctions.Utility_DisplayArrayInTable(Common_SourceData.Common_SourceData_MCFTemperatureZone_Data(),Table_SourceData_Common_MCFTemperatureZone[[#Headers],[Temperature zone]],0)</f>
        <v>0.77</v>
      </c>
      <c r="G241" s="11" cm="1">
        <f t="array" ref="G241">Common_InputFunctions.Utility_DisplayArrayInTable(Common_SourceData.Common_SourceData_MCFTemperatureZone_Data(),Table_SourceData_Common_MCFTemperatureZone[[#Headers],[Temperature zone]],0)</f>
        <v>0.1</v>
      </c>
      <c r="H241" s="11" cm="1">
        <f t="array" ref="H241">Common_InputFunctions.Utility_DisplayArrayInTable(Common_SourceData.Common_SourceData_MCFTemperatureZone_Data(),Table_SourceData_Common_MCFTemperatureZone[[#Headers],[Temperature zone]],0)</f>
        <v>0.24</v>
      </c>
      <c r="I241" s="11" cm="1">
        <f t="array" ref="I241">Common_InputFunctions.Utility_DisplayArrayInTable(Common_SourceData.Common_SourceData_MCFTemperatureZone_Data(),Table_SourceData_Common_MCFTemperatureZone[[#Headers],[Temperature zone]],0)</f>
        <v>5.0000000000000001E-3</v>
      </c>
      <c r="J241" s="11" cm="1">
        <f t="array" ref="J241">Common_InputFunctions.Utility_DisplayArrayInTable(Common_SourceData.Common_SourceData_MCFTemperatureZone_Data(),Table_SourceData_Common_MCFTemperatureZone[[#Headers],[Temperature zone]],0)</f>
        <v>0.01</v>
      </c>
      <c r="K241" s="11" cm="1">
        <f t="array" ref="K241">Common_InputFunctions.Utility_DisplayArrayInTable(Common_SourceData.Common_SourceData_MCFTemperatureZone_Data(),Table_SourceData_Common_MCFTemperatureZone[[#Headers],[Temperature zone]],0)</f>
        <v>0.02</v>
      </c>
      <c r="L241" s="11" cm="1">
        <f t="array" ref="L241">Common_InputFunctions.Utility_DisplayArrayInTable(Common_SourceData.Common_SourceData_MCFTemperatureZone_Data(),Table_SourceData_Common_MCFTemperatureZone[[#Headers],[Temperature zone]],0)</f>
        <v>0.03</v>
      </c>
      <c r="M241" s="11" cm="1">
        <f t="array" ref="M241">Common_InputFunctions.Utility_DisplayArrayInTable(Common_SourceData.Common_SourceData_MCFTemperatureZone_Data(),Table_SourceData_Common_MCFTemperatureZone[[#Headers],[Temperature zone]],0)</f>
        <v>0.04</v>
      </c>
      <c r="N241" s="11" cm="1">
        <f t="array" ref="N241">Common_InputFunctions.Utility_DisplayArrayInTable(Common_SourceData.Common_SourceData_MCFTemperatureZone_Data(),Table_SourceData_Common_MCFTemperatureZone[[#Headers],[Temperature zone]],0)</f>
        <v>1.4999999999999999E-2</v>
      </c>
      <c r="O241" s="11" cm="1">
        <f t="array" ref="O241">Common_InputFunctions.Utility_DisplayArrayInTable(Common_SourceData.Common_SourceData_MCFTemperatureZone_Data(),Table_SourceData_Common_MCFTemperatureZone[[#Headers],[Temperature zone]],0)</f>
        <v>1.4999999999999999E-2</v>
      </c>
      <c r="P241" s="11" cm="1">
        <f t="array" ref="P241">Common_InputFunctions.Utility_DisplayArrayInTable(Common_SourceData.Common_SourceData_MCFTemperatureZone_Data(),Table_SourceData_Common_MCFTemperatureZone[[#Headers],[Temperature zone]],0)</f>
        <v>0</v>
      </c>
      <c r="Q241" s="11" cm="1">
        <f t="array" ref="Q241">Common_InputFunctions.Utility_DisplayArrayInTable(Common_SourceData.Common_SourceData_MCFTemperatureZone_Data(),Table_SourceData_Common_MCFTemperatureZone[[#Headers],[Temperature zone]],0)</f>
        <v>0</v>
      </c>
      <c r="R241" s="11" cm="1">
        <f t="array" ref="R241">Common_InputFunctions.Utility_DisplayArrayInTable(Common_SourceData.Common_SourceData_MCFTemperatureZone_Data(),Table_SourceData_Common_MCFTemperatureZone[[#Headers],[Temperature zone]],0)</f>
        <v>4.7000000000000002E-3</v>
      </c>
      <c r="S241" s="11"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11" cm="1">
        <f t="array" ref="E242">Common_InputFunctions.Utility_DisplayArrayInTable(Common_SourceData.Common_SourceData_MCFTemperatureZone_Data(),Table_SourceData_Common_MCFTemperatureZone[[#Headers],[Temperature zone]],0)</f>
        <v>20</v>
      </c>
      <c r="F242" s="11" cm="1">
        <f t="array" ref="F242">Common_InputFunctions.Utility_DisplayArrayInTable(Common_SourceData.Common_SourceData_MCFTemperatureZone_Data(),Table_SourceData_Common_MCFTemperatureZone[[#Headers],[Temperature zone]],0)</f>
        <v>0.78</v>
      </c>
      <c r="G242" s="11" cm="1">
        <f t="array" ref="G242">Common_InputFunctions.Utility_DisplayArrayInTable(Common_SourceData.Common_SourceData_MCFTemperatureZone_Data(),Table_SourceData_Common_MCFTemperatureZone[[#Headers],[Temperature zone]],0)</f>
        <v>0.1</v>
      </c>
      <c r="H242" s="11" cm="1">
        <f t="array" ref="H242">Common_InputFunctions.Utility_DisplayArrayInTable(Common_SourceData.Common_SourceData_MCFTemperatureZone_Data(),Table_SourceData_Common_MCFTemperatureZone[[#Headers],[Temperature zone]],0)</f>
        <v>0.26</v>
      </c>
      <c r="I242" s="11" cm="1">
        <f t="array" ref="I242">Common_InputFunctions.Utility_DisplayArrayInTable(Common_SourceData.Common_SourceData_MCFTemperatureZone_Data(),Table_SourceData_Common_MCFTemperatureZone[[#Headers],[Temperature zone]],0)</f>
        <v>5.0000000000000001E-3</v>
      </c>
      <c r="J242" s="11" cm="1">
        <f t="array" ref="J242">Common_InputFunctions.Utility_DisplayArrayInTable(Common_SourceData.Common_SourceData_MCFTemperatureZone_Data(),Table_SourceData_Common_MCFTemperatureZone[[#Headers],[Temperature zone]],0)</f>
        <v>0.01</v>
      </c>
      <c r="K242" s="11" cm="1">
        <f t="array" ref="K242">Common_InputFunctions.Utility_DisplayArrayInTable(Common_SourceData.Common_SourceData_MCFTemperatureZone_Data(),Table_SourceData_Common_MCFTemperatureZone[[#Headers],[Temperature zone]],0)</f>
        <v>0.02</v>
      </c>
      <c r="L242" s="11" cm="1">
        <f t="array" ref="L242">Common_InputFunctions.Utility_DisplayArrayInTable(Common_SourceData.Common_SourceData_MCFTemperatureZone_Data(),Table_SourceData_Common_MCFTemperatureZone[[#Headers],[Temperature zone]],0)</f>
        <v>0.03</v>
      </c>
      <c r="M242" s="11" cm="1">
        <f t="array" ref="M242">Common_InputFunctions.Utility_DisplayArrayInTable(Common_SourceData.Common_SourceData_MCFTemperatureZone_Data(),Table_SourceData_Common_MCFTemperatureZone[[#Headers],[Temperature zone]],0)</f>
        <v>0.04</v>
      </c>
      <c r="N242" s="11" cm="1">
        <f t="array" ref="N242">Common_InputFunctions.Utility_DisplayArrayInTable(Common_SourceData.Common_SourceData_MCFTemperatureZone_Data(),Table_SourceData_Common_MCFTemperatureZone[[#Headers],[Temperature zone]],0)</f>
        <v>1.4999999999999999E-2</v>
      </c>
      <c r="O242" s="11" cm="1">
        <f t="array" ref="O242">Common_InputFunctions.Utility_DisplayArrayInTable(Common_SourceData.Common_SourceData_MCFTemperatureZone_Data(),Table_SourceData_Common_MCFTemperatureZone[[#Headers],[Temperature zone]],0)</f>
        <v>1.4999999999999999E-2</v>
      </c>
      <c r="P242" s="11" cm="1">
        <f t="array" ref="P242">Common_InputFunctions.Utility_DisplayArrayInTable(Common_SourceData.Common_SourceData_MCFTemperatureZone_Data(),Table_SourceData_Common_MCFTemperatureZone[[#Headers],[Temperature zone]],0)</f>
        <v>0</v>
      </c>
      <c r="Q242" s="11" cm="1">
        <f t="array" ref="Q242">Common_InputFunctions.Utility_DisplayArrayInTable(Common_SourceData.Common_SourceData_MCFTemperatureZone_Data(),Table_SourceData_Common_MCFTemperatureZone[[#Headers],[Temperature zone]],0)</f>
        <v>0</v>
      </c>
      <c r="R242" s="11" cm="1">
        <f t="array" ref="R242">Common_InputFunctions.Utility_DisplayArrayInTable(Common_SourceData.Common_SourceData_MCFTemperatureZone_Data(),Table_SourceData_Common_MCFTemperatureZone[[#Headers],[Temperature zone]],0)</f>
        <v>4.7000000000000002E-3</v>
      </c>
      <c r="S242" s="11"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11" cm="1">
        <f t="array" ref="E243">Common_InputFunctions.Utility_DisplayArrayInTable(Common_SourceData.Common_SourceData_MCFTemperatureZone_Data(),Table_SourceData_Common_MCFTemperatureZone[[#Headers],[Temperature zone]],0)</f>
        <v>21</v>
      </c>
      <c r="F243" s="11" cm="1">
        <f t="array" ref="F243">Common_InputFunctions.Utility_DisplayArrayInTable(Common_SourceData.Common_SourceData_MCFTemperatureZone_Data(),Table_SourceData_Common_MCFTemperatureZone[[#Headers],[Temperature zone]],0)</f>
        <v>0.78</v>
      </c>
      <c r="G243" s="11" cm="1">
        <f t="array" ref="G243">Common_InputFunctions.Utility_DisplayArrayInTable(Common_SourceData.Common_SourceData_MCFTemperatureZone_Data(),Table_SourceData_Common_MCFTemperatureZone[[#Headers],[Temperature zone]],0)</f>
        <v>0.1</v>
      </c>
      <c r="H243" s="11" cm="1">
        <f t="array" ref="H243">Common_InputFunctions.Utility_DisplayArrayInTable(Common_SourceData.Common_SourceData_MCFTemperatureZone_Data(),Table_SourceData_Common_MCFTemperatureZone[[#Headers],[Temperature zone]],0)</f>
        <v>0.28999999999999998</v>
      </c>
      <c r="I243" s="11" cm="1">
        <f t="array" ref="I243">Common_InputFunctions.Utility_DisplayArrayInTable(Common_SourceData.Common_SourceData_MCFTemperatureZone_Data(),Table_SourceData_Common_MCFTemperatureZone[[#Headers],[Temperature zone]],0)</f>
        <v>5.0000000000000001E-3</v>
      </c>
      <c r="J243" s="11" cm="1">
        <f t="array" ref="J243">Common_InputFunctions.Utility_DisplayArrayInTable(Common_SourceData.Common_SourceData_MCFTemperatureZone_Data(),Table_SourceData_Common_MCFTemperatureZone[[#Headers],[Temperature zone]],0)</f>
        <v>0.01</v>
      </c>
      <c r="K243" s="11" cm="1">
        <f t="array" ref="K243">Common_InputFunctions.Utility_DisplayArrayInTable(Common_SourceData.Common_SourceData_MCFTemperatureZone_Data(),Table_SourceData_Common_MCFTemperatureZone[[#Headers],[Temperature zone]],0)</f>
        <v>0.02</v>
      </c>
      <c r="L243" s="11" cm="1">
        <f t="array" ref="L243">Common_InputFunctions.Utility_DisplayArrayInTable(Common_SourceData.Common_SourceData_MCFTemperatureZone_Data(),Table_SourceData_Common_MCFTemperatureZone[[#Headers],[Temperature zone]],0)</f>
        <v>0.03</v>
      </c>
      <c r="M243" s="11" cm="1">
        <f t="array" ref="M243">Common_InputFunctions.Utility_DisplayArrayInTable(Common_SourceData.Common_SourceData_MCFTemperatureZone_Data(),Table_SourceData_Common_MCFTemperatureZone[[#Headers],[Temperature zone]],0)</f>
        <v>0.04</v>
      </c>
      <c r="N243" s="11" cm="1">
        <f t="array" ref="N243">Common_InputFunctions.Utility_DisplayArrayInTable(Common_SourceData.Common_SourceData_MCFTemperatureZone_Data(),Table_SourceData_Common_MCFTemperatureZone[[#Headers],[Temperature zone]],0)</f>
        <v>1.4999999999999999E-2</v>
      </c>
      <c r="O243" s="11" cm="1">
        <f t="array" ref="O243">Common_InputFunctions.Utility_DisplayArrayInTable(Common_SourceData.Common_SourceData_MCFTemperatureZone_Data(),Table_SourceData_Common_MCFTemperatureZone[[#Headers],[Temperature zone]],0)</f>
        <v>1.4999999999999999E-2</v>
      </c>
      <c r="P243" s="11" cm="1">
        <f t="array" ref="P243">Common_InputFunctions.Utility_DisplayArrayInTable(Common_SourceData.Common_SourceData_MCFTemperatureZone_Data(),Table_SourceData_Common_MCFTemperatureZone[[#Headers],[Temperature zone]],0)</f>
        <v>0</v>
      </c>
      <c r="Q243" s="11" cm="1">
        <f t="array" ref="Q243">Common_InputFunctions.Utility_DisplayArrayInTable(Common_SourceData.Common_SourceData_MCFTemperatureZone_Data(),Table_SourceData_Common_MCFTemperatureZone[[#Headers],[Temperature zone]],0)</f>
        <v>0</v>
      </c>
      <c r="R243" s="11" cm="1">
        <f t="array" ref="R243">Common_InputFunctions.Utility_DisplayArrayInTable(Common_SourceData.Common_SourceData_MCFTemperatureZone_Data(),Table_SourceData_Common_MCFTemperatureZone[[#Headers],[Temperature zone]],0)</f>
        <v>4.7000000000000002E-3</v>
      </c>
      <c r="S243" s="11"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11" cm="1">
        <f t="array" ref="E244">Common_InputFunctions.Utility_DisplayArrayInTable(Common_SourceData.Common_SourceData_MCFTemperatureZone_Data(),Table_SourceData_Common_MCFTemperatureZone[[#Headers],[Temperature zone]],0)</f>
        <v>22</v>
      </c>
      <c r="F244" s="11" cm="1">
        <f t="array" ref="F244">Common_InputFunctions.Utility_DisplayArrayInTable(Common_SourceData.Common_SourceData_MCFTemperatureZone_Data(),Table_SourceData_Common_MCFTemperatureZone[[#Headers],[Temperature zone]],0)</f>
        <v>0.78</v>
      </c>
      <c r="G244" s="11" cm="1">
        <f t="array" ref="G244">Common_InputFunctions.Utility_DisplayArrayInTable(Common_SourceData.Common_SourceData_MCFTemperatureZone_Data(),Table_SourceData_Common_MCFTemperatureZone[[#Headers],[Temperature zone]],0)</f>
        <v>0.1</v>
      </c>
      <c r="H244" s="11" cm="1">
        <f t="array" ref="H244">Common_InputFunctions.Utility_DisplayArrayInTable(Common_SourceData.Common_SourceData_MCFTemperatureZone_Data(),Table_SourceData_Common_MCFTemperatureZone[[#Headers],[Temperature zone]],0)</f>
        <v>0.31</v>
      </c>
      <c r="I244" s="11" cm="1">
        <f t="array" ref="I244">Common_InputFunctions.Utility_DisplayArrayInTable(Common_SourceData.Common_SourceData_MCFTemperatureZone_Data(),Table_SourceData_Common_MCFTemperatureZone[[#Headers],[Temperature zone]],0)</f>
        <v>5.0000000000000001E-3</v>
      </c>
      <c r="J244" s="11" cm="1">
        <f t="array" ref="J244">Common_InputFunctions.Utility_DisplayArrayInTable(Common_SourceData.Common_SourceData_MCFTemperatureZone_Data(),Table_SourceData_Common_MCFTemperatureZone[[#Headers],[Temperature zone]],0)</f>
        <v>0.01</v>
      </c>
      <c r="K244" s="11" cm="1">
        <f t="array" ref="K244">Common_InputFunctions.Utility_DisplayArrayInTable(Common_SourceData.Common_SourceData_MCFTemperatureZone_Data(),Table_SourceData_Common_MCFTemperatureZone[[#Headers],[Temperature zone]],0)</f>
        <v>0.02</v>
      </c>
      <c r="L244" s="11" cm="1">
        <f t="array" ref="L244">Common_InputFunctions.Utility_DisplayArrayInTable(Common_SourceData.Common_SourceData_MCFTemperatureZone_Data(),Table_SourceData_Common_MCFTemperatureZone[[#Headers],[Temperature zone]],0)</f>
        <v>0.03</v>
      </c>
      <c r="M244" s="11" cm="1">
        <f t="array" ref="M244">Common_InputFunctions.Utility_DisplayArrayInTable(Common_SourceData.Common_SourceData_MCFTemperatureZone_Data(),Table_SourceData_Common_MCFTemperatureZone[[#Headers],[Temperature zone]],0)</f>
        <v>0.04</v>
      </c>
      <c r="N244" s="11" cm="1">
        <f t="array" ref="N244">Common_InputFunctions.Utility_DisplayArrayInTable(Common_SourceData.Common_SourceData_MCFTemperatureZone_Data(),Table_SourceData_Common_MCFTemperatureZone[[#Headers],[Temperature zone]],0)</f>
        <v>1.4999999999999999E-2</v>
      </c>
      <c r="O244" s="11" cm="1">
        <f t="array" ref="O244">Common_InputFunctions.Utility_DisplayArrayInTable(Common_SourceData.Common_SourceData_MCFTemperatureZone_Data(),Table_SourceData_Common_MCFTemperatureZone[[#Headers],[Temperature zone]],0)</f>
        <v>1.4999999999999999E-2</v>
      </c>
      <c r="P244" s="11" cm="1">
        <f t="array" ref="P244">Common_InputFunctions.Utility_DisplayArrayInTable(Common_SourceData.Common_SourceData_MCFTemperatureZone_Data(),Table_SourceData_Common_MCFTemperatureZone[[#Headers],[Temperature zone]],0)</f>
        <v>0</v>
      </c>
      <c r="Q244" s="11" cm="1">
        <f t="array" ref="Q244">Common_InputFunctions.Utility_DisplayArrayInTable(Common_SourceData.Common_SourceData_MCFTemperatureZone_Data(),Table_SourceData_Common_MCFTemperatureZone[[#Headers],[Temperature zone]],0)</f>
        <v>0</v>
      </c>
      <c r="R244" s="11" cm="1">
        <f t="array" ref="R244">Common_InputFunctions.Utility_DisplayArrayInTable(Common_SourceData.Common_SourceData_MCFTemperatureZone_Data(),Table_SourceData_Common_MCFTemperatureZone[[#Headers],[Temperature zone]],0)</f>
        <v>4.7000000000000002E-3</v>
      </c>
      <c r="S244" s="11"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11" cm="1">
        <f t="array" ref="E245">Common_InputFunctions.Utility_DisplayArrayInTable(Common_SourceData.Common_SourceData_MCFTemperatureZone_Data(),Table_SourceData_Common_MCFTemperatureZone[[#Headers],[Temperature zone]],0)</f>
        <v>23</v>
      </c>
      <c r="F245" s="11" cm="1">
        <f t="array" ref="F245">Common_InputFunctions.Utility_DisplayArrayInTable(Common_SourceData.Common_SourceData_MCFTemperatureZone_Data(),Table_SourceData_Common_MCFTemperatureZone[[#Headers],[Temperature zone]],0)</f>
        <v>0.79</v>
      </c>
      <c r="G245" s="11" cm="1">
        <f t="array" ref="G245">Common_InputFunctions.Utility_DisplayArrayInTable(Common_SourceData.Common_SourceData_MCFTemperatureZone_Data(),Table_SourceData_Common_MCFTemperatureZone[[#Headers],[Temperature zone]],0)</f>
        <v>0.1</v>
      </c>
      <c r="H245" s="11" cm="1">
        <f t="array" ref="H245">Common_InputFunctions.Utility_DisplayArrayInTable(Common_SourceData.Common_SourceData_MCFTemperatureZone_Data(),Table_SourceData_Common_MCFTemperatureZone[[#Headers],[Temperature zone]],0)</f>
        <v>0.34</v>
      </c>
      <c r="I245" s="11" cm="1">
        <f t="array" ref="I245">Common_InputFunctions.Utility_DisplayArrayInTable(Common_SourceData.Common_SourceData_MCFTemperatureZone_Data(),Table_SourceData_Common_MCFTemperatureZone[[#Headers],[Temperature zone]],0)</f>
        <v>5.0000000000000001E-3</v>
      </c>
      <c r="J245" s="11" cm="1">
        <f t="array" ref="J245">Common_InputFunctions.Utility_DisplayArrayInTable(Common_SourceData.Common_SourceData_MCFTemperatureZone_Data(),Table_SourceData_Common_MCFTemperatureZone[[#Headers],[Temperature zone]],0)</f>
        <v>0.01</v>
      </c>
      <c r="K245" s="11" cm="1">
        <f t="array" ref="K245">Common_InputFunctions.Utility_DisplayArrayInTable(Common_SourceData.Common_SourceData_MCFTemperatureZone_Data(),Table_SourceData_Common_MCFTemperatureZone[[#Headers],[Temperature zone]],0)</f>
        <v>0.02</v>
      </c>
      <c r="L245" s="11" cm="1">
        <f t="array" ref="L245">Common_InputFunctions.Utility_DisplayArrayInTable(Common_SourceData.Common_SourceData_MCFTemperatureZone_Data(),Table_SourceData_Common_MCFTemperatureZone[[#Headers],[Temperature zone]],0)</f>
        <v>0.03</v>
      </c>
      <c r="M245" s="11" cm="1">
        <f t="array" ref="M245">Common_InputFunctions.Utility_DisplayArrayInTable(Common_SourceData.Common_SourceData_MCFTemperatureZone_Data(),Table_SourceData_Common_MCFTemperatureZone[[#Headers],[Temperature zone]],0)</f>
        <v>0.04</v>
      </c>
      <c r="N245" s="11" cm="1">
        <f t="array" ref="N245">Common_InputFunctions.Utility_DisplayArrayInTable(Common_SourceData.Common_SourceData_MCFTemperatureZone_Data(),Table_SourceData_Common_MCFTemperatureZone[[#Headers],[Temperature zone]],0)</f>
        <v>1.4999999999999999E-2</v>
      </c>
      <c r="O245" s="11" cm="1">
        <f t="array" ref="O245">Common_InputFunctions.Utility_DisplayArrayInTable(Common_SourceData.Common_SourceData_MCFTemperatureZone_Data(),Table_SourceData_Common_MCFTemperatureZone[[#Headers],[Temperature zone]],0)</f>
        <v>1.4999999999999999E-2</v>
      </c>
      <c r="P245" s="11" cm="1">
        <f t="array" ref="P245">Common_InputFunctions.Utility_DisplayArrayInTable(Common_SourceData.Common_SourceData_MCFTemperatureZone_Data(),Table_SourceData_Common_MCFTemperatureZone[[#Headers],[Temperature zone]],0)</f>
        <v>0</v>
      </c>
      <c r="Q245" s="11" cm="1">
        <f t="array" ref="Q245">Common_InputFunctions.Utility_DisplayArrayInTable(Common_SourceData.Common_SourceData_MCFTemperatureZone_Data(),Table_SourceData_Common_MCFTemperatureZone[[#Headers],[Temperature zone]],0)</f>
        <v>0</v>
      </c>
      <c r="R245" s="11" cm="1">
        <f t="array" ref="R245">Common_InputFunctions.Utility_DisplayArrayInTable(Common_SourceData.Common_SourceData_MCFTemperatureZone_Data(),Table_SourceData_Common_MCFTemperatureZone[[#Headers],[Temperature zone]],0)</f>
        <v>4.7000000000000002E-3</v>
      </c>
      <c r="S245" s="11"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11" cm="1">
        <f t="array" ref="E246">Common_InputFunctions.Utility_DisplayArrayInTable(Common_SourceData.Common_SourceData_MCFTemperatureZone_Data(),Table_SourceData_Common_MCFTemperatureZone[[#Headers],[Temperature zone]],0)</f>
        <v>24</v>
      </c>
      <c r="F246" s="11" cm="1">
        <f t="array" ref="F246">Common_InputFunctions.Utility_DisplayArrayInTable(Common_SourceData.Common_SourceData_MCFTemperatureZone_Data(),Table_SourceData_Common_MCFTemperatureZone[[#Headers],[Temperature zone]],0)</f>
        <v>0.79</v>
      </c>
      <c r="G246" s="11" cm="1">
        <f t="array" ref="G246">Common_InputFunctions.Utility_DisplayArrayInTable(Common_SourceData.Common_SourceData_MCFTemperatureZone_Data(),Table_SourceData_Common_MCFTemperatureZone[[#Headers],[Temperature zone]],0)</f>
        <v>0.1</v>
      </c>
      <c r="H246" s="11" cm="1">
        <f t="array" ref="H246">Common_InputFunctions.Utility_DisplayArrayInTable(Common_SourceData.Common_SourceData_MCFTemperatureZone_Data(),Table_SourceData_Common_MCFTemperatureZone[[#Headers],[Temperature zone]],0)</f>
        <v>0.37</v>
      </c>
      <c r="I246" s="11" cm="1">
        <f t="array" ref="I246">Common_InputFunctions.Utility_DisplayArrayInTable(Common_SourceData.Common_SourceData_MCFTemperatureZone_Data(),Table_SourceData_Common_MCFTemperatureZone[[#Headers],[Temperature zone]],0)</f>
        <v>5.0000000000000001E-3</v>
      </c>
      <c r="J246" s="11" cm="1">
        <f t="array" ref="J246">Common_InputFunctions.Utility_DisplayArrayInTable(Common_SourceData.Common_SourceData_MCFTemperatureZone_Data(),Table_SourceData_Common_MCFTemperatureZone[[#Headers],[Temperature zone]],0)</f>
        <v>0.01</v>
      </c>
      <c r="K246" s="11" cm="1">
        <f t="array" ref="K246">Common_InputFunctions.Utility_DisplayArrayInTable(Common_SourceData.Common_SourceData_MCFTemperatureZone_Data(),Table_SourceData_Common_MCFTemperatureZone[[#Headers],[Temperature zone]],0)</f>
        <v>0.02</v>
      </c>
      <c r="L246" s="11" cm="1">
        <f t="array" ref="L246">Common_InputFunctions.Utility_DisplayArrayInTable(Common_SourceData.Common_SourceData_MCFTemperatureZone_Data(),Table_SourceData_Common_MCFTemperatureZone[[#Headers],[Temperature zone]],0)</f>
        <v>0.03</v>
      </c>
      <c r="M246" s="11" cm="1">
        <f t="array" ref="M246">Common_InputFunctions.Utility_DisplayArrayInTable(Common_SourceData.Common_SourceData_MCFTemperatureZone_Data(),Table_SourceData_Common_MCFTemperatureZone[[#Headers],[Temperature zone]],0)</f>
        <v>0.04</v>
      </c>
      <c r="N246" s="11" cm="1">
        <f t="array" ref="N246">Common_InputFunctions.Utility_DisplayArrayInTable(Common_SourceData.Common_SourceData_MCFTemperatureZone_Data(),Table_SourceData_Common_MCFTemperatureZone[[#Headers],[Temperature zone]],0)</f>
        <v>1.4999999999999999E-2</v>
      </c>
      <c r="O246" s="11" cm="1">
        <f t="array" ref="O246">Common_InputFunctions.Utility_DisplayArrayInTable(Common_SourceData.Common_SourceData_MCFTemperatureZone_Data(),Table_SourceData_Common_MCFTemperatureZone[[#Headers],[Temperature zone]],0)</f>
        <v>1.4999999999999999E-2</v>
      </c>
      <c r="P246" s="11" cm="1">
        <f t="array" ref="P246">Common_InputFunctions.Utility_DisplayArrayInTable(Common_SourceData.Common_SourceData_MCFTemperatureZone_Data(),Table_SourceData_Common_MCFTemperatureZone[[#Headers],[Temperature zone]],0)</f>
        <v>0</v>
      </c>
      <c r="Q246" s="11" cm="1">
        <f t="array" ref="Q246">Common_InputFunctions.Utility_DisplayArrayInTable(Common_SourceData.Common_SourceData_MCFTemperatureZone_Data(),Table_SourceData_Common_MCFTemperatureZone[[#Headers],[Temperature zone]],0)</f>
        <v>0</v>
      </c>
      <c r="R246" s="11" cm="1">
        <f t="array" ref="R246">Common_InputFunctions.Utility_DisplayArrayInTable(Common_SourceData.Common_SourceData_MCFTemperatureZone_Data(),Table_SourceData_Common_MCFTemperatureZone[[#Headers],[Temperature zone]],0)</f>
        <v>4.7000000000000002E-3</v>
      </c>
      <c r="S246" s="11"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11" cm="1">
        <f t="array" ref="E247">Common_InputFunctions.Utility_DisplayArrayInTable(Common_SourceData.Common_SourceData_MCFTemperatureZone_Data(),Table_SourceData_Common_MCFTemperatureZone[[#Headers],[Temperature zone]],0)</f>
        <v>25</v>
      </c>
      <c r="F247" s="11" cm="1">
        <f t="array" ref="F247">Common_InputFunctions.Utility_DisplayArrayInTable(Common_SourceData.Common_SourceData_MCFTemperatureZone_Data(),Table_SourceData_Common_MCFTemperatureZone[[#Headers],[Temperature zone]],0)</f>
        <v>0.79</v>
      </c>
      <c r="G247" s="11" cm="1">
        <f t="array" ref="G247">Common_InputFunctions.Utility_DisplayArrayInTable(Common_SourceData.Common_SourceData_MCFTemperatureZone_Data(),Table_SourceData_Common_MCFTemperatureZone[[#Headers],[Temperature zone]],0)</f>
        <v>0.1</v>
      </c>
      <c r="H247" s="11" cm="1">
        <f t="array" ref="H247">Common_InputFunctions.Utility_DisplayArrayInTable(Common_SourceData.Common_SourceData_MCFTemperatureZone_Data(),Table_SourceData_Common_MCFTemperatureZone[[#Headers],[Temperature zone]],0)</f>
        <v>0.41</v>
      </c>
      <c r="I247" s="11" cm="1">
        <f t="array" ref="I247">Common_InputFunctions.Utility_DisplayArrayInTable(Common_SourceData.Common_SourceData_MCFTemperatureZone_Data(),Table_SourceData_Common_MCFTemperatureZone[[#Headers],[Temperature zone]],0)</f>
        <v>5.0000000000000001E-3</v>
      </c>
      <c r="J247" s="11" cm="1">
        <f t="array" ref="J247">Common_InputFunctions.Utility_DisplayArrayInTable(Common_SourceData.Common_SourceData_MCFTemperatureZone_Data(),Table_SourceData_Common_MCFTemperatureZone[[#Headers],[Temperature zone]],0)</f>
        <v>0.01</v>
      </c>
      <c r="K247" s="11" cm="1">
        <f t="array" ref="K247">Common_InputFunctions.Utility_DisplayArrayInTable(Common_SourceData.Common_SourceData_MCFTemperatureZone_Data(),Table_SourceData_Common_MCFTemperatureZone[[#Headers],[Temperature zone]],0)</f>
        <v>0.02</v>
      </c>
      <c r="L247" s="11" cm="1">
        <f t="array" ref="L247">Common_InputFunctions.Utility_DisplayArrayInTable(Common_SourceData.Common_SourceData_MCFTemperatureZone_Data(),Table_SourceData_Common_MCFTemperatureZone[[#Headers],[Temperature zone]],0)</f>
        <v>0.03</v>
      </c>
      <c r="M247" s="11" cm="1">
        <f t="array" ref="M247">Common_InputFunctions.Utility_DisplayArrayInTable(Common_SourceData.Common_SourceData_MCFTemperatureZone_Data(),Table_SourceData_Common_MCFTemperatureZone[[#Headers],[Temperature zone]],0)</f>
        <v>0.04</v>
      </c>
      <c r="N247" s="11" cm="1">
        <f t="array" ref="N247">Common_InputFunctions.Utility_DisplayArrayInTable(Common_SourceData.Common_SourceData_MCFTemperatureZone_Data(),Table_SourceData_Common_MCFTemperatureZone[[#Headers],[Temperature zone]],0)</f>
        <v>1.4999999999999999E-2</v>
      </c>
      <c r="O247" s="11" cm="1">
        <f t="array" ref="O247">Common_InputFunctions.Utility_DisplayArrayInTable(Common_SourceData.Common_SourceData_MCFTemperatureZone_Data(),Table_SourceData_Common_MCFTemperatureZone[[#Headers],[Temperature zone]],0)</f>
        <v>1.4999999999999999E-2</v>
      </c>
      <c r="P247" s="11" cm="1">
        <f t="array" ref="P247">Common_InputFunctions.Utility_DisplayArrayInTable(Common_SourceData.Common_SourceData_MCFTemperatureZone_Data(),Table_SourceData_Common_MCFTemperatureZone[[#Headers],[Temperature zone]],0)</f>
        <v>0</v>
      </c>
      <c r="Q247" s="11" cm="1">
        <f t="array" ref="Q247">Common_InputFunctions.Utility_DisplayArrayInTable(Common_SourceData.Common_SourceData_MCFTemperatureZone_Data(),Table_SourceData_Common_MCFTemperatureZone[[#Headers],[Temperature zone]],0)</f>
        <v>0</v>
      </c>
      <c r="R247" s="11" cm="1">
        <f t="array" ref="R247">Common_InputFunctions.Utility_DisplayArrayInTable(Common_SourceData.Common_SourceData_MCFTemperatureZone_Data(),Table_SourceData_Common_MCFTemperatureZone[[#Headers],[Temperature zone]],0)</f>
        <v>4.7000000000000002E-3</v>
      </c>
      <c r="S247" s="11"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11" cm="1">
        <f t="array" ref="E248">Common_InputFunctions.Utility_DisplayArrayInTable(Common_SourceData.Common_SourceData_MCFTemperatureZone_Data(),Table_SourceData_Common_MCFTemperatureZone[[#Headers],[Temperature zone]],0)</f>
        <v>26</v>
      </c>
      <c r="F248" s="11" cm="1">
        <f t="array" ref="F248">Common_InputFunctions.Utility_DisplayArrayInTable(Common_SourceData.Common_SourceData_MCFTemperatureZone_Data(),Table_SourceData_Common_MCFTemperatureZone[[#Headers],[Temperature zone]],0)</f>
        <v>0.79</v>
      </c>
      <c r="G248" s="11" cm="1">
        <f t="array" ref="G248">Common_InputFunctions.Utility_DisplayArrayInTable(Common_SourceData.Common_SourceData_MCFTemperatureZone_Data(),Table_SourceData_Common_MCFTemperatureZone[[#Headers],[Temperature zone]],0)</f>
        <v>0.1</v>
      </c>
      <c r="H248" s="11" cm="1">
        <f t="array" ref="H248">Common_InputFunctions.Utility_DisplayArrayInTable(Common_SourceData.Common_SourceData_MCFTemperatureZone_Data(),Table_SourceData_Common_MCFTemperatureZone[[#Headers],[Temperature zone]],0)</f>
        <v>0.44</v>
      </c>
      <c r="I248" s="11" cm="1">
        <f t="array" ref="I248">Common_InputFunctions.Utility_DisplayArrayInTable(Common_SourceData.Common_SourceData_MCFTemperatureZone_Data(),Table_SourceData_Common_MCFTemperatureZone[[#Headers],[Temperature zone]],0)</f>
        <v>0.01</v>
      </c>
      <c r="J248" s="11" cm="1">
        <f t="array" ref="J248">Common_InputFunctions.Utility_DisplayArrayInTable(Common_SourceData.Common_SourceData_MCFTemperatureZone_Data(),Table_SourceData_Common_MCFTemperatureZone[[#Headers],[Temperature zone]],0)</f>
        <v>1.4999999999999999E-2</v>
      </c>
      <c r="K248" s="11" cm="1">
        <f t="array" ref="K248">Common_InputFunctions.Utility_DisplayArrayInTable(Common_SourceData.Common_SourceData_MCFTemperatureZone_Data(),Table_SourceData_Common_MCFTemperatureZone[[#Headers],[Temperature zone]],0)</f>
        <v>0.02</v>
      </c>
      <c r="L248" s="11" cm="1">
        <f t="array" ref="L248">Common_InputFunctions.Utility_DisplayArrayInTable(Common_SourceData.Common_SourceData_MCFTemperatureZone_Data(),Table_SourceData_Common_MCFTemperatureZone[[#Headers],[Temperature zone]],0)</f>
        <v>0.03</v>
      </c>
      <c r="M248" s="11" cm="1">
        <f t="array" ref="M248">Common_InputFunctions.Utility_DisplayArrayInTable(Common_SourceData.Common_SourceData_MCFTemperatureZone_Data(),Table_SourceData_Common_MCFTemperatureZone[[#Headers],[Temperature zone]],0)</f>
        <v>0.04</v>
      </c>
      <c r="N248" s="11" cm="1">
        <f t="array" ref="N248">Common_InputFunctions.Utility_DisplayArrayInTable(Common_SourceData.Common_SourceData_MCFTemperatureZone_Data(),Table_SourceData_Common_MCFTemperatureZone[[#Headers],[Temperature zone]],0)</f>
        <v>1.4999999999999999E-2</v>
      </c>
      <c r="O248" s="11" cm="1">
        <f t="array" ref="O248">Common_InputFunctions.Utility_DisplayArrayInTable(Common_SourceData.Common_SourceData_MCFTemperatureZone_Data(),Table_SourceData_Common_MCFTemperatureZone[[#Headers],[Temperature zone]],0)</f>
        <v>1.4999999999999999E-2</v>
      </c>
      <c r="P248" s="11" cm="1">
        <f t="array" ref="P248">Common_InputFunctions.Utility_DisplayArrayInTable(Common_SourceData.Common_SourceData_MCFTemperatureZone_Data(),Table_SourceData_Common_MCFTemperatureZone[[#Headers],[Temperature zone]],0)</f>
        <v>0</v>
      </c>
      <c r="Q248" s="11" cm="1">
        <f t="array" ref="Q248">Common_InputFunctions.Utility_DisplayArrayInTable(Common_SourceData.Common_SourceData_MCFTemperatureZone_Data(),Table_SourceData_Common_MCFTemperatureZone[[#Headers],[Temperature zone]],0)</f>
        <v>0</v>
      </c>
      <c r="R248" s="11" cm="1">
        <f t="array" ref="R248">Common_InputFunctions.Utility_DisplayArrayInTable(Common_SourceData.Common_SourceData_MCFTemperatureZone_Data(),Table_SourceData_Common_MCFTemperatureZone[[#Headers],[Temperature zone]],0)</f>
        <v>4.7000000000000002E-3</v>
      </c>
      <c r="S248" s="11"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11" cm="1">
        <f t="array" ref="E249">Common_InputFunctions.Utility_DisplayArrayInTable(Common_SourceData.Common_SourceData_MCFTemperatureZone_Data(),Table_SourceData_Common_MCFTemperatureZone[[#Headers],[Temperature zone]],0)</f>
        <v>27</v>
      </c>
      <c r="F249" s="11" cm="1">
        <f t="array" ref="F249">Common_InputFunctions.Utility_DisplayArrayInTable(Common_SourceData.Common_SourceData_MCFTemperatureZone_Data(),Table_SourceData_Common_MCFTemperatureZone[[#Headers],[Temperature zone]],0)</f>
        <v>0.8</v>
      </c>
      <c r="G249" s="11" cm="1">
        <f t="array" ref="G249">Common_InputFunctions.Utility_DisplayArrayInTable(Common_SourceData.Common_SourceData_MCFTemperatureZone_Data(),Table_SourceData_Common_MCFTemperatureZone[[#Headers],[Temperature zone]],0)</f>
        <v>0.1</v>
      </c>
      <c r="H249" s="11" cm="1">
        <f t="array" ref="H249">Common_InputFunctions.Utility_DisplayArrayInTable(Common_SourceData.Common_SourceData_MCFTemperatureZone_Data(),Table_SourceData_Common_MCFTemperatureZone[[#Headers],[Temperature zone]],0)</f>
        <v>0.48</v>
      </c>
      <c r="I249" s="11" cm="1">
        <f t="array" ref="I249">Common_InputFunctions.Utility_DisplayArrayInTable(Common_SourceData.Common_SourceData_MCFTemperatureZone_Data(),Table_SourceData_Common_MCFTemperatureZone[[#Headers],[Temperature zone]],0)</f>
        <v>0.01</v>
      </c>
      <c r="J249" s="11" cm="1">
        <f t="array" ref="J249">Common_InputFunctions.Utility_DisplayArrayInTable(Common_SourceData.Common_SourceData_MCFTemperatureZone_Data(),Table_SourceData_Common_MCFTemperatureZone[[#Headers],[Temperature zone]],0)</f>
        <v>1.4999999999999999E-2</v>
      </c>
      <c r="K249" s="11" cm="1">
        <f t="array" ref="K249">Common_InputFunctions.Utility_DisplayArrayInTable(Common_SourceData.Common_SourceData_MCFTemperatureZone_Data(),Table_SourceData_Common_MCFTemperatureZone[[#Headers],[Temperature zone]],0)</f>
        <v>0.02</v>
      </c>
      <c r="L249" s="11" cm="1">
        <f t="array" ref="L249">Common_InputFunctions.Utility_DisplayArrayInTable(Common_SourceData.Common_SourceData_MCFTemperatureZone_Data(),Table_SourceData_Common_MCFTemperatureZone[[#Headers],[Temperature zone]],0)</f>
        <v>0.03</v>
      </c>
      <c r="M249" s="11" cm="1">
        <f t="array" ref="M249">Common_InputFunctions.Utility_DisplayArrayInTable(Common_SourceData.Common_SourceData_MCFTemperatureZone_Data(),Table_SourceData_Common_MCFTemperatureZone[[#Headers],[Temperature zone]],0)</f>
        <v>0.04</v>
      </c>
      <c r="N249" s="11" cm="1">
        <f t="array" ref="N249">Common_InputFunctions.Utility_DisplayArrayInTable(Common_SourceData.Common_SourceData_MCFTemperatureZone_Data(),Table_SourceData_Common_MCFTemperatureZone[[#Headers],[Temperature zone]],0)</f>
        <v>1.4999999999999999E-2</v>
      </c>
      <c r="O249" s="11" cm="1">
        <f t="array" ref="O249">Common_InputFunctions.Utility_DisplayArrayInTable(Common_SourceData.Common_SourceData_MCFTemperatureZone_Data(),Table_SourceData_Common_MCFTemperatureZone[[#Headers],[Temperature zone]],0)</f>
        <v>1.4999999999999999E-2</v>
      </c>
      <c r="P249" s="11" cm="1">
        <f t="array" ref="P249">Common_InputFunctions.Utility_DisplayArrayInTable(Common_SourceData.Common_SourceData_MCFTemperatureZone_Data(),Table_SourceData_Common_MCFTemperatureZone[[#Headers],[Temperature zone]],0)</f>
        <v>0</v>
      </c>
      <c r="Q249" s="11" cm="1">
        <f t="array" ref="Q249">Common_InputFunctions.Utility_DisplayArrayInTable(Common_SourceData.Common_SourceData_MCFTemperatureZone_Data(),Table_SourceData_Common_MCFTemperatureZone[[#Headers],[Temperature zone]],0)</f>
        <v>0</v>
      </c>
      <c r="R249" s="11" cm="1">
        <f t="array" ref="R249">Common_InputFunctions.Utility_DisplayArrayInTable(Common_SourceData.Common_SourceData_MCFTemperatureZone_Data(),Table_SourceData_Common_MCFTemperatureZone[[#Headers],[Temperature zone]],0)</f>
        <v>4.7000000000000002E-3</v>
      </c>
      <c r="S249" s="11"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11" t="str" cm="1">
        <f t="array" ref="E250">Common_InputFunctions.Utility_DisplayArrayInTable(Common_SourceData.Common_SourceData_MCFTemperatureZone_Data(),Table_SourceData_Common_MCFTemperatureZone[[#Headers],[Temperature zone]],0)</f>
        <v>≥28</v>
      </c>
      <c r="F250" s="11" cm="1">
        <f t="array" ref="F250">Common_InputFunctions.Utility_DisplayArrayInTable(Common_SourceData.Common_SourceData_MCFTemperatureZone_Data(),Table_SourceData_Common_MCFTemperatureZone[[#Headers],[Temperature zone]],0)</f>
        <v>0.8</v>
      </c>
      <c r="G250" s="11" cm="1">
        <f t="array" ref="G250">Common_InputFunctions.Utility_DisplayArrayInTable(Common_SourceData.Common_SourceData_MCFTemperatureZone_Data(),Table_SourceData_Common_MCFTemperatureZone[[#Headers],[Temperature zone]],0)</f>
        <v>0.1</v>
      </c>
      <c r="H250" s="11" cm="1">
        <f t="array" ref="H250">Common_InputFunctions.Utility_DisplayArrayInTable(Common_SourceData.Common_SourceData_MCFTemperatureZone_Data(),Table_SourceData_Common_MCFTemperatureZone[[#Headers],[Temperature zone]],0)</f>
        <v>0.5</v>
      </c>
      <c r="I250" s="11" cm="1">
        <f t="array" ref="I250">Common_InputFunctions.Utility_DisplayArrayInTable(Common_SourceData.Common_SourceData_MCFTemperatureZone_Data(),Table_SourceData_Common_MCFTemperatureZone[[#Headers],[Temperature zone]],0)</f>
        <v>0.01</v>
      </c>
      <c r="J250" s="11" cm="1">
        <f t="array" ref="J250">Common_InputFunctions.Utility_DisplayArrayInTable(Common_SourceData.Common_SourceData_MCFTemperatureZone_Data(),Table_SourceData_Common_MCFTemperatureZone[[#Headers],[Temperature zone]],0)</f>
        <v>1.4999999999999999E-2</v>
      </c>
      <c r="K250" s="11" cm="1">
        <f t="array" ref="K250">Common_InputFunctions.Utility_DisplayArrayInTable(Common_SourceData.Common_SourceData_MCFTemperatureZone_Data(),Table_SourceData_Common_MCFTemperatureZone[[#Headers],[Temperature zone]],0)</f>
        <v>0.02</v>
      </c>
      <c r="L250" s="11" cm="1">
        <f t="array" ref="L250">Common_InputFunctions.Utility_DisplayArrayInTable(Common_SourceData.Common_SourceData_MCFTemperatureZone_Data(),Table_SourceData_Common_MCFTemperatureZone[[#Headers],[Temperature zone]],0)</f>
        <v>0.03</v>
      </c>
      <c r="M250" s="11" cm="1">
        <f t="array" ref="M250">Common_InputFunctions.Utility_DisplayArrayInTable(Common_SourceData.Common_SourceData_MCFTemperatureZone_Data(),Table_SourceData_Common_MCFTemperatureZone[[#Headers],[Temperature zone]],0)</f>
        <v>0.04</v>
      </c>
      <c r="N250" s="11" cm="1">
        <f t="array" ref="N250">Common_InputFunctions.Utility_DisplayArrayInTable(Common_SourceData.Common_SourceData_MCFTemperatureZone_Data(),Table_SourceData_Common_MCFTemperatureZone[[#Headers],[Temperature zone]],0)</f>
        <v>1.4999999999999999E-2</v>
      </c>
      <c r="O250" s="11" cm="1">
        <f t="array" ref="O250">Common_InputFunctions.Utility_DisplayArrayInTable(Common_SourceData.Common_SourceData_MCFTemperatureZone_Data(),Table_SourceData_Common_MCFTemperatureZone[[#Headers],[Temperature zone]],0)</f>
        <v>1.4999999999999999E-2</v>
      </c>
      <c r="P250" s="11" cm="1">
        <f t="array" ref="P250">Common_InputFunctions.Utility_DisplayArrayInTable(Common_SourceData.Common_SourceData_MCFTemperatureZone_Data(),Table_SourceData_Common_MCFTemperatureZone[[#Headers],[Temperature zone]],0)</f>
        <v>0</v>
      </c>
      <c r="Q250" s="11" cm="1">
        <f t="array" ref="Q250">Common_InputFunctions.Utility_DisplayArrayInTable(Common_SourceData.Common_SourceData_MCFTemperatureZone_Data(),Table_SourceData_Common_MCFTemperatureZone[[#Headers],[Temperature zone]],0)</f>
        <v>0</v>
      </c>
      <c r="R250" s="11" cm="1">
        <f t="array" ref="R250">Common_InputFunctions.Utility_DisplayArrayInTable(Common_SourceData.Common_SourceData_MCFTemperatureZone_Data(),Table_SourceData_Common_MCFTemperatureZone[[#Headers],[Temperature zone]],0)</f>
        <v>4.7000000000000002E-3</v>
      </c>
      <c r="S250" s="11" cm="1">
        <f t="array" ref="S250">Common_InputFunctions.Utility_DisplayArrayInTable(Common_SourceData.Common_SourceData_MCFTemperatureZone_Data(),Table_SourceData_Common_MCFTemperatureZone[[#Headers],[Temperature zone]],0)</f>
        <v>28</v>
      </c>
    </row>
    <row r="253" spans="4:19" ht="23.25" x14ac:dyDescent="0.25">
      <c r="D253" s="5" t="str" cm="1">
        <f t="array" ref="D253">Common_SourceData.Common_SourceData_EFOrganicFertiliserAndCropResidues_Title()</f>
        <v>Emission factor for organic fertiliser and crop residues returned to the soil</v>
      </c>
    </row>
    <row r="254" spans="4:19" x14ac:dyDescent="0.25">
      <c r="D254" s="4"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12" t="str" cm="1">
        <f t="array" ref="D256">Common_SourceData.Common_SourceData_EFOrganicFertiliserAndCropResidues_Unit()</f>
        <v>kg N2O - N / kg N</v>
      </c>
    </row>
    <row r="257" spans="4:5" x14ac:dyDescent="0.25">
      <c r="D257" s="11" t="s">
        <v>66</v>
      </c>
      <c r="E257" s="11" t="s">
        <v>67</v>
      </c>
    </row>
    <row r="258" spans="4:5" x14ac:dyDescent="0.25">
      <c r="D258" s="11" t="str" cm="1">
        <f t="array" ref="D258">Common_InputFunctions.Utility_DisplayArrayInTable(Common_SourceData.Common_SourceData_EFOrganicFertiliserAndCropResidues_Data(), Table_SourceData_Common_EFOrganicFertCropResidues[[#Headers],[Climate Zone]], 0)</f>
        <v>Wet climate zone</v>
      </c>
      <c r="E258" s="11"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11"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F8506-5EB7-47C9-955C-A68351EE5687}">
  <dimension ref="A1"/>
  <sheetViews>
    <sheetView workbookViewId="0">
      <selection activeCell="A2" sqref="A2"/>
    </sheetView>
  </sheetViews>
  <sheetFormatPr defaultRowHeight="15" x14ac:dyDescent="0.25"/>
  <sheetData>
    <row r="1" spans="1:1" x14ac:dyDescent="0.25">
      <c r="A1" t="s">
        <v>45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SQBuAHAAdQB0AEYAdQBuAGMAdABpAG8AbgBzACIALAAiAHQAZQB4AHQAIgA6ACIAVQB0AGkAbABpAHQAeQBfAEcAZQB0AEEAcgByAGEAeQBUAGEAYgBsAGUAUgBvAHcAUwB0AGEAcgB0AE4AdQBtAGIAZQByAFwAbgA9AEwAQQBNAEIARABBACgAXABuACAAIAAgACAAVABhAGIAbABlAGgAZQBhAGQAZQByAEMAZQBsAGwALABSAG8AdwBzAEIAZQB0AHcAZQBlAG4ASABlAGEAZABlAHIAYQBuAGQAQQByAHIAYQB5ACwAXABuACAAIAAgACAAUgBPAFcAKABUAGEAYgBsAGUAaABlAGEAZABlAHIAQwBlAGwAbAApACAAKwAgAFIAbwB3AHMAQgBlAHQAdwBlAGUAbgBIAGUAYQBkAGUAcgBhAG4AZABBAHIAcgBhAHkAIAAtACAAMQBcAG4AKQA7AFwAbgBcAG4AVQB0AGkAbABpAHQAeQBfAEcAZQB0AEEAcgByAGEAeQBUAGEAYgBsAGUAQwBvAGwAdQBtAG4AUwB0AGEAcgB0AE4AdQBtAGIAZQByAFwAbgA9AEwAQQBNAEIARABBACgAXABuACAAIABUAGEAYgBsAGUASABlAGEAZABlAHIAQwBlAGwAbAAsAFwAbgAgACAAQwBPAEwAVQBNAE4AKABUAGEAYgBsAGUASABlAGEAZABlAHIAQwBlAGwAbAApAFwAbgApADsAXABuAFwAbgBVAHQAaQBsAGkAdAB5AF8ARABpAHMAcABsAGEAeQBBAHIAcgBhAHkASQBuAFQAYQBiAGwAZQBcAG4APQBMAEEATQBCAEQAQQAoAFwAbgAgAEEAcgByAGEAeQBEAGEAdABhACwAIABUAGEAYgBsAGUAaABlAGEAZABlAHIAQwBlAGwAbAAsACAAUgBvAHcAcwBCAGUAdAB3AGUAZQBuAEgAZQBhAGQAZQByAGEAbgBkAEEAcgByAGEAeQAsACAAWwBDAG8AbAB1AG0AbgBzAEIAZQB0AHcAZQBlAG4ASABlAGEAZABlAHIAQQBuAGQAQQByAHIAYQB5AF0ALABcAG4AIABJAEYARQBSAFIATwBSACgAXABuACAAIAAgACAAIABJAE4ARABFAFgAKABcAG4AIAAgACAAIAAgACAAIAAgACAAIAAgACAAVQBOAEkAUQBVAEUAKABBAHIAcgBhAHkARABhAHQAYQApACwAIABcAG4AIAAgACAAIAAgACAAIAAgACAAIAAgACAAUgBPAFcAKAApAC0AVQB0AGkAbABpAHQAeQBfAEcAZQB0AEEAcgByAGEAeQBUAGEAYgBsAGUAUgBvAHcAUwB0AGEAcgB0AE4AdQBtAGIAZQByACgAVABhAGIAbABlAGgAZQBhAGQAZQByAEMAZQBsAGwALAAgAFIAbwB3AHMAQgBlAHQAdwBlAGUAbgBIAGUAYQBkAGUAcgBhAG4AZABBAHIAcgBhAHkAKQAsACAAXABuACAAIAAgACAAIAAgACAAIAAgACAAIAAgAEMATwBMAFUATQBOACgAKQAtAFUAdABpAGwAaQB0AHkAXwBHAGUAdABBAHIAcgBhAHkAVABhAGIAbABlAEMAbwBsAHUAbQBuAFMAdABhAHIAdABOAHUAbQBiAGUAcgAoAFQAYQBiAGwAZQBoAGUAYQBkAGUAcgBDAGUAbABsACkAIAArAFwAbgAgACAAIAAgACAAIAAgACAAIAAgACAAIABJAEYAKABJAFMATwBNAEkAVABUAEUARAAoAEMAbwBsAHUAbQBuAHMAQgBlAHQAdwBlAGUAbgBIAGUAYQBkAGUAcgBBAG4AZABBAHIAcgBhAHkAKQAsACAAMQAsACAAQwBvAGwAdQBtAG4AcwBCAGUAdAB3AGUAZQBuAEgAZQBhAGQAZQByAEEAbgBkAEEAcgByAGEAeQApAFwAbgAgACAAIAAgACAAIAAgACAAKQAsACAAXAAiAFwAIgBcAG4AIAAgACAAIAApAFwAbgApADsAXABuAFwAbgBVAHQAaQBsAGkAdAB5AF8ATABvAG8AawB1AHAAVgBhAGwAdQBlAEkAbgBUAGEAYgBsAGUAXABuAD0ATABBAE0AQgBEAEEAKABcAG4AIAAgACAAIABMAG8AbwBrAHUAcABWAGEAbAB1AGUALAAgAEwAbwBvAGsAdQBwAEEAcgByAGEAeQAsACAAUgBlAHQAdQByAG4AQQByAHIAYQB5ACwAXABuACAAIAAgACAAWABMAE8ATwBLAFUAUAAoAEwAbwBvAGsAdQBwAFYAYQBsAHUAZQAsACAATABvAG8AawB1AHAAQQByAHIAYQB5ACwAIABSAGUAdAB1AHIAbgBBAHIAcgBhAHkALAAgAFwAIgBcACIAKQBcAG4AKQA7AFwAbgBcAG4AVQB0AGkAbABpAHQAeQBfAEwAbwBvAGsAdQBwAFYAYQBsAHUAZQBJAG4AVABhAGIAbABlAE4AdQBtAGIAZQByAFwAbgA9AEwAQQBNAEIARABBACgAXABuACAAIAAgACAATABvAG8AawB1AHAAVgBhAGwAdQBlACwAIABMAG8AbwBrAHUAcABBAHIAcgBhAHkALAAgAFIAZQB0AHUAcgBuAEEAcgByAGEAeQAsAFwAbgAgACAAIAAgAEkARgAoAEkAUwBOAFUATQBCAEUAUgAoAFwAbgAgACAAIAAgACAAIAAgACAAWABMAE8ATwBLAFUAUAAoAEwAbwBvAGsAdQBwAFYAYQBsAHUAZQAsACAATABvAG8AawB1AHAAQQByAHIAYQB5ACwAIABSAGUAdAB1AHIAbgBBAHIAcgBhAHkALAAgAFwAIgBcACIAKQBcAG4AIAAgACAAIAApACwAIABYAEwATwBPAEsAVQBQACgATABvAG8AawB1AHAAVgBhAGwAdQBlACwAIABMAG8AbwBrAHUAcABBAHIAcgBhAHkALAAgAFIAZQB0AHUAcgBuAEEAcgByAGEAeQAsACAAXAAiAFwAIgApACwAIAAwACkAXABuACkAOwBcAG4AXABuAFUAdABpAGwAaQB0AHkAXwBMAG8AbwBrAHUAcABWAGEAbAB1AGUASQBuAFQAYQBiAGwAZQBUAHcAbwBDAG8AbAB1AG0AbgBzAFwAbgA9AEwAQQBNAEIARABBACgAXABuACAAIAAgACAATABvAG8AawB1AHAAVgBhAGwAdQBlADEALAAgAEwAbwBvAGsAdQBwAFYAYQBsAHUAZQAyACwAIABMAG8AbwBrAHUAcABBAHIAcgBhAHkAMQAsACAATABvAG8AawB1AHAAQQByAHIAYQB5ADIALAAgAFIAZQB0AHUAcgBuAEEAcgByAGEAeQAsACAAWwBWAGEAbAB1AGUASQBGAEYAYQBsAHMAZQBdACwAXABuACAAIAAgACAAWABMAE8ATwBLAFUAUAAoADEALAAgACgATABvAG8AawB1AHAAQQByAHIAYQB5ADEAPQBMAG8AbwBrAHUAcABWAGEAbAB1AGUAMQApACoAKABMAG8AbwBrAHUAcABBAHIAcgBhAHkAMgA9AEwAbwBvAGsAdQBwAFYAYQBsAHUAZQAyACkALAAgAFIAZQB0AHUAcgBuAEEAcgByAGEAeQAsACAASQBGACgASQBTAE8ATQBJAFQAVABFAEQAKABWAGEAbAB1AGUASQBGAEYAYQBsAHMAZQApACwAIABcACIAXAAiACwAIABWAGEAbAB1AGUASQBGAEYAYQBsAHMAZQApACkAXABuACkAOwBcAG4AXABuAFUAdABpAGwAaQB0AHkAXwBMAG8AbwBrAHUAcABWAGEAbAB1AGUASQBuAFQAYQBiAGwAZQBPAG4AZQBDAG8AbAB1AG0AbgBBAG4AZABIAGUAYQBkAGUAcgBcAG4APQBMAEEATQBCAEQAQQAoAFwAbgAgACAAIAAgAEwAbwBvAGsAdQBwAFYAYQBsAHUAZQAxACwAIABMAG8AbwBrAHUAcABWAGEAbAB1AGUAMgAsACAATABvAG8AawB1AHAAQQByAHIAYQB5ADEALAAgAEwAbwBvAGsAdQBwAEEAcgByAGEAeQAyACwAIABSAGUAdAB1AHIAbgBBAHIAcgBhAHkALAAgAFsAVgBhAGwAdQBlAEkAZgBGAGEAbABzAGUAXQAsAFwAbgAgACAAIAAgAEkARgBFAFIAUgBPAFIAKABcAG4AIAAgACAAIAAgACAAIAAgAFgATABPAE8ASwBVAFAAKABMAG8AbwBrAHUAcABWAGEAbAB1AGUAMQAsACAATABvAG8AawB1AHAAQQByAHIAYQB5ADEALABcAG4AIAAgACAAIAAgACAAIAAgACAAIAAgACAAWABMAE8ATwBLAFUAUAAoAEwAbwBvAGsAdQBwAFYAYQBsAHUAZQAyACwAIABMAG8AbwBrAHUAcABBAHIAcgBhAHkAMgAsACAAUgBlAHQAdQByAG4AQQByAHIAYQB5ACkAXABuACAAIAAgACAAIAAgACAAIAApACwAXABuACAAIAAgACAAIAAgACAAIABJAEYAKABJAFMATwBNAEkAVABUAEUARAAoAFYAYQBsAHUAZQBJAGYARgBhAGwAcwBlACkALAAgAFwAIgBcACIALAAgAFYAYQBsAHUAZQBJAGYARgBhAGwAcwBl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BcAHUAMAAwADMAYwB0AFwAdQAwADAAMwBlAFwAdQAwADAAMwBjAHMAXAB1ADAAMAAzAGUAXAAiACAAXAB1ADAAMAAyADYAXABuACAAIAAgACAAIAAgACAAIABTAFUAQgBTAFQASQBUAFUAVABFACgAXABuACAAIAAgACAAIAAgACAAIAAgACAAIAAgAFMAVQBCAFMAVABJAFQAVQBUAEUAKABTAFUAQgBTAFQASQBUAFUAVABFACgAQwBlAGwAbAAsAEMAaABhAHIAYQBjAHQAZQByAFQAbwBSAGUAbQBvAHYAZQAxACwAXAAiAFwAIgApACwAQwBoAGEAcgBhAGMAdABlAHIAVABvAFIAZQBtAG8AdgBlADIALABcACIAXAAiACkALABcAG4AIAAgACAAIAAgACAAIAAgACAAIAAgACAARABlAGwAaQBtAGkAdABlAHIALABcACIAXAB1ADAAMAAzAGMALwBzAFwAdQAwADAAMwBlAFwAdQAwADAAMwBjAHMAXAB1ADAAMAAzAGUAXAAiAFwAbgAgACAAIAAgACAAIAAgACAAKQAgAFwAdQAwADAAMgA2AFwAbgAgACAAIAAgACAAIAAgACAAXAAiAFwAdQAwADAAMwBjAC8AcwBcAHUAMAAwADMAZQBcAHUAMAAwADMAYwAvAHQAXAB1ADAAMAAzAGUAXAAiACwAXABuACAAIAAgACAAIAAgACAAIABcACIALwAvAHMAXAAiAFwAbgAgACAAIAAgACkAXABuACkAOwBcAG4AXABuAFUAdABpAGwAaQB0AHkAXwBHAGUAdABDAGwAaQBtAGEAdABlAFoAbwBuAGUAXABuAD0ATABBAE0AQgBEAEEAKABcAG4AIAAgACAAIABhAHYAZwBUAGUAbQBwACwAYQB2AGcAUgBhAGkAbgAsAGYAcgBvAHMAdABEAGEAeQBzACwAZQBsAGUAdgAsAG0AYQBwAF8AcABlAHQALABcAG4AIAAgACAAIABtAGkAbgBUAGUAbQBwAEEAcgByAGEAeQAsAG0AYQB4AFQAZQBtAHAAQQByAHIAYQB5ACwAXABuACAAIAAgACAAbQBpAG4AUgBhAGkAbgBmAGEAbABsAEEAcgByAGEAeQAsAG0AYQB4AFIAYQBpAG4AZgBhAGwAbABBAHIAcgBhAHkALABcAG4AIAAgACAAIABtAGkAbgBGAHIAbwBzAHQAQQByAHIAYQB5ACwAbQBhAHgARgByAG8AcwB0AEEAcgByAGEAeQAsAFwAbgAgACAAIAAgAG0AaQBuAEUAbABlAHYAYQB0AGkAbwBuAEEAcgByAGEAeQAsAG0AYQB4AEUAbABlAHYAYQB0AGkAbwBuAEEAcgByAGEAeQAsAFwAbgAgACAAIAAgAG0AaQBuAFAARQBUAEEAcgByAGEAeQAsAG0AYQB4AFAARQBUAEEAcgByAGEAeQAsAFwAbgAgACAAIAAgAGMAbABpAG0AYQB0AGUAWgBvAG4AZQBBAHIAcgBhAHkALABcAG4AIAAgACAAIABMAEUAVAAoAFwAbgAgACAAIAAgACAAIAAgACAAbQBhAHMAawAsAFwAbgAgACAAIAAgACAAIAAgACAAKABWAEEATABVAEUAKABtAGkAbgBUAGUAbQBwAEEAcgByAGEAeQApAFwAdQAwADAAMwBjAD0AYQB2AGcAVABlAG0AcAApACoAXABuACAAIAAgACAAIAAgACAAIAAoAFYAQQBMAFUARQAoAG0AYQB4AFQAZQBtAHAAQQByAHIAYQB5ACkAXAB1ADAAMAAzAGUAPQBhAHYAZwBUAGUAbQBwACkAKgBcAG4AIAAgACAAIAAgACAAIAAgACgAVgBBAEwAVQBFACgAbQBpAG4AUgBhAGkAbgBmAGEAbABsAEEAcgByAGEAeQApAFwAdQAwADAAMwBjAD0AYQB2AGcAUgBhAGkAbgApACoAXABuACAAIAAgACAAIAAgACAAIAAoAFYAQQBMAFUARQAoAG0AYQB4AFIAYQBpAG4AZgBhAGwAbABBAHIAcgBhAHkAKQBcAHUAMAAwADMAZQA9AGEAdgBnAFIAYQBpAG4AKQAqAFwAbgAgACAAIAAgACAAIAAgACAAKABWAEEATABVAEUAKABtAGkAbgBGAHIAbwBzAHQAQQByAHIAYQB5ACkAXAB1ADAAMAAzAGMAPQBmAHIAbwBzAHQARABhAHkAcwApACoAXABuACAAIAAgACAAIAAgACAAIAAoAFYAQQBMAFUARQAoAG0AYQB4AEYAcgBvAHMAdABBAHIAcgBhAHkAKQBcAHUAMAAwADMAZQA9AGYAcgBvAHMAdABEAGEAeQBzACkAKgBcAG4AIAAgACAAIAAgACAAIAAgACgAVgBBAEwAVQBFACgAbQBpAG4ARQBsAGUAdgBhAHQAaQBvAG4AQQByAHIAYQB5ACkAXAB1ADAAMAAzAGMAPQBlAGwAZQB2ACkAKgBcAG4AIAAgACAAIAAgACAAIAAgACgAVgBBAEwAVQBFACgAbQBhAHgARQBsAGUAdgBhAHQAaQBvAG4AQQByAHIAYQB5ACkAXAB1ADAAMAAzAGUAPQBlAGwAZQB2ACkAKgBcAG4AIAAgACAAIAAgACAAIAAgACgAVgBBAEwAVQBFACgAbQBpAG4AUABFAFQAQQByAHIAYQB5ACkAXAB1ADAAMAAzAGMAPQBtAGEAcABfAHAAZQB0ACkAKgBcAG4AIAAgACAAIAAgACAAIAAgACgAVgBBAEwAVQBFACgAbQBhAHgAUABFAFQAQQByAHIAYQB5ACkAXAB1ADAAMAAzAGU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BcAHUAMAAwADMAYwA9AEwAbwBvAGsAdQBwAFYAYQBsAHUAZQApACoAXABuACAAIAAgACAAIAAgACAAIAAoAFYAQQBMAFUARQAoAE0AYQB4AEEAcgByAGEAeQApAFwAdQAwADAAMwBlAD0ATABvAG8AawB1AHAAVgBhAGwAdQBlACkALABcAG4AIAAgACAAIAAgACAAIAAgAEYASQBMAFQARQBSACgASQB0AGUAbQBBAHIAcgBhAHkALAAgAG0AYQBzAGsALAAgAFwAIgBOAG8AIABtAGEAdABjAGgAXAAiACkAXABuACAAIAAgACAAKQBcAG4AKQA7AFwAbgBcAG4AXABuAFUAdABpAGwAaQB0AHkAXwBTAHUAbQBRAHUAYQBuAHQAaQB0AHkARgByAG8AbQBDAHIAaQB0AGUAcgBpAGEAXABuAD0ATABBAE0AQgBEAEEAKABcAG4AIAAgAEMAcgBpAHQAZQByAGkAYQAxACwAIABDAHIAaQB0AGUAcgBpAGEAMQBUAHkAcABlAEEAcgByAGEAeQAsACAAUQB1AGEAbgB0AGkAdAB5ACwAIABbAE0AdQBsAHQAaQBwAGwAaQBlAHIAXQAsACAAWwBDAHIAaQB0AGUAcgBpAGEAMgBdACwAWwBDAHIAaQB0AGUAcgBpAGEAMgBBAHIAcgBhAHkAXQAsAFwAbgAgACAATABFAFQAKABcAG4AIAAgACAAIABtAHUAbAB0AGkAcABsAGkAZQByACwAIABJAEYAKABJAFMATwBNAEkAVABUAEUARAAoAE0AdQBsAHQAaQBwAGwAaQBlAHIAKQAsADEALABNAHUAbAB0AGkAcABsAGkAZQByACkALABcAG4AIAAgACAAIABxAHUAYQBuAHQAaQB0AHkALAAgAFEAdQBhAG4AdABpAHQAeQAqAE0AdQBsAHQAaQBwAGwAaQBlAHIALABcAG4AIAAgACAAIABjAHIAaQB0AGUAcgBpAGEAMQAsAC0ALQAoAEMAcgBpAHQAZQByAGkAYQAxAFQAeQBwAGUAQQByAHIAYQB5AD0AQwByAGkAdABlAHIAaQBhADEAKQAsAFwAbgAgACAAIAAgAGMAcgBpAHQAZQByAGkAYQAyACwASQBGACgASQBTAE8ATQBJAFQAVABFAEQAKABDAHIAaQB0AGUAcgBpAGEAMgApACwAMQAsAC0ALQAoAEMAcgBpAHQAZQByAGkAYQAyAEEAcgByAGEAeQA9AEMAcgBpAHQAZQByAGkAYQAyACkAKQAsAFwAbgAgACAAIAAgAFMAVQBNAFAAUgBPAEQAVQBDAFQAKABjAHIAaQB0AGUAcgBpAGEAMQAqAGMAcgBpAHQAZQByAGkAYQAyACoAcQB1AGEAbgB0AGkAdAB5ACkAXABuACAAIAApAFwAbgApADsAXABuAFwAbgBnAGUAdABPAHYAZQByAGwAYQBwAHAAaQBuAGcAUgBlAHAAbwByAHQAaQBuAGcAQwB5AGMAbABl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BcAG4AIAAgACAAIAAgACAAIAAgAFAAZQByAGkAbwBkAEUAbgBkACwATABBAE0AQgBEAEEAKABzAHQALABFAEQAQQBUAEUAKABzAHQALAAxADIAKQAtADEAKQAsAFwAbgAgACAAIAAgACAAIAAgACAAQQAsAFMALQAzADYANQAsAFwAbgAgACAAIAAgACAAIAAgACAAeQBhACwAWQBFAEEAUgAoAEEAKQAsAFwAbgAgACAAIAAgACAAIAAgACAAeQBiACwAWQBFAEEAUgAoAEUAKQAsAFwAbgAgACAAIAAgACAAIAAgACAAZgBpAHIAcwB0AFkAZQBhAHIALAB5AGEAKwAoAFAAZQByAGkAbwBkAEUAbgBkACgARABBAFQARQAoAHkAYQAsAG0ALABkACkAKQBcAHUAMAAwADMAYwAgAFMAKQAsAFwAbgAgACAAIAAgACAAIAAgACAAbABhAHMAdABZAGUAYQByACwAeQBiAC0AKABEAEEAVABFACgAeQBiACwAbQAsAGQAKQBcAHUAMAAwADMAZQ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XAB1ADAAMAAyADcAdAAgAG8AdgBlAHIAbABhAHAAOwAgAG0AbwB2AGUAIAB0AG8AIABuAGUAeAB0ACAAeQBlAGEAcgAqAC8AXABuACAAIAAgACAAIAAgACAAIABmAGkAcgBzAHQAWQBlAGEAcgAsAHkAYQArACgAUABlAHIAaQBvAGQARQBuAGQAKABEAEEAVABFACgAeQBhACwAbQAsAGQAKQApAFwAdQAwADAAMwBjAFMAKQAsACAALwAqAGkAZgAgAHQAaABlACAAYQBuAGMAaABvAHIAIABmAG8AcgAgAHkAYgAgAHMAdABhAHIAdABzACAAYQBmAHQAZQByACAARQAsAGkAdAAgAGMAYQBuAFwAdQAwADAAMgA3AHQAIABvAHYAZQByAGwAYQBwADsAIABtAG8AdgBlACAAdABvACAAcAByAGUAdgBpAG8AdQBzACAAeQBlAGEAcgAqAC8AXABuACAAIAAgACAAIAAgACAAIABsAGEAcwB0AFkAZQBhAHIALAB5AGIALQAoAEQAQQBUAEUAKAB5AGIALABtACwAZAApAFwAdQAwADAAMwBlAEUAKQAsAFwAbgAgACAAIAAgACAAIAAgACAAbgAsAE0AQQBYACgAMAAsAGwAYQBzAHQAWQBlAGEAcgAtAGYAaQByAHMAdABZAGUAYQByACsAMQApACwAXABuACAAIAAgACAAIAAgACAAIAB5AHIAcwAsAFMARQBRAFUARQBOAEMARQAoAG4ALAAxACwAZgBpAHIAcwB0AFkAZQBhAHIALAAxACkALABcAG4AIAAgACAAIAAgACAAIAAgAHMAdABhAHIAdABzACwARABBAFQARQAoAHkAcgBzACwAbQAsAGQAKQAsAFwAbgAgACAAIAAgACAAIAAgACAAZQBuAGQAcwAsAE0AQQBQACgAcwB0AGEAcgB0AHMALABQAGUAcgBpAG8AZABFAG4AZAApACwAXABuACAAIAAgACAAIAAgACAAIAB0AGEAZwAsAEkARgAoAHMAdABhAHIAdABzAD0AUgBlAHAAbwByAHQAaQBuAGcAQwB5AGMAbABlAFMAdABhAHIAdAAsAFwAIgAgACgAVABoAGkAcwAgAHIAZQBwAG8AcgB0AGkAbgBnACAAYwB5AGMAbABlACkAXAAiACwAXAAiAFwAIgApACwAXABuACAAIAAgACAAIAAgACAAIABzAHQAYQByAHQAcwBUAGUAeAB0ACwAVABFAFgAVAAoAHMAdABhAHIAdABzACwAXAAiAGQAZAAgAG0AbQBtACAAeQB5AHkAeQBcACIAKQAsAFwAbgAgACAAIAAgACAAIAAgACAAZQBuAGQAcwBUAGUAeAB0ACwAVABFAFgAVAAoAGUAbgBkAHMALABcACIAZABkACAAbQBtAG0AIAB5AHkAeQB5AFwAIgApACwAXABuACAAIAAgACAAIAAgACAAIABJAEYAKABuAD0AMAAsAFwAIgBcACIALABIAFMAVABBAEMASwAoAHMAdABhAHIAdABzAFQAZQB4AHQAIABcAHUAMAAwADIANgAgAFwAIgAgAHQAbwAgAFwAIgAgAFwAdQAwADAAMgA2ACAAZQBuAGQAcwBUAGUAeAB0ACAAXAB1ADAAMAAyADYAIAB0AGEAZwApACkAXABuACAAIAAgACAAKQBcAG4AKQA7AFwAbgBcAG4AVQB0AGkAbABpAHQAeQBfAEQAaQBzAHAAbABhAHkARgB1AG4AYwB0AGkAbwBuAE4AYQBtAGUAXABuAD0ATABBAE0AQgBEAEEAKABGAHUAbgBjAHQAaQBvAG4ALAAgAFQARQBYAFQAQgBFAEYATwBSAEUAKABGAE8AUgBNAFUATABBAFQARQBYAFQAKABGAHUAbgBjAHQAaQBvAG4AKQAsACAAXAAiACgAXAAiACkAKQA7AFwAbgBcAG4AVQB0AGkAbABpAHQAeQBfAEwAbwBvAGsAdQBwAE4AMgBPAEUARgBGAHIAbwBtAFAAcgBvAGQASQByAHIAaQBnAGEAdABpAG8AbgBSAGEAaQBuAGYAYQBsAGwAXABuAD0ATABBAE0AQgBEAEEAKABcAG4AIAAgACAAIABQAHIAbwBkAHUAYwB0AGkAbwBuAFMAeQBzAHQAZQBtACwAIABJAHIAcgBpAGcAYQB0AGkAbwBuAE0AZQB0AGgAbwBkACwAIABSAGEAaQBuAGYAYQBsAGwAWgBvAG4AZQAsAFwAbgAgACAAIAAgAFAAcgBvAGQAdQBjAHQAaQBvAG4AUwB5AHMAdABlAG0AQQByAHIAYQB5ACwAIABJAHIAcgBpAGcAYQB0AGkAbwBuAE0AZQB0AGgAbwBkAEEAcgByAGEAeQAsACAAUgBhAGkAbgBmAGEAbABsAFoAbwBuAGUAQQByAHIAYQB5ACwAUgBlAHQAdQByAG4AQQByAHIAYQB5ACwAXABuACAAIAAgACAATABFAFQAKABcAG4AIAAgACAAIAAgACAAIAAgAEkAcgByAGkAZwBhAHQAaQBvAG4ATQBlAHQAaABvAGQALAAgAEkARgAoAEkAcgByAGkAZwBhAHQAaQBvAG4ATQBlAHQAaABvAGQAPQBcACIATgBvAHQAIABpAHIAcgBpAGcAYQB0AGUAZABcACIALAAgAFwAIgBOAG8AdAAgAGkAcgByAGkAZwBhAHQAZQBkAFwAIgAsACAAXAAiAEEAbgB5AFwAIgApACwAXABuACAAIAAgACAAIAAgACAAIABSAGEAaQBuAGYAYQBsAGwAWgBvAG4AZQAsACAASQBGACgASQByAHIAaQBnAGEAdABpAG8AbgBNAGUAdABoAG8AZAAgAD0AIABcACIATgBvAHQAIABpAHIAcgBpAGcAYQB0AGUAZABcACIALAAgAFIAYQBpAG4AZgBhAGwAbABaAG8AbgBlACwAIABcACIAQQBuAHkAXAAiACkALABcAG4AIAAgACAAIAAgACAAIAAgAFgATABPAE8ASwBVAFAAKAAxACwAIABcAG4AIAAgACAAIAAgACAAIAAgACAAIAAgACAAKABQAHIAbwBkAHUAYwB0AGkAbwBuAFMAeQBzAHQAZQBtAEEAcgByAGEAeQA9AFAAcgBvAGQAdQBjAHQAaQBvAG4AUwB5AHMAdABlAG0AKQAqAFwAbgAgACAAIAAgACAAIAAgACAAIAAgACAAIAAoAEkAcgByAGkAZwBhAHQAaQBvAG4ATQBlAHQAaABvAGQAQQByAHIAYQB5AD0ASQByAHIAaQBnAGEAdABpAG8AbgBNAGUAdABoAG8AZAApACoAXABuACAAIAAgACAAIAAgACAAIAAgACAAIAAgACgAUgBhAGkAbgBmAGEAbABsAFoAbwBuAGUAQQByAHIAYQB5AD0AUgBhAGkAbgBmAGEAbABsAFoAbwBuAGUAKQAsACAAXABuACAAIAAgACAAIAAgACAAIAAgACAAIAAgAFIAZQB0AHUAcgBuAEEAcgByAGEAeQApAFwAbgAgACAAIAAgACkAXABuACkAOwBcAG4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BcAHUAMAAwADMAZQ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BVAHQAaQBsAGkAdAB5AF8AUwBvAHUAcgBjAGUASAB5AHAAZQByAGwAaQBuAGs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HUAMAAwADIANwBcACIAIABcAHUAMAAwADIANgAgAHMAaAAgAFwAdQAwADAAMgA2ACAAXAAiAFwAdQAwADAAMgA3ACEAXAAiACAAXAB1ADAAMAAyADYAIABhAGQAZAByAFwAbgAgACAAKQBcAG4AKQA7AFwAbgBcAG4AVQB0AGkAbABpAHQAeQBfAFMAbwB1AHIAYwBlAEgAeQBwAGUAcgBsAGkAbgBrAEQAaQBmAGYAZQByAGUAbgB0AFMAaABlAGUAdA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IgAgAFwAdQAwADAAMgA2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IATwBVAE4ARAAoAFQAZQBtAHAAZQByAGEAdAB1AHIAZQAsACAAMAApACwAIABcAG4AIAAgACAAIAAgACAAIAAgACAAIAAgACAATQBJAE4AKABUAGUAbQBwAGUAcgBhAHQAdQByAGUAQQByAHIAYQB5ACkALAAgAFwAbgAgACAAIAAgACAAIAAgACAAIAAgACAAIABNAEEAWAAoAFQAZQBtAHAAZQByAGEAdAB1AHIAZQBBAHIAcgBhAHkAKQBcAG4AIAAgACAAIAAgACAAIAAgACkALABcAG4AIAAgACAAIAAgACAAIAAgAFQAZQBtAHAAZQByAGEAdAB1AHIAZQBBAHIAcgBhAHkALABcAG4AIAAgACAAIAAgACAAIAAgAFgATABPAE8ASwBVAFAAKABNAE0AUwAsACAATQBNAFMAQQByAHIAYQB5ACwAIABSAGUAdAB1AHIAbgBBAHIAcgBhAHkAKQBcAG4AIAAgACAAIAApAFwAbgApADsAXABuAFwAbgBcAG4AVQB0AGkAbABpAHQAeQBfAFIAZQBzAHUAbAB0AHMASQB0AGUAbQBGAHIAbwBtAEUAcQB1AGEAdABpAG8AbgBUAGkAdABsAGUAQQBuAGQAUwBvAHUAcgBjAGUAXABuAD0ATABBAE0AQgBEAEEAKABcAG4AIAAgACAAIABUAGkAdABsAGUAQwBlAGwAbAAsACAAUwBvAHUAcgBjAGUAQwBlAGwAbAAsAFwAbgAgACAAIAAgAFMAVQBCAFMAVABJAFQAVQBUAEUAKABMAEUARgBUACgAUwBvAHUAcgBjAGUAQwBlAGwAbAAsACAARgBJAE4ARAAoAFwAIgAsAFwAIgAsACAAUwBvAHUAcgBjAGUAQwBlAGwAbAApACAALQAxACkALAAgAFwAIgBWAEUARQBSAEcAIAAyADAAMgA2ADoAIABcACIALAAgAFwAIgBcACIAKQAgAFwAdQAwADAAMgA2ACAAXAAiACAAXAAiACAAXAB1ADAAMAAyADYAIABUAGkAdABsAGUAQwBlAGwAbABcAG4AKQA7ACIAfQAsAHsAIgBwAGEAdABoACIAOgAiAC8AcAByAG8AagBlAGMAdABzAC8AQwBvAG0AbQBvAG4AXwBFAHEAdQBhAHQAaQBvAG4AcwAiACwAIgB0AGUAeAB0ACIAOgAiAFwAbgAvACoAIABcAG4ALQAtAC0ALQAtAC0ALQAtAC0ALQAtAC0ALQAtAC0ALQAtAC0ALQAtAC0ALQAtAC0ALQAtAC0ALQAtAC0ALQAtAC0ALQAtAC0ALQAtAFwAbgBDAG8AbQBtAG8AbgBfAEMAbwBuAHYAZQByAHQATgAyAE8AVABvAEMATwAyAGUAXABuAEMAbwBuAHYAZQByAHQAIABuAGkAdAByAG8AdQBzACAAbwB4AGkAZABlACAAZQBtAGkAcwBzAGkAbwBuAHMAIAB0AG8AIABjAGEAcgBiAG8AbgAgAGQAaQBvAHgAaQBkAGUAIABlAHEAdQBpAHYAYQBsAGUAbgB0ACAAZQBtAGkAcwBzAGkAbwBuAHMAXABuAEUATgAyAE8AIABDAE8AMgBlAFwAbgB0ACAAQwBPADIAZQBcAG4ARQBOADIATwA6ACAAbgBpAHQAcgBvAHUAcwAgAG8AeABpAGQAZQAgAGUAbQBpAHMAcwBpAG8AbgBzACAAKAB0ACAATgAyAE8AKQBcAG4ARwBXAFAATgAyAE8AOgAgAGcAbABvAGIAYQBsACAAdwBhAHIAbQBpAG4AZwAgAHAAbwB0AGUAbgB0AGkAYQBsACAAZgBvAHIAIABuAGkAdAByAG8AdQBzACAAbwB4AGkAZABlACAAKAB0ACAAQwBPADIALQBlACAALwAgAHQAIABOADIATwApAFwAbgAtAC0ALQAtAC0ALQAtAC0ALQAtAC0ALQAtAC0ALQAtAC0ALQAtAC0ALQAtAC0ALQAtAC0ALQAtAC0ALQAtAC0ALQAtAC0ALQAtAC0AXABuACoALwBcAG4AXABuAFwAbgBDAG8AbQBtAG8AbgBfAEMAbwBuAHYAZQByAHQATgAyAE8AVABvAEMATwAyAGUAXABuACAAIAA9AEwAQQBNAEIARABBACgAXABuACAAIAAgACAARQBfAE4AMgBPACwAIABHAFcAUABfAE4AMgBPACwAXABuACAAIAAgACAARQBfAE4AMgBPACAAKgAgAEcAVwBQAF8ATgAyAE8AXABuACAAIAApAFwAbgA7AFwAbgBcAG4AQwBvAG0AbQBvAG4AXwBDAG8AbgB2AGUAcgB0AE4AMgBPAFQAbwBDAE8AMgBlAF8AVABpAHQAbABlAFwAbgAgACAAPQBMAEEATQBCAEQAQQAoAFwAIgBDAG8AbgB2AGUAcgB0ACAAbgBpAHQAcgBvAHUAcwAgAG8AeABpAGQAZQAgAGUAbQBpAHMAcwBpAG8AbgBzACAAdABvACAAYwBhAHIAYgBvAG4AIABkAGkAbwB4AGkAZABlACAAZQBxAHUAaQB2AGEAbABlAG4AdAAgAGUAbQBpAHMAcwBpAG8AbgBzAFwAIgApADsAXABuAFwAbgBDAG8AbQBtAG8AbgBfAEMAbwBuAHYAZQByAHQATgAyAE8AVABvAEMATwAyAGUAXwBWAGEAcgBpAGEAYgBsAGUAXABuACAAIAA9AEwAQQBNAEIARABBACgAXAAiAEUATgAyAE8AIABDAE8AMgBlAFwAIgApADsAXABuAFwAbgBDAG8AbQBtAG8AbgBfAEMAbwBuAHYAZQByAHQATgAyAE8AVABvAEMATwAyAGUAXwBVAG4AaQB0AFwAbgAgACAAPQBMAEEATQBCAEQAQQAoAFwAIgB0ACAAQwBPADIAZQBcACIAKQA7AFwAbgBcAG4AQwBvAG0AbQBvAG4AXwBDAG8AbgB2AGUAcgB0AE4AMgBPAFQAbwBDAE8AMgBlAF8ATgBJAFIAUgBlAGYAZQByAGUAbgBjAGUAXABuACAAIAA9AEwAQQBNAEIARABBACgAXAAiAFwAIgApADsAXABuAFwAbgBDAG8AbQBtAG8AbgBfAEMAbwBuAHYAZQByAHQATgAyAE8AVABvAEMATwAyAGUAXwBMAGEAdABlAHgARQBxAHUAYQB0AGkAbwBuAFwAbgAgACAAPQBMAEEATQBCAEQAQQAoAFwAIgBDAE8AMgBfAGUAIAA9ACAARQBfAHsATgAyAE8AfQAgAFwAXAB0AGkAbQBlAHMAIABHAFcAUABfAHsATgAyAE8AfQBcACIAKQA7AFwAbgBcAG4AQwBvAG0AbQBvAG4AXwBDAG8AbgB2AGUAcgB0AE4AMgBPAFQAbwBDAE8AMgBlAF8AQQByAGcAdQBtAGUAbgB0AHMAXABuACAAIAA9AEwAQQBNAEIARABBACgAXABuACAAIAAgACAATQBBAEsARQBBAFIAUgBBAFkAKAAyACwAIAAyACwAIABcAG4AIAAgACAAIAAgACAATABBAE0AQgBEAEEAKAByACwAYwAsACAAXABuACAAIAAgACAAIAAgACAAIABJAE4ARABFAFgAKAB7AFwAbgAgACAAIAAgACAAIAAgACAAIAAgAFwAIgBFAE4AMgBPAFwAIgAsAFwAIgBOAGkAdAByAG8AdQBzACAAbwB4AGkAZABlACAAZQBtAGkAcwBzAGkAbwBuAHMAIAAoAHQAIABOADIATwApAFwAIgA7AFwAbgAgACAAIAAgACAAIAAgACAAIAAgAFwAIgBHAFcAUABOADIATwBcACIALABcACIARwBsAG8AYgBhAGwAIAB3AGEAcgBtAGkAbgBnACAAcABvAHQAZQBuAHQAaQBhAGwAIABmAG8AcgAgAG4AaQB0AHIAbwB1AHMAIABvAHgAaQBkAGUAIAAoAHQAIABDAE8AMgAtAGUAIAAvACAAdAAgAE4AMgBPACkAXAAiAFwAbgAgACAAIAAgACAAIAAgACAAfQAsACAAcgAsACAAYwApAFwAbgAgACAAIAAgACAAIAApAFwAbgAgACAAIAAgACkAXABuACAAIAApADsAXABuAFwAbgAvACoAIABcAG4ALQAtAC0ALQAtAC0ALQAtAC0ALQAtAC0ALQAtAC0ALQAtAC0ALQAtAC0ALQAtAC0ALQAtAC0ALQAtAC0ALQAtAC0ALQAtAC0ALQAtAFwAbgBDAG8AbQBtAG8AbgBfAEMAbwBuAHYAZQByAHQAQwBIADQAVABvAEMATwAyAGUAXABuAEMAbwBuAHYAZQByAHQAIABtAGUAdABoAGEAbgBlACAAZQBtAGkAcwBzAGkAbwBuAHMAIAB0AG8AIABjAGEAcgBiAG8AbgAgAGQAaQBvAHgAaQBkAGUAIABlAHEAdQBpAHYAYQBsAGUAbgB0ACAAZQBtAGkAcwBzAGkAbwBuAHMAXABuAEUAQwBIADQAIABDAE8AMgBlAFwAbgB0ACAAQwBPADIAZQBcAG4ARQBDAEgANAA6ACAAbQBlAHQAaABhAG4AZQAgAGUAbQBpAHMAcwBpAG8AbgBzACAAKAB0ACAAQwBIADQAKQBcAG4ARwBXAFAAQwBIADQAOgAgAGcAbABvAGIAYQBsACAAdwBhAHIAbQBpAG4AZwAgAHAAbwB0AGUAbgB0AGkAYQBsACAAZgBvAHIAIABtAGUAdABoAGEAbgBlACAAKAB0ACAAQwBPADIALQBlACAALwAgAHQAIABDAEgANAApAFwAbgAtAC0ALQAtAC0ALQAtAC0ALQAtAC0ALQAtAC0ALQAtAC0ALQAtAC0ALQAtAC0ALQAtAC0ALQAtAC0ALQAtAC0ALQAtAC0ALQAtAC0AXABuACoALwBcAG4AXABuAFwAbgBDAG8AbQBtAG8AbgBfAEMAbwBuAHYAZQByAHQAQwBIADQAVABvAEMATwAyAGUAXABuACAAIAA9AEwAQQBNAEIARABBACgAXABuACAAIAAgACAARQBfAEMASAA0ACwAIABHAFcAUABfAEMASAA0ACwAXABuACAAIAAgACAARQBfAEMASAA0ACAAKgAgAEcAVwBQAF8AQwBIADQAXABuACAAIAApAFwAbgA7AFwAbgBcAG4AQwBvAG0AbQBvAG4AXwBDAG8AbgB2AGUAcgB0AEMASAA0AFQAbwBDAE8AMgBlAF8AVABpAHQAbABlAFwAbgAgACAAPQBMAEEATQBCAEQAQQAoAFwAIgBDAG8AbgB2AGUAcgB0ACAAbQBlAHQAaABhAG4AZQAgAGUAbQBpAHMAcwBpAG8AbgBzACAAdABvACAAYwBhAHIAYgBvAG4AIABkAGkAbwB4AGkAZABlACAAZQBxAHUAaQB2AGEAbABlAG4AdAAgAGUAbQBpAHMAcwBpAG8AbgBzAFwAIgApADsAXABuAFwAbgBDAG8AbQBtAG8AbgBfAEMAbwBuAHYAZQByAHQAQwBIADQAVABvAEMATwAyAGUAXwBWAGEAcgBpAGEAYgBsAGUAXABuACAAIAA9AEwAQQBNAEIARABBACgAXAAiAEUAQwBIADQAIABDAE8AMgBlAFwAIgApADsAXABuAFwAbgBDAG8AbQBtAG8AbgBfAEMAbwBuAHYAZQByAHQAQwBIADQAVABvAEMATwAyAGUAXwBVAG4AaQB0AFwAbgAgACAAPQBMAEEATQBCAEQAQQAoAFwAIgB0ACAAQwBPADIAZQBcACIAKQA7AFwAbgBcAG4AQwBvAG0AbQBvAG4AXwBDAG8AbgB2AGUAcgB0AEMASAA0AFQAbwBDAE8AMgBlAF8ATgBJAFIAUgBlAGYAZQByAGUAbgBjAGUAXABuACAAIAA9AEwAQQBNAEIARABBACgAXAAiAFwAIgApADsAXABuAFwAbgBDAG8AbQBtAG8AbgBfAEMAbwBuAHYAZQByAHQAQwBIADQAVABvAEMATwAyAGUAXwBMAGEAdABlAHgARQBxAHUAYQB0AGkAbwBuAFwAbgAgACAAPQBMAEEATQBCAEQAQQAoAFwAIgBDAE8AMgBfAGUAIAA9ACAARQBfAHsAQwBIADQAfQAgAFwAXAB0AGkAbQBlAHMAIABHAFcAUABfAHsAQwBIADQAfQBcACIAKQA7AFwAbgBcAG4AQwBvAG0AbQBvAG4AXwBDAG8AbgB2AGUAcgB0AEMASAA0AFQAbwBDAE8AMgBlAF8AQQByAGcAdQBtAGUAbgB0AHMAXABuACAAIAA9AEwAQQBNAEIARABBACgAXABuACAAIAAgACAATQBBAEsARQBBAFIAUgBBAFkAKAAyACwAIAAyACwAIABcAG4AIAAgACAAIAAgACAATABBAE0AQgBEAEEAKAByACwAYwAsACAAXABuACAAIAAgACAAIAAgACAAIABJAE4ARABFAFgAKAB7AFwAbgAgACAAIAAgACAAIAAgACAAIAAgAFwAIgBFAEMASAA0AFwAIgAsAFwAIgBNAGUAdABoAGEAbgBlACAAZQBtAGkAcwBzAGkAbwBuAHMAIAAoAHQAIABDAEgANAApAFwAIgA7AFwAbgAgACAAIAAgACAAIAAgACAAIAAgAFwAIgBHAFcAUABDAEgANABcACIALABcACIARwBsAG8AYgBhAGwAIAB3AGEAcgBtAGkAbgBnACAAcABvAHQAZQBuAHQAaQBhAGwAIABmAG8AcgAgAG0AZQB0AGgAYQBuAGUAIAAoAHQAIABDAE8AMgAtAGUAIAAvACAAdAAgAEMASAA0ACkAXAAiAFwAbgAgACAAIAAgACAAIAAgACAAfQAsACAAcgAsACAAYwApAFwAbgAgACAAIAAgACAAIAApAFwAbgAgACAAIAAgACkAXABuACAAIAApADs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TAG8AdQByAGMAZQBEAGEAdABhAC4AQwBvAG0AbQBvAG4AXwBTAG8AdQByAGMAZQBEAGEAdABhAF8ATQBvAG4AdABoAHMAVABvAFMAZQBhAHMAbwBuAHMAXwBUAGkAdABsAGUAIgAsACIAQwBvAG0AbQBvAG4AXwBTAG8AdQByAGMAZQBEAGEAdABhAC4AQwBvAG0AbQBvAG4AXwBTAG8AdQByAGMAZQBEAGEAdABhAF8ATQBvAG4AdABoAHMAVABvAFMAZQBhAHMAbwBuAHMAXwBVAG4AaQB0ACIALAAiAEMAbwBtAG0AbwBuAF8AUwBvAHUAcgBjAGUARABhAHQAYQAuAEMAbwBtAG0AbwBuAF8AUwBvAHUAcgBjAGUARABhAHQAYQBfAE0AbwBuAHQAaABzAFQAbwBTAGUAYQBzAG8AbgBzAF8AUwBvAHUAcgBjAGUAIgAsACIAQwBvAG0AbQBvAG4AXwBTAG8AdQByAGMAZQBEAGEAdABhAC4AQwBvAG0AbQBvAG4AXwBTAG8AdQByAGMAZQBEAGEAdABhAF8ATQBvAG4AdABoAHMAVABvAFMAZQBhAHMAbwBuAHMAXwBOAEkAUgBSAGUAZgBlAHIAZQBuAGMAZQAiACwAIgBDAG8AbQBtAG8AbgBfAFMAbwB1AHIAYwBlAEQAYQB0AGEALgBDAG8AbQBtAG8AbgBfAFMAbwB1AHIAYwBlAEQAYQB0AGEAXwBNAG8AbgB0AGgAcwBUAG8AUwBlAGEAcwBvAG4AcwBfAEQAYQB0AGEAIgAsACIAQwBvAG0AbQBvAG4AXwBTAG8AdQByAGMAZQBEAGEAdABhAC4AQwBvAG0AbQBvAG4AXwBTAG8AdQByAGMAZQBEAGEAdABhAF8ATQBvAG4AdABoAHMAVABvAFMAZQBhAHMAbwBuAHMAXwBWAGEAcgBpAGEAdABpAG8AbgAiACwAIgBDAG8AbQBtAG8AbgBfAFMAbwB1AHIAYwBlAEQAYQB0AGEALgBDAG8AbQBtAG8AbgBfAFMAbwB1AHIAYwBlAEQAYQB0AGEAXwBNAEMARgBUAGUAbQBwAGUAcgBhAHQAdQByAGUAWgBvAG4AZQBfAFQAaQB0AGwAZQAiACwAIgBDAG8AbQBtAG8AbgBfAFMAbwB1AHIAYwBlAEQAYQB0AGEALgBDAG8AbQBtAG8AbgBfAFMAbwB1AHIAYwBlAEQAYQB0AGEAXwBNAEMARgBUAGUAbQBwAGUAcgBhAHQAdQByAGUAWgBvAG4AZQBfAFUAbgBpAHQAIgAsACIAQwBvAG0AbQBvAG4AXwBTAG8AdQByAGMAZQBEAGEAdABhAC4AQwBvAG0AbQBvAG4AXwBTAG8AdQByAGMAZQBEAGEAdABhAF8ATQBDAEYAVABlAG0AcABlAHIAYQB0AHUAcgBlAFoAbwBuAGUAXwBTAG8AdQByAGMAZQAiACwAIgBDAG8AbQBtAG8AbgBfAFMAbwB1AHIAYwBlAEQAYQB0AGEALgBDAG8AbQBtAG8AbgBfAFMAbwB1AHIAYwBlAEQAYQB0AGEAXwBNAEMARgBUAGUAbQBwAGUAcgBhAHQAdQByAGUAWgBvAG4AZQBfAEQAYQB0AGEAIgAsACIAQwBvAG0AbQBvAG4AXwBTAG8AdQByAGMAZQBEAGEAdABhAC4AQwBvAG0AbQBvAG4AXwBTAG8AdQByAGMAZQBEAGEAdABhAF8ATQBDAEYAVABlAG0AcABlAHIAYQB0AHUAcgBlAFoAbwBuAGUAXwBWAGEAcgBpAGEAdABpAG8AbgAiACwAIgBDAG8AbQBtAG8AbgBfAFMAbwB1AHIAYwBlAEQAYQB0AGEALgBDAG8AbQBtAG8AbgBfAFMAbwB1AHIAYwBlAEQAYQB0AGEAXwBFAEYATwByAGcAYQBuAGkAYwBGAGUAcgB0AGkAbABpAHMAZQByAEEAbgBkAEMAcgBvAHAAUgBlAHMAaQBkAHUAZQBzAF8AVABpAHQAbABlACIALAAiAEMAbwBtAG0AbwBuAF8AUwBvAHUAcgBjAGUARABhAHQAYQAuAEMAbwBtAG0AbwBuAF8AUwBvAHUAcgBjAGUARABhAHQAYQBfAEUARgBPAHIAZwBhAG4AaQBjAEYAZQByAHQAaQBsAGkAcwBlAHIAQQBuAGQAQwByAG8AcABSAGUAcwBpAGQAdQBlAHMAXwBWAGEAcgBpAGEAYgBsAGUAIgAsACIAQwBvAG0AbQBvAG4AXwBTAG8AdQByAGMAZQBEAGEAdABhAC4AQwBvAG0AbQBvAG4AXwBTAG8AdQByAGMAZQBEAGEAdABhAF8ARQBGAE8AcgBnAGEAbgBpAGMARgBlAHIAdABpAGwAaQBzAGUAcgBBAG4AZABDAHIAbwBwAFIAZQBzAGkAZAB1AGUAcwBfAFUAbgBpAHQAIgAsACIAQwBvAG0AbQBvAG4AXwBTAG8AdQByAGMAZQBEAGEAdABhAC4AQwBvAG0AbQBvAG4AXwBTAG8AdQByAGMAZQBEAGEAdABhAF8ARQBGAE8AcgBnAGEAbgBpAGMARgBlAHIAdABpAGwAaQBzAGUAcgBBAG4AZABDAHIAbwBwAFIAZQBzAGkAZAB1AGUAcwBfAFMAbwB1AHIAYwBlACIALAAiAEMAbwBtAG0AbwBuAF8AUwBvAHUAcgBjAGUARABhAHQAYQAuAEMAbwBtAG0AbwBuAF8AUwBvAHUAcgBjAGUARABhAHQAYQBfAEUARgBPAHIAZwBhAG4AaQBjAEYAZQByAHQAaQBsAGkAcwBlAHIAQQBuAGQAQwByAG8AcABSAGUAcwBpAGQAdQBlAHMAXwBOAEkAUgBSAGUAZgBlAHIAZQBuAGMAZQAiACwAIgBDAG8AbQBtAG8AbgBfAFMAbwB1AHIAYwBlAEQAYQB0AGEALgBDAG8AbQBtAG8AbgBfAFMAbwB1AHIAYwBlAEQAYQB0AGEAXwBFAEYATwByAGcAYQBuAGkAYwBGAGUAcgB0AGkAbABpAHMAZQByAEEAbgBkAEMAcgBvAHAAUgBlAHMAaQBkAHUAZQBzAF8ARABhAHQAYQAiACwAIgBDAG8AbQBtAG8AbgBfAFMAbwB1AHIAYwBlAEQAYQB0AGEALgBDAG8AbQBtAG8AbgBfAFMAbwB1AHIAYwBlAEQAYQB0AGEAXwBFAEYATwByAGcAYQBuAGkAYwBGAGUAcgB0AGkAbABpAHMAZQByAEEAbgBkAEMAcgBvAHAAUgBlAHMAaQBkAHUAZQBzAF8AVgBhAHIAaQBhAHQAaQBvAG4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QwBvAG0AbQBvAG4AXwBJAG4AcAB1AHQARgB1AG4AYwB0AGkAbwBuAHMALgBVAHQAaQBsAGkAdAB5AF8AUwBvAHUAcgBjAGUASAB5AHAAZQByAGwAaQBuAGsAIgAsACIAQwBvAG0AbQBvAG4AXwBJAG4AcAB1AHQARgB1AG4AYwB0AGkAbwBuAHMALgBVAHQAaQBsAGkAdAB5AF8ARABpAHMAcABsAGEAeQBBAHIAZwB1AG0AZQBuAHQAcwBfADEAXwAyACIALAAiAEMAbwBtAG0AbwBuAF8ASQBuAHAAdQB0AEYAdQBuAGMAdABpAG8AbgBzAC4AVQB0AGkAbABpAHQAeQBfAEQAaQBzAHAAbABhAHkAQQByAGcAdQBtAGUAbgB0AHMAXwAzAF8ANAAiACwAIgBDAG8AbQBtAG8AbgBfAEkAbgBwAHUAdABGAHUAbgBjAHQAaQBvAG4AcwAuAEMAbwBtAG0AbwBuAF8ARwBlAHQATQBDAEYAVABlAG0AcABlAHIAYQB0AHUAcgBlAFoAbwBuAGU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9A9CF321-0D35-4044-BC72-33748FE2B8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Home</vt:lpstr>
      <vt:lpstr>Constants - Common</vt:lpstr>
      <vt:lpstr>Acknowledgements</vt:lpstr>
      <vt:lpstr>Common_SourceData_DensityOfMethane_Data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2026-07-23T08:46:46Z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